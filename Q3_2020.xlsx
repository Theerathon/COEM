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dy4hc\Documents\"/>
    </mc:Choice>
  </mc:AlternateContent>
  <bookViews>
    <workbookView xWindow="0" yWindow="0" windowWidth="28800" windowHeight="13125"/>
  </bookViews>
  <sheets>
    <sheet name="Sheet1" sheetId="1" r:id="rId1"/>
  </sheets>
  <definedNames>
    <definedName name="_xlnm._FilterDatabase" localSheetId="0" hidden="1">Sheet1!$A$56:$I$71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8" i="1" l="1"/>
  <c r="H59" i="1"/>
  <c r="H60" i="1"/>
  <c r="H61" i="1"/>
  <c r="H62" i="1"/>
  <c r="H63" i="1"/>
  <c r="H64" i="1"/>
  <c r="H65" i="1"/>
  <c r="I65" i="1" s="1"/>
  <c r="H66" i="1"/>
  <c r="H67" i="1"/>
  <c r="H68" i="1"/>
  <c r="H69" i="1"/>
  <c r="I69" i="1" s="1"/>
  <c r="H70" i="1"/>
  <c r="H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57" i="1"/>
  <c r="E70" i="1"/>
  <c r="E58" i="1"/>
  <c r="E59" i="1"/>
  <c r="E60" i="1"/>
  <c r="E61" i="1"/>
  <c r="E62" i="1"/>
  <c r="E63" i="1"/>
  <c r="E64" i="1"/>
  <c r="E65" i="1"/>
  <c r="E66" i="1"/>
  <c r="E67" i="1"/>
  <c r="E68" i="1"/>
  <c r="E69" i="1"/>
  <c r="E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57" i="1"/>
  <c r="E54" i="1"/>
  <c r="D54" i="1"/>
  <c r="E37" i="1"/>
  <c r="D37" i="1"/>
  <c r="E20" i="1"/>
  <c r="D20" i="1"/>
  <c r="I61" i="1" l="1"/>
  <c r="I68" i="1"/>
  <c r="I64" i="1"/>
  <c r="I60" i="1"/>
  <c r="I57" i="1"/>
  <c r="I67" i="1"/>
  <c r="I63" i="1"/>
  <c r="I59" i="1"/>
  <c r="I70" i="1"/>
  <c r="I66" i="1"/>
  <c r="I62" i="1"/>
  <c r="I58" i="1"/>
</calcChain>
</file>

<file path=xl/sharedStrings.xml><?xml version="1.0" encoding="utf-8"?>
<sst xmlns="http://schemas.openxmlformats.org/spreadsheetml/2006/main" count="141" uniqueCount="28">
  <si>
    <t>hieu.nguyen-trung</t>
  </si>
  <si>
    <t>hau.nguyen-tai</t>
  </si>
  <si>
    <t>bang.nguyen-duy</t>
  </si>
  <si>
    <t>dac.luu-cong</t>
  </si>
  <si>
    <t>duong.nguyen-tuan</t>
  </si>
  <si>
    <t>loc.do-phu</t>
  </si>
  <si>
    <t>thanh.nguyen-kim</t>
  </si>
  <si>
    <t>chung.ly</t>
  </si>
  <si>
    <t>huy.do-anh</t>
  </si>
  <si>
    <t>phuong.nguyen-thanh</t>
  </si>
  <si>
    <t>khang.duong-chi</t>
  </si>
  <si>
    <t>chuong.nguyen-minh</t>
  </si>
  <si>
    <t>nam.phan-the</t>
  </si>
  <si>
    <t>huy.nguyen-hoang</t>
  </si>
  <si>
    <t>total</t>
  </si>
  <si>
    <t>Team size</t>
  </si>
  <si>
    <t>COEM</t>
  </si>
  <si>
    <t>JOEM</t>
  </si>
  <si>
    <t>21-Jun to 15-Jun</t>
  </si>
  <si>
    <t>Tester</t>
  </si>
  <si>
    <t>ELOCs Assigned</t>
  </si>
  <si>
    <t>ELOCs completed</t>
  </si>
  <si>
    <t>Effort (days)</t>
  </si>
  <si>
    <t>16-Jul to 15-Aug</t>
  </si>
  <si>
    <t>16-Aug to 15-Sep</t>
  </si>
  <si>
    <t>Total Q3.2020</t>
  </si>
  <si>
    <t>Rank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</si>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</sst>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" fontId="1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16" fontId="1" fillId="6" borderId="1" xfId="0" applyNumberFormat="1" applyFont="1" applyFill="1" applyBorder="1" applyAlignment="1">
      <alignment horizontal="center"/>
    </xf>
    <xf numFmtId="16" fontId="1" fillId="7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" fillId="4" borderId="0" xfId="0" applyFont="1" applyFill="1"/>
    <xf numFmtId="0" fontId="1" fillId="4" borderId="2" xfId="0" applyFont="1" applyFill="1" applyBorder="1"/>
    <xf numFmtId="0" fontId="1" fillId="4" borderId="3" xfId="0" applyFont="1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70"/>
  <sheetViews>
    <sheetView tabSelected="1" workbookViewId="0">
      <selection activeCell="H62" sqref="H62"/>
    </sheetView>
  </sheetViews>
  <sheetFormatPr defaultRowHeight="12.75" x14ac:dyDescent="0.2"/>
  <cols>
    <col min="1" max="1" width="15.7109375" bestFit="1" customWidth="1"/>
    <col min="3" max="3" width="26.5703125" customWidth="1"/>
    <col min="4" max="4" width="15.7109375" bestFit="1" customWidth="1"/>
    <col min="5" max="5" width="17.28515625" bestFit="1" customWidth="1"/>
    <col min="6" max="6" width="11.5703125" bestFit="1" customWidth="1"/>
    <col min="7" max="7" width="10.28515625" bestFit="1" customWidth="1"/>
  </cols>
  <sheetData>
    <row r="5" spans="1:7" x14ac:dyDescent="0.2">
      <c r="A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15</v>
      </c>
    </row>
    <row r="6" spans="1:7" x14ac:dyDescent="0.2">
      <c r="C6" t="s">
        <v>0</v>
      </c>
      <c r="D6">
        <v>5946.1538461538457</v>
      </c>
      <c r="E6">
        <v>5946.1538461538457</v>
      </c>
      <c r="F6" s="7">
        <v>18</v>
      </c>
      <c r="G6" s="2" t="s">
        <v>16</v>
      </c>
    </row>
    <row r="7" spans="1:7" x14ac:dyDescent="0.2">
      <c r="C7" t="s">
        <v>1</v>
      </c>
      <c r="D7">
        <v>7486.2726923076934</v>
      </c>
      <c r="E7">
        <v>7486.2726923076934</v>
      </c>
      <c r="F7" s="7">
        <v>18</v>
      </c>
      <c r="G7" s="3" t="s">
        <v>17</v>
      </c>
    </row>
    <row r="8" spans="1:7" x14ac:dyDescent="0.2">
      <c r="C8" t="s">
        <v>2</v>
      </c>
      <c r="D8">
        <v>7389.0069230769241</v>
      </c>
      <c r="E8">
        <v>7389.0069230769241</v>
      </c>
      <c r="F8" s="7">
        <v>18</v>
      </c>
      <c r="G8" s="3" t="s">
        <v>17</v>
      </c>
    </row>
    <row r="9" spans="1:7" x14ac:dyDescent="0.2">
      <c r="C9" t="s">
        <v>3</v>
      </c>
      <c r="D9">
        <v>7490.9976923076929</v>
      </c>
      <c r="E9">
        <v>7490.9976923076929</v>
      </c>
      <c r="F9" s="7">
        <v>18</v>
      </c>
      <c r="G9" s="3" t="s">
        <v>17</v>
      </c>
    </row>
    <row r="10" spans="1:7" x14ac:dyDescent="0.2">
      <c r="C10" t="s">
        <v>4</v>
      </c>
      <c r="D10">
        <v>6182.5</v>
      </c>
      <c r="E10">
        <v>6182.5</v>
      </c>
      <c r="F10" s="7">
        <v>18</v>
      </c>
      <c r="G10" s="3" t="s">
        <v>17</v>
      </c>
    </row>
    <row r="11" spans="1:7" x14ac:dyDescent="0.2">
      <c r="C11" t="s">
        <v>5</v>
      </c>
      <c r="D11">
        <v>9834.3846153846152</v>
      </c>
      <c r="E11">
        <v>9834.3846153846152</v>
      </c>
      <c r="F11" s="7">
        <v>18</v>
      </c>
      <c r="G11" s="2" t="s">
        <v>16</v>
      </c>
    </row>
    <row r="12" spans="1:7" x14ac:dyDescent="0.2">
      <c r="C12" t="s">
        <v>6</v>
      </c>
      <c r="D12">
        <v>11585.461538461539</v>
      </c>
      <c r="E12">
        <v>11585.461538461539</v>
      </c>
      <c r="F12" s="7">
        <v>18</v>
      </c>
      <c r="G12" s="2" t="s">
        <v>16</v>
      </c>
    </row>
    <row r="13" spans="1:7" x14ac:dyDescent="0.2">
      <c r="C13" t="s">
        <v>7</v>
      </c>
      <c r="D13">
        <v>11314.076923076922</v>
      </c>
      <c r="E13">
        <v>11314.076923076922</v>
      </c>
      <c r="F13" s="7">
        <v>18</v>
      </c>
      <c r="G13" s="2" t="s">
        <v>16</v>
      </c>
    </row>
    <row r="14" spans="1:7" x14ac:dyDescent="0.2">
      <c r="C14" t="s">
        <v>8</v>
      </c>
      <c r="D14">
        <v>7715.3123076923075</v>
      </c>
      <c r="E14">
        <v>7715.3123076923075</v>
      </c>
      <c r="F14" s="7">
        <v>18</v>
      </c>
      <c r="G14" s="3" t="s">
        <v>17</v>
      </c>
    </row>
    <row r="15" spans="1:7" x14ac:dyDescent="0.2">
      <c r="C15" t="s">
        <v>9</v>
      </c>
      <c r="D15">
        <v>7157.5</v>
      </c>
      <c r="E15">
        <v>7157.5</v>
      </c>
      <c r="F15" s="7">
        <v>18</v>
      </c>
      <c r="G15" s="3" t="s">
        <v>17</v>
      </c>
    </row>
    <row r="16" spans="1:7" x14ac:dyDescent="0.2">
      <c r="C16" t="s">
        <v>10</v>
      </c>
      <c r="D16">
        <v>7014.544615384616</v>
      </c>
      <c r="E16">
        <v>7014.544615384616</v>
      </c>
      <c r="F16" s="7">
        <v>18</v>
      </c>
      <c r="G16" s="3" t="s">
        <v>17</v>
      </c>
    </row>
    <row r="17" spans="1:7" x14ac:dyDescent="0.2">
      <c r="C17" t="s">
        <v>11</v>
      </c>
      <c r="D17">
        <v>9792</v>
      </c>
      <c r="E17">
        <v>9792</v>
      </c>
      <c r="F17" s="7">
        <v>18</v>
      </c>
      <c r="G17" s="2" t="s">
        <v>16</v>
      </c>
    </row>
    <row r="18" spans="1:7" x14ac:dyDescent="0.2">
      <c r="C18" t="s">
        <v>12</v>
      </c>
      <c r="D18">
        <v>8261.6153846153848</v>
      </c>
      <c r="E18">
        <v>8261.6153846153848</v>
      </c>
      <c r="F18" s="7">
        <v>18</v>
      </c>
      <c r="G18" s="2" t="s">
        <v>16</v>
      </c>
    </row>
    <row r="19" spans="1:7" x14ac:dyDescent="0.2">
      <c r="C19" t="s">
        <v>13</v>
      </c>
      <c r="D19">
        <v>8656.6923076923085</v>
      </c>
      <c r="E19">
        <v>8656.6923076923085</v>
      </c>
      <c r="F19" s="7">
        <v>18</v>
      </c>
      <c r="G19" s="2" t="s">
        <v>16</v>
      </c>
    </row>
    <row r="20" spans="1:7" x14ac:dyDescent="0.2">
      <c r="B20" t="s">
        <v>14</v>
      </c>
      <c r="D20">
        <f>SUM(D6:D19)</f>
        <v>115826.51884615386</v>
      </c>
      <c r="E20">
        <f>SUM(E6:E19)</f>
        <v>115826.51884615386</v>
      </c>
    </row>
    <row r="22" spans="1:7" x14ac:dyDescent="0.2">
      <c r="A22" s="8" t="s">
        <v>23</v>
      </c>
      <c r="C22" s="8" t="s">
        <v>19</v>
      </c>
      <c r="D22" s="8" t="s">
        <v>20</v>
      </c>
      <c r="E22" s="8" t="s">
        <v>21</v>
      </c>
      <c r="F22" s="8" t="s">
        <v>22</v>
      </c>
      <c r="G22" s="8" t="s">
        <v>15</v>
      </c>
    </row>
    <row r="23" spans="1:7" x14ac:dyDescent="0.2">
      <c r="C23" t="s">
        <v>0</v>
      </c>
      <c r="D23">
        <v>4913.3846153846152</v>
      </c>
      <c r="E23">
        <v>4913.3846153846152</v>
      </c>
      <c r="F23" s="1">
        <v>12</v>
      </c>
      <c r="G23" s="2" t="s">
        <v>16</v>
      </c>
    </row>
    <row r="24" spans="1:7" x14ac:dyDescent="0.2">
      <c r="C24" t="s">
        <v>1</v>
      </c>
      <c r="D24">
        <v>8411.3446153846162</v>
      </c>
      <c r="E24">
        <v>8411.3446153846162</v>
      </c>
      <c r="F24" s="1">
        <v>22</v>
      </c>
      <c r="G24" s="3" t="s">
        <v>17</v>
      </c>
    </row>
    <row r="25" spans="1:7" x14ac:dyDescent="0.2">
      <c r="C25" t="s">
        <v>2</v>
      </c>
      <c r="D25">
        <v>8851.5</v>
      </c>
      <c r="E25">
        <v>8851.5</v>
      </c>
      <c r="F25" s="1">
        <v>22</v>
      </c>
      <c r="G25" s="3" t="s">
        <v>17</v>
      </c>
    </row>
    <row r="26" spans="1:7" x14ac:dyDescent="0.2">
      <c r="C26" t="s">
        <v>3</v>
      </c>
      <c r="D26">
        <v>9054</v>
      </c>
      <c r="E26">
        <v>9054</v>
      </c>
      <c r="F26" s="1">
        <v>22</v>
      </c>
      <c r="G26" s="3" t="s">
        <v>17</v>
      </c>
    </row>
    <row r="27" spans="1:7" x14ac:dyDescent="0.2">
      <c r="C27" t="s">
        <v>4</v>
      </c>
      <c r="D27">
        <v>11160.880384615386</v>
      </c>
      <c r="E27">
        <v>11160.880384615386</v>
      </c>
      <c r="F27" s="1">
        <v>22</v>
      </c>
      <c r="G27" s="3" t="s">
        <v>17</v>
      </c>
    </row>
    <row r="28" spans="1:7" x14ac:dyDescent="0.2">
      <c r="C28" t="s">
        <v>5</v>
      </c>
      <c r="D28">
        <v>9804.538461538461</v>
      </c>
      <c r="E28">
        <v>9804.538461538461</v>
      </c>
      <c r="F28" s="1">
        <v>22</v>
      </c>
      <c r="G28" s="2" t="s">
        <v>16</v>
      </c>
    </row>
    <row r="29" spans="1:7" x14ac:dyDescent="0.2">
      <c r="C29" t="s">
        <v>6</v>
      </c>
      <c r="D29">
        <v>9554.9230769230762</v>
      </c>
      <c r="E29">
        <v>9554.9230769230762</v>
      </c>
      <c r="F29" s="1">
        <v>22</v>
      </c>
      <c r="G29" s="2" t="s">
        <v>16</v>
      </c>
    </row>
    <row r="30" spans="1:7" x14ac:dyDescent="0.2">
      <c r="C30" t="s">
        <v>7</v>
      </c>
      <c r="D30">
        <v>12416.76923076923</v>
      </c>
      <c r="E30">
        <v>12416.76923076923</v>
      </c>
      <c r="F30" s="1">
        <v>22</v>
      </c>
      <c r="G30" s="2" t="s">
        <v>16</v>
      </c>
    </row>
    <row r="31" spans="1:7" x14ac:dyDescent="0.2">
      <c r="C31" t="s">
        <v>8</v>
      </c>
      <c r="D31">
        <v>8710.2000000000007</v>
      </c>
      <c r="E31">
        <v>8710.2000000000007</v>
      </c>
      <c r="F31" s="1">
        <v>22</v>
      </c>
      <c r="G31" s="3" t="s">
        <v>17</v>
      </c>
    </row>
    <row r="32" spans="1:7" x14ac:dyDescent="0.2">
      <c r="C32" t="s">
        <v>9</v>
      </c>
      <c r="D32">
        <v>8682.755000000001</v>
      </c>
      <c r="E32">
        <v>8682.755000000001</v>
      </c>
      <c r="F32" s="1">
        <v>22</v>
      </c>
      <c r="G32" s="3" t="s">
        <v>17</v>
      </c>
    </row>
    <row r="33" spans="1:7" x14ac:dyDescent="0.2">
      <c r="C33" t="s">
        <v>10</v>
      </c>
      <c r="D33">
        <v>9666</v>
      </c>
      <c r="E33">
        <v>9666</v>
      </c>
      <c r="F33" s="1">
        <v>22</v>
      </c>
      <c r="G33" s="3" t="s">
        <v>17</v>
      </c>
    </row>
    <row r="34" spans="1:7" x14ac:dyDescent="0.2">
      <c r="C34" t="s">
        <v>11</v>
      </c>
      <c r="D34">
        <v>9032.7692307692305</v>
      </c>
      <c r="E34">
        <v>9032.7692307692305</v>
      </c>
      <c r="F34" s="1">
        <v>22</v>
      </c>
      <c r="G34" s="2" t="s">
        <v>16</v>
      </c>
    </row>
    <row r="35" spans="1:7" x14ac:dyDescent="0.2">
      <c r="C35" t="s">
        <v>12</v>
      </c>
      <c r="D35">
        <v>10095.884615384615</v>
      </c>
      <c r="E35">
        <v>10095.884615384615</v>
      </c>
      <c r="F35" s="1">
        <v>22</v>
      </c>
      <c r="G35" s="2" t="s">
        <v>16</v>
      </c>
    </row>
    <row r="36" spans="1:7" x14ac:dyDescent="0.2">
      <c r="C36" t="s">
        <v>13</v>
      </c>
      <c r="D36">
        <v>9670.7692307692305</v>
      </c>
      <c r="E36">
        <v>9670.7692307692305</v>
      </c>
      <c r="F36" s="1">
        <v>22</v>
      </c>
      <c r="G36" s="2" t="s">
        <v>16</v>
      </c>
    </row>
    <row r="37" spans="1:7" x14ac:dyDescent="0.2">
      <c r="B37" t="s">
        <v>14</v>
      </c>
      <c r="D37">
        <f>SUM(D23:D36)</f>
        <v>130025.71846153846</v>
      </c>
      <c r="E37">
        <f>SUM(E23:E36)</f>
        <v>130025.71846153846</v>
      </c>
    </row>
    <row r="39" spans="1:7" x14ac:dyDescent="0.2">
      <c r="A39" s="9" t="s">
        <v>24</v>
      </c>
      <c r="C39" s="9" t="s">
        <v>19</v>
      </c>
      <c r="D39" s="9" t="s">
        <v>20</v>
      </c>
      <c r="E39" s="9" t="s">
        <v>21</v>
      </c>
      <c r="F39" s="9" t="s">
        <v>22</v>
      </c>
      <c r="G39" s="9" t="s">
        <v>15</v>
      </c>
    </row>
    <row r="40" spans="1:7" x14ac:dyDescent="0.2">
      <c r="C40" t="s">
        <v>0</v>
      </c>
      <c r="D40">
        <v>0</v>
      </c>
      <c r="E40">
        <v>0</v>
      </c>
      <c r="F40" s="1">
        <v>0</v>
      </c>
      <c r="G40" s="2" t="s">
        <v>16</v>
      </c>
    </row>
    <row r="41" spans="1:7" x14ac:dyDescent="0.2">
      <c r="C41" t="s">
        <v>1</v>
      </c>
      <c r="D41">
        <v>10846.125</v>
      </c>
      <c r="E41">
        <v>10846.125</v>
      </c>
      <c r="F41" s="1">
        <v>21</v>
      </c>
      <c r="G41" s="3" t="s">
        <v>17</v>
      </c>
    </row>
    <row r="42" spans="1:7" x14ac:dyDescent="0.2">
      <c r="C42" t="s">
        <v>2</v>
      </c>
      <c r="D42">
        <v>5944.5000000000009</v>
      </c>
      <c r="E42">
        <v>5944.5000000000009</v>
      </c>
      <c r="F42" s="1">
        <v>10</v>
      </c>
      <c r="G42" s="3" t="s">
        <v>17</v>
      </c>
    </row>
    <row r="43" spans="1:7" x14ac:dyDescent="0.2">
      <c r="C43" t="s">
        <v>3</v>
      </c>
      <c r="D43">
        <v>9499.5</v>
      </c>
      <c r="E43">
        <v>9499.5</v>
      </c>
      <c r="F43" s="1">
        <v>21</v>
      </c>
      <c r="G43" s="3" t="s">
        <v>17</v>
      </c>
    </row>
    <row r="44" spans="1:7" x14ac:dyDescent="0.2">
      <c r="C44" t="s">
        <v>4</v>
      </c>
      <c r="D44">
        <v>12252.692307692309</v>
      </c>
      <c r="E44">
        <v>12252.692307692309</v>
      </c>
      <c r="F44" s="1">
        <v>21</v>
      </c>
      <c r="G44" s="2" t="s">
        <v>16</v>
      </c>
    </row>
    <row r="45" spans="1:7" x14ac:dyDescent="0.2">
      <c r="C45" t="s">
        <v>5</v>
      </c>
      <c r="D45">
        <v>10780.307692307691</v>
      </c>
      <c r="E45">
        <v>10780.307692307691</v>
      </c>
      <c r="F45" s="1">
        <v>21</v>
      </c>
      <c r="G45" s="2" t="s">
        <v>16</v>
      </c>
    </row>
    <row r="46" spans="1:7" x14ac:dyDescent="0.2">
      <c r="C46" t="s">
        <v>6</v>
      </c>
      <c r="D46">
        <v>3778.3076923076924</v>
      </c>
      <c r="E46">
        <v>3778.3076923076924</v>
      </c>
      <c r="F46" s="1">
        <v>10</v>
      </c>
      <c r="G46" s="2" t="s">
        <v>16</v>
      </c>
    </row>
    <row r="47" spans="1:7" x14ac:dyDescent="0.2">
      <c r="C47" t="s">
        <v>7</v>
      </c>
      <c r="D47">
        <v>9596.7692307692305</v>
      </c>
      <c r="E47">
        <v>9596.7692307692305</v>
      </c>
      <c r="F47" s="1">
        <v>21</v>
      </c>
      <c r="G47" s="3" t="s">
        <v>17</v>
      </c>
    </row>
    <row r="48" spans="1:7" x14ac:dyDescent="0.2">
      <c r="C48" t="s">
        <v>8</v>
      </c>
      <c r="D48">
        <v>9769.5000000000018</v>
      </c>
      <c r="E48">
        <v>9769.5000000000018</v>
      </c>
      <c r="F48" s="1">
        <v>21</v>
      </c>
      <c r="G48" s="3" t="s">
        <v>17</v>
      </c>
    </row>
    <row r="49" spans="1:9" x14ac:dyDescent="0.2">
      <c r="C49" t="s">
        <v>9</v>
      </c>
      <c r="D49">
        <v>9796.5</v>
      </c>
      <c r="E49">
        <v>9796.5</v>
      </c>
      <c r="F49" s="1">
        <v>21</v>
      </c>
      <c r="G49" s="3" t="s">
        <v>17</v>
      </c>
    </row>
    <row r="50" spans="1:9" x14ac:dyDescent="0.2">
      <c r="C50" t="s">
        <v>10</v>
      </c>
      <c r="D50">
        <v>10413.000000000002</v>
      </c>
      <c r="E50">
        <v>10413.000000000002</v>
      </c>
      <c r="F50" s="1">
        <v>21</v>
      </c>
      <c r="G50" s="3" t="s">
        <v>17</v>
      </c>
    </row>
    <row r="51" spans="1:9" x14ac:dyDescent="0.2">
      <c r="C51" t="s">
        <v>11</v>
      </c>
      <c r="D51">
        <v>9845.538461538461</v>
      </c>
      <c r="E51">
        <v>9845.538461538461</v>
      </c>
      <c r="F51" s="1">
        <v>21</v>
      </c>
      <c r="G51" s="2" t="s">
        <v>16</v>
      </c>
    </row>
    <row r="52" spans="1:9" x14ac:dyDescent="0.2">
      <c r="C52" t="s">
        <v>12</v>
      </c>
      <c r="D52">
        <v>9549.3076923076915</v>
      </c>
      <c r="E52">
        <v>9549.3076923076915</v>
      </c>
      <c r="F52" s="1">
        <v>21</v>
      </c>
      <c r="G52" s="2" t="s">
        <v>16</v>
      </c>
    </row>
    <row r="53" spans="1:9" x14ac:dyDescent="0.2">
      <c r="C53" t="s">
        <v>13</v>
      </c>
      <c r="D53">
        <v>9498.538461538461</v>
      </c>
      <c r="E53">
        <v>9498.538461538461</v>
      </c>
      <c r="F53" s="1">
        <v>21</v>
      </c>
      <c r="G53" s="2" t="s">
        <v>16</v>
      </c>
    </row>
    <row r="54" spans="1:9" x14ac:dyDescent="0.2">
      <c r="B54" t="s">
        <v>14</v>
      </c>
      <c r="D54">
        <f>SUM(D40:D53)</f>
        <v>121570.58653846153</v>
      </c>
      <c r="E54">
        <f>SUM(E40:E53)</f>
        <v>121570.58653846153</v>
      </c>
    </row>
    <row r="56" spans="1:9" x14ac:dyDescent="0.2">
      <c r="A56" s="11" t="s">
        <v>25</v>
      </c>
      <c r="C56" s="10" t="s">
        <v>19</v>
      </c>
      <c r="D56" s="10" t="s">
        <v>20</v>
      </c>
      <c r="E56" s="10" t="s">
        <v>21</v>
      </c>
      <c r="F56" s="13" t="s">
        <v>22</v>
      </c>
      <c r="G56" s="13" t="s">
        <v>15</v>
      </c>
      <c r="H56" s="12" t="s">
        <v>27</v>
      </c>
      <c r="I56" s="10" t="s">
        <v>26</v>
      </c>
    </row>
    <row r="57" spans="1:9" x14ac:dyDescent="0.2">
      <c r="C57" s="5" t="s">
        <v>0</v>
      </c>
      <c r="D57" s="5">
        <f>SUM(D6,D23,D40)</f>
        <v>10859.538461538461</v>
      </c>
      <c r="E57" s="5">
        <f>SUM(E6,E23,E40)</f>
        <v>10859.538461538461</v>
      </c>
      <c r="F57" s="14">
        <f>SUM(F6,F23,F40)</f>
        <v>30</v>
      </c>
      <c r="G57" s="15" t="s">
        <v>16</v>
      </c>
      <c r="H57" s="14">
        <f>E57/F57</f>
        <v>361.98461538461538</v>
      </c>
      <c r="I57" s="14">
        <f>RANK(H57,$H$57:$H$70)</f>
        <v>14</v>
      </c>
    </row>
    <row r="58" spans="1:9" x14ac:dyDescent="0.2">
      <c r="C58" s="5" t="s">
        <v>1</v>
      </c>
      <c r="D58" s="5">
        <f t="shared" ref="D58:F70" si="0">SUM(D7,D24,D41)</f>
        <v>26743.742307692308</v>
      </c>
      <c r="E58" s="5">
        <f t="shared" si="0"/>
        <v>26743.742307692308</v>
      </c>
      <c r="F58" s="14">
        <f t="shared" si="0"/>
        <v>61</v>
      </c>
      <c r="G58" s="16" t="s">
        <v>17</v>
      </c>
      <c r="H58" s="14">
        <f t="shared" ref="H58:H70" si="1">E58/F58</f>
        <v>438.4220050441362</v>
      </c>
      <c r="I58" s="14">
        <f t="shared" ref="I58:I70" si="2">RANK(H58,$H$57:$H$70)</f>
        <v>10</v>
      </c>
    </row>
    <row r="59" spans="1:9" x14ac:dyDescent="0.2">
      <c r="C59" s="5" t="s">
        <v>2</v>
      </c>
      <c r="D59" s="5">
        <f t="shared" si="0"/>
        <v>22185.006923076926</v>
      </c>
      <c r="E59" s="5">
        <f t="shared" si="0"/>
        <v>22185.006923076926</v>
      </c>
      <c r="F59" s="14">
        <f t="shared" si="0"/>
        <v>50</v>
      </c>
      <c r="G59" s="16" t="s">
        <v>17</v>
      </c>
      <c r="H59" s="14">
        <f t="shared" si="1"/>
        <v>443.70013846153853</v>
      </c>
      <c r="I59" s="14">
        <f t="shared" si="2"/>
        <v>9</v>
      </c>
    </row>
    <row r="60" spans="1:9" x14ac:dyDescent="0.2">
      <c r="C60" s="5" t="s">
        <v>3</v>
      </c>
      <c r="D60" s="5">
        <f t="shared" si="0"/>
        <v>26044.497692307694</v>
      </c>
      <c r="E60" s="5">
        <f t="shared" si="0"/>
        <v>26044.497692307694</v>
      </c>
      <c r="F60" s="14">
        <f t="shared" si="0"/>
        <v>61</v>
      </c>
      <c r="G60" s="16" t="s">
        <v>17</v>
      </c>
      <c r="H60" s="14">
        <f t="shared" si="1"/>
        <v>426.95897856242124</v>
      </c>
      <c r="I60" s="14">
        <f t="shared" si="2"/>
        <v>12</v>
      </c>
    </row>
    <row r="61" spans="1:9" x14ac:dyDescent="0.2">
      <c r="C61" s="5" t="s">
        <v>4</v>
      </c>
      <c r="D61" s="5">
        <f t="shared" si="0"/>
        <v>29596.072692307695</v>
      </c>
      <c r="E61" s="5">
        <f t="shared" si="0"/>
        <v>29596.072692307695</v>
      </c>
      <c r="F61" s="14">
        <f t="shared" si="0"/>
        <v>61</v>
      </c>
      <c r="G61" s="16" t="s">
        <v>17</v>
      </c>
      <c r="H61" s="14">
        <f t="shared" si="1"/>
        <v>485.1815195460278</v>
      </c>
      <c r="I61" s="4">
        <f t="shared" si="2"/>
        <v>4</v>
      </c>
    </row>
    <row r="62" spans="1:9" x14ac:dyDescent="0.2">
      <c r="C62" s="5" t="s">
        <v>5</v>
      </c>
      <c r="D62" s="5">
        <f t="shared" si="0"/>
        <v>30419.23076923077</v>
      </c>
      <c r="E62" s="5">
        <f t="shared" si="0"/>
        <v>30419.23076923077</v>
      </c>
      <c r="F62" s="14">
        <f t="shared" si="0"/>
        <v>61</v>
      </c>
      <c r="G62" s="15" t="s">
        <v>16</v>
      </c>
      <c r="H62" s="14">
        <f t="shared" si="1"/>
        <v>498.67591424968475</v>
      </c>
      <c r="I62" s="14">
        <f t="shared" si="2"/>
        <v>2</v>
      </c>
    </row>
    <row r="63" spans="1:9" x14ac:dyDescent="0.2">
      <c r="C63" s="5" t="s">
        <v>6</v>
      </c>
      <c r="D63" s="5">
        <f t="shared" si="0"/>
        <v>24918.692307692309</v>
      </c>
      <c r="E63" s="5">
        <f t="shared" si="0"/>
        <v>24918.692307692309</v>
      </c>
      <c r="F63" s="14">
        <f t="shared" si="0"/>
        <v>50</v>
      </c>
      <c r="G63" s="15" t="s">
        <v>16</v>
      </c>
      <c r="H63" s="14">
        <f t="shared" si="1"/>
        <v>498.37384615384616</v>
      </c>
      <c r="I63" s="14">
        <f t="shared" si="2"/>
        <v>3</v>
      </c>
    </row>
    <row r="64" spans="1:9" x14ac:dyDescent="0.2">
      <c r="C64" s="5" t="s">
        <v>7</v>
      </c>
      <c r="D64" s="5">
        <f t="shared" si="0"/>
        <v>33327.615384615383</v>
      </c>
      <c r="E64" s="5">
        <f t="shared" si="0"/>
        <v>33327.615384615383</v>
      </c>
      <c r="F64" s="14">
        <f t="shared" si="0"/>
        <v>61</v>
      </c>
      <c r="G64" s="15" t="s">
        <v>16</v>
      </c>
      <c r="H64" s="14">
        <f t="shared" si="1"/>
        <v>546.3543505674653</v>
      </c>
      <c r="I64" s="17">
        <f t="shared" si="2"/>
        <v>1</v>
      </c>
    </row>
    <row r="65" spans="3:9" x14ac:dyDescent="0.2">
      <c r="C65" s="5" t="s">
        <v>8</v>
      </c>
      <c r="D65" s="5">
        <f t="shared" si="0"/>
        <v>26195.012307692312</v>
      </c>
      <c r="E65" s="5">
        <f t="shared" si="0"/>
        <v>26195.012307692312</v>
      </c>
      <c r="F65" s="14">
        <f t="shared" si="0"/>
        <v>61</v>
      </c>
      <c r="G65" s="16" t="s">
        <v>17</v>
      </c>
      <c r="H65" s="14">
        <f t="shared" si="1"/>
        <v>429.42643127364448</v>
      </c>
      <c r="I65" s="14">
        <f t="shared" si="2"/>
        <v>11</v>
      </c>
    </row>
    <row r="66" spans="3:9" x14ac:dyDescent="0.2">
      <c r="C66" s="5" t="s">
        <v>9</v>
      </c>
      <c r="D66" s="5">
        <f t="shared" si="0"/>
        <v>25636.755000000001</v>
      </c>
      <c r="E66" s="5">
        <f t="shared" si="0"/>
        <v>25636.755000000001</v>
      </c>
      <c r="F66" s="14">
        <f t="shared" si="0"/>
        <v>61</v>
      </c>
      <c r="G66" s="16" t="s">
        <v>17</v>
      </c>
      <c r="H66" s="14">
        <f t="shared" si="1"/>
        <v>420.27467213114755</v>
      </c>
      <c r="I66" s="14">
        <f t="shared" si="2"/>
        <v>13</v>
      </c>
    </row>
    <row r="67" spans="3:9" x14ac:dyDescent="0.2">
      <c r="C67" s="5" t="s">
        <v>10</v>
      </c>
      <c r="D67" s="5">
        <f t="shared" si="0"/>
        <v>27093.544615384621</v>
      </c>
      <c r="E67" s="5">
        <f t="shared" si="0"/>
        <v>27093.544615384621</v>
      </c>
      <c r="F67" s="14">
        <f t="shared" si="0"/>
        <v>61</v>
      </c>
      <c r="G67" s="16" t="s">
        <v>17</v>
      </c>
      <c r="H67" s="14">
        <f t="shared" si="1"/>
        <v>444.15646910466592</v>
      </c>
      <c r="I67" s="14">
        <f t="shared" si="2"/>
        <v>8</v>
      </c>
    </row>
    <row r="68" spans="3:9" x14ac:dyDescent="0.2">
      <c r="C68" s="5" t="s">
        <v>11</v>
      </c>
      <c r="D68" s="5">
        <f t="shared" si="0"/>
        <v>28670.307692307691</v>
      </c>
      <c r="E68" s="5">
        <f t="shared" si="0"/>
        <v>28670.307692307691</v>
      </c>
      <c r="F68" s="14">
        <f t="shared" si="0"/>
        <v>61</v>
      </c>
      <c r="G68" s="15" t="s">
        <v>16</v>
      </c>
      <c r="H68" s="14">
        <f t="shared" si="1"/>
        <v>470.00504413619166</v>
      </c>
      <c r="I68" s="14">
        <f t="shared" si="2"/>
        <v>5</v>
      </c>
    </row>
    <row r="69" spans="3:9" x14ac:dyDescent="0.2">
      <c r="C69" s="5" t="s">
        <v>12</v>
      </c>
      <c r="D69" s="5">
        <f t="shared" si="0"/>
        <v>27906.807692307691</v>
      </c>
      <c r="E69" s="5">
        <f t="shared" si="0"/>
        <v>27906.807692307691</v>
      </c>
      <c r="F69" s="14">
        <f t="shared" si="0"/>
        <v>61</v>
      </c>
      <c r="G69" s="15" t="s">
        <v>16</v>
      </c>
      <c r="H69" s="14">
        <f t="shared" si="1"/>
        <v>457.48865069356873</v>
      </c>
      <c r="I69" s="14">
        <f t="shared" si="2"/>
        <v>6</v>
      </c>
    </row>
    <row r="70" spans="3:9" x14ac:dyDescent="0.2">
      <c r="C70" s="5" t="s">
        <v>13</v>
      </c>
      <c r="D70" s="5">
        <f t="shared" si="0"/>
        <v>27826</v>
      </c>
      <c r="E70" s="5">
        <f t="shared" si="0"/>
        <v>27826</v>
      </c>
      <c r="F70" s="14">
        <f t="shared" si="0"/>
        <v>61</v>
      </c>
      <c r="G70" s="15" t="s">
        <v>16</v>
      </c>
      <c r="H70" s="14">
        <f t="shared" si="1"/>
        <v>456.1639344262295</v>
      </c>
      <c r="I70" s="14">
        <f t="shared" si="2"/>
        <v>7</v>
      </c>
    </row>
  </sheetData>
  <conditionalFormatting sqref="H57:H70">
    <cfRule type="cellIs" dxfId="2" priority="2" operator="greaterThan">
      <formula>450</formula>
    </cfRule>
    <cfRule type="cellIs" dxfId="1" priority="1" operator="lessThan">
      <formula>450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Nguyen Tuan Duong (Ban Vien, RBVH/EPS45)</dc:creator>
  <cp:lastModifiedBy>EXTERNAL Nguyen Tuan Duong (Ban Vien, RBVH/EPS45)</cp:lastModifiedBy>
  <dcterms:created xsi:type="dcterms:W3CDTF">2020-09-25T09:13:54Z</dcterms:created>
  <dcterms:modified xsi:type="dcterms:W3CDTF">2020-09-25T09:54:30Z</dcterms:modified>
</cp:coreProperties>
</file>