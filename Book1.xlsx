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ong.nguyentuan\Desktop\git\"/>
    </mc:Choice>
  </mc:AlternateContent>
  <xr:revisionPtr revIDLastSave="0" documentId="13_ncr:1_{A666054B-2A77-4BCC-91B7-8D93B56A010C}" xr6:coauthVersionLast="45" xr6:coauthVersionMax="45" xr10:uidLastSave="{00000000-0000-0000-0000-000000000000}"/>
  <bookViews>
    <workbookView xWindow="-120" yWindow="-120" windowWidth="20730" windowHeight="11160" xr2:uid="{49185DF5-B574-43D7-BBC7-BB8175120EE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Sheet1!$A$1:$O$118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2" i="1" l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67" i="1"/>
  <c r="K66" i="1"/>
  <c r="K65" i="1"/>
  <c r="K64" i="1"/>
  <c r="K63" i="1"/>
  <c r="K62" i="1"/>
  <c r="K61" i="1"/>
  <c r="K60" i="1"/>
  <c r="K59" i="1"/>
  <c r="K58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2" i="1"/>
  <c r="K31" i="1"/>
  <c r="K30" i="1"/>
  <c r="K29" i="1"/>
  <c r="K28" i="1"/>
  <c r="K27" i="1"/>
  <c r="K26" i="1"/>
  <c r="K25" i="1"/>
  <c r="K24" i="1"/>
  <c r="K23" i="1"/>
  <c r="L3" i="1" s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67" i="1"/>
  <c r="J66" i="1"/>
  <c r="J65" i="1"/>
  <c r="J64" i="1"/>
  <c r="J63" i="1"/>
  <c r="J62" i="1"/>
  <c r="J61" i="1"/>
  <c r="J60" i="1"/>
  <c r="J59" i="1"/>
  <c r="J58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1" i="1"/>
  <c r="N1" i="1"/>
  <c r="N3" i="1" s="1"/>
  <c r="M1" i="1"/>
  <c r="L1" i="1"/>
  <c r="J33" i="1"/>
  <c r="J34" i="1"/>
  <c r="J35" i="1"/>
  <c r="J36" i="1"/>
  <c r="J37" i="1"/>
  <c r="J38" i="1"/>
  <c r="J39" i="1"/>
  <c r="J53" i="1"/>
  <c r="J54" i="1"/>
  <c r="J55" i="1"/>
  <c r="J56" i="1"/>
  <c r="J57" i="1"/>
  <c r="J68" i="1"/>
  <c r="J69" i="1"/>
  <c r="J70" i="1"/>
  <c r="J71" i="1"/>
  <c r="J72" i="1"/>
  <c r="J73" i="1"/>
  <c r="J74" i="1"/>
  <c r="J75" i="1"/>
  <c r="I118" i="1"/>
  <c r="I117" i="1"/>
  <c r="I116" i="1"/>
  <c r="I115" i="1"/>
  <c r="I114" i="1"/>
  <c r="I113" i="1"/>
  <c r="I111" i="1"/>
  <c r="I109" i="1"/>
  <c r="I106" i="1"/>
  <c r="I105" i="1"/>
  <c r="I104" i="1"/>
  <c r="I103" i="1"/>
  <c r="I102" i="1"/>
  <c r="I101" i="1"/>
  <c r="I99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76" i="1"/>
  <c r="I75" i="1"/>
  <c r="I73" i="1"/>
  <c r="I71" i="1"/>
  <c r="I70" i="1"/>
  <c r="I69" i="1"/>
  <c r="I68" i="1"/>
  <c r="I67" i="1"/>
  <c r="I66" i="1"/>
  <c r="I65" i="1"/>
  <c r="I64" i="1"/>
  <c r="I63" i="1"/>
  <c r="M3" i="1" l="1"/>
  <c r="N2" i="1"/>
  <c r="O2" i="1"/>
  <c r="M2" i="1"/>
  <c r="I98" i="1"/>
  <c r="O3" i="1" s="1"/>
  <c r="I100" i="1"/>
</calcChain>
</file>

<file path=xl/sharedStrings.xml><?xml version="1.0" encoding="utf-8"?>
<sst xmlns="http://schemas.openxmlformats.org/spreadsheetml/2006/main" count="712" uniqueCount="211">
  <si>
    <t>PSW</t>
  </si>
  <si>
    <t>221259_FAW_C105EV_L2_ESPhev_BL62</t>
  </si>
  <si>
    <t>rb\as\cnms_core\app\net\scl_callout\src\</t>
  </si>
  <si>
    <t>RBA_NDS_ESP_2_Callout.c</t>
  </si>
  <si>
    <t>FAW_Carbon_TypeF_HevX_Int</t>
  </si>
  <si>
    <t>duong.nguyen</t>
  </si>
  <si>
    <t>rb\as\fawhevx\fawcore\app\net\RBScl\src\</t>
  </si>
  <si>
    <t>ComScl_Scl_Complex_proc.c</t>
  </si>
  <si>
    <t>chung.ly</t>
  </si>
  <si>
    <t>MC_232534_SGMW_CN202C_ESP9.3CPi_ACC_BSS04_SP02</t>
  </si>
  <si>
    <t>\rb\as\sgmw\CN210S\app\net\RBScl\RBScl_SGMW\src\</t>
  </si>
  <si>
    <t>SGMW_RBA_NDS_SystemInfo_Callout.c</t>
  </si>
  <si>
    <t>SGMW_ESP93_Carbon_Int</t>
  </si>
  <si>
    <t>NET_SCL_Rx_SGMW_RemoteControl.c</t>
  </si>
  <si>
    <t>BYD_IPB_SW_Mainstream_BL05_SP09</t>
  </si>
  <si>
    <t>NET_SCL_Rx_SystemInfo.c</t>
  </si>
  <si>
    <t>BYD_IPB_BL05_Int</t>
  </si>
  <si>
    <t>thanh.nguyen-kim</t>
  </si>
  <si>
    <t>BYD_Carbon_Mainstream_BL01</t>
  </si>
  <si>
    <t>\MainstreamF30\rb\as\byd\Bydcarbon\app\net\RBScl_Callout\</t>
  </si>
  <si>
    <t>ComScl_RxPdu_WorkingMode_Monitor.c</t>
  </si>
  <si>
    <t>BYD_Carbon_ESP93_Int</t>
  </si>
  <si>
    <t>loc.do-phu</t>
  </si>
  <si>
    <t>NET_SCL_Rx_EngineSpeed.c</t>
  </si>
  <si>
    <t>NET_SCL_Rx_GearBox.c</t>
  </si>
  <si>
    <t>NET_SCL_Rx_TCU.c</t>
  </si>
  <si>
    <t>NET_SCL_Rx_VAF_Complex.c</t>
  </si>
  <si>
    <t>RBA_NDS_Complex_Callout.c</t>
  </si>
  <si>
    <t>RBA_NDS_WheelOdoEdges_Callout.c</t>
  </si>
  <si>
    <t xml:space="preserve">\MainstreamF30\rb\as\byd\Bydcarbon\app\net\RBScl\        </t>
  </si>
  <si>
    <t>rba_SCL_Settings.c</t>
  </si>
  <si>
    <t xml:space="preserve">\MainstreamF30\rb\as\byd\Bydcarbon\app\net\RBScl\ </t>
  </si>
  <si>
    <t>RBNET_Scl_Complexsignals.c</t>
  </si>
  <si>
    <t>GWM_ESP9.3_CHB071_HP_RC2</t>
  </si>
  <si>
    <t>rb\as\core\hwp\cubas\Diagnosis</t>
  </si>
  <si>
    <t>DemCSMosar_EventLogger.c</t>
  </si>
  <si>
    <t>GWM_CHB071HevX_Carbon_Int</t>
  </si>
  <si>
    <t>RBDsm_Measurement.c</t>
  </si>
  <si>
    <t>FAW_HQEV_2WD_MC</t>
  </si>
  <si>
    <t>rb\as\core\app\net</t>
  </si>
  <si>
    <t>RBCAN_CanSMBusOffRecovery.c</t>
  </si>
  <si>
    <t>-</t>
  </si>
  <si>
    <t>FAW_MainPathHEV_Int</t>
  </si>
  <si>
    <t>rb\as\fawMPHev\prjConf\app\net</t>
  </si>
  <si>
    <t>NET_SCL_Tx_APBMi.c</t>
  </si>
  <si>
    <t>NET_SCL_Rx_HHC.c</t>
  </si>
  <si>
    <t>ASW</t>
  </si>
  <si>
    <t>GAC_Carbon_RPA_iBooster_Mainpath_BL04</t>
  </si>
  <si>
    <t>PFA_ISC_SituationSupport</t>
  </si>
  <si>
    <t>1366593.zip</t>
  </si>
  <si>
    <t>HHT_VX1_ESPHevX_BL2_Sprint3</t>
  </si>
  <si>
    <t>CM_IVC_RWS_Status</t>
  </si>
  <si>
    <t>1371465_1367009.zip</t>
  </si>
  <si>
    <t>CM_IVC_ModeHandling</t>
  </si>
  <si>
    <t>VDCVAFS_PreindicatorArbitrator</t>
  </si>
  <si>
    <t>1366969.zip</t>
  </si>
  <si>
    <t>VDCVAFS_VDCActiveArbitrator</t>
  </si>
  <si>
    <t>CM_IVC_HHT_HADPADActivation</t>
  </si>
  <si>
    <t>239689_NIO_G1.3&amp;G1.F_ESPHevX_BSS03_SP01</t>
  </si>
  <si>
    <t>CDD_SsmSelContr</t>
  </si>
  <si>
    <t>1345833.zip</t>
  </si>
  <si>
    <t>E111_ESPHevx_BSL30</t>
  </si>
  <si>
    <t>rba\Bldr_FAW</t>
  </si>
  <si>
    <t>rba_BldrCmp_Cfg_Functions.c</t>
  </si>
  <si>
    <t>FAW_E111_ESPHevX_Int</t>
  </si>
  <si>
    <t>rba_BldrCmp_Cfg_NvmIf.c</t>
  </si>
  <si>
    <t>rba_BldrCmp_Cfg_CheckMem.c</t>
  </si>
  <si>
    <t>Geely_KC2A_ESP9.3_HB_225750_BB8033_BL04_SP01</t>
  </si>
  <si>
    <t>rb\as\geely\core\app\dcom\RBAPLCust\src\</t>
  </si>
  <si>
    <t>RBAPLCUST_RBDI_NVMData.c</t>
  </si>
  <si>
    <t xml:space="preserve">Geely_Beryllium2_OBD_China6_Int </t>
  </si>
  <si>
    <t>GAC_Carbon_Stream_ESPCP_BL04</t>
  </si>
  <si>
    <t>rb\as\gaig\core\app\dcom\RBAPLCust\src\common\</t>
  </si>
  <si>
    <t>RBAPLCUST_RBDI_VariandCode.c</t>
  </si>
  <si>
    <t>GAC_ESP93CP_Carbon_Int</t>
  </si>
  <si>
    <t>rb\as\gaig\core\app\dcom\RBAPLCust\src\ESP\</t>
  </si>
  <si>
    <t>RBAPLCUST_RDBI_TPMS_GAC.c</t>
  </si>
  <si>
    <t>RBAPLCUST_WDBI_TPMS_GAC.c</t>
  </si>
  <si>
    <t>RBAPLCUST_RoutineControl_TPMSReset.c</t>
  </si>
  <si>
    <t>rb\as\cnms_core\app\dcom\RBAPLCust\src\ESP\</t>
  </si>
  <si>
    <t>RBAPLCUST_EOLDelayCtrlOrAPBMi.c</t>
  </si>
  <si>
    <t>rb\as\gaig\core\app\dcom\Cubas\src\Dcm_CNMS\</t>
  </si>
  <si>
    <t>DcmAppl_DcmSwitchCommunicationControl.c</t>
  </si>
  <si>
    <t>RBAPLCUST_DiagnosticSessionControl.c</t>
  </si>
  <si>
    <t>240688_DFSK_F517\527\537_EVR_Carbon_ESP9.3</t>
  </si>
  <si>
    <t>rb\as\dfsk\CpiwAPB\app\dsm\RBVAR\src\</t>
  </si>
  <si>
    <t>RBVAR_VarCode_PROJECT.c</t>
  </si>
  <si>
    <t>DFSK_ESP_Carbon_Int</t>
  </si>
  <si>
    <t>rb\as\dfsk\CpiwAPB\app\net\RBScl\RBScl_DFSK\src\</t>
  </si>
  <si>
    <t>NET_Monitoring.c</t>
  </si>
  <si>
    <t>NET_VAR_IsVcActive.c</t>
  </si>
  <si>
    <t>RBA_NDS_Rx_ASW_Callout.c</t>
  </si>
  <si>
    <t>RBA_NDS_Rx_VAF_Callout.c</t>
  </si>
  <si>
    <t>RBA_NDS_Tx_ASW_Callout.c</t>
  </si>
  <si>
    <t>rb\as\dfsk\CpiwAPB\hswpr\tst\hswsim\src\</t>
  </si>
  <si>
    <t>TestEnvironment_Fee_EV702148.c</t>
  </si>
  <si>
    <t>Adapt_236234_SMART_VDDM_ESPHevX_BSS02_E2_SP2</t>
  </si>
  <si>
    <t>GEEA2.0\rb\as\cevt\Geely\app\dsm\RBVAR\src\</t>
  </si>
  <si>
    <t>VAR09_OutputDriver_CEVT.c</t>
  </si>
  <si>
    <t>CEVT_GEEA_SMART_Deuterium_Int</t>
  </si>
  <si>
    <t>VAR09_IDDefinitionTable_CEVT.c</t>
  </si>
  <si>
    <t>235199_SAIC_EP21_MCE_ESP9.3HevX_BSS03_SP02</t>
  </si>
  <si>
    <t>ESPhevXSAICEP\rba\Bldr\config\ApplicationLayer\rba_BldrCmp\src</t>
  </si>
  <si>
    <t>rba_BldrCmp_Cfg_PrjFunctions.c</t>
  </si>
  <si>
    <t>SAIC_EP_CMP_ESPHevX_Int</t>
  </si>
  <si>
    <t>rba_BldrCMP_Cfg_CRC.c</t>
  </si>
  <si>
    <t>235199_SAIC_EP21_MCE_ESP9.3HevX_BSS03_SP03</t>
  </si>
  <si>
    <t>rb\as\saicep\esphevx\app\net\RBScl\src\</t>
  </si>
  <si>
    <t>ComScl_Scl_Complex.c</t>
  </si>
  <si>
    <t>233878_GAC_A20_CarbonESP9.3CP_BL04</t>
  </si>
  <si>
    <t>AvhSendSoftSwctrlst</t>
  </si>
  <si>
    <t>1380028.zip</t>
  </si>
  <si>
    <t>ApbDynConfig</t>
  </si>
  <si>
    <t>1379963.zip</t>
  </si>
  <si>
    <t>EPBVirtualButtonSignalProcess</t>
  </si>
  <si>
    <t xml:space="preserve">EPBButton_StpOnBrkProcess    </t>
  </si>
  <si>
    <t xml:space="preserve">EPBButtonArbitration         </t>
  </si>
  <si>
    <t>EPBVirtualButton_DragMode</t>
  </si>
  <si>
    <t>GEELY_BX11_ESP9.3HD_BL06_SP01</t>
  </si>
  <si>
    <t xml:space="preserve">HMI_ApbFunctionLamp </t>
  </si>
  <si>
    <t>1381575.zip</t>
  </si>
  <si>
    <t>GEELY_BX11_ESPHEVX_BL06_SP01</t>
  </si>
  <si>
    <t>HMI_ApbFunctionLamp</t>
  </si>
  <si>
    <t>1382215.zip</t>
  </si>
  <si>
    <t>221602_CheHeJia_D01_ESPHevX_BL04</t>
  </si>
  <si>
    <t>rb\as\cnms_core\app\net\scl\Sensors\Steering\src</t>
  </si>
  <si>
    <t>SAS_Functions.c</t>
  </si>
  <si>
    <t>CheHeJia_D01_ESPHevX_Int</t>
  </si>
  <si>
    <t>CNMSESPHevX\rb\as\faw\core\app\dcom\RBAPLCust\src\ESP\</t>
  </si>
  <si>
    <t>RBAPLCUST_RDBI_IOCtrlState.c</t>
  </si>
  <si>
    <t>Geely_KC2A_ESP9.3_HB_225750_BB8033</t>
  </si>
  <si>
    <t>\MainstreamF30\rb\as\geely\project\app\obd\ObdCvnCalId\src\</t>
  </si>
  <si>
    <t>Obd_Cvn_CalId.c</t>
  </si>
  <si>
    <t>Geely_Beryllium2_OBD_China6_Int</t>
  </si>
  <si>
    <t>225378_FAW_D357_High_BL31</t>
  </si>
  <si>
    <t>rb\as\fawMP\prjConf\dsmpr\src\RBEMM\</t>
  </si>
  <si>
    <t>CCM_Callbacks_Project.c</t>
  </si>
  <si>
    <t>FAW_MainPath_V2.0_Int</t>
  </si>
  <si>
    <t>EC_245942_GAC_Carbon_A39Phev_EC_OBD_BL01</t>
  </si>
  <si>
    <t>rb\as\gaig\A12ESP\app\dsm\RBVAR\BB_99735A39Phev\src\</t>
  </si>
  <si>
    <t>rb\as\cnms_core\app\dsm\DemVar\src\</t>
  </si>
  <si>
    <t>Dem_VarCodeHandling.c</t>
  </si>
  <si>
    <t>rb\as\gaig\A12ESP\app\obd\ObdPermanentDTCStorge\src\</t>
  </si>
  <si>
    <t>Dem_PrjObdProjectExtension.c</t>
  </si>
  <si>
    <t>ObdPermanentDTCStorge_GAC.c</t>
  </si>
  <si>
    <t>\MainstreamF30\rb\as\gaig\A12ESP\app\dsm\RBVAR\BB_81116A76CP\src\</t>
  </si>
  <si>
    <t>RBVAR_OutputDriver_PROJECT.c</t>
  </si>
  <si>
    <t>\MainstreamF30\rb\as\gaig\A12ESP\app\dsm\RBVAR\BB_81175A36CP\src\</t>
  </si>
  <si>
    <t>rb\as\gaig\A12ESP\app\dsm\RBVAR\BB_81989A11HD\src\</t>
  </si>
  <si>
    <t>rb\as\gaig\A12ESP\app\dsm\RBVAR\BB_81990A11CP\src\</t>
  </si>
  <si>
    <t>Adapt_218053_CA_CD569_ESP9.3CP_BL6_SP1</t>
  </si>
  <si>
    <t>rb\as\ca\core\app\dcom\RBAPLCust\src\ESP\</t>
  </si>
  <si>
    <t>RBAPLCUST_RoutineControl_ConditionCheck.c</t>
  </si>
  <si>
    <t>ChangAn_ESP_Carbon_Int</t>
  </si>
  <si>
    <t>241595_GAC_A27_ESP9.3CP_BL04</t>
  </si>
  <si>
    <t>rb\as\gaig\core\app\dcom\RBAPLCust\src\</t>
  </si>
  <si>
    <t>RBAPLCUST_RDBI_InputData_APBMi.c</t>
  </si>
  <si>
    <t>GAC_ESP93CP_A26HD_Int</t>
  </si>
  <si>
    <t>RBAPLCUST_WDBI_NVMData.c</t>
  </si>
  <si>
    <t>CNMS Super Deuterium BSS01</t>
  </si>
  <si>
    <t>rb\as\rbcn\core\app\dcom\RBAPLCust\src\iBooster</t>
  </si>
  <si>
    <t>RBAPLCUST_RDBI_AnalogData.c</t>
  </si>
  <si>
    <t>CNMS_Deuterium_Int</t>
  </si>
  <si>
    <t>RBAPLCUST_RDBI_StatusInformation.c</t>
  </si>
  <si>
    <t>RBAPLCUST_RoutineControl_iBoosterActuatorTest.c</t>
  </si>
  <si>
    <t>rb\as\rbcn\core\app\dcom\RBAPLCust\src\IPB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</si>
  <si>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</si>
  <si>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</si>
  <si>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</si>
  <si>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</si>
  <si>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</si>
  <si>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</si>
  <si>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</si>
  <si>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</si>
  <si>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</si>
  <si>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</si>
  <si>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</si>
  <si>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</si>
  <si>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</si>
  <si>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</si>
  <si>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</si>
  <si>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</si>
  <si>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</si>
  <si>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</si>
  <si>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</si>
  <si>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</si>
  <si>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</si>
  <si>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rb\as\cnms_core\app\dcom\RBAPLCust\src\common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</si>
  <si>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</si>
  <si>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</si>
  <si>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</si>
  <si>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</si>
  <si>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</si>
  <si>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rb\as\cnms_core\app\dcom\RBAPLCust\src\ESP</t>
  </si>
  <si>
    <t>RBAPLCUST_RDBI_WheelSpeed.c</t>
  </si>
  <si>
    <t>RBAPLCUST_RoutineControl_EOLTable.c</t>
  </si>
  <si>
    <t>RBAPLCUST_RoutineControl_SpeedLimit.c</t>
  </si>
  <si>
    <t>RBAPLCUST_RoutineControl_VRShutdown.c</t>
  </si>
  <si>
    <t>rb\as\cnms_core\app\dcom\RBAPLCust\src\IPB</t>
  </si>
  <si>
    <t>RBAPLCUST_RBDI_NVMData_ESP.c</t>
  </si>
  <si>
    <t>RBAPLCUST_WDBI_NVMData_ESP.c</t>
  </si>
  <si>
    <t>Type</t>
  </si>
  <si>
    <t>Project</t>
  </si>
  <si>
    <t>ComponentName</t>
  </si>
  <si>
    <t>TaskID</t>
  </si>
  <si>
    <t>ItemName</t>
  </si>
  <si>
    <t>Database</t>
  </si>
  <si>
    <t>Tester</t>
  </si>
  <si>
    <t>Estimation base TOOL</t>
  </si>
  <si>
    <t>Actual hour</t>
  </si>
  <si>
    <t>GAC_Carbon_Stream_ESPCP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</si>
</sst>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61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1" xfId="0" quotePrefix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quotePrefix="1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0" fillId="0" borderId="2" xfId="0" applyBorder="1" applyAlignment="1">
      <alignment horizontal="left" vertical="top"/>
    </xf>
    <xf numFmtId="0" fontId="2" fillId="0" borderId="1" xfId="0" applyFont="1" applyBorder="1"/>
    <xf numFmtId="0" fontId="0" fillId="5" borderId="0" xfId="0" applyFill="1"/>
    <xf numFmtId="0" fontId="2" fillId="6" borderId="3" xfId="0" applyFont="1" applyFill="1" applyBorder="1"/>
    <xf numFmtId="0" fontId="0" fillId="6" borderId="0" xfId="0" applyFill="1"/>
  </cellXfs>
  <cellStyles count="1">
    <cellStyle name="Normal" xfId="0" builtinId="0"/>
  </cellStyles>
  <dxfs count="2"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mmary_CO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EM_Package_20200302"/>
      <sheetName val="|-&gt;"/>
      <sheetName val="Template_Weekly_Report"/>
      <sheetName val="COEM_Package_20200401"/>
      <sheetName val="Template_Weekly_Report_Apr"/>
      <sheetName val="Report_For_Each_Project"/>
      <sheetName val="Table"/>
      <sheetName val="Check_List"/>
      <sheetName val="|--&gt;"/>
      <sheetName val="Weekly_20200327"/>
      <sheetName val="Monthly_202003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3D2-F074-445D-A003-A597BA1A87C0}">
  <dimension ref="A1:O118"/>
  <sheetViews>
    <sheetView tabSelected="1" topLeftCell="C29" workbookViewId="0">
      <selection activeCell="K33" sqref="K33"/>
    </sheetView>
  </sheetViews>
  <sheetFormatPr defaultRowHeight="15" x14ac:dyDescent="0.25"/>
  <cols>
    <col min="2" max="2" width="52.28515625" bestFit="1" customWidth="1"/>
    <col min="10" max="10" width="26.28515625" bestFit="1" customWidth="1"/>
    <col min="11" max="11" width="26.28515625" customWidth="1"/>
    <col min="12" max="13" width="13.7109375" bestFit="1" customWidth="1"/>
    <col min="14" max="15" width="17.5703125" bestFit="1" customWidth="1"/>
  </cols>
  <sheetData>
    <row r="1" spans="1:15" x14ac:dyDescent="0.25">
      <c r="A1" s="19" t="s">
        <v>201</v>
      </c>
      <c r="B1" s="19" t="s">
        <v>202</v>
      </c>
      <c r="C1" s="19" t="s">
        <v>203</v>
      </c>
      <c r="D1" s="19" t="s">
        <v>204</v>
      </c>
      <c r="E1" s="19" t="s">
        <v>205</v>
      </c>
      <c r="F1" s="19" t="s">
        <v>206</v>
      </c>
      <c r="G1" s="19" t="s">
        <v>207</v>
      </c>
      <c r="H1" s="19" t="s">
        <v>208</v>
      </c>
      <c r="I1" s="19" t="s">
        <v>209</v>
      </c>
      <c r="J1" s="20" t="s">
        <v>210</v>
      </c>
      <c r="K1" s="21" t="s">
        <v>159</v>
      </c>
      <c r="L1" t="str">
        <f>G2</f>
        <v>duong.nguyen</v>
      </c>
      <c r="M1" t="str">
        <f>G7</f>
        <v>loc.do-phu</v>
      </c>
      <c r="N1" t="str">
        <f>G58</f>
        <v>thanh.nguyen-kim</v>
      </c>
      <c r="O1" t="str">
        <f>G3</f>
        <v>chung.ly</v>
      </c>
    </row>
    <row r="2" spans="1:15" x14ac:dyDescent="0.25">
      <c r="A2" s="1" t="s">
        <v>0</v>
      </c>
      <c r="B2" s="1" t="s">
        <v>1</v>
      </c>
      <c r="C2" s="2" t="s">
        <v>2</v>
      </c>
      <c r="D2" s="3">
        <v>1368920</v>
      </c>
      <c r="E2" s="1" t="s">
        <v>3</v>
      </c>
      <c r="F2" s="1" t="s">
        <v>4</v>
      </c>
      <c r="G2" s="1" t="s">
        <v>5</v>
      </c>
      <c r="H2" s="1">
        <v>3.39</v>
      </c>
      <c r="I2" s="1">
        <v>5</v>
      </c>
      <c r="J2" t="b">
        <f>IF(ISERROR(SEARCH("GAC_Carbon_Stream_ESPCP",$B2,1)),FALSE,TRUE)</f>
        <v>0</v>
      </c>
      <c r="K2" t="b">
        <f>IF(ISERROR(SEARCH("CNMS Super Deuterium",$B2,1)),FALSE,TRUE)</f>
        <v>0</v>
      </c>
      <c r="L2" s="20">
        <f>SUMIFS($I$2:$I$118,$G$2:$G$118,L1,$J$2:$J$118,TRUE)</f>
        <v>16</v>
      </c>
      <c r="M2" s="20">
        <f>SUMIFS($I$2:$I$118,$G$2:$G$118,M1,$J$2:$J$118,TRUE)</f>
        <v>17.400000000000002</v>
      </c>
      <c r="N2" s="20">
        <f>SUMIFS($I$2:$I$118,$G$2:$G$118,N1,$J$2:$J$118,TRUE)</f>
        <v>0</v>
      </c>
      <c r="O2" s="20">
        <f>SUMIFS($I$2:$I$118,$G$2:$G$118,O1,$J$2:$J$118,TRUE)</f>
        <v>4.8</v>
      </c>
    </row>
    <row r="3" spans="1:15" x14ac:dyDescent="0.25">
      <c r="A3" s="1" t="s">
        <v>0</v>
      </c>
      <c r="B3" s="1" t="s">
        <v>1</v>
      </c>
      <c r="C3" s="2" t="s">
        <v>6</v>
      </c>
      <c r="D3" s="3">
        <v>1368920</v>
      </c>
      <c r="E3" s="1" t="s">
        <v>7</v>
      </c>
      <c r="F3" s="1" t="s">
        <v>4</v>
      </c>
      <c r="G3" s="1" t="s">
        <v>8</v>
      </c>
      <c r="H3" s="1">
        <v>1.19</v>
      </c>
      <c r="I3" s="1">
        <v>0.5</v>
      </c>
      <c r="J3" t="b">
        <f t="shared" ref="J3:J32" si="0">IF(ISERROR(SEARCH("GAC_Carbon_Stream_ESPCP",$B3,1)),FALSE,TRUE)</f>
        <v>0</v>
      </c>
      <c r="K3" t="b">
        <f t="shared" ref="K3:K32" si="1">IF(ISERROR(SEARCH("CNMS Super Deuterium",$B3,1)),FALSE,TRUE)</f>
        <v>0</v>
      </c>
      <c r="L3" s="22">
        <f>SUMIFS($I$2:$I$118,$G$2:$G$118,L1,$K$2:$K$118,TRUE)</f>
        <v>14.5</v>
      </c>
      <c r="M3" s="22">
        <f t="shared" ref="M3:O3" si="2">SUMIFS($I$2:$I$118,$G$2:$G$118,M1,$K$2:$K$118,TRUE)</f>
        <v>20.420000000000002</v>
      </c>
      <c r="N3" s="22">
        <f t="shared" si="2"/>
        <v>25.390000000000004</v>
      </c>
      <c r="O3" s="22">
        <f t="shared" si="2"/>
        <v>20.49</v>
      </c>
    </row>
    <row r="4" spans="1:15" x14ac:dyDescent="0.25">
      <c r="A4" s="1" t="s">
        <v>0</v>
      </c>
      <c r="B4" s="1" t="s">
        <v>9</v>
      </c>
      <c r="C4" s="2" t="s">
        <v>10</v>
      </c>
      <c r="D4" s="3">
        <v>1368889</v>
      </c>
      <c r="E4" s="1" t="s">
        <v>11</v>
      </c>
      <c r="F4" s="1" t="s">
        <v>12</v>
      </c>
      <c r="G4" s="1" t="s">
        <v>5</v>
      </c>
      <c r="H4" s="1">
        <v>7.66</v>
      </c>
      <c r="I4" s="1">
        <v>8</v>
      </c>
      <c r="J4" t="b">
        <f t="shared" si="0"/>
        <v>0</v>
      </c>
      <c r="K4" t="b">
        <f t="shared" si="1"/>
        <v>0</v>
      </c>
    </row>
    <row r="5" spans="1:15" x14ac:dyDescent="0.25">
      <c r="A5" s="1" t="s">
        <v>0</v>
      </c>
      <c r="B5" s="1" t="s">
        <v>9</v>
      </c>
      <c r="C5" s="2" t="s">
        <v>10</v>
      </c>
      <c r="D5" s="3">
        <v>1368889</v>
      </c>
      <c r="E5" s="1" t="s">
        <v>13</v>
      </c>
      <c r="F5" s="1" t="s">
        <v>12</v>
      </c>
      <c r="G5" s="1" t="s">
        <v>8</v>
      </c>
      <c r="H5" s="1">
        <v>3.27</v>
      </c>
      <c r="I5" s="1">
        <v>2</v>
      </c>
      <c r="J5" t="b">
        <f t="shared" si="0"/>
        <v>0</v>
      </c>
      <c r="K5" t="b">
        <f t="shared" si="1"/>
        <v>0</v>
      </c>
    </row>
    <row r="6" spans="1:15" x14ac:dyDescent="0.25">
      <c r="A6" s="1" t="s">
        <v>0</v>
      </c>
      <c r="B6" s="1" t="s">
        <v>14</v>
      </c>
      <c r="C6" s="2"/>
      <c r="D6" s="3">
        <v>1359407</v>
      </c>
      <c r="E6" s="1" t="s">
        <v>15</v>
      </c>
      <c r="F6" s="1" t="s">
        <v>16</v>
      </c>
      <c r="G6" s="1" t="s">
        <v>17</v>
      </c>
      <c r="H6" s="1">
        <v>18.18</v>
      </c>
      <c r="I6" s="1">
        <v>12</v>
      </c>
      <c r="J6" t="b">
        <f t="shared" si="0"/>
        <v>0</v>
      </c>
      <c r="K6" t="b">
        <f t="shared" si="1"/>
        <v>0</v>
      </c>
    </row>
    <row r="7" spans="1:15" x14ac:dyDescent="0.25">
      <c r="A7" s="4" t="s">
        <v>0</v>
      </c>
      <c r="B7" s="4" t="s">
        <v>18</v>
      </c>
      <c r="C7" s="5" t="s">
        <v>19</v>
      </c>
      <c r="D7" s="4">
        <v>1264979</v>
      </c>
      <c r="E7" s="1" t="s">
        <v>20</v>
      </c>
      <c r="F7" s="4" t="s">
        <v>21</v>
      </c>
      <c r="G7" s="4" t="s">
        <v>22</v>
      </c>
      <c r="H7" s="1">
        <v>0.76</v>
      </c>
      <c r="I7" s="4">
        <v>1</v>
      </c>
      <c r="J7" t="b">
        <f t="shared" si="0"/>
        <v>0</v>
      </c>
      <c r="K7" t="b">
        <f t="shared" si="1"/>
        <v>0</v>
      </c>
    </row>
    <row r="8" spans="1:15" x14ac:dyDescent="0.25">
      <c r="A8" s="1" t="s">
        <v>0</v>
      </c>
      <c r="B8" s="1" t="s">
        <v>18</v>
      </c>
      <c r="C8" s="2" t="s">
        <v>19</v>
      </c>
      <c r="D8" s="3">
        <v>1264979</v>
      </c>
      <c r="E8" s="1" t="s">
        <v>23</v>
      </c>
      <c r="F8" s="1" t="s">
        <v>21</v>
      </c>
      <c r="G8" s="1" t="s">
        <v>17</v>
      </c>
      <c r="H8" s="1">
        <v>4.0999999999999996</v>
      </c>
      <c r="I8" s="1">
        <v>3</v>
      </c>
      <c r="J8" t="b">
        <f t="shared" si="0"/>
        <v>0</v>
      </c>
      <c r="K8" t="b">
        <f t="shared" si="1"/>
        <v>0</v>
      </c>
    </row>
    <row r="9" spans="1:15" x14ac:dyDescent="0.25">
      <c r="A9" s="1" t="s">
        <v>0</v>
      </c>
      <c r="B9" s="1" t="s">
        <v>18</v>
      </c>
      <c r="C9" s="2" t="s">
        <v>19</v>
      </c>
      <c r="D9" s="3">
        <v>1264979</v>
      </c>
      <c r="E9" s="1" t="s">
        <v>24</v>
      </c>
      <c r="F9" s="1" t="s">
        <v>21</v>
      </c>
      <c r="G9" s="1" t="s">
        <v>8</v>
      </c>
      <c r="H9" s="1">
        <v>6.4</v>
      </c>
      <c r="I9" s="1">
        <v>3</v>
      </c>
      <c r="J9" t="b">
        <f t="shared" si="0"/>
        <v>0</v>
      </c>
      <c r="K9" t="b">
        <f t="shared" si="1"/>
        <v>0</v>
      </c>
    </row>
    <row r="10" spans="1:15" x14ac:dyDescent="0.25">
      <c r="A10" s="4" t="s">
        <v>0</v>
      </c>
      <c r="B10" s="4" t="s">
        <v>18</v>
      </c>
      <c r="C10" s="5" t="s">
        <v>19</v>
      </c>
      <c r="D10" s="4">
        <v>1264979</v>
      </c>
      <c r="E10" s="1" t="s">
        <v>15</v>
      </c>
      <c r="F10" s="4" t="s">
        <v>21</v>
      </c>
      <c r="G10" s="4" t="s">
        <v>22</v>
      </c>
      <c r="H10" s="1">
        <v>18.18</v>
      </c>
      <c r="I10" s="4">
        <v>8</v>
      </c>
      <c r="J10" t="b">
        <f t="shared" si="0"/>
        <v>0</v>
      </c>
      <c r="K10" t="b">
        <f t="shared" si="1"/>
        <v>0</v>
      </c>
    </row>
    <row r="11" spans="1:15" x14ac:dyDescent="0.25">
      <c r="A11" s="4" t="s">
        <v>0</v>
      </c>
      <c r="B11" s="4" t="s">
        <v>18</v>
      </c>
      <c r="C11" s="5" t="s">
        <v>19</v>
      </c>
      <c r="D11" s="4">
        <v>1264979</v>
      </c>
      <c r="E11" s="1" t="s">
        <v>25</v>
      </c>
      <c r="F11" s="4" t="s">
        <v>21</v>
      </c>
      <c r="G11" s="4" t="s">
        <v>22</v>
      </c>
      <c r="H11" s="1">
        <v>5.38</v>
      </c>
      <c r="I11" s="4">
        <v>2</v>
      </c>
      <c r="J11" t="b">
        <f t="shared" si="0"/>
        <v>0</v>
      </c>
      <c r="K11" t="b">
        <f t="shared" si="1"/>
        <v>0</v>
      </c>
    </row>
    <row r="12" spans="1:15" x14ac:dyDescent="0.25">
      <c r="A12" s="4" t="s">
        <v>0</v>
      </c>
      <c r="B12" s="4" t="s">
        <v>18</v>
      </c>
      <c r="C12" s="5" t="s">
        <v>19</v>
      </c>
      <c r="D12" s="4">
        <v>1264979</v>
      </c>
      <c r="E12" s="1" t="s">
        <v>26</v>
      </c>
      <c r="F12" s="4" t="s">
        <v>21</v>
      </c>
      <c r="G12" s="4" t="s">
        <v>22</v>
      </c>
      <c r="H12" s="1">
        <v>1.54</v>
      </c>
      <c r="I12" s="4">
        <v>2</v>
      </c>
      <c r="J12" t="b">
        <f t="shared" si="0"/>
        <v>0</v>
      </c>
      <c r="K12" t="b">
        <f t="shared" si="1"/>
        <v>0</v>
      </c>
    </row>
    <row r="13" spans="1:15" x14ac:dyDescent="0.25">
      <c r="A13" s="1" t="s">
        <v>0</v>
      </c>
      <c r="B13" s="1" t="s">
        <v>18</v>
      </c>
      <c r="C13" s="2" t="s">
        <v>19</v>
      </c>
      <c r="D13" s="3">
        <v>1264979</v>
      </c>
      <c r="E13" s="1" t="s">
        <v>27</v>
      </c>
      <c r="F13" s="1" t="s">
        <v>21</v>
      </c>
      <c r="G13" s="1" t="s">
        <v>5</v>
      </c>
      <c r="H13" s="1">
        <v>14.72</v>
      </c>
      <c r="I13" s="1">
        <v>8</v>
      </c>
      <c r="J13" t="b">
        <f t="shared" si="0"/>
        <v>0</v>
      </c>
      <c r="K13" t="b">
        <f t="shared" si="1"/>
        <v>0</v>
      </c>
    </row>
    <row r="14" spans="1:15" x14ac:dyDescent="0.25">
      <c r="A14" s="4" t="s">
        <v>0</v>
      </c>
      <c r="B14" s="4" t="s">
        <v>18</v>
      </c>
      <c r="C14" s="5" t="s">
        <v>19</v>
      </c>
      <c r="D14" s="4">
        <v>1264979</v>
      </c>
      <c r="E14" s="1" t="s">
        <v>28</v>
      </c>
      <c r="F14" s="4" t="s">
        <v>21</v>
      </c>
      <c r="G14" s="4" t="s">
        <v>22</v>
      </c>
      <c r="H14" s="1">
        <v>1.9</v>
      </c>
      <c r="I14" s="4">
        <v>2</v>
      </c>
      <c r="J14" t="b">
        <f t="shared" si="0"/>
        <v>0</v>
      </c>
      <c r="K14" t="b">
        <f t="shared" si="1"/>
        <v>0</v>
      </c>
    </row>
    <row r="15" spans="1:15" x14ac:dyDescent="0.25">
      <c r="A15" s="1" t="s">
        <v>0</v>
      </c>
      <c r="B15" s="1" t="s">
        <v>18</v>
      </c>
      <c r="C15" s="2" t="s">
        <v>29</v>
      </c>
      <c r="D15" s="3">
        <v>1264979</v>
      </c>
      <c r="E15" s="1" t="s">
        <v>30</v>
      </c>
      <c r="F15" s="1" t="s">
        <v>21</v>
      </c>
      <c r="G15" s="1" t="s">
        <v>8</v>
      </c>
      <c r="H15" s="1">
        <v>21.2</v>
      </c>
      <c r="I15" s="1">
        <v>1</v>
      </c>
      <c r="J15" t="b">
        <f t="shared" si="0"/>
        <v>0</v>
      </c>
      <c r="K15" t="b">
        <f t="shared" si="1"/>
        <v>0</v>
      </c>
    </row>
    <row r="16" spans="1:15" x14ac:dyDescent="0.25">
      <c r="A16" s="4" t="s">
        <v>0</v>
      </c>
      <c r="B16" s="4" t="s">
        <v>18</v>
      </c>
      <c r="C16" s="5" t="s">
        <v>31</v>
      </c>
      <c r="D16" s="4">
        <v>1264979</v>
      </c>
      <c r="E16" s="1" t="s">
        <v>32</v>
      </c>
      <c r="F16" s="4" t="s">
        <v>21</v>
      </c>
      <c r="G16" s="4" t="s">
        <v>22</v>
      </c>
      <c r="H16" s="1">
        <v>0.4</v>
      </c>
      <c r="I16" s="4">
        <v>1</v>
      </c>
      <c r="J16" t="b">
        <f t="shared" si="0"/>
        <v>0</v>
      </c>
      <c r="K16" t="b">
        <f t="shared" si="1"/>
        <v>0</v>
      </c>
    </row>
    <row r="17" spans="1:11" x14ac:dyDescent="0.25">
      <c r="A17" s="1" t="s">
        <v>0</v>
      </c>
      <c r="B17" s="1" t="s">
        <v>33</v>
      </c>
      <c r="C17" s="2" t="s">
        <v>34</v>
      </c>
      <c r="D17" s="3">
        <v>1371489</v>
      </c>
      <c r="E17" s="1" t="s">
        <v>35</v>
      </c>
      <c r="F17" s="1" t="s">
        <v>36</v>
      </c>
      <c r="G17" s="1" t="s">
        <v>5</v>
      </c>
      <c r="H17" s="4">
        <v>3.44</v>
      </c>
      <c r="I17" s="1">
        <v>3</v>
      </c>
      <c r="J17" t="b">
        <f t="shared" si="0"/>
        <v>0</v>
      </c>
      <c r="K17" t="b">
        <f t="shared" si="1"/>
        <v>0</v>
      </c>
    </row>
    <row r="18" spans="1:11" x14ac:dyDescent="0.25">
      <c r="A18" s="1" t="s">
        <v>0</v>
      </c>
      <c r="B18" s="1" t="s">
        <v>33</v>
      </c>
      <c r="C18" s="2" t="s">
        <v>34</v>
      </c>
      <c r="D18" s="3">
        <v>1371489</v>
      </c>
      <c r="E18" s="1" t="s">
        <v>37</v>
      </c>
      <c r="F18" s="1" t="s">
        <v>36</v>
      </c>
      <c r="G18" s="1" t="s">
        <v>5</v>
      </c>
      <c r="H18" s="4">
        <v>0.03</v>
      </c>
      <c r="I18" s="1">
        <v>0.03</v>
      </c>
      <c r="J18" t="b">
        <f t="shared" si="0"/>
        <v>0</v>
      </c>
      <c r="K18" t="b">
        <f t="shared" si="1"/>
        <v>0</v>
      </c>
    </row>
    <row r="19" spans="1:11" x14ac:dyDescent="0.25">
      <c r="A19" s="1" t="s">
        <v>0</v>
      </c>
      <c r="B19" s="6" t="s">
        <v>38</v>
      </c>
      <c r="C19" s="2" t="s">
        <v>39</v>
      </c>
      <c r="D19" s="7">
        <v>1355916</v>
      </c>
      <c r="E19" s="1" t="s">
        <v>40</v>
      </c>
      <c r="F19" s="1" t="s">
        <v>42</v>
      </c>
      <c r="G19" s="1" t="s">
        <v>8</v>
      </c>
      <c r="H19" s="1">
        <v>0.49</v>
      </c>
      <c r="I19" s="1">
        <v>1</v>
      </c>
      <c r="J19" t="b">
        <f t="shared" si="0"/>
        <v>0</v>
      </c>
      <c r="K19" t="b">
        <f t="shared" si="1"/>
        <v>0</v>
      </c>
    </row>
    <row r="20" spans="1:11" x14ac:dyDescent="0.25">
      <c r="A20" s="1" t="s">
        <v>0</v>
      </c>
      <c r="B20" s="1" t="s">
        <v>38</v>
      </c>
      <c r="C20" s="2" t="s">
        <v>43</v>
      </c>
      <c r="D20" s="7">
        <v>1355916</v>
      </c>
      <c r="E20" s="1" t="s">
        <v>44</v>
      </c>
      <c r="F20" s="1" t="s">
        <v>42</v>
      </c>
      <c r="G20" s="1" t="s">
        <v>8</v>
      </c>
      <c r="H20" s="1">
        <v>4.01</v>
      </c>
      <c r="I20" s="1">
        <v>1</v>
      </c>
      <c r="J20" t="b">
        <f t="shared" si="0"/>
        <v>0</v>
      </c>
      <c r="K20" t="b">
        <f t="shared" si="1"/>
        <v>0</v>
      </c>
    </row>
    <row r="21" spans="1:11" x14ac:dyDescent="0.25">
      <c r="A21" s="1" t="s">
        <v>0</v>
      </c>
      <c r="B21" s="1" t="s">
        <v>38</v>
      </c>
      <c r="C21" s="2" t="s">
        <v>43</v>
      </c>
      <c r="D21" s="7">
        <v>1355916</v>
      </c>
      <c r="E21" s="1" t="s">
        <v>45</v>
      </c>
      <c r="F21" s="1" t="s">
        <v>42</v>
      </c>
      <c r="G21" s="1" t="s">
        <v>22</v>
      </c>
      <c r="H21" s="1">
        <v>1.36</v>
      </c>
      <c r="I21" s="1">
        <v>2</v>
      </c>
      <c r="J21" t="b">
        <f t="shared" si="0"/>
        <v>0</v>
      </c>
      <c r="K21" t="b">
        <f t="shared" si="1"/>
        <v>0</v>
      </c>
    </row>
    <row r="22" spans="1:11" x14ac:dyDescent="0.25">
      <c r="A22" s="8" t="s">
        <v>46</v>
      </c>
      <c r="B22" s="1" t="s">
        <v>47</v>
      </c>
      <c r="C22" s="2" t="s">
        <v>41</v>
      </c>
      <c r="D22" s="1">
        <v>1366593</v>
      </c>
      <c r="E22" s="1" t="s">
        <v>48</v>
      </c>
      <c r="F22" s="1" t="s">
        <v>49</v>
      </c>
      <c r="G22" s="1" t="s">
        <v>5</v>
      </c>
      <c r="H22" s="1">
        <v>6.4</v>
      </c>
      <c r="I22" s="1">
        <v>6</v>
      </c>
      <c r="J22" t="b">
        <f t="shared" si="0"/>
        <v>0</v>
      </c>
      <c r="K22" t="b">
        <f t="shared" si="1"/>
        <v>0</v>
      </c>
    </row>
    <row r="23" spans="1:11" x14ac:dyDescent="0.25">
      <c r="A23" s="8" t="s">
        <v>46</v>
      </c>
      <c r="B23" s="1" t="s">
        <v>50</v>
      </c>
      <c r="C23" s="2" t="s">
        <v>41</v>
      </c>
      <c r="D23" s="3">
        <v>1367009</v>
      </c>
      <c r="E23" s="3" t="s">
        <v>51</v>
      </c>
      <c r="F23" s="3" t="s">
        <v>52</v>
      </c>
      <c r="G23" s="1" t="s">
        <v>5</v>
      </c>
      <c r="H23" s="9">
        <v>1.1000000000000001</v>
      </c>
      <c r="I23" s="1">
        <v>2</v>
      </c>
      <c r="J23" t="b">
        <f t="shared" si="0"/>
        <v>0</v>
      </c>
      <c r="K23" t="b">
        <f t="shared" si="1"/>
        <v>0</v>
      </c>
    </row>
    <row r="24" spans="1:11" x14ac:dyDescent="0.25">
      <c r="A24" s="10" t="s">
        <v>46</v>
      </c>
      <c r="B24" s="4" t="s">
        <v>50</v>
      </c>
      <c r="C24" s="5" t="s">
        <v>41</v>
      </c>
      <c r="D24" s="4">
        <v>1367009</v>
      </c>
      <c r="E24" s="11" t="s">
        <v>53</v>
      </c>
      <c r="F24" s="4" t="s">
        <v>52</v>
      </c>
      <c r="G24" s="4" t="s">
        <v>22</v>
      </c>
      <c r="H24" s="4">
        <v>0.92</v>
      </c>
      <c r="I24" s="4">
        <v>8</v>
      </c>
      <c r="J24" t="b">
        <f t="shared" si="0"/>
        <v>0</v>
      </c>
      <c r="K24" t="b">
        <f t="shared" si="1"/>
        <v>0</v>
      </c>
    </row>
    <row r="25" spans="1:11" x14ac:dyDescent="0.25">
      <c r="A25" s="8" t="s">
        <v>46</v>
      </c>
      <c r="B25" s="3" t="s">
        <v>50</v>
      </c>
      <c r="C25" s="2" t="s">
        <v>41</v>
      </c>
      <c r="D25" s="3">
        <v>1366969</v>
      </c>
      <c r="E25" s="11" t="s">
        <v>54</v>
      </c>
      <c r="F25" s="3" t="s">
        <v>55</v>
      </c>
      <c r="G25" s="1" t="s">
        <v>22</v>
      </c>
      <c r="H25" s="9">
        <v>0.49</v>
      </c>
      <c r="I25" s="1">
        <v>1</v>
      </c>
      <c r="J25" t="b">
        <f t="shared" si="0"/>
        <v>0</v>
      </c>
      <c r="K25" t="b">
        <f t="shared" si="1"/>
        <v>0</v>
      </c>
    </row>
    <row r="26" spans="1:11" x14ac:dyDescent="0.25">
      <c r="A26" s="8" t="s">
        <v>46</v>
      </c>
      <c r="B26" s="3" t="s">
        <v>50</v>
      </c>
      <c r="C26" s="2" t="s">
        <v>41</v>
      </c>
      <c r="D26" s="3">
        <v>1366969</v>
      </c>
      <c r="E26" s="3" t="s">
        <v>56</v>
      </c>
      <c r="F26" s="3" t="s">
        <v>55</v>
      </c>
      <c r="G26" s="1" t="s">
        <v>17</v>
      </c>
      <c r="H26" s="9">
        <v>0.49</v>
      </c>
      <c r="I26" s="1">
        <v>2.2999999999999998</v>
      </c>
      <c r="J26" t="b">
        <f t="shared" si="0"/>
        <v>0</v>
      </c>
      <c r="K26" t="b">
        <f t="shared" si="1"/>
        <v>0</v>
      </c>
    </row>
    <row r="27" spans="1:11" x14ac:dyDescent="0.25">
      <c r="A27" s="8" t="s">
        <v>46</v>
      </c>
      <c r="B27" s="1" t="s">
        <v>50</v>
      </c>
      <c r="C27" s="2" t="s">
        <v>41</v>
      </c>
      <c r="D27" s="3">
        <v>1371465</v>
      </c>
      <c r="E27" s="1" t="s">
        <v>57</v>
      </c>
      <c r="F27" s="3" t="s">
        <v>52</v>
      </c>
      <c r="G27" s="1" t="s">
        <v>5</v>
      </c>
      <c r="H27" s="9">
        <v>3.81</v>
      </c>
      <c r="I27" s="1">
        <v>5</v>
      </c>
      <c r="J27" t="b">
        <f t="shared" si="0"/>
        <v>0</v>
      </c>
      <c r="K27" t="b">
        <f t="shared" si="1"/>
        <v>0</v>
      </c>
    </row>
    <row r="28" spans="1:11" x14ac:dyDescent="0.25">
      <c r="A28" s="8" t="s">
        <v>46</v>
      </c>
      <c r="B28" s="1" t="s">
        <v>58</v>
      </c>
      <c r="C28" s="2" t="s">
        <v>41</v>
      </c>
      <c r="D28" s="12">
        <v>1345833</v>
      </c>
      <c r="E28" s="1" t="s">
        <v>59</v>
      </c>
      <c r="F28" s="13" t="s">
        <v>60</v>
      </c>
      <c r="G28" s="1" t="s">
        <v>5</v>
      </c>
      <c r="H28" s="1">
        <v>0.92</v>
      </c>
      <c r="I28" s="14">
        <v>2</v>
      </c>
      <c r="J28" t="b">
        <f t="shared" si="0"/>
        <v>0</v>
      </c>
      <c r="K28" t="b">
        <f t="shared" si="1"/>
        <v>0</v>
      </c>
    </row>
    <row r="29" spans="1:11" x14ac:dyDescent="0.25">
      <c r="A29" s="1" t="s">
        <v>0</v>
      </c>
      <c r="B29" s="1" t="s">
        <v>61</v>
      </c>
      <c r="C29" s="2" t="s">
        <v>62</v>
      </c>
      <c r="D29" s="12">
        <v>1376431</v>
      </c>
      <c r="E29" s="11" t="s">
        <v>63</v>
      </c>
      <c r="F29" s="13" t="s">
        <v>64</v>
      </c>
      <c r="G29" s="1" t="s">
        <v>22</v>
      </c>
      <c r="H29" s="1">
        <v>2.73</v>
      </c>
      <c r="I29" s="1">
        <v>1</v>
      </c>
      <c r="J29" t="b">
        <f t="shared" si="0"/>
        <v>0</v>
      </c>
      <c r="K29" t="b">
        <f t="shared" si="1"/>
        <v>0</v>
      </c>
    </row>
    <row r="30" spans="1:11" x14ac:dyDescent="0.25">
      <c r="A30" s="1" t="s">
        <v>0</v>
      </c>
      <c r="B30" s="1" t="s">
        <v>61</v>
      </c>
      <c r="C30" s="2" t="s">
        <v>62</v>
      </c>
      <c r="D30" s="12">
        <v>1376431</v>
      </c>
      <c r="E30" s="11" t="s">
        <v>65</v>
      </c>
      <c r="F30" s="13" t="s">
        <v>64</v>
      </c>
      <c r="G30" s="1" t="s">
        <v>22</v>
      </c>
      <c r="H30" s="1">
        <v>2.13</v>
      </c>
      <c r="I30" s="1">
        <v>2</v>
      </c>
      <c r="J30" t="b">
        <f t="shared" si="0"/>
        <v>0</v>
      </c>
      <c r="K30" t="b">
        <f t="shared" si="1"/>
        <v>0</v>
      </c>
    </row>
    <row r="31" spans="1:11" x14ac:dyDescent="0.25">
      <c r="A31" s="1" t="s">
        <v>0</v>
      </c>
      <c r="B31" s="1" t="s">
        <v>61</v>
      </c>
      <c r="C31" s="2" t="s">
        <v>62</v>
      </c>
      <c r="D31" s="12">
        <v>1376431</v>
      </c>
      <c r="E31" s="3" t="s">
        <v>66</v>
      </c>
      <c r="F31" s="13" t="s">
        <v>64</v>
      </c>
      <c r="G31" s="1" t="s">
        <v>17</v>
      </c>
      <c r="H31" s="1">
        <v>2.57</v>
      </c>
      <c r="I31" s="1">
        <v>3</v>
      </c>
      <c r="J31" t="b">
        <f t="shared" si="0"/>
        <v>0</v>
      </c>
      <c r="K31" t="b">
        <f t="shared" si="1"/>
        <v>0</v>
      </c>
    </row>
    <row r="32" spans="1:11" x14ac:dyDescent="0.25">
      <c r="A32" s="1" t="s">
        <v>0</v>
      </c>
      <c r="B32" s="1" t="s">
        <v>67</v>
      </c>
      <c r="C32" s="2" t="s">
        <v>68</v>
      </c>
      <c r="D32" s="12">
        <v>1375562</v>
      </c>
      <c r="E32" s="11" t="s">
        <v>69</v>
      </c>
      <c r="F32" s="1" t="s">
        <v>70</v>
      </c>
      <c r="G32" s="1" t="s">
        <v>22</v>
      </c>
      <c r="H32" s="1">
        <v>6.59</v>
      </c>
      <c r="I32" s="1">
        <v>2</v>
      </c>
      <c r="J32" t="b">
        <f t="shared" si="0"/>
        <v>0</v>
      </c>
      <c r="K32" t="b">
        <f t="shared" si="1"/>
        <v>0</v>
      </c>
    </row>
    <row r="33" spans="1:11" x14ac:dyDescent="0.25">
      <c r="A33" s="15" t="s">
        <v>0</v>
      </c>
      <c r="B33" s="15" t="s">
        <v>71</v>
      </c>
      <c r="C33" s="16" t="s">
        <v>72</v>
      </c>
      <c r="D33" s="15">
        <v>1324814</v>
      </c>
      <c r="E33" s="17" t="s">
        <v>73</v>
      </c>
      <c r="F33" s="15" t="s">
        <v>74</v>
      </c>
      <c r="G33" s="15" t="s">
        <v>22</v>
      </c>
      <c r="H33" s="15">
        <v>3.71</v>
      </c>
      <c r="I33" s="15">
        <v>2</v>
      </c>
      <c r="J33" t="b">
        <f>IF(ISERROR(SEARCH("GAC_Carbon_Stream_ESPCP",B33,1)),FALSE,TRUE)</f>
        <v>1</v>
      </c>
    </row>
    <row r="34" spans="1:11" x14ac:dyDescent="0.25">
      <c r="A34" s="15" t="s">
        <v>0</v>
      </c>
      <c r="B34" s="15" t="s">
        <v>71</v>
      </c>
      <c r="C34" s="16" t="s">
        <v>75</v>
      </c>
      <c r="D34" s="15">
        <v>1324814</v>
      </c>
      <c r="E34" s="17" t="s">
        <v>76</v>
      </c>
      <c r="F34" s="15" t="s">
        <v>74</v>
      </c>
      <c r="G34" s="15" t="s">
        <v>22</v>
      </c>
      <c r="H34" s="15">
        <v>1.42</v>
      </c>
      <c r="I34" s="15">
        <v>2</v>
      </c>
      <c r="J34" t="b">
        <f>IF(ISERROR(SEARCH("GAC_Carbon_Stream_ESPCP",B34,1)),FALSE,TRUE)</f>
        <v>1</v>
      </c>
    </row>
    <row r="35" spans="1:11" x14ac:dyDescent="0.25">
      <c r="A35" s="15" t="s">
        <v>0</v>
      </c>
      <c r="B35" s="15" t="s">
        <v>71</v>
      </c>
      <c r="C35" s="16" t="s">
        <v>75</v>
      </c>
      <c r="D35" s="15">
        <v>1324814</v>
      </c>
      <c r="E35" s="17" t="s">
        <v>77</v>
      </c>
      <c r="F35" s="15" t="s">
        <v>74</v>
      </c>
      <c r="G35" s="15" t="s">
        <v>22</v>
      </c>
      <c r="H35" s="15">
        <v>0.67</v>
      </c>
      <c r="I35" s="15">
        <v>2</v>
      </c>
      <c r="J35" t="b">
        <f>IF(ISERROR(SEARCH("GAC_Carbon_Stream_ESPCP",B35,1)),FALSE,TRUE)</f>
        <v>1</v>
      </c>
    </row>
    <row r="36" spans="1:11" x14ac:dyDescent="0.25">
      <c r="A36" s="15" t="s">
        <v>0</v>
      </c>
      <c r="B36" s="15" t="s">
        <v>71</v>
      </c>
      <c r="C36" s="16" t="s">
        <v>75</v>
      </c>
      <c r="D36" s="15">
        <v>1324814</v>
      </c>
      <c r="E36" s="17" t="s">
        <v>78</v>
      </c>
      <c r="F36" s="15" t="s">
        <v>74</v>
      </c>
      <c r="G36" s="15" t="s">
        <v>22</v>
      </c>
      <c r="H36" s="15">
        <v>1.95</v>
      </c>
      <c r="I36" s="15">
        <v>1</v>
      </c>
      <c r="J36" t="b">
        <f>IF(ISERROR(SEARCH("GAC_Carbon_Stream_ESPCP",B36,1)),FALSE,TRUE)</f>
        <v>1</v>
      </c>
    </row>
    <row r="37" spans="1:11" x14ac:dyDescent="0.25">
      <c r="A37" s="1" t="s">
        <v>0</v>
      </c>
      <c r="B37" s="1" t="s">
        <v>71</v>
      </c>
      <c r="C37" s="2" t="s">
        <v>79</v>
      </c>
      <c r="D37" s="1">
        <v>1324814</v>
      </c>
      <c r="E37" s="12" t="s">
        <v>80</v>
      </c>
      <c r="F37" s="1" t="s">
        <v>74</v>
      </c>
      <c r="G37" s="1" t="s">
        <v>5</v>
      </c>
      <c r="H37" s="1">
        <v>8.49</v>
      </c>
      <c r="I37" s="1">
        <v>5</v>
      </c>
      <c r="J37" t="b">
        <f>IF(ISERROR(SEARCH("GAC_Carbon_Stream_ESPCP",B37,1)),FALSE,TRUE)</f>
        <v>1</v>
      </c>
    </row>
    <row r="38" spans="1:11" x14ac:dyDescent="0.25">
      <c r="A38" s="15" t="s">
        <v>0</v>
      </c>
      <c r="B38" s="15" t="s">
        <v>71</v>
      </c>
      <c r="C38" s="16" t="s">
        <v>81</v>
      </c>
      <c r="D38" s="15">
        <v>1324814</v>
      </c>
      <c r="E38" s="17" t="s">
        <v>82</v>
      </c>
      <c r="F38" s="15" t="s">
        <v>74</v>
      </c>
      <c r="G38" s="15" t="s">
        <v>22</v>
      </c>
      <c r="H38" s="15">
        <v>1.49</v>
      </c>
      <c r="I38" s="15">
        <v>1</v>
      </c>
      <c r="J38" t="b">
        <f>IF(ISERROR(SEARCH("GAC_Carbon_Stream_ESPCP",B38,1)),FALSE,TRUE)</f>
        <v>1</v>
      </c>
    </row>
    <row r="39" spans="1:11" x14ac:dyDescent="0.25">
      <c r="A39" s="1" t="s">
        <v>0</v>
      </c>
      <c r="B39" s="1" t="s">
        <v>71</v>
      </c>
      <c r="C39" s="2" t="s">
        <v>72</v>
      </c>
      <c r="D39" s="1">
        <v>1324814</v>
      </c>
      <c r="E39" s="12" t="s">
        <v>83</v>
      </c>
      <c r="F39" s="1" t="s">
        <v>74</v>
      </c>
      <c r="G39" s="1" t="s">
        <v>5</v>
      </c>
      <c r="H39" s="1">
        <v>4.5999999999999996</v>
      </c>
      <c r="I39" s="1">
        <v>3</v>
      </c>
      <c r="J39" t="b">
        <f>IF(ISERROR(SEARCH("GAC_Carbon_Stream_ESPCP",B39,1)),FALSE,TRUE)</f>
        <v>1</v>
      </c>
    </row>
    <row r="40" spans="1:11" x14ac:dyDescent="0.25">
      <c r="A40" s="1" t="s">
        <v>0</v>
      </c>
      <c r="B40" s="1" t="s">
        <v>84</v>
      </c>
      <c r="C40" s="2" t="s">
        <v>85</v>
      </c>
      <c r="D40" s="12">
        <v>1297584</v>
      </c>
      <c r="E40" s="1" t="s">
        <v>86</v>
      </c>
      <c r="F40" s="1" t="s">
        <v>87</v>
      </c>
      <c r="G40" s="1" t="s">
        <v>17</v>
      </c>
      <c r="H40" s="1">
        <v>7.8</v>
      </c>
      <c r="I40" s="1">
        <v>6</v>
      </c>
      <c r="J40" t="b">
        <f t="shared" ref="J40:J52" si="3">IF(ISERROR(SEARCH("GAC_Carbon_Stream_ESPCP",$B40,1)),FALSE,TRUE)</f>
        <v>0</v>
      </c>
      <c r="K40" t="b">
        <f t="shared" ref="K40:K52" si="4">IF(ISERROR(SEARCH("CNMS Super Deuterium",$B40,1)),FALSE,TRUE)</f>
        <v>0</v>
      </c>
    </row>
    <row r="41" spans="1:11" x14ac:dyDescent="0.25">
      <c r="A41" s="1" t="s">
        <v>0</v>
      </c>
      <c r="B41" s="1" t="s">
        <v>84</v>
      </c>
      <c r="C41" s="2" t="s">
        <v>88</v>
      </c>
      <c r="D41" s="12">
        <v>1297584</v>
      </c>
      <c r="E41" s="1" t="s">
        <v>89</v>
      </c>
      <c r="F41" s="1" t="s">
        <v>87</v>
      </c>
      <c r="G41" s="1" t="s">
        <v>17</v>
      </c>
      <c r="H41" s="1">
        <v>2.11</v>
      </c>
      <c r="I41" s="1">
        <v>2</v>
      </c>
      <c r="J41" t="b">
        <f t="shared" si="3"/>
        <v>0</v>
      </c>
      <c r="K41" t="b">
        <f t="shared" si="4"/>
        <v>0</v>
      </c>
    </row>
    <row r="42" spans="1:11" x14ac:dyDescent="0.25">
      <c r="A42" s="1" t="s">
        <v>0</v>
      </c>
      <c r="B42" s="1" t="s">
        <v>84</v>
      </c>
      <c r="C42" s="2" t="s">
        <v>88</v>
      </c>
      <c r="D42" s="12">
        <v>1297584</v>
      </c>
      <c r="E42" s="1" t="s">
        <v>90</v>
      </c>
      <c r="F42" s="1" t="s">
        <v>87</v>
      </c>
      <c r="G42" s="1" t="s">
        <v>17</v>
      </c>
      <c r="H42" s="1">
        <v>0.51</v>
      </c>
      <c r="I42" s="1">
        <v>0.5</v>
      </c>
      <c r="J42" t="b">
        <f t="shared" si="3"/>
        <v>0</v>
      </c>
      <c r="K42" t="b">
        <f t="shared" si="4"/>
        <v>0</v>
      </c>
    </row>
    <row r="43" spans="1:11" x14ac:dyDescent="0.25">
      <c r="A43" s="1" t="s">
        <v>0</v>
      </c>
      <c r="B43" s="1" t="s">
        <v>84</v>
      </c>
      <c r="C43" s="2" t="s">
        <v>88</v>
      </c>
      <c r="D43" s="12">
        <v>1297584</v>
      </c>
      <c r="E43" s="12" t="s">
        <v>91</v>
      </c>
      <c r="F43" s="1" t="s">
        <v>87</v>
      </c>
      <c r="G43" s="1" t="s">
        <v>5</v>
      </c>
      <c r="H43" s="1">
        <v>2.88</v>
      </c>
      <c r="I43" s="1">
        <v>1.5</v>
      </c>
      <c r="J43" t="b">
        <f t="shared" si="3"/>
        <v>0</v>
      </c>
      <c r="K43" t="b">
        <f t="shared" si="4"/>
        <v>0</v>
      </c>
    </row>
    <row r="44" spans="1:11" x14ac:dyDescent="0.25">
      <c r="A44" s="1" t="s">
        <v>0</v>
      </c>
      <c r="B44" s="1" t="s">
        <v>84</v>
      </c>
      <c r="C44" s="2" t="s">
        <v>88</v>
      </c>
      <c r="D44" s="12">
        <v>1297584</v>
      </c>
      <c r="E44" s="1" t="s">
        <v>92</v>
      </c>
      <c r="F44" s="1" t="s">
        <v>87</v>
      </c>
      <c r="G44" s="1" t="s">
        <v>17</v>
      </c>
      <c r="H44" s="1">
        <v>1.68</v>
      </c>
      <c r="I44" s="1">
        <v>1</v>
      </c>
      <c r="J44" t="b">
        <f t="shared" si="3"/>
        <v>0</v>
      </c>
      <c r="K44" t="b">
        <f t="shared" si="4"/>
        <v>0</v>
      </c>
    </row>
    <row r="45" spans="1:11" x14ac:dyDescent="0.25">
      <c r="A45" s="1" t="s">
        <v>0</v>
      </c>
      <c r="B45" s="1" t="s">
        <v>84</v>
      </c>
      <c r="C45" s="2" t="s">
        <v>88</v>
      </c>
      <c r="D45" s="12">
        <v>1297584</v>
      </c>
      <c r="E45" s="12" t="s">
        <v>93</v>
      </c>
      <c r="F45" s="1" t="s">
        <v>87</v>
      </c>
      <c r="G45" s="1" t="s">
        <v>5</v>
      </c>
      <c r="H45" s="1">
        <v>3.02</v>
      </c>
      <c r="I45" s="1">
        <v>1.5</v>
      </c>
      <c r="J45" t="b">
        <f t="shared" si="3"/>
        <v>0</v>
      </c>
      <c r="K45" t="b">
        <f t="shared" si="4"/>
        <v>0</v>
      </c>
    </row>
    <row r="46" spans="1:11" x14ac:dyDescent="0.25">
      <c r="A46" s="1" t="s">
        <v>0</v>
      </c>
      <c r="B46" s="1" t="s">
        <v>84</v>
      </c>
      <c r="C46" s="2" t="s">
        <v>94</v>
      </c>
      <c r="D46" s="12">
        <v>1297584</v>
      </c>
      <c r="E46" s="1" t="s">
        <v>95</v>
      </c>
      <c r="F46" s="1" t="s">
        <v>87</v>
      </c>
      <c r="G46" s="1" t="s">
        <v>17</v>
      </c>
      <c r="H46" s="1">
        <v>0.17</v>
      </c>
      <c r="I46" s="1">
        <v>0.5</v>
      </c>
      <c r="J46" t="b">
        <f t="shared" si="3"/>
        <v>0</v>
      </c>
      <c r="K46" t="b">
        <f t="shared" si="4"/>
        <v>0</v>
      </c>
    </row>
    <row r="47" spans="1:11" x14ac:dyDescent="0.25">
      <c r="A47" s="1" t="s">
        <v>0</v>
      </c>
      <c r="B47" s="1" t="s">
        <v>96</v>
      </c>
      <c r="C47" s="2" t="s">
        <v>97</v>
      </c>
      <c r="D47" s="1">
        <v>1375788</v>
      </c>
      <c r="E47" s="1" t="s">
        <v>98</v>
      </c>
      <c r="F47" s="1" t="s">
        <v>99</v>
      </c>
      <c r="G47" s="1" t="s">
        <v>17</v>
      </c>
      <c r="H47" s="1">
        <v>2.2200000000000002</v>
      </c>
      <c r="I47" s="1">
        <v>2</v>
      </c>
      <c r="J47" t="b">
        <f t="shared" si="3"/>
        <v>0</v>
      </c>
      <c r="K47" t="b">
        <f t="shared" si="4"/>
        <v>0</v>
      </c>
    </row>
    <row r="48" spans="1:11" x14ac:dyDescent="0.25">
      <c r="A48" s="1" t="s">
        <v>0</v>
      </c>
      <c r="B48" s="1" t="s">
        <v>96</v>
      </c>
      <c r="C48" s="2" t="s">
        <v>97</v>
      </c>
      <c r="D48" s="1">
        <v>1375788</v>
      </c>
      <c r="E48" s="1" t="s">
        <v>100</v>
      </c>
      <c r="F48" s="1" t="s">
        <v>99</v>
      </c>
      <c r="G48" s="1" t="s">
        <v>17</v>
      </c>
      <c r="H48" s="1">
        <v>0.57999999999999996</v>
      </c>
      <c r="I48" s="1">
        <v>0.5</v>
      </c>
      <c r="J48" t="b">
        <f t="shared" si="3"/>
        <v>0</v>
      </c>
      <c r="K48" t="b">
        <f t="shared" si="4"/>
        <v>0</v>
      </c>
    </row>
    <row r="49" spans="1:11" x14ac:dyDescent="0.25">
      <c r="A49" s="1" t="s">
        <v>0</v>
      </c>
      <c r="B49" s="1" t="s">
        <v>101</v>
      </c>
      <c r="C49" s="2" t="s">
        <v>102</v>
      </c>
      <c r="D49" s="1">
        <v>1373324</v>
      </c>
      <c r="E49" s="1" t="s">
        <v>103</v>
      </c>
      <c r="F49" s="1" t="s">
        <v>104</v>
      </c>
      <c r="G49" s="1" t="s">
        <v>17</v>
      </c>
      <c r="H49" s="1">
        <v>3.16</v>
      </c>
      <c r="I49" s="1">
        <v>3</v>
      </c>
      <c r="J49" t="b">
        <f t="shared" si="3"/>
        <v>0</v>
      </c>
      <c r="K49" t="b">
        <f t="shared" si="4"/>
        <v>0</v>
      </c>
    </row>
    <row r="50" spans="1:11" x14ac:dyDescent="0.25">
      <c r="A50" s="1" t="s">
        <v>0</v>
      </c>
      <c r="B50" s="1" t="s">
        <v>101</v>
      </c>
      <c r="C50" s="2" t="s">
        <v>102</v>
      </c>
      <c r="D50" s="1">
        <v>1373324</v>
      </c>
      <c r="E50" s="12" t="s">
        <v>105</v>
      </c>
      <c r="F50" s="1" t="s">
        <v>104</v>
      </c>
      <c r="G50" s="1" t="s">
        <v>5</v>
      </c>
      <c r="H50" s="1">
        <v>3.48</v>
      </c>
      <c r="I50" s="1">
        <v>3</v>
      </c>
      <c r="J50" t="b">
        <f t="shared" si="3"/>
        <v>0</v>
      </c>
      <c r="K50" t="b">
        <f t="shared" si="4"/>
        <v>0</v>
      </c>
    </row>
    <row r="51" spans="1:11" x14ac:dyDescent="0.25">
      <c r="A51" s="1" t="s">
        <v>0</v>
      </c>
      <c r="B51" s="1" t="s">
        <v>106</v>
      </c>
      <c r="C51" s="2" t="s">
        <v>107</v>
      </c>
      <c r="D51" s="1">
        <v>1380105</v>
      </c>
      <c r="E51" s="12" t="s">
        <v>108</v>
      </c>
      <c r="F51" s="1" t="s">
        <v>104</v>
      </c>
      <c r="G51" s="1" t="s">
        <v>5</v>
      </c>
      <c r="H51" s="1">
        <v>7.41</v>
      </c>
      <c r="I51" s="1">
        <v>5</v>
      </c>
      <c r="J51" t="b">
        <f t="shared" si="3"/>
        <v>0</v>
      </c>
      <c r="K51" t="b">
        <f t="shared" si="4"/>
        <v>0</v>
      </c>
    </row>
    <row r="52" spans="1:11" x14ac:dyDescent="0.25">
      <c r="A52" s="8" t="s">
        <v>46</v>
      </c>
      <c r="B52" s="1" t="s">
        <v>109</v>
      </c>
      <c r="C52" s="2" t="s">
        <v>41</v>
      </c>
      <c r="D52" s="1">
        <v>1380028</v>
      </c>
      <c r="E52" s="1" t="s">
        <v>110</v>
      </c>
      <c r="F52" s="1" t="s">
        <v>111</v>
      </c>
      <c r="G52" s="1" t="s">
        <v>17</v>
      </c>
      <c r="H52" s="1">
        <v>0.86</v>
      </c>
      <c r="I52" s="1">
        <v>2</v>
      </c>
      <c r="J52" t="b">
        <f t="shared" si="3"/>
        <v>0</v>
      </c>
      <c r="K52" t="b">
        <f t="shared" si="4"/>
        <v>0</v>
      </c>
    </row>
    <row r="53" spans="1:11" x14ac:dyDescent="0.25">
      <c r="A53" s="8" t="s">
        <v>46</v>
      </c>
      <c r="B53" s="1" t="s">
        <v>71</v>
      </c>
      <c r="C53" s="2" t="s">
        <v>41</v>
      </c>
      <c r="D53" s="1">
        <v>1379963</v>
      </c>
      <c r="E53" s="1" t="s">
        <v>112</v>
      </c>
      <c r="F53" s="1" t="s">
        <v>113</v>
      </c>
      <c r="G53" s="1" t="s">
        <v>22</v>
      </c>
      <c r="H53" s="1">
        <v>4.92</v>
      </c>
      <c r="I53" s="1">
        <v>6</v>
      </c>
      <c r="J53" t="b">
        <f>IF(ISERROR(SEARCH("GAC_Carbon_Stream_ESPCP",B53,1)),FALSE,TRUE)</f>
        <v>1</v>
      </c>
    </row>
    <row r="54" spans="1:11" x14ac:dyDescent="0.25">
      <c r="A54" s="8" t="s">
        <v>46</v>
      </c>
      <c r="B54" s="1" t="s">
        <v>71</v>
      </c>
      <c r="C54" s="2" t="s">
        <v>41</v>
      </c>
      <c r="D54" s="1">
        <v>1379963</v>
      </c>
      <c r="E54" s="1" t="s">
        <v>114</v>
      </c>
      <c r="F54" s="1" t="s">
        <v>113</v>
      </c>
      <c r="G54" s="1" t="s">
        <v>8</v>
      </c>
      <c r="H54" s="1">
        <v>1.96</v>
      </c>
      <c r="I54" s="1">
        <v>1.5</v>
      </c>
      <c r="J54" t="b">
        <f>IF(ISERROR(SEARCH("GAC_Carbon_Stream_ESPCP",B54,1)),FALSE,TRUE)</f>
        <v>1</v>
      </c>
    </row>
    <row r="55" spans="1:11" x14ac:dyDescent="0.25">
      <c r="A55" s="8" t="s">
        <v>46</v>
      </c>
      <c r="B55" s="1" t="s">
        <v>71</v>
      </c>
      <c r="C55" s="2" t="s">
        <v>41</v>
      </c>
      <c r="D55" s="1">
        <v>1379963</v>
      </c>
      <c r="E55" s="1" t="s">
        <v>115</v>
      </c>
      <c r="F55" s="1" t="s">
        <v>113</v>
      </c>
      <c r="G55" s="1" t="s">
        <v>8</v>
      </c>
      <c r="H55" s="1">
        <v>0.67</v>
      </c>
      <c r="I55" s="1">
        <v>1</v>
      </c>
      <c r="J55" t="b">
        <f>IF(ISERROR(SEARCH("GAC_Carbon_Stream_ESPCP",B55,1)),FALSE,TRUE)</f>
        <v>1</v>
      </c>
    </row>
    <row r="56" spans="1:11" x14ac:dyDescent="0.25">
      <c r="A56" s="8" t="s">
        <v>46</v>
      </c>
      <c r="B56" s="1" t="s">
        <v>71</v>
      </c>
      <c r="C56" s="2" t="s">
        <v>41</v>
      </c>
      <c r="D56" s="1">
        <v>1379963</v>
      </c>
      <c r="E56" s="1" t="s">
        <v>116</v>
      </c>
      <c r="F56" s="1" t="s">
        <v>113</v>
      </c>
      <c r="G56" s="1" t="s">
        <v>22</v>
      </c>
      <c r="H56" s="1">
        <v>1.1599999999999999</v>
      </c>
      <c r="I56" s="1">
        <v>1</v>
      </c>
      <c r="J56" t="b">
        <f>IF(ISERROR(SEARCH("GAC_Carbon_Stream_ESPCP",B56,1)),FALSE,TRUE)</f>
        <v>1</v>
      </c>
    </row>
    <row r="57" spans="1:11" x14ac:dyDescent="0.25">
      <c r="A57" s="8" t="s">
        <v>46</v>
      </c>
      <c r="B57" s="1" t="s">
        <v>71</v>
      </c>
      <c r="C57" s="2" t="s">
        <v>41</v>
      </c>
      <c r="D57" s="1">
        <v>1379963</v>
      </c>
      <c r="E57" s="1" t="s">
        <v>117</v>
      </c>
      <c r="F57" s="1" t="s">
        <v>113</v>
      </c>
      <c r="G57" s="1" t="s">
        <v>5</v>
      </c>
      <c r="H57" s="1">
        <v>6.03</v>
      </c>
      <c r="I57" s="1">
        <v>6</v>
      </c>
      <c r="J57" t="b">
        <f>IF(ISERROR(SEARCH("GAC_Carbon_Stream_ESPCP",B57,1)),FALSE,TRUE)</f>
        <v>1</v>
      </c>
    </row>
    <row r="58" spans="1:11" x14ac:dyDescent="0.25">
      <c r="A58" s="8" t="s">
        <v>46</v>
      </c>
      <c r="B58" s="1" t="s">
        <v>118</v>
      </c>
      <c r="C58" s="2" t="s">
        <v>41</v>
      </c>
      <c r="D58" s="1">
        <v>1381575</v>
      </c>
      <c r="E58" s="1" t="s">
        <v>119</v>
      </c>
      <c r="F58" s="1" t="s">
        <v>120</v>
      </c>
      <c r="G58" s="1" t="s">
        <v>17</v>
      </c>
      <c r="H58" s="1">
        <v>2.83</v>
      </c>
      <c r="I58" s="1">
        <v>3</v>
      </c>
      <c r="J58" t="b">
        <f t="shared" ref="J58:J67" si="5">IF(ISERROR(SEARCH("GAC_Carbon_Stream_ESPCP",$B58,1)),FALSE,TRUE)</f>
        <v>0</v>
      </c>
      <c r="K58" t="b">
        <f t="shared" ref="K58:K67" si="6">IF(ISERROR(SEARCH("CNMS Super Deuterium",$B58,1)),FALSE,TRUE)</f>
        <v>0</v>
      </c>
    </row>
    <row r="59" spans="1:11" x14ac:dyDescent="0.25">
      <c r="A59" s="8" t="s">
        <v>46</v>
      </c>
      <c r="B59" s="1" t="s">
        <v>121</v>
      </c>
      <c r="C59" s="2" t="s">
        <v>41</v>
      </c>
      <c r="D59" s="1">
        <v>1382215</v>
      </c>
      <c r="E59" s="1" t="s">
        <v>122</v>
      </c>
      <c r="F59" s="1" t="s">
        <v>123</v>
      </c>
      <c r="G59" s="1" t="s">
        <v>22</v>
      </c>
      <c r="H59" s="1">
        <v>3.69</v>
      </c>
      <c r="I59" s="1">
        <v>8</v>
      </c>
      <c r="J59" t="b">
        <f t="shared" si="5"/>
        <v>0</v>
      </c>
      <c r="K59" t="b">
        <f t="shared" si="6"/>
        <v>0</v>
      </c>
    </row>
    <row r="60" spans="1:11" x14ac:dyDescent="0.25">
      <c r="A60" s="1" t="s">
        <v>0</v>
      </c>
      <c r="B60" s="1" t="s">
        <v>124</v>
      </c>
      <c r="C60" s="2" t="s">
        <v>125</v>
      </c>
      <c r="D60" s="1">
        <v>1383781</v>
      </c>
      <c r="E60" s="1" t="s">
        <v>126</v>
      </c>
      <c r="F60" s="1" t="s">
        <v>127</v>
      </c>
      <c r="G60" s="1" t="s">
        <v>8</v>
      </c>
      <c r="H60" s="1">
        <v>2.63</v>
      </c>
      <c r="I60" s="1">
        <v>2</v>
      </c>
      <c r="J60" t="b">
        <f t="shared" si="5"/>
        <v>0</v>
      </c>
      <c r="K60" t="b">
        <f t="shared" si="6"/>
        <v>0</v>
      </c>
    </row>
    <row r="61" spans="1:11" x14ac:dyDescent="0.25">
      <c r="A61" s="1" t="s">
        <v>0</v>
      </c>
      <c r="B61" s="1" t="s">
        <v>61</v>
      </c>
      <c r="C61" s="2" t="s">
        <v>128</v>
      </c>
      <c r="D61" s="1">
        <v>1369645</v>
      </c>
      <c r="E61" s="1" t="s">
        <v>129</v>
      </c>
      <c r="F61" s="1" t="s">
        <v>64</v>
      </c>
      <c r="G61" s="1" t="s">
        <v>8</v>
      </c>
      <c r="H61" s="1">
        <v>2.56</v>
      </c>
      <c r="I61" s="1">
        <v>1.5</v>
      </c>
      <c r="J61" t="b">
        <f t="shared" si="5"/>
        <v>0</v>
      </c>
      <c r="K61" t="b">
        <f t="shared" si="6"/>
        <v>0</v>
      </c>
    </row>
    <row r="62" spans="1:11" x14ac:dyDescent="0.25">
      <c r="A62" s="1" t="s">
        <v>0</v>
      </c>
      <c r="B62" s="1" t="s">
        <v>130</v>
      </c>
      <c r="C62" s="2" t="s">
        <v>131</v>
      </c>
      <c r="D62" s="1">
        <v>1387954</v>
      </c>
      <c r="E62" s="1" t="s">
        <v>132</v>
      </c>
      <c r="F62" s="1" t="s">
        <v>133</v>
      </c>
      <c r="G62" s="1" t="s">
        <v>5</v>
      </c>
      <c r="H62" s="1">
        <v>6.06</v>
      </c>
      <c r="I62" s="1">
        <v>6</v>
      </c>
      <c r="J62" t="b">
        <f t="shared" si="5"/>
        <v>0</v>
      </c>
      <c r="K62" t="b">
        <f t="shared" si="6"/>
        <v>0</v>
      </c>
    </row>
    <row r="63" spans="1:11" x14ac:dyDescent="0.25">
      <c r="A63" s="1" t="s">
        <v>0</v>
      </c>
      <c r="B63" s="1" t="s">
        <v>134</v>
      </c>
      <c r="C63" s="2" t="s">
        <v>135</v>
      </c>
      <c r="D63" s="1">
        <v>1386581</v>
      </c>
      <c r="E63" s="1" t="s">
        <v>136</v>
      </c>
      <c r="F63" s="18" t="s">
        <v>137</v>
      </c>
      <c r="G63" s="1" t="s">
        <v>22</v>
      </c>
      <c r="H63" s="1">
        <v>3.36</v>
      </c>
      <c r="I63" s="1">
        <f t="shared" ref="I63:I106" si="7">H63</f>
        <v>3.36</v>
      </c>
      <c r="J63" t="b">
        <f t="shared" si="5"/>
        <v>0</v>
      </c>
      <c r="K63" t="b">
        <f t="shared" si="6"/>
        <v>0</v>
      </c>
    </row>
    <row r="64" spans="1:11" x14ac:dyDescent="0.25">
      <c r="A64" s="1" t="s">
        <v>0</v>
      </c>
      <c r="B64" s="1" t="s">
        <v>138</v>
      </c>
      <c r="C64" s="2" t="s">
        <v>139</v>
      </c>
      <c r="D64" s="1">
        <v>1386393</v>
      </c>
      <c r="E64" s="1" t="s">
        <v>86</v>
      </c>
      <c r="F64" s="1" t="s">
        <v>74</v>
      </c>
      <c r="G64" s="1" t="s">
        <v>17</v>
      </c>
      <c r="H64" s="1">
        <v>2.2200000000000002</v>
      </c>
      <c r="I64" s="1">
        <f t="shared" si="7"/>
        <v>2.2200000000000002</v>
      </c>
      <c r="J64" t="b">
        <f t="shared" si="5"/>
        <v>0</v>
      </c>
      <c r="K64" t="b">
        <f t="shared" si="6"/>
        <v>0</v>
      </c>
    </row>
    <row r="65" spans="1:11" x14ac:dyDescent="0.25">
      <c r="A65" s="1" t="s">
        <v>0</v>
      </c>
      <c r="B65" s="1" t="s">
        <v>138</v>
      </c>
      <c r="C65" s="2" t="s">
        <v>140</v>
      </c>
      <c r="D65" s="1">
        <v>1386393</v>
      </c>
      <c r="E65" s="1" t="s">
        <v>141</v>
      </c>
      <c r="F65" s="1" t="s">
        <v>74</v>
      </c>
      <c r="G65" s="1" t="s">
        <v>17</v>
      </c>
      <c r="H65" s="1">
        <v>2.8</v>
      </c>
      <c r="I65" s="1">
        <f t="shared" si="7"/>
        <v>2.8</v>
      </c>
      <c r="J65" t="b">
        <f t="shared" si="5"/>
        <v>0</v>
      </c>
      <c r="K65" t="b">
        <f t="shared" si="6"/>
        <v>0</v>
      </c>
    </row>
    <row r="66" spans="1:11" x14ac:dyDescent="0.25">
      <c r="A66" s="1" t="s">
        <v>0</v>
      </c>
      <c r="B66" s="1" t="s">
        <v>138</v>
      </c>
      <c r="C66" s="2" t="s">
        <v>142</v>
      </c>
      <c r="D66" s="1">
        <v>1386393</v>
      </c>
      <c r="E66" s="1" t="s">
        <v>143</v>
      </c>
      <c r="F66" s="1" t="s">
        <v>74</v>
      </c>
      <c r="G66" s="1" t="s">
        <v>17</v>
      </c>
      <c r="H66" s="1">
        <v>0.39</v>
      </c>
      <c r="I66" s="1">
        <f t="shared" si="7"/>
        <v>0.39</v>
      </c>
      <c r="J66" t="b">
        <f t="shared" si="5"/>
        <v>0</v>
      </c>
      <c r="K66" t="b">
        <f t="shared" si="6"/>
        <v>0</v>
      </c>
    </row>
    <row r="67" spans="1:11" x14ac:dyDescent="0.25">
      <c r="A67" s="1" t="s">
        <v>0</v>
      </c>
      <c r="B67" s="1" t="s">
        <v>138</v>
      </c>
      <c r="C67" s="2" t="s">
        <v>142</v>
      </c>
      <c r="D67" s="1">
        <v>1386393</v>
      </c>
      <c r="E67" s="1" t="s">
        <v>144</v>
      </c>
      <c r="F67" s="1" t="s">
        <v>74</v>
      </c>
      <c r="G67" s="1" t="s">
        <v>17</v>
      </c>
      <c r="H67" s="1">
        <v>0.51</v>
      </c>
      <c r="I67" s="1">
        <f t="shared" si="7"/>
        <v>0.51</v>
      </c>
      <c r="J67" t="b">
        <f t="shared" si="5"/>
        <v>0</v>
      </c>
      <c r="K67" t="b">
        <f t="shared" si="6"/>
        <v>0</v>
      </c>
    </row>
    <row r="68" spans="1:11" x14ac:dyDescent="0.25">
      <c r="A68" s="1" t="s">
        <v>0</v>
      </c>
      <c r="B68" s="1" t="s">
        <v>71</v>
      </c>
      <c r="C68" s="2" t="s">
        <v>145</v>
      </c>
      <c r="D68" s="1">
        <v>1388354</v>
      </c>
      <c r="E68" s="1" t="s">
        <v>146</v>
      </c>
      <c r="F68" s="1" t="s">
        <v>74</v>
      </c>
      <c r="G68" s="1" t="s">
        <v>8</v>
      </c>
      <c r="H68" s="1">
        <v>1.1499999999999999</v>
      </c>
      <c r="I68" s="1">
        <f t="shared" si="7"/>
        <v>1.1499999999999999</v>
      </c>
      <c r="J68" t="b">
        <f>IF(ISERROR(SEARCH("GAC_Carbon_Stream_ESPCP",B68,1)),FALSE,TRUE)</f>
        <v>1</v>
      </c>
    </row>
    <row r="69" spans="1:11" x14ac:dyDescent="0.25">
      <c r="A69" s="1" t="s">
        <v>0</v>
      </c>
      <c r="B69" s="1" t="s">
        <v>71</v>
      </c>
      <c r="C69" s="2" t="s">
        <v>145</v>
      </c>
      <c r="D69" s="1">
        <v>1388354</v>
      </c>
      <c r="E69" s="1" t="s">
        <v>86</v>
      </c>
      <c r="F69" s="1" t="s">
        <v>74</v>
      </c>
      <c r="G69" s="1" t="s">
        <v>22</v>
      </c>
      <c r="H69" s="1">
        <v>0.6</v>
      </c>
      <c r="I69" s="1">
        <f t="shared" si="7"/>
        <v>0.6</v>
      </c>
      <c r="J69" t="b">
        <f>IF(ISERROR(SEARCH("GAC_Carbon_Stream_ESPCP",B69,1)),FALSE,TRUE)</f>
        <v>1</v>
      </c>
    </row>
    <row r="70" spans="1:11" x14ac:dyDescent="0.25">
      <c r="A70" s="1" t="s">
        <v>0</v>
      </c>
      <c r="B70" s="1" t="s">
        <v>71</v>
      </c>
      <c r="C70" s="2" t="s">
        <v>147</v>
      </c>
      <c r="D70" s="1">
        <v>1388354</v>
      </c>
      <c r="E70" s="1" t="s">
        <v>146</v>
      </c>
      <c r="F70" s="1" t="s">
        <v>74</v>
      </c>
      <c r="G70" s="1" t="s">
        <v>8</v>
      </c>
      <c r="H70" s="1">
        <v>1.1499999999999999</v>
      </c>
      <c r="I70" s="1">
        <f t="shared" si="7"/>
        <v>1.1499999999999999</v>
      </c>
      <c r="J70" t="b">
        <f>IF(ISERROR(SEARCH("GAC_Carbon_Stream_ESPCP",B70,1)),FALSE,TRUE)</f>
        <v>1</v>
      </c>
    </row>
    <row r="71" spans="1:11" x14ac:dyDescent="0.25">
      <c r="A71" s="1" t="s">
        <v>0</v>
      </c>
      <c r="B71" s="1" t="s">
        <v>71</v>
      </c>
      <c r="C71" s="2" t="s">
        <v>147</v>
      </c>
      <c r="D71" s="1">
        <v>1388354</v>
      </c>
      <c r="E71" s="1" t="s">
        <v>86</v>
      </c>
      <c r="F71" s="1" t="s">
        <v>74</v>
      </c>
      <c r="G71" s="1" t="s">
        <v>22</v>
      </c>
      <c r="H71" s="1">
        <v>0.6</v>
      </c>
      <c r="I71" s="1">
        <f t="shared" si="7"/>
        <v>0.6</v>
      </c>
      <c r="J71" t="b">
        <f>IF(ISERROR(SEARCH("GAC_Carbon_Stream_ESPCP",B71,1)),FALSE,TRUE)</f>
        <v>1</v>
      </c>
    </row>
    <row r="72" spans="1:11" x14ac:dyDescent="0.25">
      <c r="A72" s="1" t="s">
        <v>0</v>
      </c>
      <c r="B72" s="1" t="s">
        <v>71</v>
      </c>
      <c r="C72" s="2" t="s">
        <v>148</v>
      </c>
      <c r="D72" s="1">
        <v>1388271</v>
      </c>
      <c r="E72" s="1" t="s">
        <v>146</v>
      </c>
      <c r="F72" s="1" t="s">
        <v>74</v>
      </c>
      <c r="G72" s="1" t="s">
        <v>5</v>
      </c>
      <c r="H72" s="1">
        <v>1.1499999999999999</v>
      </c>
      <c r="I72" s="1">
        <v>1</v>
      </c>
      <c r="J72" t="b">
        <f>IF(ISERROR(SEARCH("GAC_Carbon_Stream_ESPCP",B72,1)),FALSE,TRUE)</f>
        <v>1</v>
      </c>
    </row>
    <row r="73" spans="1:11" x14ac:dyDescent="0.25">
      <c r="A73" s="1" t="s">
        <v>0</v>
      </c>
      <c r="B73" s="1" t="s">
        <v>71</v>
      </c>
      <c r="C73" s="2" t="s">
        <v>148</v>
      </c>
      <c r="D73" s="1">
        <v>1388271</v>
      </c>
      <c r="E73" s="1" t="s">
        <v>86</v>
      </c>
      <c r="F73" s="1" t="s">
        <v>74</v>
      </c>
      <c r="G73" s="1" t="s">
        <v>22</v>
      </c>
      <c r="H73" s="1">
        <v>0.6</v>
      </c>
      <c r="I73" s="1">
        <f t="shared" si="7"/>
        <v>0.6</v>
      </c>
      <c r="J73" t="b">
        <f>IF(ISERROR(SEARCH("GAC_Carbon_Stream_ESPCP",B73,1)),FALSE,TRUE)</f>
        <v>1</v>
      </c>
    </row>
    <row r="74" spans="1:11" x14ac:dyDescent="0.25">
      <c r="A74" s="1" t="s">
        <v>0</v>
      </c>
      <c r="B74" s="1" t="s">
        <v>71</v>
      </c>
      <c r="C74" s="2" t="s">
        <v>149</v>
      </c>
      <c r="D74" s="1">
        <v>1388271</v>
      </c>
      <c r="E74" s="1" t="s">
        <v>146</v>
      </c>
      <c r="F74" s="1" t="s">
        <v>74</v>
      </c>
      <c r="G74" s="1" t="s">
        <v>5</v>
      </c>
      <c r="H74" s="1">
        <v>1.1499999999999999</v>
      </c>
      <c r="I74" s="1">
        <v>1</v>
      </c>
      <c r="J74" t="b">
        <f>IF(ISERROR(SEARCH("GAC_Carbon_Stream_ESPCP",B74,1)),FALSE,TRUE)</f>
        <v>1</v>
      </c>
    </row>
    <row r="75" spans="1:11" x14ac:dyDescent="0.25">
      <c r="A75" s="1" t="s">
        <v>0</v>
      </c>
      <c r="B75" s="1" t="s">
        <v>71</v>
      </c>
      <c r="C75" s="2" t="s">
        <v>149</v>
      </c>
      <c r="D75" s="1">
        <v>1388271</v>
      </c>
      <c r="E75" s="1" t="s">
        <v>86</v>
      </c>
      <c r="F75" s="1" t="s">
        <v>74</v>
      </c>
      <c r="G75" s="1" t="s">
        <v>22</v>
      </c>
      <c r="H75" s="1">
        <v>0.6</v>
      </c>
      <c r="I75" s="1">
        <f t="shared" si="7"/>
        <v>0.6</v>
      </c>
      <c r="J75" t="b">
        <f>IF(ISERROR(SEARCH("GAC_Carbon_Stream_ESPCP",B75,1)),FALSE,TRUE)</f>
        <v>1</v>
      </c>
    </row>
    <row r="76" spans="1:11" x14ac:dyDescent="0.25">
      <c r="A76" s="1" t="s">
        <v>0</v>
      </c>
      <c r="B76" s="1" t="s">
        <v>150</v>
      </c>
      <c r="C76" s="2" t="s">
        <v>151</v>
      </c>
      <c r="D76" s="1">
        <v>1388032</v>
      </c>
      <c r="E76" s="1" t="s">
        <v>152</v>
      </c>
      <c r="F76" s="1" t="s">
        <v>153</v>
      </c>
      <c r="G76" s="1" t="s">
        <v>17</v>
      </c>
      <c r="H76" s="1">
        <v>1.08</v>
      </c>
      <c r="I76" s="1">
        <f t="shared" si="7"/>
        <v>1.08</v>
      </c>
      <c r="J76" t="b">
        <f t="shared" ref="J76:J118" si="8">IF(ISERROR(SEARCH("GAC_Carbon_Stream_ESPCP",$B76,1)),FALSE,TRUE)</f>
        <v>0</v>
      </c>
      <c r="K76" t="b">
        <f t="shared" ref="K76:K118" si="9">IF(ISERROR(SEARCH("CNMS Super Deuterium",$B76,1)),FALSE,TRUE)</f>
        <v>0</v>
      </c>
    </row>
    <row r="77" spans="1:11" x14ac:dyDescent="0.25">
      <c r="A77" s="1" t="s">
        <v>0</v>
      </c>
      <c r="B77" s="1" t="s">
        <v>154</v>
      </c>
      <c r="C77" s="2" t="s">
        <v>155</v>
      </c>
      <c r="D77" s="1">
        <v>1388833</v>
      </c>
      <c r="E77" s="1" t="s">
        <v>156</v>
      </c>
      <c r="F77" s="1" t="s">
        <v>157</v>
      </c>
      <c r="G77" s="1" t="s">
        <v>5</v>
      </c>
      <c r="H77" s="1">
        <v>15.28</v>
      </c>
      <c r="I77" s="1">
        <v>8</v>
      </c>
      <c r="J77" t="b">
        <f t="shared" si="8"/>
        <v>0</v>
      </c>
      <c r="K77" t="b">
        <f t="shared" si="9"/>
        <v>0</v>
      </c>
    </row>
    <row r="78" spans="1:11" x14ac:dyDescent="0.25">
      <c r="A78" s="1" t="s">
        <v>0</v>
      </c>
      <c r="B78" s="1" t="s">
        <v>154</v>
      </c>
      <c r="C78" s="2" t="s">
        <v>155</v>
      </c>
      <c r="D78" s="1">
        <v>1380537</v>
      </c>
      <c r="E78" s="1" t="s">
        <v>83</v>
      </c>
      <c r="F78" s="1" t="s">
        <v>157</v>
      </c>
      <c r="G78" s="1" t="s">
        <v>5</v>
      </c>
      <c r="H78" s="1">
        <v>4.5999999999999996</v>
      </c>
      <c r="I78" s="1">
        <v>4</v>
      </c>
      <c r="J78" t="b">
        <f t="shared" si="8"/>
        <v>0</v>
      </c>
      <c r="K78" t="b">
        <f t="shared" si="9"/>
        <v>0</v>
      </c>
    </row>
    <row r="79" spans="1:11" x14ac:dyDescent="0.25">
      <c r="A79" s="1" t="s">
        <v>0</v>
      </c>
      <c r="B79" s="1" t="s">
        <v>154</v>
      </c>
      <c r="C79" s="2" t="s">
        <v>155</v>
      </c>
      <c r="D79" s="1">
        <v>1380537</v>
      </c>
      <c r="E79" s="1" t="s">
        <v>158</v>
      </c>
      <c r="F79" s="1" t="s">
        <v>157</v>
      </c>
      <c r="G79" s="1" t="s">
        <v>5</v>
      </c>
      <c r="H79" s="1">
        <v>3.12</v>
      </c>
      <c r="I79" s="1">
        <v>3</v>
      </c>
      <c r="J79" t="b">
        <f t="shared" si="8"/>
        <v>0</v>
      </c>
      <c r="K79" t="b">
        <f t="shared" si="9"/>
        <v>0</v>
      </c>
    </row>
    <row r="80" spans="1:11" x14ac:dyDescent="0.25">
      <c r="A80" s="1" t="s">
        <v>0</v>
      </c>
      <c r="B80" s="1" t="s">
        <v>159</v>
      </c>
      <c r="C80" s="2" t="s">
        <v>160</v>
      </c>
      <c r="D80" s="1">
        <v>1341660</v>
      </c>
      <c r="E80" s="1" t="s">
        <v>161</v>
      </c>
      <c r="F80" s="1" t="s">
        <v>162</v>
      </c>
      <c r="G80" s="1" t="s">
        <v>5</v>
      </c>
      <c r="H80" s="1">
        <v>1.36</v>
      </c>
      <c r="I80" s="1">
        <v>1</v>
      </c>
      <c r="J80" t="b">
        <f t="shared" si="8"/>
        <v>0</v>
      </c>
      <c r="K80" t="b">
        <f t="shared" si="9"/>
        <v>1</v>
      </c>
    </row>
    <row r="81" spans="1:11" x14ac:dyDescent="0.25">
      <c r="A81" s="1" t="s">
        <v>0</v>
      </c>
      <c r="B81" s="1" t="s">
        <v>159</v>
      </c>
      <c r="C81" s="2" t="s">
        <v>160</v>
      </c>
      <c r="D81" s="1">
        <v>1341660</v>
      </c>
      <c r="E81" s="1" t="s">
        <v>163</v>
      </c>
      <c r="F81" s="1" t="s">
        <v>162</v>
      </c>
      <c r="G81" s="1" t="s">
        <v>5</v>
      </c>
      <c r="H81" s="1">
        <v>0.78</v>
      </c>
      <c r="I81" s="1">
        <v>0.5</v>
      </c>
      <c r="J81" t="b">
        <f t="shared" si="8"/>
        <v>0</v>
      </c>
      <c r="K81" t="b">
        <f t="shared" si="9"/>
        <v>1</v>
      </c>
    </row>
    <row r="82" spans="1:11" x14ac:dyDescent="0.25">
      <c r="A82" s="1" t="s">
        <v>0</v>
      </c>
      <c r="B82" s="1" t="s">
        <v>159</v>
      </c>
      <c r="C82" s="2" t="s">
        <v>160</v>
      </c>
      <c r="D82" s="1">
        <v>1341660</v>
      </c>
      <c r="E82" s="1" t="s">
        <v>164</v>
      </c>
      <c r="F82" s="1" t="s">
        <v>162</v>
      </c>
      <c r="G82" s="1" t="s">
        <v>5</v>
      </c>
      <c r="H82" s="1">
        <v>3.73</v>
      </c>
      <c r="I82" s="1">
        <v>4</v>
      </c>
      <c r="J82" t="b">
        <f t="shared" si="8"/>
        <v>0</v>
      </c>
      <c r="K82" t="b">
        <f t="shared" si="9"/>
        <v>1</v>
      </c>
    </row>
    <row r="83" spans="1:11" x14ac:dyDescent="0.25">
      <c r="A83" s="1" t="s">
        <v>0</v>
      </c>
      <c r="B83" s="1" t="s">
        <v>159</v>
      </c>
      <c r="C83" s="2" t="s">
        <v>165</v>
      </c>
      <c r="D83" s="1">
        <v>1341660</v>
      </c>
      <c r="E83" s="1" t="s">
        <v>166</v>
      </c>
      <c r="F83" s="1" t="s">
        <v>162</v>
      </c>
      <c r="G83" s="1" t="s">
        <v>5</v>
      </c>
      <c r="H83" s="1">
        <v>11.05</v>
      </c>
      <c r="I83" s="1">
        <v>6</v>
      </c>
      <c r="J83" t="b">
        <f t="shared" si="8"/>
        <v>0</v>
      </c>
      <c r="K83" t="b">
        <f t="shared" si="9"/>
        <v>1</v>
      </c>
    </row>
    <row r="84" spans="1:11" x14ac:dyDescent="0.25">
      <c r="A84" s="1" t="s">
        <v>0</v>
      </c>
      <c r="B84" s="1" t="s">
        <v>159</v>
      </c>
      <c r="C84" s="2" t="s">
        <v>165</v>
      </c>
      <c r="D84" s="1">
        <v>1341660</v>
      </c>
      <c r="E84" s="1" t="s">
        <v>167</v>
      </c>
      <c r="F84" s="1" t="s">
        <v>162</v>
      </c>
      <c r="G84" s="1" t="s">
        <v>8</v>
      </c>
      <c r="H84" s="1">
        <v>1.72</v>
      </c>
      <c r="I84" s="1">
        <f t="shared" si="7"/>
        <v>1.72</v>
      </c>
      <c r="J84" t="b">
        <f t="shared" si="8"/>
        <v>0</v>
      </c>
      <c r="K84" t="b">
        <f t="shared" si="9"/>
        <v>1</v>
      </c>
    </row>
    <row r="85" spans="1:11" x14ac:dyDescent="0.25">
      <c r="A85" s="1" t="s">
        <v>0</v>
      </c>
      <c r="B85" s="1" t="s">
        <v>159</v>
      </c>
      <c r="C85" s="2" t="s">
        <v>165</v>
      </c>
      <c r="D85" s="1">
        <v>1341660</v>
      </c>
      <c r="E85" s="1" t="s">
        <v>168</v>
      </c>
      <c r="F85" s="1" t="s">
        <v>162</v>
      </c>
      <c r="G85" s="1" t="s">
        <v>8</v>
      </c>
      <c r="H85" s="1">
        <v>1.77</v>
      </c>
      <c r="I85" s="1">
        <f t="shared" si="7"/>
        <v>1.77</v>
      </c>
      <c r="J85" t="b">
        <f t="shared" si="8"/>
        <v>0</v>
      </c>
      <c r="K85" t="b">
        <f t="shared" si="9"/>
        <v>1</v>
      </c>
    </row>
    <row r="86" spans="1:11" x14ac:dyDescent="0.25">
      <c r="A86" s="1" t="s">
        <v>0</v>
      </c>
      <c r="B86" s="1" t="s">
        <v>159</v>
      </c>
      <c r="C86" s="2" t="s">
        <v>165</v>
      </c>
      <c r="D86" s="1">
        <v>1341660</v>
      </c>
      <c r="E86" s="1" t="s">
        <v>169</v>
      </c>
      <c r="F86" s="1" t="s">
        <v>162</v>
      </c>
      <c r="G86" s="1" t="s">
        <v>8</v>
      </c>
      <c r="H86" s="1">
        <v>0.14000000000000001</v>
      </c>
      <c r="I86" s="1">
        <f t="shared" si="7"/>
        <v>0.14000000000000001</v>
      </c>
      <c r="J86" t="b">
        <f t="shared" si="8"/>
        <v>0</v>
      </c>
      <c r="K86" t="b">
        <f t="shared" si="9"/>
        <v>1</v>
      </c>
    </row>
    <row r="87" spans="1:11" x14ac:dyDescent="0.25">
      <c r="A87" s="1" t="s">
        <v>0</v>
      </c>
      <c r="B87" s="1" t="s">
        <v>159</v>
      </c>
      <c r="C87" s="2" t="s">
        <v>165</v>
      </c>
      <c r="D87" s="1">
        <v>1341660</v>
      </c>
      <c r="E87" s="1" t="s">
        <v>129</v>
      </c>
      <c r="F87" s="1" t="s">
        <v>162</v>
      </c>
      <c r="G87" s="1" t="s">
        <v>8</v>
      </c>
      <c r="H87" s="1">
        <v>2.63</v>
      </c>
      <c r="I87" s="1">
        <f t="shared" si="7"/>
        <v>2.63</v>
      </c>
      <c r="J87" t="b">
        <f t="shared" si="8"/>
        <v>0</v>
      </c>
      <c r="K87" t="b">
        <f t="shared" si="9"/>
        <v>1</v>
      </c>
    </row>
    <row r="88" spans="1:11" x14ac:dyDescent="0.25">
      <c r="A88" s="1" t="s">
        <v>0</v>
      </c>
      <c r="B88" s="1" t="s">
        <v>159</v>
      </c>
      <c r="C88" s="2" t="s">
        <v>165</v>
      </c>
      <c r="D88" s="1">
        <v>1341660</v>
      </c>
      <c r="E88" s="1" t="s">
        <v>170</v>
      </c>
      <c r="F88" s="1" t="s">
        <v>162</v>
      </c>
      <c r="G88" s="1" t="s">
        <v>17</v>
      </c>
      <c r="H88" s="1">
        <v>0.3</v>
      </c>
      <c r="I88" s="1">
        <f t="shared" si="7"/>
        <v>0.3</v>
      </c>
      <c r="J88" t="b">
        <f t="shared" si="8"/>
        <v>0</v>
      </c>
      <c r="K88" t="b">
        <f t="shared" si="9"/>
        <v>1</v>
      </c>
    </row>
    <row r="89" spans="1:11" x14ac:dyDescent="0.25">
      <c r="A89" s="1" t="s">
        <v>0</v>
      </c>
      <c r="B89" s="1" t="s">
        <v>159</v>
      </c>
      <c r="C89" s="2" t="s">
        <v>165</v>
      </c>
      <c r="D89" s="1">
        <v>1341660</v>
      </c>
      <c r="E89" s="1" t="s">
        <v>171</v>
      </c>
      <c r="F89" s="1" t="s">
        <v>162</v>
      </c>
      <c r="G89" s="1" t="s">
        <v>17</v>
      </c>
      <c r="H89" s="1">
        <v>0.32</v>
      </c>
      <c r="I89" s="1">
        <f t="shared" si="7"/>
        <v>0.32</v>
      </c>
      <c r="J89" t="b">
        <f t="shared" si="8"/>
        <v>0</v>
      </c>
      <c r="K89" t="b">
        <f t="shared" si="9"/>
        <v>1</v>
      </c>
    </row>
    <row r="90" spans="1:11" x14ac:dyDescent="0.25">
      <c r="A90" s="1" t="s">
        <v>0</v>
      </c>
      <c r="B90" s="1" t="s">
        <v>159</v>
      </c>
      <c r="C90" s="2" t="s">
        <v>165</v>
      </c>
      <c r="D90" s="1">
        <v>1341660</v>
      </c>
      <c r="E90" s="11" t="s">
        <v>172</v>
      </c>
      <c r="F90" s="1" t="s">
        <v>162</v>
      </c>
      <c r="G90" s="1" t="s">
        <v>22</v>
      </c>
      <c r="H90" s="1">
        <v>2.29</v>
      </c>
      <c r="I90" s="1">
        <f t="shared" si="7"/>
        <v>2.29</v>
      </c>
      <c r="J90" t="b">
        <f t="shared" si="8"/>
        <v>0</v>
      </c>
      <c r="K90" t="b">
        <f t="shared" si="9"/>
        <v>1</v>
      </c>
    </row>
    <row r="91" spans="1:11" x14ac:dyDescent="0.25">
      <c r="A91" s="1" t="s">
        <v>0</v>
      </c>
      <c r="B91" s="1" t="s">
        <v>159</v>
      </c>
      <c r="C91" s="2" t="s">
        <v>165</v>
      </c>
      <c r="D91" s="1">
        <v>1341660</v>
      </c>
      <c r="E91" s="11" t="s">
        <v>173</v>
      </c>
      <c r="F91" s="1" t="s">
        <v>162</v>
      </c>
      <c r="G91" s="1" t="s">
        <v>22</v>
      </c>
      <c r="H91" s="1">
        <v>3.48</v>
      </c>
      <c r="I91" s="1">
        <f t="shared" si="7"/>
        <v>3.48</v>
      </c>
      <c r="J91" t="b">
        <f t="shared" si="8"/>
        <v>0</v>
      </c>
      <c r="K91" t="b">
        <f t="shared" si="9"/>
        <v>1</v>
      </c>
    </row>
    <row r="92" spans="1:11" x14ac:dyDescent="0.25">
      <c r="A92" s="1" t="s">
        <v>0</v>
      </c>
      <c r="B92" s="1" t="s">
        <v>159</v>
      </c>
      <c r="C92" s="2" t="s">
        <v>165</v>
      </c>
      <c r="D92" s="1">
        <v>1341660</v>
      </c>
      <c r="E92" s="11" t="s">
        <v>174</v>
      </c>
      <c r="F92" s="1" t="s">
        <v>162</v>
      </c>
      <c r="G92" s="1" t="s">
        <v>22</v>
      </c>
      <c r="H92" s="1">
        <v>1.84</v>
      </c>
      <c r="I92" s="1">
        <f t="shared" si="7"/>
        <v>1.84</v>
      </c>
      <c r="J92" t="b">
        <f t="shared" si="8"/>
        <v>0</v>
      </c>
      <c r="K92" t="b">
        <f t="shared" si="9"/>
        <v>1</v>
      </c>
    </row>
    <row r="93" spans="1:11" x14ac:dyDescent="0.25">
      <c r="A93" s="1" t="s">
        <v>0</v>
      </c>
      <c r="B93" s="1" t="s">
        <v>159</v>
      </c>
      <c r="C93" s="2" t="s">
        <v>165</v>
      </c>
      <c r="D93" s="1">
        <v>1341660</v>
      </c>
      <c r="E93" s="11" t="s">
        <v>175</v>
      </c>
      <c r="F93" s="1" t="s">
        <v>162</v>
      </c>
      <c r="G93" s="1" t="s">
        <v>22</v>
      </c>
      <c r="H93" s="1">
        <v>2.73</v>
      </c>
      <c r="I93" s="1">
        <f t="shared" si="7"/>
        <v>2.73</v>
      </c>
      <c r="J93" t="b">
        <f t="shared" si="8"/>
        <v>0</v>
      </c>
      <c r="K93" t="b">
        <f t="shared" si="9"/>
        <v>1</v>
      </c>
    </row>
    <row r="94" spans="1:11" x14ac:dyDescent="0.25">
      <c r="A94" s="1" t="s">
        <v>0</v>
      </c>
      <c r="B94" s="1" t="s">
        <v>159</v>
      </c>
      <c r="C94" s="2" t="s">
        <v>165</v>
      </c>
      <c r="D94" s="1">
        <v>1341660</v>
      </c>
      <c r="E94" s="11" t="s">
        <v>176</v>
      </c>
      <c r="F94" s="1" t="s">
        <v>162</v>
      </c>
      <c r="G94" s="1" t="s">
        <v>22</v>
      </c>
      <c r="H94" s="1">
        <v>2.96</v>
      </c>
      <c r="I94" s="1">
        <f t="shared" si="7"/>
        <v>2.96</v>
      </c>
      <c r="J94" t="b">
        <f t="shared" si="8"/>
        <v>0</v>
      </c>
      <c r="K94" t="b">
        <f t="shared" si="9"/>
        <v>1</v>
      </c>
    </row>
    <row r="95" spans="1:11" x14ac:dyDescent="0.25">
      <c r="A95" s="1" t="s">
        <v>0</v>
      </c>
      <c r="B95" s="1" t="s">
        <v>159</v>
      </c>
      <c r="C95" s="2" t="s">
        <v>165</v>
      </c>
      <c r="D95" s="1">
        <v>1341660</v>
      </c>
      <c r="E95" s="11" t="s">
        <v>177</v>
      </c>
      <c r="F95" s="1" t="s">
        <v>162</v>
      </c>
      <c r="G95" s="1" t="s">
        <v>22</v>
      </c>
      <c r="H95" s="1">
        <v>2.61</v>
      </c>
      <c r="I95" s="1">
        <f t="shared" si="7"/>
        <v>2.61</v>
      </c>
      <c r="J95" t="b">
        <f t="shared" si="8"/>
        <v>0</v>
      </c>
      <c r="K95" t="b">
        <f t="shared" si="9"/>
        <v>1</v>
      </c>
    </row>
    <row r="96" spans="1:11" x14ac:dyDescent="0.25">
      <c r="A96" s="1" t="s">
        <v>0</v>
      </c>
      <c r="B96" s="1" t="s">
        <v>159</v>
      </c>
      <c r="C96" s="2" t="s">
        <v>165</v>
      </c>
      <c r="D96" s="1">
        <v>1341660</v>
      </c>
      <c r="E96" s="11" t="s">
        <v>178</v>
      </c>
      <c r="F96" s="1" t="s">
        <v>162</v>
      </c>
      <c r="G96" s="1" t="s">
        <v>22</v>
      </c>
      <c r="H96" s="1">
        <v>4.51</v>
      </c>
      <c r="I96" s="1">
        <f t="shared" si="7"/>
        <v>4.51</v>
      </c>
      <c r="J96" t="b">
        <f t="shared" si="8"/>
        <v>0</v>
      </c>
      <c r="K96" t="b">
        <f t="shared" si="9"/>
        <v>1</v>
      </c>
    </row>
    <row r="97" spans="1:11" x14ac:dyDescent="0.25">
      <c r="A97" s="1" t="s">
        <v>0</v>
      </c>
      <c r="B97" s="1" t="s">
        <v>159</v>
      </c>
      <c r="C97" s="2" t="s">
        <v>165</v>
      </c>
      <c r="D97" s="1">
        <v>1341660</v>
      </c>
      <c r="E97" s="1" t="s">
        <v>179</v>
      </c>
      <c r="F97" s="1" t="s">
        <v>162</v>
      </c>
      <c r="G97" s="1" t="s">
        <v>8</v>
      </c>
      <c r="H97" s="1">
        <v>3.43</v>
      </c>
      <c r="I97" s="1">
        <f t="shared" si="7"/>
        <v>3.43</v>
      </c>
      <c r="J97" t="b">
        <f t="shared" si="8"/>
        <v>0</v>
      </c>
      <c r="K97" t="b">
        <f t="shared" si="9"/>
        <v>1</v>
      </c>
    </row>
    <row r="98" spans="1:11" x14ac:dyDescent="0.25">
      <c r="A98" s="1" t="s">
        <v>0</v>
      </c>
      <c r="B98" s="1" t="s">
        <v>159</v>
      </c>
      <c r="C98" s="2" t="s">
        <v>165</v>
      </c>
      <c r="D98" s="1">
        <v>1341660</v>
      </c>
      <c r="E98" s="1" t="s">
        <v>180</v>
      </c>
      <c r="F98" s="1" t="s">
        <v>162</v>
      </c>
      <c r="G98" s="1" t="s">
        <v>8</v>
      </c>
      <c r="H98" s="1">
        <v>3.62</v>
      </c>
      <c r="I98" s="1">
        <f t="shared" si="7"/>
        <v>3.62</v>
      </c>
      <c r="J98" t="b">
        <f t="shared" si="8"/>
        <v>0</v>
      </c>
      <c r="K98" t="b">
        <f t="shared" si="9"/>
        <v>1</v>
      </c>
    </row>
    <row r="99" spans="1:11" x14ac:dyDescent="0.25">
      <c r="A99" s="1" t="s">
        <v>0</v>
      </c>
      <c r="B99" s="1" t="s">
        <v>159</v>
      </c>
      <c r="C99" s="2" t="s">
        <v>165</v>
      </c>
      <c r="D99" s="1">
        <v>1341660</v>
      </c>
      <c r="E99" s="1" t="s">
        <v>181</v>
      </c>
      <c r="F99" s="1" t="s">
        <v>162</v>
      </c>
      <c r="G99" s="1" t="s">
        <v>8</v>
      </c>
      <c r="H99" s="1">
        <v>3.44</v>
      </c>
      <c r="I99" s="1">
        <f t="shared" si="7"/>
        <v>3.44</v>
      </c>
      <c r="J99" t="b">
        <f t="shared" si="8"/>
        <v>0</v>
      </c>
      <c r="K99" t="b">
        <f t="shared" si="9"/>
        <v>1</v>
      </c>
    </row>
    <row r="100" spans="1:11" x14ac:dyDescent="0.25">
      <c r="A100" s="1" t="s">
        <v>0</v>
      </c>
      <c r="B100" s="1" t="s">
        <v>159</v>
      </c>
      <c r="C100" s="2" t="s">
        <v>165</v>
      </c>
      <c r="D100" s="1">
        <v>1341660</v>
      </c>
      <c r="E100" s="1" t="s">
        <v>182</v>
      </c>
      <c r="F100" s="1" t="s">
        <v>162</v>
      </c>
      <c r="G100" s="1" t="s">
        <v>8</v>
      </c>
      <c r="H100" s="1">
        <v>2.5</v>
      </c>
      <c r="I100" s="1">
        <f t="shared" si="7"/>
        <v>2.5</v>
      </c>
      <c r="J100" t="b">
        <f t="shared" si="8"/>
        <v>0</v>
      </c>
      <c r="K100" t="b">
        <f t="shared" si="9"/>
        <v>1</v>
      </c>
    </row>
    <row r="101" spans="1:11" x14ac:dyDescent="0.25">
      <c r="A101" s="1" t="s">
        <v>0</v>
      </c>
      <c r="B101" s="1" t="s">
        <v>159</v>
      </c>
      <c r="C101" s="2" t="s">
        <v>165</v>
      </c>
      <c r="D101" s="1">
        <v>1341660</v>
      </c>
      <c r="E101" s="1" t="s">
        <v>183</v>
      </c>
      <c r="F101" s="1" t="s">
        <v>162</v>
      </c>
      <c r="G101" s="1" t="s">
        <v>17</v>
      </c>
      <c r="H101" s="1">
        <v>3.37</v>
      </c>
      <c r="I101" s="1">
        <f t="shared" si="7"/>
        <v>3.37</v>
      </c>
      <c r="J101" t="b">
        <f t="shared" si="8"/>
        <v>0</v>
      </c>
      <c r="K101" t="b">
        <f t="shared" si="9"/>
        <v>1</v>
      </c>
    </row>
    <row r="102" spans="1:11" x14ac:dyDescent="0.25">
      <c r="A102" s="1" t="s">
        <v>0</v>
      </c>
      <c r="B102" s="1" t="s">
        <v>159</v>
      </c>
      <c r="C102" s="2" t="s">
        <v>165</v>
      </c>
      <c r="D102" s="1">
        <v>1341660</v>
      </c>
      <c r="E102" s="1" t="s">
        <v>184</v>
      </c>
      <c r="F102" s="1" t="s">
        <v>162</v>
      </c>
      <c r="G102" s="1" t="s">
        <v>17</v>
      </c>
      <c r="H102" s="1">
        <v>1.9</v>
      </c>
      <c r="I102" s="1">
        <f t="shared" si="7"/>
        <v>1.9</v>
      </c>
      <c r="J102" t="b">
        <f t="shared" si="8"/>
        <v>0</v>
      </c>
      <c r="K102" t="b">
        <f t="shared" si="9"/>
        <v>1</v>
      </c>
    </row>
    <row r="103" spans="1:11" x14ac:dyDescent="0.25">
      <c r="A103" s="1" t="s">
        <v>0</v>
      </c>
      <c r="B103" s="1" t="s">
        <v>159</v>
      </c>
      <c r="C103" s="2" t="s">
        <v>165</v>
      </c>
      <c r="D103" s="1">
        <v>1341660</v>
      </c>
      <c r="E103" s="1" t="s">
        <v>185</v>
      </c>
      <c r="F103" s="1" t="s">
        <v>162</v>
      </c>
      <c r="G103" s="1" t="s">
        <v>17</v>
      </c>
      <c r="H103" s="1">
        <v>4.78</v>
      </c>
      <c r="I103" s="1">
        <f t="shared" si="7"/>
        <v>4.78</v>
      </c>
      <c r="J103" t="b">
        <f t="shared" si="8"/>
        <v>0</v>
      </c>
      <c r="K103" t="b">
        <f t="shared" si="9"/>
        <v>1</v>
      </c>
    </row>
    <row r="104" spans="1:11" x14ac:dyDescent="0.25">
      <c r="A104" s="1" t="s">
        <v>0</v>
      </c>
      <c r="B104" s="1" t="s">
        <v>159</v>
      </c>
      <c r="C104" s="2" t="s">
        <v>165</v>
      </c>
      <c r="D104" s="1">
        <v>1341660</v>
      </c>
      <c r="E104" s="1" t="s">
        <v>186</v>
      </c>
      <c r="F104" s="1" t="s">
        <v>162</v>
      </c>
      <c r="G104" s="1" t="s">
        <v>8</v>
      </c>
      <c r="H104" s="1">
        <v>1.24</v>
      </c>
      <c r="I104" s="1">
        <f t="shared" si="7"/>
        <v>1.24</v>
      </c>
      <c r="J104" t="b">
        <f t="shared" si="8"/>
        <v>0</v>
      </c>
      <c r="K104" t="b">
        <f t="shared" si="9"/>
        <v>1</v>
      </c>
    </row>
    <row r="105" spans="1:11" x14ac:dyDescent="0.25">
      <c r="A105" s="1" t="s">
        <v>0</v>
      </c>
      <c r="B105" s="1" t="s">
        <v>159</v>
      </c>
      <c r="C105" s="2" t="s">
        <v>187</v>
      </c>
      <c r="D105" s="1">
        <v>1341660</v>
      </c>
      <c r="E105" s="1" t="s">
        <v>188</v>
      </c>
      <c r="F105" s="1" t="s">
        <v>162</v>
      </c>
      <c r="G105" s="1" t="s">
        <v>17</v>
      </c>
      <c r="H105" s="1">
        <v>3.62</v>
      </c>
      <c r="I105" s="1">
        <f t="shared" si="7"/>
        <v>3.62</v>
      </c>
      <c r="J105" t="b">
        <f t="shared" si="8"/>
        <v>0</v>
      </c>
      <c r="K105" t="b">
        <f t="shared" si="9"/>
        <v>1</v>
      </c>
    </row>
    <row r="106" spans="1:11" x14ac:dyDescent="0.25">
      <c r="A106" s="1" t="s">
        <v>0</v>
      </c>
      <c r="B106" s="1" t="s">
        <v>159</v>
      </c>
      <c r="C106" s="2" t="s">
        <v>187</v>
      </c>
      <c r="D106" s="1">
        <v>1341660</v>
      </c>
      <c r="E106" s="1" t="s">
        <v>189</v>
      </c>
      <c r="F106" s="1" t="s">
        <v>162</v>
      </c>
      <c r="G106" s="1" t="s">
        <v>17</v>
      </c>
      <c r="H106" s="1">
        <v>3.28</v>
      </c>
      <c r="I106" s="1">
        <f t="shared" si="7"/>
        <v>3.28</v>
      </c>
      <c r="J106" t="b">
        <f t="shared" si="8"/>
        <v>0</v>
      </c>
      <c r="K106" t="b">
        <f t="shared" si="9"/>
        <v>1</v>
      </c>
    </row>
    <row r="107" spans="1:11" x14ac:dyDescent="0.25">
      <c r="A107" s="1" t="s">
        <v>0</v>
      </c>
      <c r="B107" s="1" t="s">
        <v>159</v>
      </c>
      <c r="C107" s="2" t="s">
        <v>187</v>
      </c>
      <c r="D107" s="1">
        <v>1341660</v>
      </c>
      <c r="E107" s="1" t="s">
        <v>190</v>
      </c>
      <c r="F107" s="1" t="s">
        <v>162</v>
      </c>
      <c r="G107" s="1" t="s">
        <v>5</v>
      </c>
      <c r="H107" s="1">
        <v>1.2</v>
      </c>
      <c r="I107" s="1">
        <v>1</v>
      </c>
      <c r="J107" t="b">
        <f t="shared" si="8"/>
        <v>0</v>
      </c>
      <c r="K107" t="b">
        <f t="shared" si="9"/>
        <v>1</v>
      </c>
    </row>
    <row r="108" spans="1:11" x14ac:dyDescent="0.25">
      <c r="A108" s="1" t="s">
        <v>0</v>
      </c>
      <c r="B108" s="1" t="s">
        <v>159</v>
      </c>
      <c r="C108" s="2" t="s">
        <v>187</v>
      </c>
      <c r="D108" s="1">
        <v>1341660</v>
      </c>
      <c r="E108" s="1" t="s">
        <v>191</v>
      </c>
      <c r="F108" s="1" t="s">
        <v>162</v>
      </c>
      <c r="G108" s="1" t="s">
        <v>5</v>
      </c>
      <c r="H108" s="1">
        <v>2.66</v>
      </c>
      <c r="I108" s="1">
        <v>2</v>
      </c>
      <c r="J108" t="b">
        <f t="shared" si="8"/>
        <v>0</v>
      </c>
      <c r="K108" t="b">
        <f t="shared" si="9"/>
        <v>1</v>
      </c>
    </row>
    <row r="109" spans="1:11" x14ac:dyDescent="0.25">
      <c r="A109" s="1" t="s">
        <v>0</v>
      </c>
      <c r="B109" s="1" t="s">
        <v>159</v>
      </c>
      <c r="C109" s="2" t="s">
        <v>187</v>
      </c>
      <c r="D109" s="1">
        <v>1341660</v>
      </c>
      <c r="E109" s="1" t="s">
        <v>192</v>
      </c>
      <c r="F109" s="1" t="s">
        <v>162</v>
      </c>
      <c r="G109" s="1" t="s">
        <v>17</v>
      </c>
      <c r="H109" s="1">
        <v>0.44</v>
      </c>
      <c r="I109" s="1">
        <f>H109</f>
        <v>0.44</v>
      </c>
      <c r="J109" t="b">
        <f t="shared" si="8"/>
        <v>0</v>
      </c>
      <c r="K109" t="b">
        <f t="shared" si="9"/>
        <v>1</v>
      </c>
    </row>
    <row r="110" spans="1:11" x14ac:dyDescent="0.25">
      <c r="A110" s="1" t="s">
        <v>0</v>
      </c>
      <c r="B110" s="1" t="s">
        <v>159</v>
      </c>
      <c r="C110" s="2" t="s">
        <v>193</v>
      </c>
      <c r="D110" s="1">
        <v>1341660</v>
      </c>
      <c r="E110" s="1" t="s">
        <v>80</v>
      </c>
      <c r="F110" s="1" t="s">
        <v>162</v>
      </c>
      <c r="G110" s="1" t="s">
        <v>8</v>
      </c>
      <c r="H110" s="1">
        <v>8.65</v>
      </c>
      <c r="I110" s="1"/>
      <c r="J110" t="b">
        <f t="shared" si="8"/>
        <v>0</v>
      </c>
      <c r="K110" t="b">
        <f t="shared" si="9"/>
        <v>1</v>
      </c>
    </row>
    <row r="111" spans="1:11" x14ac:dyDescent="0.25">
      <c r="A111" s="1" t="s">
        <v>0</v>
      </c>
      <c r="B111" s="1" t="s">
        <v>159</v>
      </c>
      <c r="C111" s="2" t="s">
        <v>193</v>
      </c>
      <c r="D111" s="1">
        <v>1341660</v>
      </c>
      <c r="E111" s="1" t="s">
        <v>194</v>
      </c>
      <c r="F111" s="1" t="s">
        <v>162</v>
      </c>
      <c r="G111" s="1" t="s">
        <v>17</v>
      </c>
      <c r="H111" s="1">
        <v>1.95</v>
      </c>
      <c r="I111" s="1">
        <f>H111</f>
        <v>1.95</v>
      </c>
      <c r="J111" t="b">
        <f t="shared" si="8"/>
        <v>0</v>
      </c>
      <c r="K111" t="b">
        <f t="shared" si="9"/>
        <v>1</v>
      </c>
    </row>
    <row r="112" spans="1:11" x14ac:dyDescent="0.25">
      <c r="A112" s="1" t="s">
        <v>0</v>
      </c>
      <c r="B112" s="1" t="s">
        <v>159</v>
      </c>
      <c r="C112" s="2" t="s">
        <v>193</v>
      </c>
      <c r="D112" s="1">
        <v>1341660</v>
      </c>
      <c r="E112" s="1" t="s">
        <v>195</v>
      </c>
      <c r="F112" s="1" t="s">
        <v>162</v>
      </c>
      <c r="G112" s="1" t="s">
        <v>8</v>
      </c>
      <c r="H112" s="1">
        <v>2.96</v>
      </c>
      <c r="I112" s="1"/>
      <c r="J112" t="b">
        <f t="shared" si="8"/>
        <v>0</v>
      </c>
      <c r="K112" t="b">
        <f t="shared" si="9"/>
        <v>1</v>
      </c>
    </row>
    <row r="113" spans="1:11" x14ac:dyDescent="0.25">
      <c r="A113" s="1" t="s">
        <v>0</v>
      </c>
      <c r="B113" s="1" t="s">
        <v>159</v>
      </c>
      <c r="C113" s="2" t="s">
        <v>193</v>
      </c>
      <c r="D113" s="1">
        <v>1341660</v>
      </c>
      <c r="E113" s="1" t="s">
        <v>196</v>
      </c>
      <c r="F113" s="1" t="s">
        <v>162</v>
      </c>
      <c r="G113" s="1" t="s">
        <v>17</v>
      </c>
      <c r="H113" s="1">
        <v>0.74</v>
      </c>
      <c r="I113" s="1">
        <f t="shared" ref="I113:I118" si="10">H113</f>
        <v>0.74</v>
      </c>
      <c r="J113" t="b">
        <f t="shared" si="8"/>
        <v>0</v>
      </c>
      <c r="K113" t="b">
        <f t="shared" si="9"/>
        <v>1</v>
      </c>
    </row>
    <row r="114" spans="1:11" x14ac:dyDescent="0.25">
      <c r="A114" s="1" t="s">
        <v>0</v>
      </c>
      <c r="B114" s="1" t="s">
        <v>159</v>
      </c>
      <c r="C114" s="2" t="s">
        <v>193</v>
      </c>
      <c r="D114" s="1">
        <v>1341660</v>
      </c>
      <c r="E114" s="1" t="s">
        <v>197</v>
      </c>
      <c r="F114" s="1" t="s">
        <v>162</v>
      </c>
      <c r="G114" s="1" t="s">
        <v>17</v>
      </c>
      <c r="H114" s="1">
        <v>0.71</v>
      </c>
      <c r="I114" s="1">
        <f t="shared" si="10"/>
        <v>0.71</v>
      </c>
      <c r="J114" t="b">
        <f t="shared" si="8"/>
        <v>0</v>
      </c>
      <c r="K114" t="b">
        <f t="shared" si="9"/>
        <v>1</v>
      </c>
    </row>
    <row r="115" spans="1:11" x14ac:dyDescent="0.25">
      <c r="A115" s="1" t="s">
        <v>0</v>
      </c>
      <c r="B115" s="1" t="s">
        <v>159</v>
      </c>
      <c r="C115" s="2" t="s">
        <v>198</v>
      </c>
      <c r="D115" s="1">
        <v>1341660</v>
      </c>
      <c r="E115" s="1" t="s">
        <v>199</v>
      </c>
      <c r="F115" s="1" t="s">
        <v>162</v>
      </c>
      <c r="G115" s="1" t="s">
        <v>17</v>
      </c>
      <c r="H115" s="1">
        <v>0.51</v>
      </c>
      <c r="I115" s="1">
        <f t="shared" si="10"/>
        <v>0.51</v>
      </c>
      <c r="J115" t="b">
        <f t="shared" si="8"/>
        <v>0</v>
      </c>
      <c r="K115" t="b">
        <f t="shared" si="9"/>
        <v>1</v>
      </c>
    </row>
    <row r="116" spans="1:11" x14ac:dyDescent="0.25">
      <c r="A116" s="1" t="s">
        <v>0</v>
      </c>
      <c r="B116" s="1" t="s">
        <v>159</v>
      </c>
      <c r="C116" s="2" t="s">
        <v>198</v>
      </c>
      <c r="D116" s="1">
        <v>1341660</v>
      </c>
      <c r="E116" s="1" t="s">
        <v>194</v>
      </c>
      <c r="F116" s="1" t="s">
        <v>162</v>
      </c>
      <c r="G116" s="1" t="s">
        <v>17</v>
      </c>
      <c r="H116" s="1">
        <v>1.95</v>
      </c>
      <c r="I116" s="1">
        <f t="shared" si="10"/>
        <v>1.95</v>
      </c>
      <c r="J116" t="b">
        <f t="shared" si="8"/>
        <v>0</v>
      </c>
      <c r="K116" t="b">
        <f t="shared" si="9"/>
        <v>1</v>
      </c>
    </row>
    <row r="117" spans="1:11" x14ac:dyDescent="0.25">
      <c r="A117" s="1" t="s">
        <v>0</v>
      </c>
      <c r="B117" s="1" t="s">
        <v>159</v>
      </c>
      <c r="C117" s="2" t="s">
        <v>198</v>
      </c>
      <c r="D117" s="1">
        <v>1341660</v>
      </c>
      <c r="E117" s="1" t="s">
        <v>196</v>
      </c>
      <c r="F117" s="1" t="s">
        <v>162</v>
      </c>
      <c r="G117" s="1" t="s">
        <v>17</v>
      </c>
      <c r="H117" s="1">
        <v>0.74</v>
      </c>
      <c r="I117" s="1">
        <f t="shared" si="10"/>
        <v>0.74</v>
      </c>
      <c r="J117" t="b">
        <f t="shared" si="8"/>
        <v>0</v>
      </c>
      <c r="K117" t="b">
        <f t="shared" si="9"/>
        <v>1</v>
      </c>
    </row>
    <row r="118" spans="1:11" x14ac:dyDescent="0.25">
      <c r="A118" s="1" t="s">
        <v>0</v>
      </c>
      <c r="B118" s="1" t="s">
        <v>159</v>
      </c>
      <c r="C118" s="2" t="s">
        <v>198</v>
      </c>
      <c r="D118" s="1">
        <v>1341660</v>
      </c>
      <c r="E118" s="1" t="s">
        <v>200</v>
      </c>
      <c r="F118" s="1" t="s">
        <v>162</v>
      </c>
      <c r="G118" s="1" t="s">
        <v>17</v>
      </c>
      <c r="H118" s="1">
        <v>0.78</v>
      </c>
      <c r="I118" s="1">
        <f t="shared" si="10"/>
        <v>0.78</v>
      </c>
      <c r="J118" t="b">
        <f t="shared" si="8"/>
        <v>0</v>
      </c>
      <c r="K118" t="b">
        <f t="shared" si="9"/>
        <v>1</v>
      </c>
    </row>
  </sheetData>
  <conditionalFormatting sqref="A2:A118">
    <cfRule type="cellIs" dxfId="1" priority="3" operator="equal">
      <formula>"PSW"</formula>
    </cfRule>
    <cfRule type="cellIs" dxfId="0" priority="4" operator="equal">
      <formula>"ASW"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D567D9A-005A-435D-8A25-AAB2C04BE3EB}">
          <x14:formula1>
            <xm:f>[Summary_COEM.xlsx]Table!#REF!</xm:f>
          </x14:formula1>
          <xm:sqref>A2:A118</xm:sqref>
        </x14:dataValidation>
        <x14:dataValidation type="list" allowBlank="1" showInputMessage="1" showErrorMessage="1" xr:uid="{BD734F1D-397C-450B-96B4-935AC5239FEE}">
          <x14:formula1>
            <xm:f>[Summary_COEM.xlsx]Table!#REF!</xm:f>
          </x14:formula1>
          <xm:sqref>G2:G28 G30:G118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Tuấn Dương</dc:creator>
  <cp:lastModifiedBy>Nguyễn Tuấn Dương</cp:lastModifiedBy>
  <dcterms:created xsi:type="dcterms:W3CDTF">2020-04-07T15:53:54Z</dcterms:created>
  <dcterms:modified xsi:type="dcterms:W3CDTF">2020-04-07T16:45:45Z</dcterms:modified>
</cp:coreProperties>
</file>