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Shared_folder\BK_Desktop\Github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Sheet1!$A$1:$AW$165</definedName>
  </definedNames>
  <calcPr calcId="162913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8" i="2" l="1"/>
  <c r="F67" i="2"/>
  <c r="F66" i="2"/>
  <c r="F65" i="2"/>
  <c r="F64" i="2"/>
  <c r="F63" i="2"/>
  <c r="F62" i="2"/>
  <c r="F61" i="2"/>
  <c r="F60" i="2"/>
  <c r="F59" i="2"/>
  <c r="F58" i="2"/>
  <c r="D68" i="2"/>
  <c r="D52" i="2"/>
  <c r="F51" i="2"/>
  <c r="F50" i="2"/>
  <c r="F49" i="2"/>
  <c r="F48" i="2"/>
  <c r="F47" i="2"/>
  <c r="F46" i="2"/>
  <c r="F45" i="2"/>
  <c r="F44" i="2"/>
  <c r="F43" i="2"/>
  <c r="F42" i="2"/>
  <c r="F41" i="2"/>
  <c r="D37" i="2" l="1"/>
  <c r="F27" i="2"/>
  <c r="F28" i="2"/>
  <c r="F29" i="2"/>
  <c r="F30" i="2"/>
  <c r="F31" i="2"/>
  <c r="F32" i="2"/>
  <c r="F33" i="2"/>
  <c r="F34" i="2"/>
  <c r="F35" i="2"/>
  <c r="F36" i="2"/>
  <c r="F26" i="2"/>
  <c r="AJ32" i="1" l="1"/>
  <c r="AJ31" i="1"/>
  <c r="AJ30" i="1"/>
  <c r="AJ29" i="1"/>
  <c r="AK32" i="1"/>
  <c r="AK31" i="1"/>
  <c r="AK30" i="1"/>
  <c r="AK29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2" i="1"/>
  <c r="AK33" i="1" l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2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68" i="1"/>
  <c r="K69" i="1"/>
  <c r="K70" i="1"/>
  <c r="K71" i="1"/>
  <c r="K72" i="1"/>
  <c r="K73" i="1"/>
  <c r="K74" i="1"/>
  <c r="K75" i="1"/>
  <c r="K53" i="1"/>
  <c r="K54" i="1"/>
  <c r="K55" i="1"/>
  <c r="K56" i="1"/>
  <c r="K57" i="1"/>
  <c r="K33" i="1"/>
  <c r="K34" i="1"/>
  <c r="K35" i="1"/>
  <c r="K36" i="1"/>
  <c r="K37" i="1"/>
  <c r="K38" i="1"/>
  <c r="K3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K118" i="1" l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67" i="1"/>
  <c r="K66" i="1"/>
  <c r="K65" i="1"/>
  <c r="K64" i="1"/>
  <c r="K63" i="1"/>
  <c r="K62" i="1"/>
  <c r="K61" i="1"/>
  <c r="K60" i="1"/>
  <c r="K59" i="1"/>
  <c r="K58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2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67" i="1"/>
  <c r="J66" i="1"/>
  <c r="J65" i="1"/>
  <c r="J64" i="1"/>
  <c r="J63" i="1"/>
  <c r="J62" i="1"/>
  <c r="J61" i="1"/>
  <c r="J60" i="1"/>
  <c r="J59" i="1"/>
  <c r="J58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AJ1" i="1"/>
  <c r="AI1" i="1"/>
  <c r="AH1" i="1"/>
  <c r="AG1" i="1"/>
  <c r="J33" i="1"/>
  <c r="J34" i="1"/>
  <c r="J35" i="1"/>
  <c r="J36" i="1"/>
  <c r="J37" i="1"/>
  <c r="J38" i="1"/>
  <c r="J39" i="1"/>
  <c r="J53" i="1"/>
  <c r="J54" i="1"/>
  <c r="J55" i="1"/>
  <c r="J56" i="1"/>
  <c r="J57" i="1"/>
  <c r="J68" i="1"/>
  <c r="J69" i="1"/>
  <c r="J70" i="1"/>
  <c r="J71" i="1"/>
  <c r="J72" i="1"/>
  <c r="J73" i="1"/>
  <c r="J74" i="1"/>
  <c r="J75" i="1"/>
  <c r="I118" i="1"/>
  <c r="I117" i="1"/>
  <c r="I116" i="1"/>
  <c r="I115" i="1"/>
  <c r="I114" i="1"/>
  <c r="I113" i="1"/>
  <c r="I111" i="1"/>
  <c r="I109" i="1"/>
  <c r="I106" i="1"/>
  <c r="I105" i="1"/>
  <c r="I104" i="1"/>
  <c r="I103" i="1"/>
  <c r="I102" i="1"/>
  <c r="I101" i="1"/>
  <c r="I99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76" i="1"/>
  <c r="I75" i="1"/>
  <c r="I73" i="1"/>
  <c r="I71" i="1"/>
  <c r="I70" i="1"/>
  <c r="I69" i="1"/>
  <c r="I68" i="1"/>
  <c r="I67" i="1"/>
  <c r="I66" i="1"/>
  <c r="I65" i="1"/>
  <c r="I64" i="1"/>
  <c r="I63" i="1"/>
  <c r="AG2" i="1" l="1"/>
  <c r="AG22" i="1"/>
  <c r="AG24" i="1"/>
  <c r="AG23" i="1"/>
  <c r="AJ22" i="1"/>
  <c r="AJ24" i="1"/>
  <c r="AJ23" i="1"/>
  <c r="AH21" i="1"/>
  <c r="AH24" i="1"/>
  <c r="AH23" i="1"/>
  <c r="AI22" i="1"/>
  <c r="AI24" i="1"/>
  <c r="AI23" i="1"/>
  <c r="AH22" i="1"/>
  <c r="AJ20" i="1"/>
  <c r="AJ21" i="1"/>
  <c r="AI19" i="1"/>
  <c r="AI20" i="1"/>
  <c r="AI21" i="1"/>
  <c r="AG20" i="1"/>
  <c r="AG21" i="1"/>
  <c r="AH20" i="1"/>
  <c r="AJ17" i="1"/>
  <c r="AJ18" i="1"/>
  <c r="AJ19" i="1"/>
  <c r="AG18" i="1"/>
  <c r="AG19" i="1"/>
  <c r="AI18" i="1"/>
  <c r="AH17" i="1"/>
  <c r="AH19" i="1"/>
  <c r="AH18" i="1"/>
  <c r="AG16" i="1"/>
  <c r="AG17" i="1"/>
  <c r="AI13" i="1"/>
  <c r="AI17" i="1"/>
  <c r="AH15" i="1"/>
  <c r="AH16" i="1"/>
  <c r="AJ15" i="1"/>
  <c r="AJ16" i="1"/>
  <c r="AI16" i="1"/>
  <c r="AG14" i="1"/>
  <c r="AG15" i="1"/>
  <c r="AI15" i="1"/>
  <c r="AJ13" i="1"/>
  <c r="AJ14" i="1"/>
  <c r="AH13" i="1"/>
  <c r="AH14" i="1"/>
  <c r="AI14" i="1"/>
  <c r="AG12" i="1"/>
  <c r="AG13" i="1"/>
  <c r="AH11" i="1"/>
  <c r="AH12" i="1"/>
  <c r="AJ11" i="1"/>
  <c r="AJ12" i="1"/>
  <c r="AI11" i="1"/>
  <c r="AI12" i="1"/>
  <c r="AG7" i="1"/>
  <c r="AG11" i="1"/>
  <c r="AJ7" i="1"/>
  <c r="AJ8" i="1"/>
  <c r="AJ9" i="1"/>
  <c r="AJ10" i="1"/>
  <c r="AG9" i="1"/>
  <c r="AH7" i="1"/>
  <c r="AH8" i="1"/>
  <c r="AH9" i="1"/>
  <c r="AH10" i="1"/>
  <c r="AG8" i="1"/>
  <c r="AI8" i="1"/>
  <c r="AI9" i="1"/>
  <c r="AI10" i="1"/>
  <c r="AG10" i="1"/>
  <c r="AI6" i="1"/>
  <c r="AI3" i="1" s="1"/>
  <c r="AI7" i="1"/>
  <c r="AG5" i="1"/>
  <c r="AG6" i="1"/>
  <c r="AG3" i="1" s="1"/>
  <c r="AI2" i="1"/>
  <c r="AG4" i="1"/>
  <c r="AH6" i="1"/>
  <c r="AH5" i="1"/>
  <c r="AH4" i="1"/>
  <c r="AI4" i="1"/>
  <c r="AJ4" i="1"/>
  <c r="AJ5" i="1"/>
  <c r="AJ6" i="1"/>
  <c r="AI5" i="1"/>
  <c r="I98" i="1"/>
  <c r="I100" i="1"/>
  <c r="AH2" i="1" l="1"/>
  <c r="AH3" i="1"/>
  <c r="AJ2" i="1"/>
  <c r="AJ3" i="1"/>
</calcChain>
</file>

<file path=xl/sharedStrings.xml><?xml version="1.0" encoding="utf-8"?>
<sst xmlns="http://schemas.openxmlformats.org/spreadsheetml/2006/main" count="1212" uniqueCount="282">
  <si>
    <t>PSW</t>
  </si>
  <si>
    <t>221259_FAW_C105EV_L2_ESPhev_BL62</t>
  </si>
  <si>
    <t>rb\as\cnms_core\app\net\scl_callout\src\</t>
  </si>
  <si>
    <t>RBA_NDS_ESP_2_Callout.c</t>
  </si>
  <si>
    <t>FAW_Carbon_TypeF_HevX_Int</t>
  </si>
  <si>
    <t>duong.nguyen</t>
  </si>
  <si>
    <t>rb\as\fawhevx\fawcore\app\net\RBScl\src\</t>
  </si>
  <si>
    <t>ComScl_Scl_Complex_proc.c</t>
  </si>
  <si>
    <t>chung.ly</t>
  </si>
  <si>
    <t>MC_232534_SGMW_CN202C_ESP9.3CPi_ACC_BSS04_SP02</t>
  </si>
  <si>
    <t>\rb\as\sgmw\CN210S\app\net\RBScl\RBScl_SGMW\src\</t>
  </si>
  <si>
    <t>SGMW_RBA_NDS_SystemInfo_Callout.c</t>
  </si>
  <si>
    <t>SGMW_ESP93_Carbon_Int</t>
  </si>
  <si>
    <t>NET_SCL_Rx_SGMW_RemoteControl.c</t>
  </si>
  <si>
    <t>BYD_IPB_SW_Mainstream_BL05_SP09</t>
  </si>
  <si>
    <t>NET_SCL_Rx_SystemInfo.c</t>
  </si>
  <si>
    <t>BYD_IPB_BL05_Int</t>
  </si>
  <si>
    <t>thanh.nguyen-kim</t>
  </si>
  <si>
    <t>BYD_Carbon_Mainstream_BL01</t>
  </si>
  <si>
    <t>\MainstreamF30\rb\as\byd\Bydcarbon\app\net\RBScl_Callout\</t>
  </si>
  <si>
    <t>ComScl_RxPdu_WorkingMode_Monitor.c</t>
  </si>
  <si>
    <t>BYD_Carbon_ESP93_Int</t>
  </si>
  <si>
    <t>loc.do-phu</t>
  </si>
  <si>
    <t>NET_SCL_Rx_EngineSpeed.c</t>
  </si>
  <si>
    <t>NET_SCL_Rx_GearBox.c</t>
  </si>
  <si>
    <t>NET_SCL_Rx_TCU.c</t>
  </si>
  <si>
    <t>NET_SCL_Rx_VAF_Complex.c</t>
  </si>
  <si>
    <t>RBA_NDS_Complex_Callout.c</t>
  </si>
  <si>
    <t>RBA_NDS_WheelOdoEdges_Callout.c</t>
  </si>
  <si>
    <t xml:space="preserve">\MainstreamF30\rb\as\byd\Bydcarbon\app\net\RBScl\        </t>
  </si>
  <si>
    <t>rba_SCL_Settings.c</t>
  </si>
  <si>
    <t xml:space="preserve">\MainstreamF30\rb\as\byd\Bydcarbon\app\net\RBScl\ </t>
  </si>
  <si>
    <t>RBNET_Scl_Complexsignals.c</t>
  </si>
  <si>
    <t>GWM_ESP9.3_CHB071_HP_RC2</t>
  </si>
  <si>
    <t>rb\as\core\hwp\cubas\Diagnosis</t>
  </si>
  <si>
    <t>DemCSMosar_EventLogger.c</t>
  </si>
  <si>
    <t>GWM_CHB071HevX_Carbon_Int</t>
  </si>
  <si>
    <t>RBDsm_Measurement.c</t>
  </si>
  <si>
    <t>FAW_HQEV_2WD_MC</t>
  </si>
  <si>
    <t>rb\as\core\app\net</t>
  </si>
  <si>
    <t>RBCAN_CanSMBusOffRecovery.c</t>
  </si>
  <si>
    <t>-</t>
  </si>
  <si>
    <t>FAW_MainPathHEV_Int</t>
  </si>
  <si>
    <t>rb\as\fawMPHev\prjConf\app\net</t>
  </si>
  <si>
    <t>NET_SCL_Tx_APBMi.c</t>
  </si>
  <si>
    <t>NET_SCL_Rx_HHC.c</t>
  </si>
  <si>
    <t>ASW</t>
  </si>
  <si>
    <t>GAC_Carbon_RPA_iBooster_Mainpath_BL04</t>
  </si>
  <si>
    <t>PFA_ISC_SituationSupport</t>
  </si>
  <si>
    <t>1366593.zip</t>
  </si>
  <si>
    <t>HHT_VX1_ESPHevX_BL2_Sprint3</t>
  </si>
  <si>
    <t>CM_IVC_RWS_Status</t>
  </si>
  <si>
    <t>1371465_1367009.zip</t>
  </si>
  <si>
    <t>CM_IVC_ModeHandling</t>
  </si>
  <si>
    <t>VDCVAFS_PreindicatorArbitrator</t>
  </si>
  <si>
    <t>1366969.zip</t>
  </si>
  <si>
    <t>VDCVAFS_VDCActiveArbitrator</t>
  </si>
  <si>
    <t>CM_IVC_HHT_HADPADActivation</t>
  </si>
  <si>
    <t>239689_NIO_G1.3&amp;G1.F_ESPHevX_BSS03_SP01</t>
  </si>
  <si>
    <t>CDD_SsmSelContr</t>
  </si>
  <si>
    <t>1345833.zip</t>
  </si>
  <si>
    <t>E111_ESPHevx_BSL30</t>
  </si>
  <si>
    <t>rba\Bldr_FAW</t>
  </si>
  <si>
    <t>rba_BldrCmp_Cfg_Functions.c</t>
  </si>
  <si>
    <t>FAW_E111_ESPHevX_Int</t>
  </si>
  <si>
    <t>rba_BldrCmp_Cfg_NvmIf.c</t>
  </si>
  <si>
    <t>rba_BldrCmp_Cfg_CheckMem.c</t>
  </si>
  <si>
    <t>Geely_KC2A_ESP9.3_HB_225750_BB8033_BL04_SP01</t>
  </si>
  <si>
    <t>rb\as\geely\core\app\dcom\RBAPLCust\src\</t>
  </si>
  <si>
    <t>RBAPLCUST_RBDI_NVMData.c</t>
  </si>
  <si>
    <t xml:space="preserve">Geely_Beryllium2_OBD_China6_Int </t>
  </si>
  <si>
    <t>GAC_Carbon_Stream_ESPCP_BL04</t>
  </si>
  <si>
    <t>rb\as\gaig\core\app\dcom\RBAPLCust\src\common\</t>
  </si>
  <si>
    <t>RBAPLCUST_RBDI_VariandCode.c</t>
  </si>
  <si>
    <t>GAC_ESP93CP_Carbon_Int</t>
  </si>
  <si>
    <t>rb\as\gaig\core\app\dcom\RBAPLCust\src\ESP\</t>
  </si>
  <si>
    <t>RBAPLCUST_RDBI_TPMS_GAC.c</t>
  </si>
  <si>
    <t>RBAPLCUST_WDBI_TPMS_GAC.c</t>
  </si>
  <si>
    <t>RBAPLCUST_RoutineControl_TPMSReset.c</t>
  </si>
  <si>
    <t>rb\as\cnms_core\app\dcom\RBAPLCust\src\ESP\</t>
  </si>
  <si>
    <t>RBAPLCUST_EOLDelayCtrlOrAPBMi.c</t>
  </si>
  <si>
    <t>rb\as\gaig\core\app\dcom\Cubas\src\Dcm_CNMS\</t>
  </si>
  <si>
    <t>DcmAppl_DcmSwitchCommunicationControl.c</t>
  </si>
  <si>
    <t>RBAPLCUST_DiagnosticSessionControl.c</t>
  </si>
  <si>
    <t>240688_DFSK_F517\527\537_EVR_Carbon_ESP9.3</t>
  </si>
  <si>
    <t>rb\as\dfsk\CpiwAPB\app\dsm\RBVAR\src\</t>
  </si>
  <si>
    <t>RBVAR_VarCode_PROJECT.c</t>
  </si>
  <si>
    <t>DFSK_ESP_Carbon_Int</t>
  </si>
  <si>
    <t>rb\as\dfsk\CpiwAPB\app\net\RBScl\RBScl_DFSK\src\</t>
  </si>
  <si>
    <t>NET_Monitoring.c</t>
  </si>
  <si>
    <t>NET_VAR_IsVcActive.c</t>
  </si>
  <si>
    <t>RBA_NDS_Rx_ASW_Callout.c</t>
  </si>
  <si>
    <t>RBA_NDS_Rx_VAF_Callout.c</t>
  </si>
  <si>
    <t>RBA_NDS_Tx_ASW_Callout.c</t>
  </si>
  <si>
    <t>rb\as\dfsk\CpiwAPB\hswpr\tst\hswsim\src\</t>
  </si>
  <si>
    <t>TestEnvironment_Fee_EV702148.c</t>
  </si>
  <si>
    <t>Adapt_236234_SMART_VDDM_ESPHevX_BSS02_E2_SP2</t>
  </si>
  <si>
    <t>GEEA2.0\rb\as\cevt\Geely\app\dsm\RBVAR\src\</t>
  </si>
  <si>
    <t>VAR09_OutputDriver_CEVT.c</t>
  </si>
  <si>
    <t>CEVT_GEEA_SMART_Deuterium_Int</t>
  </si>
  <si>
    <t>VAR09_IDDefinitionTable_CEVT.c</t>
  </si>
  <si>
    <t>235199_SAIC_EP21_MCE_ESP9.3HevX_BSS03_SP02</t>
  </si>
  <si>
    <t>ESPhevXSAICEP\rba\Bldr\config\ApplicationLayer\rba_BldrCmp\src</t>
  </si>
  <si>
    <t>rba_BldrCmp_Cfg_PrjFunctions.c</t>
  </si>
  <si>
    <t>SAIC_EP_CMP_ESPHevX_Int</t>
  </si>
  <si>
    <t>rba_BldrCMP_Cfg_CRC.c</t>
  </si>
  <si>
    <t>235199_SAIC_EP21_MCE_ESP9.3HevX_BSS03_SP03</t>
  </si>
  <si>
    <t>rb\as\saicep\esphevx\app\net\RBScl\src\</t>
  </si>
  <si>
    <t>ComScl_Scl_Complex.c</t>
  </si>
  <si>
    <t>233878_GAC_A20_CarbonESP9.3CP_BL04</t>
  </si>
  <si>
    <t>AvhSendSoftSwctrlst</t>
  </si>
  <si>
    <t>1380028.zip</t>
  </si>
  <si>
    <t>ApbDynConfig</t>
  </si>
  <si>
    <t>1379963.zip</t>
  </si>
  <si>
    <t>EPBVirtualButtonSignalProcess</t>
  </si>
  <si>
    <t xml:space="preserve">EPBButton_StpOnBrkProcess    </t>
  </si>
  <si>
    <t xml:space="preserve">EPBButtonArbitration         </t>
  </si>
  <si>
    <t>EPBVirtualButton_DragMode</t>
  </si>
  <si>
    <t>GEELY_BX11_ESP9.3HD_BL06_SP01</t>
  </si>
  <si>
    <t xml:space="preserve">HMI_ApbFunctionLamp </t>
  </si>
  <si>
    <t>1381575.zip</t>
  </si>
  <si>
    <t>GEELY_BX11_ESPHEVX_BL06_SP01</t>
  </si>
  <si>
    <t>HMI_ApbFunctionLamp</t>
  </si>
  <si>
    <t>1382215.zip</t>
  </si>
  <si>
    <t>221602_CheHeJia_D01_ESPHevX_BL04</t>
  </si>
  <si>
    <t>rb\as\cnms_core\app\net\scl\Sensors\Steering\src</t>
  </si>
  <si>
    <t>SAS_Functions.c</t>
  </si>
  <si>
    <t>CheHeJia_D01_ESPHevX_Int</t>
  </si>
  <si>
    <t>CNMSESPHevX\rb\as\faw\core\app\dcom\RBAPLCust\src\ESP\</t>
  </si>
  <si>
    <t>RBAPLCUST_RDBI_IOCtrlState.c</t>
  </si>
  <si>
    <t>Geely_KC2A_ESP9.3_HB_225750_BB8033</t>
  </si>
  <si>
    <t>\MainstreamF30\rb\as\geely\project\app\obd\ObdCvnCalId\src\</t>
  </si>
  <si>
    <t>Obd_Cvn_CalId.c</t>
  </si>
  <si>
    <t>Geely_Beryllium2_OBD_China6_Int</t>
  </si>
  <si>
    <t>225378_FAW_D357_High_BL31</t>
  </si>
  <si>
    <t>rb\as\fawMP\prjConf\dsmpr\src\RBEMM\</t>
  </si>
  <si>
    <t>CCM_Callbacks_Project.c</t>
  </si>
  <si>
    <t>FAW_MainPath_V2.0_Int</t>
  </si>
  <si>
    <t>EC_245942_GAC_Carbon_A39Phev_EC_OBD_BL01</t>
  </si>
  <si>
    <t>rb\as\gaig\A12ESP\app\dsm\RBVAR\BB_99735A39Phev\src\</t>
  </si>
  <si>
    <t>rb\as\cnms_core\app\dsm\DemVar\src\</t>
  </si>
  <si>
    <t>Dem_VarCodeHandling.c</t>
  </si>
  <si>
    <t>rb\as\gaig\A12ESP\app\obd\ObdPermanentDTCStorge\src\</t>
  </si>
  <si>
    <t>Dem_PrjObdProjectExtension.c</t>
  </si>
  <si>
    <t>ObdPermanentDTCStorge_GAC.c</t>
  </si>
  <si>
    <t>\MainstreamF30\rb\as\gaig\A12ESP\app\dsm\RBVAR\BB_81116A76CP\src\</t>
  </si>
  <si>
    <t>RBVAR_OutputDriver_PROJECT.c</t>
  </si>
  <si>
    <t>\MainstreamF30\rb\as\gaig\A12ESP\app\dsm\RBVAR\BB_81175A36CP\src\</t>
  </si>
  <si>
    <t>rb\as\gaig\A12ESP\app\dsm\RBVAR\BB_81989A11HD\src\</t>
  </si>
  <si>
    <t>rb\as\gaig\A12ESP\app\dsm\RBVAR\BB_81990A11CP\src\</t>
  </si>
  <si>
    <t>Adapt_218053_CA_CD569_ESP9.3CP_BL6_SP1</t>
  </si>
  <si>
    <t>rb\as\ca\core\app\dcom\RBAPLCust\src\ESP\</t>
  </si>
  <si>
    <t>RBAPLCUST_RoutineControl_ConditionCheck.c</t>
  </si>
  <si>
    <t>ChangAn_ESP_Carbon_Int</t>
  </si>
  <si>
    <t>241595_GAC_A27_ESP9.3CP_BL04</t>
  </si>
  <si>
    <t>rb\as\gaig\core\app\dcom\RBAPLCust\src\</t>
  </si>
  <si>
    <t>RBAPLCUST_RDBI_InputData_APBMi.c</t>
  </si>
  <si>
    <t>GAC_ESP93CP_A26HD_Int</t>
  </si>
  <si>
    <t>RBAPLCUST_WDBI_NVMData.c</t>
  </si>
  <si>
    <t>CNMS Super Deuterium BSS01</t>
  </si>
  <si>
    <t>rb\as\rbcn\core\app\dcom\RBAPLCust\src\iBooster</t>
  </si>
  <si>
    <t>RBAPLCUST_RDBI_AnalogData.c</t>
  </si>
  <si>
    <t>CNMS_Deuterium_Int</t>
  </si>
  <si>
    <t>RBAPLCUST_RDBI_StatusInformation.c</t>
  </si>
  <si>
    <t>RBAPLCUST_RoutineControl_iBoosterActuatorTest.c</t>
  </si>
  <si>
    <t>rb\as\rbcn\core\app\dcom\RBAPLCust\src\IPB</t>
  </si>
  <si>
    <t>RBAPLCUST_InputOutputControl.c</t>
  </si>
  <si>
    <t>RBAPLCUST_InputOutputControl_GeneralFunctions.c</t>
  </si>
  <si>
    <t>RBAPLCUST_RDBI_ActuationState.c</t>
  </si>
  <si>
    <t>RBAPLCUST_RDBI_CBDS.c</t>
  </si>
  <si>
    <t>RBAPLCUST_RDBI_IPBAssemblyMode.c</t>
  </si>
  <si>
    <t>RBAPLCUST_RDBI_PBC.c</t>
  </si>
  <si>
    <t>RBAPLCUST_RDBI_SystemData.c</t>
  </si>
  <si>
    <t>RBAPLCUST_RDBI_SystemSensor.c</t>
  </si>
  <si>
    <t>RBAPLCUST_RoutineControl_INSCalibration.c</t>
  </si>
  <si>
    <t>RBAPLCUST_RoutineControl_IPBAirMonitoring.c</t>
  </si>
  <si>
    <t>RBAPLCUST_RoutineControl_IPBBrakeFluidChange.c</t>
  </si>
  <si>
    <t>RBAPLCUST_RoutineControl_IPBComfortPulseCalibration.c</t>
  </si>
  <si>
    <t>RBAPLCUST_RoutineControl_IPBDynamicTest.c</t>
  </si>
  <si>
    <t>RBAPLCUST_RoutineControl_IPBEvacAndFill.c</t>
  </si>
  <si>
    <t>RBAPLCUST_RoutineControl_IPBLeakageAndAirTest.c</t>
  </si>
  <si>
    <t>RBAPLCUST_RoutineControl_IPBRepairBleed.c</t>
  </si>
  <si>
    <t>RBAPLCUST_RoutineControl_IPBRPSCalibration.c</t>
  </si>
  <si>
    <t>RBAPLCUST_RoutineControl_IPBTandemMasterCylinderTest.c</t>
  </si>
  <si>
    <t>RBAPLCUST_RoutineControl_SteeringAngleSensorCalibration.c</t>
  </si>
  <si>
    <t>RBAPLCUST_RoutineControl_WheelSpeedSensorTest.c</t>
  </si>
  <si>
    <t>RBAPLCUST_WDBI_IPBAssemblyMode.c</t>
  </si>
  <si>
    <t>rb\as\cnms_core\app\dcom\RBAPLCust\src\common</t>
  </si>
  <si>
    <t>RBAPLCUST_RBDI_NVMData_Common.c</t>
  </si>
  <si>
    <t>RBAPLCUST_EcuReset.c</t>
  </si>
  <si>
    <t>RBAPLCUST_GeneralFunctions.c</t>
  </si>
  <si>
    <t>RBAPLCUST_NVMGeneric.c</t>
  </si>
  <si>
    <t>RBAPLCUST_RDBI_VehicleSpeed.c</t>
  </si>
  <si>
    <t>rb\as\cnms_core\app\dcom\RBAPLCust\src\ESP</t>
  </si>
  <si>
    <t>RBAPLCUST_RDBI_WheelSpeed.c</t>
  </si>
  <si>
    <t>RBAPLCUST_RoutineControl_EOLTable.c</t>
  </si>
  <si>
    <t>RBAPLCUST_RoutineControl_SpeedLimit.c</t>
  </si>
  <si>
    <t>RBAPLCUST_RoutineControl_VRShutdown.c</t>
  </si>
  <si>
    <t>rb\as\cnms_core\app\dcom\RBAPLCust\src\IPB</t>
  </si>
  <si>
    <t>RBAPLCUST_RBDI_NVMData_ESP.c</t>
  </si>
  <si>
    <t>RBAPLCUST_WDBI_NVMData_ESP.c</t>
  </si>
  <si>
    <t>Type</t>
  </si>
  <si>
    <t>Project</t>
  </si>
  <si>
    <t>ComponentName</t>
  </si>
  <si>
    <t>TaskID</t>
  </si>
  <si>
    <t>ItemName</t>
  </si>
  <si>
    <t>Database</t>
  </si>
  <si>
    <t>Tester</t>
  </si>
  <si>
    <t>Estimation base TOOL</t>
  </si>
  <si>
    <t>Actual hour</t>
  </si>
  <si>
    <t>GAC_Carbon_Stream_ESPCP</t>
  </si>
  <si>
    <t>BYD_IPB_SW_Mainstream_BL05</t>
  </si>
  <si>
    <t>Adapt_236234_SMART_VDDM_ESPHevX_BSS02</t>
  </si>
  <si>
    <t>216997_FAW_E115_L3_IB2_BL60</t>
  </si>
  <si>
    <t>216916_FAW_E115_L3_ESPhev_APB(CBi)_BL60</t>
  </si>
  <si>
    <t>GWM_B30_CP_BSS07</t>
  </si>
  <si>
    <t>SAIC SV51H iBooster BSS05 SP04</t>
  </si>
  <si>
    <t>BYD_IPB_SW_Mainstream_BL05_SP10</t>
  </si>
  <si>
    <t>DFN_ESP_Gen9.3_534_238307_BS03SP02</t>
  </si>
  <si>
    <t>MC_244837_SGMW_CN210M_RC_ABS9.3CBi_BL01_SP01</t>
  </si>
  <si>
    <t>MC_227282_SGMW_E200_Plus_ESPCPiGen9.3_BSS04_SP02</t>
  </si>
  <si>
    <t>239689_NIO_G1.3&amp;G1.F_ESPHevX_BSS03</t>
  </si>
  <si>
    <t>221259_FAW_C105EV_L2_ESPhev</t>
  </si>
  <si>
    <t>MC_232534_SGMW_CN202C_ESP9.3CPi_ACC</t>
  </si>
  <si>
    <t>BYD_IPB_SW_Mainstream</t>
  </si>
  <si>
    <t>BYD_Carbon_Mainstream</t>
  </si>
  <si>
    <t>GAC_Carbon_RPA_iBooster_Mainpath</t>
  </si>
  <si>
    <t>HHT_VX1_ESPHevX</t>
  </si>
  <si>
    <t>239689_NIO_G1.3&amp;G1.F_ESPHevX</t>
  </si>
  <si>
    <t>E111_ESPHevx</t>
  </si>
  <si>
    <t>Adapt_236234_SMART_VDDM_ESPHevX</t>
  </si>
  <si>
    <t>235199_SAIC_EP21_MCE_ESP9.3HevX</t>
  </si>
  <si>
    <t>233878_GAC_A20_CarbonESP9.3CP</t>
  </si>
  <si>
    <t>225378_FAW_D357_High</t>
  </si>
  <si>
    <t>Adapt_218053_CA_CD569_ESP9.3CP</t>
  </si>
  <si>
    <t>216997_FAW_E115_L3_IB2</t>
  </si>
  <si>
    <t>216916_FAW_E115_L3_ESPhev_APB(CBi)</t>
  </si>
  <si>
    <t>SAIC SV51H iBooster</t>
  </si>
  <si>
    <t>MC_244837_SGMW_CN210M_RC_ABS9.3CBi</t>
  </si>
  <si>
    <t>241595_GAC_A27_ESP9.3CP</t>
  </si>
  <si>
    <t>MC_227282_SGMW_E200_Plus_ESPCPiGen9.3</t>
  </si>
  <si>
    <t>GEELY_BX11_ESPHEVX</t>
  </si>
  <si>
    <t>GWM_B30_CP</t>
  </si>
  <si>
    <t>GEELY_BX11_ESP9.3HD</t>
  </si>
  <si>
    <t>EC_245942_GAC_Carbon_A39Phev_EC_OBD</t>
  </si>
  <si>
    <t>DFN_ESP_Gen9.3_534_238307</t>
  </si>
  <si>
    <t>Total hours</t>
  </si>
  <si>
    <t>Refer Total KPI</t>
  </si>
  <si>
    <t>Judge Total KPI</t>
  </si>
  <si>
    <t>No</t>
  </si>
  <si>
    <t>LOC Assigned</t>
  </si>
  <si>
    <t>LOC Complete</t>
  </si>
  <si>
    <t>Effort (days)</t>
  </si>
  <si>
    <t>KPI/days</t>
  </si>
  <si>
    <t>Status (%)</t>
  </si>
  <si>
    <t>OPL</t>
  </si>
  <si>
    <t>Defect</t>
  </si>
  <si>
    <t>Total LOC complete without remain</t>
  </si>
  <si>
    <t>Rank LOC</t>
  </si>
  <si>
    <t>Rank KPI</t>
  </si>
  <si>
    <t>hieu.nguyen-trung</t>
  </si>
  <si>
    <t>N/A</t>
  </si>
  <si>
    <t>hau.nguyen-tai</t>
  </si>
  <si>
    <t>bang.nguyen-duy</t>
  </si>
  <si>
    <t>dac.luu-cong</t>
  </si>
  <si>
    <t>duong.nguyen-tuan</t>
  </si>
  <si>
    <t>huy.do-anh</t>
  </si>
  <si>
    <t>phuong.nguyen-thanh</t>
  </si>
  <si>
    <t>khang.duong-chi</t>
  </si>
  <si>
    <t>chuong.nguyen-minh</t>
  </si>
  <si>
    <t>nam.phan-the</t>
  </si>
  <si>
    <t>huy.nguyen-hoang</t>
  </si>
  <si>
    <t>Redundant LOC</t>
  </si>
  <si>
    <t>Redundant Manday</t>
  </si>
  <si>
    <t>Name</t>
  </si>
  <si>
    <t>Sub team</t>
  </si>
  <si>
    <t>JOEM</t>
  </si>
  <si>
    <t>COEM</t>
  </si>
  <si>
    <t>Total ELOCs</t>
  </si>
  <si>
    <t>Performance</t>
  </si>
  <si>
    <t>Total</t>
  </si>
  <si>
    <t>Nums of defects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</si>
</sst>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61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1AF9C"/>
        <bgColor indexed="64"/>
      </patternFill>
    </fill>
    <fill>
      <patternFill patternType="solid">
        <fgColor rgb="FF75912F"/>
        <bgColor indexed="64"/>
      </patternFill>
    </fill>
    <fill>
      <patternFill patternType="solid">
        <fgColor rgb="FFAFBC04"/>
        <bgColor indexed="64"/>
      </patternFill>
    </fill>
    <fill>
      <patternFill patternType="solid">
        <fgColor rgb="FF3C846E"/>
        <bgColor indexed="64"/>
      </patternFill>
    </fill>
    <fill>
      <patternFill patternType="solid">
        <fgColor rgb="FFBD03B4"/>
        <bgColor indexed="64"/>
      </patternFill>
    </fill>
    <fill>
      <patternFill patternType="solid">
        <fgColor rgb="FFB40C7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1F9AF"/>
        <bgColor indexed="64"/>
      </patternFill>
    </fill>
    <fill>
      <patternFill patternType="solid">
        <fgColor rgb="FF6FD6FB"/>
        <bgColor indexed="64"/>
      </patternFill>
    </fill>
    <fill>
      <patternFill patternType="solid">
        <fgColor rgb="FF7895F2"/>
        <bgColor indexed="64"/>
      </patternFill>
    </fill>
    <fill>
      <patternFill patternType="solid">
        <fgColor rgb="FFE185BC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quotePrefix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quotePrefix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quotePrefix="1" applyFont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0" fillId="0" borderId="2" xfId="0" applyBorder="1" applyAlignment="1">
      <alignment horizontal="left" vertical="top"/>
    </xf>
    <xf numFmtId="0" fontId="2" fillId="0" borderId="1" xfId="0" applyFont="1" applyBorder="1"/>
    <xf numFmtId="0" fontId="0" fillId="5" borderId="0" xfId="0" applyFill="1"/>
    <xf numFmtId="0" fontId="2" fillId="6" borderId="3" xfId="0" applyFont="1" applyFill="1" applyBorder="1"/>
    <xf numFmtId="0" fontId="0" fillId="6" borderId="0" xfId="0" applyFill="1"/>
    <xf numFmtId="0" fontId="1" fillId="5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2" fillId="5" borderId="0" xfId="0" applyFont="1" applyFill="1"/>
    <xf numFmtId="0" fontId="2" fillId="3" borderId="0" xfId="0" applyFont="1" applyFill="1" applyBorder="1"/>
    <xf numFmtId="0" fontId="0" fillId="3" borderId="0" xfId="0" applyFill="1"/>
    <xf numFmtId="0" fontId="0" fillId="7" borderId="1" xfId="0" applyFill="1" applyBorder="1" applyAlignment="1">
      <alignment horizontal="left" vertical="top"/>
    </xf>
    <xf numFmtId="0" fontId="2" fillId="7" borderId="0" xfId="0" applyFont="1" applyFill="1" applyBorder="1"/>
    <xf numFmtId="0" fontId="0" fillId="7" borderId="0" xfId="0" applyFill="1"/>
    <xf numFmtId="0" fontId="0" fillId="8" borderId="1" xfId="0" applyFill="1" applyBorder="1" applyAlignment="1">
      <alignment horizontal="left" vertical="top"/>
    </xf>
    <xf numFmtId="0" fontId="2" fillId="8" borderId="0" xfId="0" applyFont="1" applyFill="1" applyBorder="1"/>
    <xf numFmtId="0" fontId="0" fillId="8" borderId="0" xfId="0" applyFill="1"/>
    <xf numFmtId="0" fontId="4" fillId="8" borderId="1" xfId="0" applyFont="1" applyFill="1" applyBorder="1" applyAlignment="1">
      <alignment horizontal="left" vertical="top"/>
    </xf>
    <xf numFmtId="0" fontId="2" fillId="9" borderId="0" xfId="0" applyFont="1" applyFill="1" applyBorder="1"/>
    <xf numFmtId="0" fontId="0" fillId="9" borderId="0" xfId="0" applyFill="1"/>
    <xf numFmtId="0" fontId="3" fillId="9" borderId="1" xfId="0" applyFont="1" applyFill="1" applyBorder="1" applyAlignment="1">
      <alignment horizontal="left" vertical="top"/>
    </xf>
    <xf numFmtId="0" fontId="0" fillId="9" borderId="1" xfId="0" applyFill="1" applyBorder="1" applyAlignment="1">
      <alignment horizontal="left" vertical="top"/>
    </xf>
    <xf numFmtId="0" fontId="2" fillId="10" borderId="0" xfId="0" applyFont="1" applyFill="1" applyBorder="1"/>
    <xf numFmtId="0" fontId="2" fillId="11" borderId="0" xfId="0" applyFont="1" applyFill="1" applyBorder="1"/>
    <xf numFmtId="0" fontId="0" fillId="11" borderId="1" xfId="0" applyFill="1" applyBorder="1" applyAlignment="1">
      <alignment horizontal="left" vertical="top"/>
    </xf>
    <xf numFmtId="0" fontId="0" fillId="11" borderId="0" xfId="0" applyFill="1"/>
    <xf numFmtId="0" fontId="2" fillId="12" borderId="0" xfId="0" applyFont="1" applyFill="1" applyBorder="1"/>
    <xf numFmtId="0" fontId="4" fillId="12" borderId="1" xfId="0" applyFont="1" applyFill="1" applyBorder="1" applyAlignment="1">
      <alignment horizontal="left" vertical="top"/>
    </xf>
    <xf numFmtId="0" fontId="0" fillId="12" borderId="1" xfId="0" applyFill="1" applyBorder="1" applyAlignment="1">
      <alignment horizontal="left" vertical="top"/>
    </xf>
    <xf numFmtId="0" fontId="0" fillId="12" borderId="0" xfId="0" applyFill="1"/>
    <xf numFmtId="0" fontId="2" fillId="13" borderId="0" xfId="0" applyFont="1" applyFill="1" applyBorder="1"/>
    <xf numFmtId="0" fontId="0" fillId="13" borderId="1" xfId="0" applyFill="1" applyBorder="1" applyAlignment="1">
      <alignment horizontal="left" vertical="top"/>
    </xf>
    <xf numFmtId="0" fontId="0" fillId="13" borderId="0" xfId="0" applyFill="1"/>
    <xf numFmtId="0" fontId="2" fillId="14" borderId="0" xfId="0" applyFont="1" applyFill="1" applyBorder="1"/>
    <xf numFmtId="0" fontId="0" fillId="14" borderId="1" xfId="0" applyFill="1" applyBorder="1" applyAlignment="1">
      <alignment horizontal="left" vertical="top"/>
    </xf>
    <xf numFmtId="0" fontId="3" fillId="14" borderId="1" xfId="0" applyFont="1" applyFill="1" applyBorder="1" applyAlignment="1">
      <alignment horizontal="left" vertical="top"/>
    </xf>
    <xf numFmtId="0" fontId="1" fillId="14" borderId="1" xfId="0" applyFont="1" applyFill="1" applyBorder="1" applyAlignment="1">
      <alignment horizontal="left" vertical="top"/>
    </xf>
    <xf numFmtId="0" fontId="0" fillId="14" borderId="0" xfId="0" applyFill="1"/>
    <xf numFmtId="0" fontId="2" fillId="15" borderId="0" xfId="0" applyFont="1" applyFill="1" applyBorder="1"/>
    <xf numFmtId="0" fontId="0" fillId="15" borderId="1" xfId="0" applyFill="1" applyBorder="1" applyAlignment="1">
      <alignment horizontal="left" vertical="top"/>
    </xf>
    <xf numFmtId="0" fontId="0" fillId="15" borderId="0" xfId="0" applyFill="1"/>
    <xf numFmtId="0" fontId="2" fillId="16" borderId="0" xfId="0" applyFont="1" applyFill="1" applyBorder="1"/>
    <xf numFmtId="0" fontId="0" fillId="16" borderId="1" xfId="0" applyFill="1" applyBorder="1" applyAlignment="1">
      <alignment horizontal="left" vertical="top"/>
    </xf>
    <xf numFmtId="0" fontId="0" fillId="16" borderId="0" xfId="0" applyFill="1"/>
    <xf numFmtId="0" fontId="2" fillId="17" borderId="0" xfId="0" applyFont="1" applyFill="1" applyBorder="1"/>
    <xf numFmtId="0" fontId="0" fillId="17" borderId="1" xfId="0" applyFill="1" applyBorder="1" applyAlignment="1">
      <alignment horizontal="left" vertical="top"/>
    </xf>
    <xf numFmtId="0" fontId="0" fillId="17" borderId="0" xfId="0" applyFill="1"/>
    <xf numFmtId="0" fontId="2" fillId="18" borderId="0" xfId="0" applyFont="1" applyFill="1" applyBorder="1"/>
    <xf numFmtId="0" fontId="0" fillId="18" borderId="1" xfId="0" applyFill="1" applyBorder="1" applyAlignment="1">
      <alignment horizontal="left" vertical="top"/>
    </xf>
    <xf numFmtId="0" fontId="0" fillId="18" borderId="0" xfId="0" applyFill="1"/>
    <xf numFmtId="0" fontId="2" fillId="19" borderId="0" xfId="0" applyFont="1" applyFill="1" applyBorder="1"/>
    <xf numFmtId="0" fontId="0" fillId="19" borderId="1" xfId="0" applyFill="1" applyBorder="1" applyAlignment="1">
      <alignment horizontal="left" vertical="top"/>
    </xf>
    <xf numFmtId="0" fontId="0" fillId="19" borderId="0" xfId="0" applyFill="1"/>
    <xf numFmtId="0" fontId="0" fillId="20" borderId="1" xfId="0" applyFill="1" applyBorder="1" applyAlignment="1">
      <alignment horizontal="left" vertical="top"/>
    </xf>
    <xf numFmtId="0" fontId="0" fillId="20" borderId="0" xfId="0" applyFill="1"/>
    <xf numFmtId="0" fontId="2" fillId="20" borderId="0" xfId="0" applyFont="1" applyFill="1" applyBorder="1"/>
    <xf numFmtId="0" fontId="2" fillId="21" borderId="0" xfId="0" applyFont="1" applyFill="1" applyBorder="1"/>
    <xf numFmtId="0" fontId="0" fillId="21" borderId="1" xfId="0" applyFill="1" applyBorder="1" applyAlignment="1">
      <alignment horizontal="left" vertical="top"/>
    </xf>
    <xf numFmtId="0" fontId="0" fillId="21" borderId="0" xfId="0" applyFill="1"/>
    <xf numFmtId="0" fontId="2" fillId="22" borderId="0" xfId="0" applyFont="1" applyFill="1" applyBorder="1"/>
    <xf numFmtId="0" fontId="0" fillId="22" borderId="0" xfId="0" applyFill="1"/>
    <xf numFmtId="0" fontId="0" fillId="22" borderId="1" xfId="0" applyFill="1" applyBorder="1" applyAlignment="1">
      <alignment horizontal="left" vertical="top"/>
    </xf>
    <xf numFmtId="0" fontId="2" fillId="23" borderId="0" xfId="0" applyFont="1" applyFill="1" applyBorder="1"/>
    <xf numFmtId="0" fontId="0" fillId="23" borderId="1" xfId="0" applyFill="1" applyBorder="1" applyAlignment="1">
      <alignment horizontal="left" vertical="top"/>
    </xf>
    <xf numFmtId="0" fontId="0" fillId="23" borderId="0" xfId="0" applyFill="1"/>
    <xf numFmtId="0" fontId="0" fillId="10" borderId="0" xfId="0" applyFill="1"/>
    <xf numFmtId="0" fontId="4" fillId="10" borderId="1" xfId="0" applyFont="1" applyFill="1" applyBorder="1" applyAlignment="1">
      <alignment horizontal="left" vertical="top"/>
    </xf>
    <xf numFmtId="0" fontId="0" fillId="10" borderId="1" xfId="0" applyFill="1" applyBorder="1" applyAlignment="1">
      <alignment horizontal="left" vertical="top"/>
    </xf>
    <xf numFmtId="0" fontId="2" fillId="24" borderId="0" xfId="0" applyFont="1" applyFill="1" applyBorder="1"/>
    <xf numFmtId="0" fontId="0" fillId="24" borderId="1" xfId="0" applyFill="1" applyBorder="1" applyAlignment="1">
      <alignment horizontal="left" vertical="top"/>
    </xf>
    <xf numFmtId="0" fontId="0" fillId="24" borderId="0" xfId="0" applyFill="1"/>
    <xf numFmtId="0" fontId="2" fillId="25" borderId="0" xfId="0" applyFont="1" applyFill="1" applyBorder="1"/>
    <xf numFmtId="0" fontId="0" fillId="25" borderId="0" xfId="0" applyFill="1"/>
    <xf numFmtId="0" fontId="0" fillId="25" borderId="1" xfId="0" applyFill="1" applyBorder="1" applyAlignment="1">
      <alignment horizontal="left" vertical="top"/>
    </xf>
    <xf numFmtId="0" fontId="4" fillId="22" borderId="0" xfId="0" applyFont="1" applyFill="1" applyBorder="1" applyAlignment="1">
      <alignment horizontal="left" vertical="top"/>
    </xf>
    <xf numFmtId="0" fontId="0" fillId="0" borderId="0" xfId="0" applyBorder="1"/>
    <xf numFmtId="0" fontId="2" fillId="22" borderId="1" xfId="0" applyFont="1" applyFill="1" applyBorder="1"/>
    <xf numFmtId="10" fontId="0" fillId="0" borderId="1" xfId="0" applyNumberFormat="1" applyBorder="1"/>
    <xf numFmtId="0" fontId="0" fillId="0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10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colors>
    <mruColors>
      <color rgb="FF6FD6FB"/>
      <color rgb="FFE185BC"/>
      <color rgb="FF7895F2"/>
      <color rgb="FF71F9AF"/>
      <color rgb="FFB40C70"/>
      <color rgb="FF762D93"/>
      <color rgb="FFBD03B4"/>
      <color rgb="FF3C846E"/>
      <color rgb="FFAFBC04"/>
      <color rgb="FF7591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r.TD/Desktop/git/Summary_CO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EM_Package_20200302"/>
      <sheetName val="|-&gt;"/>
      <sheetName val="Template_Weekly_Report"/>
      <sheetName val="COEM_Package_20200401"/>
      <sheetName val="Sheet1"/>
      <sheetName val="Template_Weekly_Report_Apr"/>
      <sheetName val="Report_For_Each_Project"/>
      <sheetName val="Table"/>
      <sheetName val="Check_List"/>
      <sheetName val="|--&gt;"/>
      <sheetName val="Weekly_20200327"/>
      <sheetName val="Monthly_202003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65"/>
  <sheetViews>
    <sheetView workbookViewId="0">
      <selection activeCell="B12" sqref="B12"/>
    </sheetView>
  </sheetViews>
  <sheetFormatPr defaultRowHeight="15" x14ac:dyDescent="0.25"/>
  <cols>
    <col min="2" max="2" width="52.28515625" bestFit="1" customWidth="1"/>
    <col min="10" max="10" width="26.28515625" customWidth="1"/>
    <col min="11" max="11" width="28.140625" customWidth="1"/>
    <col min="12" max="32" width="30.7109375" customWidth="1"/>
    <col min="33" max="34" width="13.7109375" bestFit="1" customWidth="1"/>
    <col min="35" max="36" width="17.5703125" bestFit="1" customWidth="1"/>
    <col min="37" max="37" width="14.28515625" customWidth="1"/>
    <col min="38" max="38" width="44.7109375" bestFit="1" customWidth="1"/>
    <col min="40" max="40" width="10.5703125" bestFit="1" customWidth="1"/>
    <col min="41" max="41" width="44.7109375" bestFit="1" customWidth="1"/>
    <col min="45" max="45" width="44.7109375" bestFit="1" customWidth="1"/>
    <col min="48" max="48" width="44.7109375" bestFit="1" customWidth="1"/>
  </cols>
  <sheetData>
    <row r="1" spans="1:49" x14ac:dyDescent="0.25">
      <c r="A1" s="19" t="s">
        <v>201</v>
      </c>
      <c r="B1" s="19" t="s">
        <v>202</v>
      </c>
      <c r="C1" s="19" t="s">
        <v>203</v>
      </c>
      <c r="D1" s="19" t="s">
        <v>204</v>
      </c>
      <c r="E1" s="19" t="s">
        <v>205</v>
      </c>
      <c r="F1" s="19" t="s">
        <v>206</v>
      </c>
      <c r="G1" s="19" t="s">
        <v>207</v>
      </c>
      <c r="H1" s="19" t="s">
        <v>208</v>
      </c>
      <c r="I1" s="19" t="s">
        <v>209</v>
      </c>
      <c r="J1" s="26" t="s">
        <v>210</v>
      </c>
      <c r="K1" s="21" t="s">
        <v>159</v>
      </c>
      <c r="L1" s="27" t="s">
        <v>222</v>
      </c>
      <c r="M1" s="30" t="s">
        <v>223</v>
      </c>
      <c r="N1" s="33" t="s">
        <v>224</v>
      </c>
      <c r="O1" s="36" t="s">
        <v>225</v>
      </c>
      <c r="P1" s="41" t="s">
        <v>33</v>
      </c>
      <c r="Q1" s="44" t="s">
        <v>38</v>
      </c>
      <c r="R1" s="48" t="s">
        <v>226</v>
      </c>
      <c r="S1" s="51" t="s">
        <v>227</v>
      </c>
      <c r="T1" s="56" t="s">
        <v>228</v>
      </c>
      <c r="U1" s="59" t="s">
        <v>229</v>
      </c>
      <c r="V1" s="62" t="s">
        <v>130</v>
      </c>
      <c r="W1" s="65" t="s">
        <v>84</v>
      </c>
      <c r="X1" s="68" t="s">
        <v>230</v>
      </c>
      <c r="Y1" s="73" t="s">
        <v>231</v>
      </c>
      <c r="Z1" s="74" t="s">
        <v>232</v>
      </c>
      <c r="AA1" s="77" t="s">
        <v>233</v>
      </c>
      <c r="AB1" s="80" t="s">
        <v>234</v>
      </c>
      <c r="AC1" s="40" t="s">
        <v>235</v>
      </c>
      <c r="AD1" s="86" t="s">
        <v>236</v>
      </c>
      <c r="AE1" s="41" t="s">
        <v>237</v>
      </c>
      <c r="AF1" s="89" t="s">
        <v>238</v>
      </c>
      <c r="AG1" t="str">
        <f>G2</f>
        <v>duong.nguyen</v>
      </c>
      <c r="AH1" t="str">
        <f>G7</f>
        <v>loc.do-phu</v>
      </c>
      <c r="AI1" t="str">
        <f>G58</f>
        <v>thanh.nguyen-kim</v>
      </c>
      <c r="AJ1" t="str">
        <f>G3</f>
        <v>chung.ly</v>
      </c>
    </row>
    <row r="2" spans="1:49" x14ac:dyDescent="0.25">
      <c r="A2" s="1" t="s">
        <v>0</v>
      </c>
      <c r="B2" s="12" t="s">
        <v>1</v>
      </c>
      <c r="C2" s="2" t="s">
        <v>2</v>
      </c>
      <c r="D2" s="3">
        <v>1368920</v>
      </c>
      <c r="E2" s="1" t="s">
        <v>3</v>
      </c>
      <c r="F2" s="1" t="s">
        <v>4</v>
      </c>
      <c r="G2" s="1" t="s">
        <v>5</v>
      </c>
      <c r="H2" s="1">
        <v>3.39</v>
      </c>
      <c r="I2" s="1">
        <v>5</v>
      </c>
      <c r="J2" t="b">
        <f t="shared" ref="J2:J32" si="0">IF(ISERROR(SEARCH("GAC_Carbon_Stream_ESPCP",$B2,1)),FALSE,TRUE)</f>
        <v>0</v>
      </c>
      <c r="K2" t="b">
        <f t="shared" ref="K2:K33" si="1">IF(ISERROR(SEARCH("CNMS Super Deuterium",$B2,1)),FALSE,TRUE)</f>
        <v>0</v>
      </c>
      <c r="L2" t="b">
        <f t="shared" ref="L2:L33" si="2">IF(ISERROR(SEARCH("221259_FAW_C105EV_L2_ESPhev",$B2,1)),FALSE,TRUE)</f>
        <v>1</v>
      </c>
      <c r="M2" t="b">
        <f t="shared" ref="M2:M33" si="3">IF(ISERROR(SEARCH("MC_232534_SGMW_CN202C",$B2,1)),FALSE,TRUE)</f>
        <v>0</v>
      </c>
      <c r="N2" t="b">
        <f t="shared" ref="N2:N33" si="4">IF(ISERROR(SEARCH("BYD_IPB_SW_Mainstream",$B2,1)),FALSE,TRUE)</f>
        <v>0</v>
      </c>
      <c r="O2" t="b">
        <f t="shared" ref="O2:O33" si="5">IF(ISERROR(SEARCH("BYD_Carbon_Mainstream",$B2,1)),FALSE,TRUE)</f>
        <v>0</v>
      </c>
      <c r="P2" t="b">
        <f t="shared" ref="P2:P33" si="6">IF(ISERROR(SEARCH("GWM_ESP9.3_CHB071_HP_RC2",$B2,1)),FALSE,TRUE)</f>
        <v>0</v>
      </c>
      <c r="Q2" t="b">
        <f t="shared" ref="Q2:Q33" si="7">IF(ISERROR(SEARCH("FAW_HQEV_2WD_MC",$B2,1)),FALSE,TRUE)</f>
        <v>0</v>
      </c>
      <c r="R2" t="b">
        <f t="shared" ref="R2:R33" si="8">IF(ISERROR(SEARCH("GAC_Carbon_RPA_iBooster_Mainpath",$B2,1)),FALSE,TRUE)</f>
        <v>0</v>
      </c>
      <c r="S2" t="b">
        <f t="shared" ref="S2:S33" si="9">IF(ISERROR(SEARCH("HHT_VX1_ESPHevX",$B2,1)),FALSE,TRUE)</f>
        <v>0</v>
      </c>
      <c r="T2" t="b">
        <f t="shared" ref="T2:T33" si="10">IF(ISERROR(SEARCH("239689_NIO_G1.3&amp;G1.F_ESPHevX",$B2,1)),FALSE,TRUE)</f>
        <v>0</v>
      </c>
      <c r="U2" t="b">
        <f t="shared" ref="U2:U33" si="11">IF(ISERROR(SEARCH("E111_ESPHevx",$B2,1)),FALSE,TRUE)</f>
        <v>0</v>
      </c>
      <c r="V2" t="b">
        <f t="shared" ref="V2:V33" si="12">IF(ISERROR(SEARCH("Geely_KC2A_ESP9.3_HB_225750_BB8033",$B2,1)),FALSE,TRUE)</f>
        <v>0</v>
      </c>
      <c r="W2" t="b">
        <f t="shared" ref="W2:W33" si="13">IF(ISERROR(SEARCH("240688_DFSK_F517\527\537_EVR_Carbon_ESP9.3",$B2,1)),FALSE,TRUE)</f>
        <v>0</v>
      </c>
      <c r="X2" t="b">
        <f t="shared" ref="X2:X33" si="14">IF(ISERROR(SEARCH("Adapt_236234_SMART_VDDM_ESPHevX",$B2,1)),FALSE,TRUE)</f>
        <v>0</v>
      </c>
      <c r="Y2" t="b">
        <f t="shared" ref="Y2:Y33" si="15">IF(ISERROR(SEARCH("235199_SAIC_EP21_MCE_ESP9.3HevX",$B2,1)),FALSE,TRUE)</f>
        <v>0</v>
      </c>
      <c r="Z2" t="b">
        <f t="shared" ref="Z2:Z33" si="16">IF(ISERROR(SEARCH("233878_GAC_A20_CarbonESP9.3CP",$B2,1)),FALSE,TRUE)</f>
        <v>0</v>
      </c>
      <c r="AA2" t="b">
        <f t="shared" ref="AA2:AA33" si="17">IF(ISERROR(SEARCH("225378_FAW_D357_High",$B2,1)),FALSE,TRUE)</f>
        <v>0</v>
      </c>
      <c r="AB2" t="b">
        <f t="shared" ref="AB2:AB33" si="18">IF(ISERROR(SEARCH("Adapt_218053_CA_CD569_ESP9.3CP",$B2,1)),FALSE,TRUE)</f>
        <v>0</v>
      </c>
      <c r="AC2" t="b">
        <f t="shared" ref="AC2:AC33" si="19">IF(ISERROR(SEARCH("216997_FAW_E115_L3_IB2",$B2,1)),FALSE,TRUE)</f>
        <v>0</v>
      </c>
      <c r="AD2" t="b">
        <f t="shared" ref="AD2:AD33" si="20">IF(ISERROR(SEARCH("216916_FAW_E115_L3_ESPhev_APB(CBi)",$B2,1)),FALSE,TRUE)</f>
        <v>0</v>
      </c>
      <c r="AE2" t="b">
        <f t="shared" ref="AE2:AE33" si="21">IF(ISERROR(SEARCH("SAIC SV51H iBooster",$B2,1)),FALSE,TRUE)</f>
        <v>0</v>
      </c>
      <c r="AF2" t="b">
        <f t="shared" ref="AF2:AF33" si="22">IF(ISERROR(SEARCH("MC_244837_SGMW_CN210M_RC_ABS9.3CBi",$B2,1)),FALSE,TRUE)</f>
        <v>0</v>
      </c>
      <c r="AG2" s="20">
        <f>SUMIFS($I$2:$I$165,$G$2:$G$165,AG1,$J$2:$J$165,TRUE)</f>
        <v>16</v>
      </c>
      <c r="AH2" s="20">
        <f>SUMIFS($I$2:$I$165,$G$2:$G$165,AH1,$J$2:$J$165,TRUE)</f>
        <v>17.400000000000002</v>
      </c>
      <c r="AI2" s="20">
        <f>SUMIFS($I$2:$I$165,$G$2:$G$165,AI1,$J$2:$J$165,TRUE)</f>
        <v>0</v>
      </c>
      <c r="AJ2" s="20">
        <f>SUMIFS($I$2:$I$165,$G$2:$G$165,AJ1,$J$2:$J$165,TRUE)</f>
        <v>4.8</v>
      </c>
      <c r="AK2" t="s">
        <v>5</v>
      </c>
      <c r="AL2" s="26" t="s">
        <v>210</v>
      </c>
      <c r="AM2">
        <v>16</v>
      </c>
      <c r="AN2" t="s">
        <v>22</v>
      </c>
      <c r="AO2" s="26" t="s">
        <v>210</v>
      </c>
      <c r="AP2">
        <v>17.400000000000002</v>
      </c>
      <c r="AQ2" t="s">
        <v>17</v>
      </c>
      <c r="AS2" s="26" t="s">
        <v>210</v>
      </c>
      <c r="AT2">
        <v>0</v>
      </c>
      <c r="AU2" t="s">
        <v>8</v>
      </c>
      <c r="AV2" s="26" t="s">
        <v>210</v>
      </c>
      <c r="AW2">
        <v>4.8</v>
      </c>
    </row>
    <row r="3" spans="1:49" x14ac:dyDescent="0.25">
      <c r="A3" s="1" t="s">
        <v>0</v>
      </c>
      <c r="B3" s="12" t="s">
        <v>1</v>
      </c>
      <c r="C3" s="2" t="s">
        <v>6</v>
      </c>
      <c r="D3" s="3">
        <v>1368920</v>
      </c>
      <c r="E3" s="1" t="s">
        <v>7</v>
      </c>
      <c r="F3" s="1" t="s">
        <v>4</v>
      </c>
      <c r="G3" s="1" t="s">
        <v>8</v>
      </c>
      <c r="H3" s="1">
        <v>1.19</v>
      </c>
      <c r="I3" s="1">
        <v>0.5</v>
      </c>
      <c r="J3" t="b">
        <f t="shared" si="0"/>
        <v>0</v>
      </c>
      <c r="K3" t="b">
        <f t="shared" si="1"/>
        <v>0</v>
      </c>
      <c r="L3" t="b">
        <f t="shared" si="2"/>
        <v>1</v>
      </c>
      <c r="M3" t="b">
        <f t="shared" si="3"/>
        <v>0</v>
      </c>
      <c r="N3" t="b">
        <f t="shared" si="4"/>
        <v>0</v>
      </c>
      <c r="O3" t="b">
        <f t="shared" si="5"/>
        <v>0</v>
      </c>
      <c r="P3" t="b">
        <f t="shared" si="6"/>
        <v>0</v>
      </c>
      <c r="Q3" t="b">
        <f t="shared" si="7"/>
        <v>0</v>
      </c>
      <c r="R3" t="b">
        <f t="shared" si="8"/>
        <v>0</v>
      </c>
      <c r="S3" t="b">
        <f t="shared" si="9"/>
        <v>0</v>
      </c>
      <c r="T3" t="b">
        <f t="shared" si="10"/>
        <v>0</v>
      </c>
      <c r="U3" t="b">
        <f t="shared" si="11"/>
        <v>0</v>
      </c>
      <c r="V3" t="b">
        <f t="shared" si="12"/>
        <v>0</v>
      </c>
      <c r="W3" t="b">
        <f t="shared" si="13"/>
        <v>0</v>
      </c>
      <c r="X3" t="b">
        <f t="shared" si="14"/>
        <v>0</v>
      </c>
      <c r="Y3" t="b">
        <f t="shared" si="15"/>
        <v>0</v>
      </c>
      <c r="Z3" t="b">
        <f t="shared" si="16"/>
        <v>0</v>
      </c>
      <c r="AA3" t="b">
        <f t="shared" si="17"/>
        <v>0</v>
      </c>
      <c r="AB3" t="b">
        <f t="shared" si="18"/>
        <v>0</v>
      </c>
      <c r="AC3" t="b">
        <f t="shared" si="19"/>
        <v>0</v>
      </c>
      <c r="AD3" t="b">
        <f t="shared" si="20"/>
        <v>0</v>
      </c>
      <c r="AE3" t="b">
        <f t="shared" si="21"/>
        <v>0</v>
      </c>
      <c r="AF3" t="b">
        <f t="shared" si="22"/>
        <v>0</v>
      </c>
      <c r="AG3" s="22">
        <f>SUMIFS($I$2:$I$165,$G$2:$G$165,AG1,$K$2:$K$165,TRUE)</f>
        <v>14.5</v>
      </c>
      <c r="AH3" s="22">
        <f>SUMIFS($I$2:$I$165,$G$2:$G$165,AH1,$K$2:$K$165,TRUE)</f>
        <v>20.420000000000002</v>
      </c>
      <c r="AI3" s="22">
        <f>SUMIFS($I$2:$I$165,$G$2:$G$165,AI1,$K$2:$K$165,TRUE)</f>
        <v>25.390000000000004</v>
      </c>
      <c r="AJ3" s="22">
        <f>SUMIFS($I$2:$I$165,$G$2:$G$165,AJ1,$K$2:$K$165,TRUE)</f>
        <v>20.49</v>
      </c>
      <c r="AK3" t="s">
        <v>5</v>
      </c>
      <c r="AL3" s="21" t="s">
        <v>159</v>
      </c>
      <c r="AM3">
        <v>14.5</v>
      </c>
      <c r="AN3" t="s">
        <v>22</v>
      </c>
      <c r="AO3" s="21" t="s">
        <v>159</v>
      </c>
      <c r="AP3">
        <v>20.420000000000002</v>
      </c>
      <c r="AQ3" t="s">
        <v>17</v>
      </c>
      <c r="AS3" s="21" t="s">
        <v>159</v>
      </c>
      <c r="AT3">
        <v>25.390000000000004</v>
      </c>
      <c r="AU3" t="s">
        <v>8</v>
      </c>
      <c r="AV3" s="21" t="s">
        <v>159</v>
      </c>
      <c r="AW3">
        <v>20.49</v>
      </c>
    </row>
    <row r="4" spans="1:49" x14ac:dyDescent="0.25">
      <c r="A4" s="1" t="s">
        <v>0</v>
      </c>
      <c r="B4" s="29" t="s">
        <v>9</v>
      </c>
      <c r="C4" s="2" t="s">
        <v>10</v>
      </c>
      <c r="D4" s="3">
        <v>1368889</v>
      </c>
      <c r="E4" s="1" t="s">
        <v>11</v>
      </c>
      <c r="F4" s="1" t="s">
        <v>12</v>
      </c>
      <c r="G4" s="1" t="s">
        <v>5</v>
      </c>
      <c r="H4" s="1">
        <v>7.66</v>
      </c>
      <c r="I4" s="1">
        <v>8</v>
      </c>
      <c r="J4" t="b">
        <f t="shared" si="0"/>
        <v>0</v>
      </c>
      <c r="K4" t="b">
        <f t="shared" si="1"/>
        <v>0</v>
      </c>
      <c r="L4" t="b">
        <f t="shared" si="2"/>
        <v>0</v>
      </c>
      <c r="M4" t="b">
        <f t="shared" si="3"/>
        <v>1</v>
      </c>
      <c r="N4" t="b">
        <f t="shared" si="4"/>
        <v>0</v>
      </c>
      <c r="O4" t="b">
        <f t="shared" si="5"/>
        <v>0</v>
      </c>
      <c r="P4" t="b">
        <f t="shared" si="6"/>
        <v>0</v>
      </c>
      <c r="Q4" t="b">
        <f t="shared" si="7"/>
        <v>0</v>
      </c>
      <c r="R4" t="b">
        <f t="shared" si="8"/>
        <v>0</v>
      </c>
      <c r="S4" t="b">
        <f t="shared" si="9"/>
        <v>0</v>
      </c>
      <c r="T4" t="b">
        <f t="shared" si="10"/>
        <v>0</v>
      </c>
      <c r="U4" t="b">
        <f t="shared" si="11"/>
        <v>0</v>
      </c>
      <c r="V4" t="b">
        <f t="shared" si="12"/>
        <v>0</v>
      </c>
      <c r="W4" t="b">
        <f t="shared" si="13"/>
        <v>0</v>
      </c>
      <c r="X4" t="b">
        <f t="shared" si="14"/>
        <v>0</v>
      </c>
      <c r="Y4" t="b">
        <f t="shared" si="15"/>
        <v>0</v>
      </c>
      <c r="Z4" t="b">
        <f t="shared" si="16"/>
        <v>0</v>
      </c>
      <c r="AA4" t="b">
        <f t="shared" si="17"/>
        <v>0</v>
      </c>
      <c r="AB4" t="b">
        <f t="shared" si="18"/>
        <v>0</v>
      </c>
      <c r="AC4" t="b">
        <f t="shared" si="19"/>
        <v>0</v>
      </c>
      <c r="AD4" t="b">
        <f t="shared" si="20"/>
        <v>0</v>
      </c>
      <c r="AE4" t="b">
        <f t="shared" si="21"/>
        <v>0</v>
      </c>
      <c r="AF4" t="b">
        <f t="shared" si="22"/>
        <v>0</v>
      </c>
      <c r="AG4" s="28">
        <f>SUMIFS($I$2:$I$165,$G$2:$G$165,AG$1,$L$2:$L$165,TRUE)</f>
        <v>5</v>
      </c>
      <c r="AH4" s="28">
        <f>SUMIFS($I$2:$I$165,$G$2:$G$165,AH$1,$L$2:$L$165,TRUE)</f>
        <v>0</v>
      </c>
      <c r="AI4" s="28">
        <f>SUMIFS($I$2:$I$165,$G$2:$G$165,AI$1,$L$2:$L$165,TRUE)</f>
        <v>0</v>
      </c>
      <c r="AJ4" s="28">
        <f>SUMIFS($I$2:$I$165,$G$2:$G$165,AJ$1,$L$2:$L$165,TRUE)</f>
        <v>0.5</v>
      </c>
      <c r="AK4" t="s">
        <v>5</v>
      </c>
      <c r="AL4" s="27" t="s">
        <v>222</v>
      </c>
      <c r="AM4">
        <v>5</v>
      </c>
      <c r="AN4" t="s">
        <v>22</v>
      </c>
      <c r="AO4" s="27" t="s">
        <v>222</v>
      </c>
      <c r="AP4">
        <v>0</v>
      </c>
      <c r="AQ4" t="s">
        <v>17</v>
      </c>
      <c r="AS4" s="27" t="s">
        <v>222</v>
      </c>
      <c r="AT4">
        <v>0</v>
      </c>
      <c r="AU4" t="s">
        <v>8</v>
      </c>
      <c r="AV4" s="27" t="s">
        <v>222</v>
      </c>
      <c r="AW4">
        <v>0.5</v>
      </c>
    </row>
    <row r="5" spans="1:49" x14ac:dyDescent="0.25">
      <c r="A5" s="1" t="s">
        <v>0</v>
      </c>
      <c r="B5" s="29" t="s">
        <v>9</v>
      </c>
      <c r="C5" s="2" t="s">
        <v>10</v>
      </c>
      <c r="D5" s="3">
        <v>1368889</v>
      </c>
      <c r="E5" s="1" t="s">
        <v>13</v>
      </c>
      <c r="F5" s="1" t="s">
        <v>12</v>
      </c>
      <c r="G5" s="1" t="s">
        <v>8</v>
      </c>
      <c r="H5" s="1">
        <v>3.27</v>
      </c>
      <c r="I5" s="1">
        <v>2</v>
      </c>
      <c r="J5" t="b">
        <f t="shared" si="0"/>
        <v>0</v>
      </c>
      <c r="K5" t="b">
        <f t="shared" si="1"/>
        <v>0</v>
      </c>
      <c r="L5" t="b">
        <f t="shared" si="2"/>
        <v>0</v>
      </c>
      <c r="M5" t="b">
        <f t="shared" si="3"/>
        <v>1</v>
      </c>
      <c r="N5" t="b">
        <f t="shared" si="4"/>
        <v>0</v>
      </c>
      <c r="O5" t="b">
        <f t="shared" si="5"/>
        <v>0</v>
      </c>
      <c r="P5" t="b">
        <f t="shared" si="6"/>
        <v>0</v>
      </c>
      <c r="Q5" t="b">
        <f t="shared" si="7"/>
        <v>0</v>
      </c>
      <c r="R5" t="b">
        <f t="shared" si="8"/>
        <v>0</v>
      </c>
      <c r="S5" t="b">
        <f t="shared" si="9"/>
        <v>0</v>
      </c>
      <c r="T5" t="b">
        <f t="shared" si="10"/>
        <v>0</v>
      </c>
      <c r="U5" t="b">
        <f t="shared" si="11"/>
        <v>0</v>
      </c>
      <c r="V5" t="b">
        <f t="shared" si="12"/>
        <v>0</v>
      </c>
      <c r="W5" t="b">
        <f t="shared" si="13"/>
        <v>0</v>
      </c>
      <c r="X5" t="b">
        <f t="shared" si="14"/>
        <v>0</v>
      </c>
      <c r="Y5" t="b">
        <f t="shared" si="15"/>
        <v>0</v>
      </c>
      <c r="Z5" t="b">
        <f t="shared" si="16"/>
        <v>0</v>
      </c>
      <c r="AA5" t="b">
        <f t="shared" si="17"/>
        <v>0</v>
      </c>
      <c r="AB5" t="b">
        <f t="shared" si="18"/>
        <v>0</v>
      </c>
      <c r="AC5" t="b">
        <f t="shared" si="19"/>
        <v>0</v>
      </c>
      <c r="AD5" t="b">
        <f t="shared" si="20"/>
        <v>0</v>
      </c>
      <c r="AE5" t="b">
        <f t="shared" si="21"/>
        <v>0</v>
      </c>
      <c r="AF5" t="b">
        <f t="shared" si="22"/>
        <v>0</v>
      </c>
      <c r="AG5" s="31">
        <f>SUMIFS($I$2:$I$165,$G$2:$G$165,AG$1,$M$2:$M$165,TRUE)</f>
        <v>8</v>
      </c>
      <c r="AH5" s="31">
        <f>SUMIFS($I$2:$I$165,$G$2:$G$165,AH$1,$M$2:$M$165,TRUE)</f>
        <v>0</v>
      </c>
      <c r="AI5" s="31">
        <f>SUMIFS($I$2:$I$165,$G$2:$G$165,AI$1,$M$2:$M$165,TRUE)</f>
        <v>0</v>
      </c>
      <c r="AJ5" s="31">
        <f>SUMIFS($I$2:$I$165,$G$2:$G$165,AJ$1,$M$2:$M$165,TRUE)</f>
        <v>2</v>
      </c>
      <c r="AK5" t="s">
        <v>5</v>
      </c>
      <c r="AL5" s="30" t="s">
        <v>223</v>
      </c>
      <c r="AM5">
        <v>8</v>
      </c>
      <c r="AN5" t="s">
        <v>22</v>
      </c>
      <c r="AO5" s="30" t="s">
        <v>223</v>
      </c>
      <c r="AP5">
        <v>0</v>
      </c>
      <c r="AQ5" t="s">
        <v>17</v>
      </c>
      <c r="AS5" s="30" t="s">
        <v>223</v>
      </c>
      <c r="AT5">
        <v>0</v>
      </c>
      <c r="AU5" t="s">
        <v>8</v>
      </c>
      <c r="AV5" s="30" t="s">
        <v>223</v>
      </c>
      <c r="AW5">
        <v>2</v>
      </c>
    </row>
    <row r="6" spans="1:49" x14ac:dyDescent="0.25">
      <c r="A6" s="1" t="s">
        <v>0</v>
      </c>
      <c r="B6" s="32" t="s">
        <v>14</v>
      </c>
      <c r="C6" s="2"/>
      <c r="D6" s="3">
        <v>1359407</v>
      </c>
      <c r="E6" s="1" t="s">
        <v>15</v>
      </c>
      <c r="F6" s="1" t="s">
        <v>16</v>
      </c>
      <c r="G6" s="1" t="s">
        <v>17</v>
      </c>
      <c r="H6" s="1">
        <v>18.18</v>
      </c>
      <c r="I6" s="1">
        <v>12</v>
      </c>
      <c r="J6" t="b">
        <f t="shared" si="0"/>
        <v>0</v>
      </c>
      <c r="K6" t="b">
        <f t="shared" si="1"/>
        <v>0</v>
      </c>
      <c r="L6" t="b">
        <f t="shared" si="2"/>
        <v>0</v>
      </c>
      <c r="M6" t="b">
        <f t="shared" si="3"/>
        <v>0</v>
      </c>
      <c r="N6" t="b">
        <f t="shared" si="4"/>
        <v>1</v>
      </c>
      <c r="O6" t="b">
        <f t="shared" si="5"/>
        <v>0</v>
      </c>
      <c r="P6" t="b">
        <f t="shared" si="6"/>
        <v>0</v>
      </c>
      <c r="Q6" t="b">
        <f t="shared" si="7"/>
        <v>0</v>
      </c>
      <c r="R6" t="b">
        <f t="shared" si="8"/>
        <v>0</v>
      </c>
      <c r="S6" t="b">
        <f t="shared" si="9"/>
        <v>0</v>
      </c>
      <c r="T6" t="b">
        <f t="shared" si="10"/>
        <v>0</v>
      </c>
      <c r="U6" t="b">
        <f t="shared" si="11"/>
        <v>0</v>
      </c>
      <c r="V6" t="b">
        <f t="shared" si="12"/>
        <v>0</v>
      </c>
      <c r="W6" t="b">
        <f t="shared" si="13"/>
        <v>0</v>
      </c>
      <c r="X6" t="b">
        <f t="shared" si="14"/>
        <v>0</v>
      </c>
      <c r="Y6" t="b">
        <f t="shared" si="15"/>
        <v>0</v>
      </c>
      <c r="Z6" t="b">
        <f t="shared" si="16"/>
        <v>0</v>
      </c>
      <c r="AA6" t="b">
        <f t="shared" si="17"/>
        <v>0</v>
      </c>
      <c r="AB6" t="b">
        <f t="shared" si="18"/>
        <v>0</v>
      </c>
      <c r="AC6" t="b">
        <f t="shared" si="19"/>
        <v>0</v>
      </c>
      <c r="AD6" t="b">
        <f t="shared" si="20"/>
        <v>0</v>
      </c>
      <c r="AE6" t="b">
        <f t="shared" si="21"/>
        <v>0</v>
      </c>
      <c r="AF6" t="b">
        <f t="shared" si="22"/>
        <v>0</v>
      </c>
      <c r="AG6" s="34">
        <f>SUMIFS($I$2:$I$165,$G$2:$G$165,AG$1,$N$2:$N$165,TRUE)</f>
        <v>0</v>
      </c>
      <c r="AH6" s="34">
        <f>SUMIFS($I$2:$I$165,$G$2:$G$165,AH$1,$N$2:$N$165,TRUE)</f>
        <v>4</v>
      </c>
      <c r="AI6" s="34">
        <f>SUMIFS($I$2:$I$165,$G$2:$G$165,AI$1,$N$2:$N$165,TRUE)</f>
        <v>13</v>
      </c>
      <c r="AJ6" s="34">
        <f>SUMIFS($I$2:$I$165,$G$2:$G$165,AJ$1,$N$2:$N$165,TRUE)</f>
        <v>0</v>
      </c>
      <c r="AK6" t="s">
        <v>5</v>
      </c>
      <c r="AL6" s="33" t="s">
        <v>224</v>
      </c>
      <c r="AM6">
        <v>0</v>
      </c>
      <c r="AN6" t="s">
        <v>22</v>
      </c>
      <c r="AO6" s="33" t="s">
        <v>224</v>
      </c>
      <c r="AP6">
        <v>4</v>
      </c>
      <c r="AQ6" t="s">
        <v>17</v>
      </c>
      <c r="AS6" s="33" t="s">
        <v>224</v>
      </c>
      <c r="AT6">
        <v>13</v>
      </c>
      <c r="AU6" t="s">
        <v>8</v>
      </c>
      <c r="AV6" s="33" t="s">
        <v>224</v>
      </c>
      <c r="AW6">
        <v>0</v>
      </c>
    </row>
    <row r="7" spans="1:49" x14ac:dyDescent="0.25">
      <c r="A7" s="4" t="s">
        <v>0</v>
      </c>
      <c r="B7" s="38" t="s">
        <v>18</v>
      </c>
      <c r="C7" s="5" t="s">
        <v>19</v>
      </c>
      <c r="D7" s="4">
        <v>1264979</v>
      </c>
      <c r="E7" s="1" t="s">
        <v>20</v>
      </c>
      <c r="F7" s="4" t="s">
        <v>21</v>
      </c>
      <c r="G7" s="4" t="s">
        <v>22</v>
      </c>
      <c r="H7" s="1">
        <v>0.76</v>
      </c>
      <c r="I7" s="4">
        <v>1</v>
      </c>
      <c r="J7" t="b">
        <f t="shared" si="0"/>
        <v>0</v>
      </c>
      <c r="K7" t="b">
        <f t="shared" si="1"/>
        <v>0</v>
      </c>
      <c r="L7" t="b">
        <f t="shared" si="2"/>
        <v>0</v>
      </c>
      <c r="M7" t="b">
        <f t="shared" si="3"/>
        <v>0</v>
      </c>
      <c r="N7" t="b">
        <f t="shared" si="4"/>
        <v>0</v>
      </c>
      <c r="O7" t="b">
        <f t="shared" si="5"/>
        <v>1</v>
      </c>
      <c r="P7" t="b">
        <f t="shared" si="6"/>
        <v>0</v>
      </c>
      <c r="Q7" t="b">
        <f t="shared" si="7"/>
        <v>0</v>
      </c>
      <c r="R7" t="b">
        <f t="shared" si="8"/>
        <v>0</v>
      </c>
      <c r="S7" t="b">
        <f t="shared" si="9"/>
        <v>0</v>
      </c>
      <c r="T7" t="b">
        <f t="shared" si="10"/>
        <v>0</v>
      </c>
      <c r="U7" t="b">
        <f t="shared" si="11"/>
        <v>0</v>
      </c>
      <c r="V7" t="b">
        <f t="shared" si="12"/>
        <v>0</v>
      </c>
      <c r="W7" t="b">
        <f t="shared" si="13"/>
        <v>0</v>
      </c>
      <c r="X7" t="b">
        <f t="shared" si="14"/>
        <v>0</v>
      </c>
      <c r="Y7" t="b">
        <f t="shared" si="15"/>
        <v>0</v>
      </c>
      <c r="Z7" t="b">
        <f t="shared" si="16"/>
        <v>0</v>
      </c>
      <c r="AA7" t="b">
        <f t="shared" si="17"/>
        <v>0</v>
      </c>
      <c r="AB7" t="b">
        <f t="shared" si="18"/>
        <v>0</v>
      </c>
      <c r="AC7" t="b">
        <f t="shared" si="19"/>
        <v>0</v>
      </c>
      <c r="AD7" t="b">
        <f t="shared" si="20"/>
        <v>0</v>
      </c>
      <c r="AE7" t="b">
        <f t="shared" si="21"/>
        <v>0</v>
      </c>
      <c r="AF7" t="b">
        <f t="shared" si="22"/>
        <v>0</v>
      </c>
      <c r="AG7" s="37">
        <f>SUMIFS($I$2:$I$165,$G$2:$G$165,AG$1,$O$2:$O$165,TRUE)</f>
        <v>8</v>
      </c>
      <c r="AH7" s="37">
        <f>SUMIFS($I$2:$I$165,$G$2:$G$165,AH$1,$O$2:$O$165,TRUE)</f>
        <v>16</v>
      </c>
      <c r="AI7" s="37">
        <f>SUMIFS($I$2:$I$165,$G$2:$G$165,AI$1,$O$2:$O$165,TRUE)</f>
        <v>3</v>
      </c>
      <c r="AJ7" s="37">
        <f>SUMIFS($I$2:$I$165,$G$2:$G$165,AJ$1,$O$2:$O$165,TRUE)</f>
        <v>4</v>
      </c>
      <c r="AK7" t="s">
        <v>5</v>
      </c>
      <c r="AL7" s="36" t="s">
        <v>225</v>
      </c>
      <c r="AM7">
        <v>8</v>
      </c>
      <c r="AN7" t="s">
        <v>22</v>
      </c>
      <c r="AO7" s="36" t="s">
        <v>225</v>
      </c>
      <c r="AP7">
        <v>16</v>
      </c>
      <c r="AQ7" t="s">
        <v>17</v>
      </c>
      <c r="AS7" s="36" t="s">
        <v>225</v>
      </c>
      <c r="AT7">
        <v>3</v>
      </c>
      <c r="AU7" t="s">
        <v>8</v>
      </c>
      <c r="AV7" s="36" t="s">
        <v>225</v>
      </c>
      <c r="AW7">
        <v>4</v>
      </c>
    </row>
    <row r="8" spans="1:49" x14ac:dyDescent="0.25">
      <c r="A8" s="1" t="s">
        <v>0</v>
      </c>
      <c r="B8" s="39" t="s">
        <v>18</v>
      </c>
      <c r="C8" s="2" t="s">
        <v>19</v>
      </c>
      <c r="D8" s="3">
        <v>1264979</v>
      </c>
      <c r="E8" s="1" t="s">
        <v>23</v>
      </c>
      <c r="F8" s="1" t="s">
        <v>21</v>
      </c>
      <c r="G8" s="1" t="s">
        <v>17</v>
      </c>
      <c r="H8" s="1">
        <v>4.0999999999999996</v>
      </c>
      <c r="I8" s="1">
        <v>3</v>
      </c>
      <c r="J8" t="b">
        <f t="shared" si="0"/>
        <v>0</v>
      </c>
      <c r="K8" t="b">
        <f t="shared" si="1"/>
        <v>0</v>
      </c>
      <c r="L8" t="b">
        <f t="shared" si="2"/>
        <v>0</v>
      </c>
      <c r="M8" t="b">
        <f t="shared" si="3"/>
        <v>0</v>
      </c>
      <c r="N8" t="b">
        <f t="shared" si="4"/>
        <v>0</v>
      </c>
      <c r="O8" t="b">
        <f t="shared" si="5"/>
        <v>1</v>
      </c>
      <c r="P8" t="b">
        <f t="shared" si="6"/>
        <v>0</v>
      </c>
      <c r="Q8" t="b">
        <f t="shared" si="7"/>
        <v>0</v>
      </c>
      <c r="R8" t="b">
        <f t="shared" si="8"/>
        <v>0</v>
      </c>
      <c r="S8" t="b">
        <f t="shared" si="9"/>
        <v>0</v>
      </c>
      <c r="T8" t="b">
        <f t="shared" si="10"/>
        <v>0</v>
      </c>
      <c r="U8" t="b">
        <f t="shared" si="11"/>
        <v>0</v>
      </c>
      <c r="V8" t="b">
        <f t="shared" si="12"/>
        <v>0</v>
      </c>
      <c r="W8" t="b">
        <f t="shared" si="13"/>
        <v>0</v>
      </c>
      <c r="X8" t="b">
        <f t="shared" si="14"/>
        <v>0</v>
      </c>
      <c r="Y8" t="b">
        <f t="shared" si="15"/>
        <v>0</v>
      </c>
      <c r="Z8" t="b">
        <f t="shared" si="16"/>
        <v>0</v>
      </c>
      <c r="AA8" t="b">
        <f t="shared" si="17"/>
        <v>0</v>
      </c>
      <c r="AB8" t="b">
        <f t="shared" si="18"/>
        <v>0</v>
      </c>
      <c r="AC8" t="b">
        <f t="shared" si="19"/>
        <v>0</v>
      </c>
      <c r="AD8" t="b">
        <f t="shared" si="20"/>
        <v>0</v>
      </c>
      <c r="AE8" t="b">
        <f t="shared" si="21"/>
        <v>0</v>
      </c>
      <c r="AF8" t="b">
        <f t="shared" si="22"/>
        <v>0</v>
      </c>
      <c r="AG8" s="43">
        <f>SUMIFS($I$2:$I$165,$G$2:$G$165,AG$1,$P$2:$P$165,TRUE)</f>
        <v>3.03</v>
      </c>
      <c r="AH8" s="43">
        <f>SUMIFS($I$2:$I$165,$G$2:$G$165,AH$1,$P$2:$P$165,TRUE)</f>
        <v>0</v>
      </c>
      <c r="AI8" s="43">
        <f>SUMIFS($I$2:$I$165,$G$2:$G$165,AI$1,$P$2:$P$165,TRUE)</f>
        <v>0</v>
      </c>
      <c r="AJ8" s="43">
        <f>SUMIFS($I$2:$I$165,$G$2:$G$165,AJ$1,$P$2:$P$165,TRUE)</f>
        <v>0</v>
      </c>
      <c r="AK8" t="s">
        <v>5</v>
      </c>
      <c r="AL8" s="41" t="s">
        <v>33</v>
      </c>
      <c r="AM8">
        <v>3.03</v>
      </c>
      <c r="AN8" t="s">
        <v>22</v>
      </c>
      <c r="AO8" s="41" t="s">
        <v>33</v>
      </c>
      <c r="AP8">
        <v>0</v>
      </c>
      <c r="AQ8" t="s">
        <v>17</v>
      </c>
      <c r="AS8" s="41" t="s">
        <v>33</v>
      </c>
      <c r="AT8">
        <v>0</v>
      </c>
      <c r="AU8" t="s">
        <v>8</v>
      </c>
      <c r="AV8" s="41" t="s">
        <v>33</v>
      </c>
      <c r="AW8">
        <v>0</v>
      </c>
    </row>
    <row r="9" spans="1:49" x14ac:dyDescent="0.25">
      <c r="A9" s="1" t="s">
        <v>0</v>
      </c>
      <c r="B9" s="39" t="s">
        <v>18</v>
      </c>
      <c r="C9" s="2" t="s">
        <v>19</v>
      </c>
      <c r="D9" s="3">
        <v>1264979</v>
      </c>
      <c r="E9" s="1" t="s">
        <v>24</v>
      </c>
      <c r="F9" s="1" t="s">
        <v>21</v>
      </c>
      <c r="G9" s="1" t="s">
        <v>8</v>
      </c>
      <c r="H9" s="1">
        <v>6.4</v>
      </c>
      <c r="I9" s="1">
        <v>3</v>
      </c>
      <c r="J9" t="b">
        <f t="shared" si="0"/>
        <v>0</v>
      </c>
      <c r="K9" t="b">
        <f t="shared" si="1"/>
        <v>0</v>
      </c>
      <c r="L9" t="b">
        <f t="shared" si="2"/>
        <v>0</v>
      </c>
      <c r="M9" t="b">
        <f t="shared" si="3"/>
        <v>0</v>
      </c>
      <c r="N9" t="b">
        <f t="shared" si="4"/>
        <v>0</v>
      </c>
      <c r="O9" t="b">
        <f t="shared" si="5"/>
        <v>1</v>
      </c>
      <c r="P9" t="b">
        <f t="shared" si="6"/>
        <v>0</v>
      </c>
      <c r="Q9" t="b">
        <f t="shared" si="7"/>
        <v>0</v>
      </c>
      <c r="R9" t="b">
        <f t="shared" si="8"/>
        <v>0</v>
      </c>
      <c r="S9" t="b">
        <f t="shared" si="9"/>
        <v>0</v>
      </c>
      <c r="T9" t="b">
        <f t="shared" si="10"/>
        <v>0</v>
      </c>
      <c r="U9" t="b">
        <f t="shared" si="11"/>
        <v>0</v>
      </c>
      <c r="V9" t="b">
        <f t="shared" si="12"/>
        <v>0</v>
      </c>
      <c r="W9" t="b">
        <f t="shared" si="13"/>
        <v>0</v>
      </c>
      <c r="X9" t="b">
        <f t="shared" si="14"/>
        <v>0</v>
      </c>
      <c r="Y9" t="b">
        <f t="shared" si="15"/>
        <v>0</v>
      </c>
      <c r="Z9" t="b">
        <f t="shared" si="16"/>
        <v>0</v>
      </c>
      <c r="AA9" t="b">
        <f t="shared" si="17"/>
        <v>0</v>
      </c>
      <c r="AB9" t="b">
        <f t="shared" si="18"/>
        <v>0</v>
      </c>
      <c r="AC9" t="b">
        <f t="shared" si="19"/>
        <v>0</v>
      </c>
      <c r="AD9" t="b">
        <f t="shared" si="20"/>
        <v>0</v>
      </c>
      <c r="AE9" t="b">
        <f t="shared" si="21"/>
        <v>0</v>
      </c>
      <c r="AF9" t="b">
        <f t="shared" si="22"/>
        <v>0</v>
      </c>
      <c r="AG9" s="47">
        <f>SUMIFS($I$2:$I$165,$G$2:$G$165,AG$1,$Q$2:$Q$165,TRUE)</f>
        <v>0</v>
      </c>
      <c r="AH9" s="47">
        <f>SUMIFS($I$2:$I$165,$G$2:$G$165,AH$1,$Q$2:$Q$165,TRUE)</f>
        <v>2</v>
      </c>
      <c r="AI9" s="47">
        <f>SUMIFS($I$2:$I$165,$G$2:$G$165,AI$1,$Q$2:$Q$165,TRUE)</f>
        <v>0</v>
      </c>
      <c r="AJ9" s="47">
        <f>SUMIFS($I$2:$I$165,$G$2:$G$165,AJ$1,$Q$2:$Q$165,TRUE)</f>
        <v>2</v>
      </c>
      <c r="AK9" t="s">
        <v>5</v>
      </c>
      <c r="AL9" s="44" t="s">
        <v>38</v>
      </c>
      <c r="AM9">
        <v>0</v>
      </c>
      <c r="AN9" t="s">
        <v>22</v>
      </c>
      <c r="AO9" s="44" t="s">
        <v>38</v>
      </c>
      <c r="AP9">
        <v>2</v>
      </c>
      <c r="AQ9" t="s">
        <v>17</v>
      </c>
      <c r="AS9" s="44" t="s">
        <v>38</v>
      </c>
      <c r="AT9">
        <v>0</v>
      </c>
      <c r="AU9" t="s">
        <v>8</v>
      </c>
      <c r="AV9" s="44" t="s">
        <v>38</v>
      </c>
      <c r="AW9">
        <v>2</v>
      </c>
    </row>
    <row r="10" spans="1:49" x14ac:dyDescent="0.25">
      <c r="A10" s="4" t="s">
        <v>0</v>
      </c>
      <c r="B10" s="38" t="s">
        <v>18</v>
      </c>
      <c r="C10" s="5" t="s">
        <v>19</v>
      </c>
      <c r="D10" s="4">
        <v>1264979</v>
      </c>
      <c r="E10" s="1" t="s">
        <v>15</v>
      </c>
      <c r="F10" s="4" t="s">
        <v>21</v>
      </c>
      <c r="G10" s="4" t="s">
        <v>22</v>
      </c>
      <c r="H10" s="1">
        <v>18.18</v>
      </c>
      <c r="I10" s="4">
        <v>8</v>
      </c>
      <c r="J10" t="b">
        <f t="shared" si="0"/>
        <v>0</v>
      </c>
      <c r="K10" t="b">
        <f t="shared" si="1"/>
        <v>0</v>
      </c>
      <c r="L10" t="b">
        <f t="shared" si="2"/>
        <v>0</v>
      </c>
      <c r="M10" t="b">
        <f t="shared" si="3"/>
        <v>0</v>
      </c>
      <c r="N10" t="b">
        <f t="shared" si="4"/>
        <v>0</v>
      </c>
      <c r="O10" t="b">
        <f t="shared" si="5"/>
        <v>1</v>
      </c>
      <c r="P10" t="b">
        <f t="shared" si="6"/>
        <v>0</v>
      </c>
      <c r="Q10" t="b">
        <f t="shared" si="7"/>
        <v>0</v>
      </c>
      <c r="R10" t="b">
        <f t="shared" si="8"/>
        <v>0</v>
      </c>
      <c r="S10" t="b">
        <f t="shared" si="9"/>
        <v>0</v>
      </c>
      <c r="T10" t="b">
        <f t="shared" si="10"/>
        <v>0</v>
      </c>
      <c r="U10" t="b">
        <f t="shared" si="11"/>
        <v>0</v>
      </c>
      <c r="V10" t="b">
        <f t="shared" si="12"/>
        <v>0</v>
      </c>
      <c r="W10" t="b">
        <f t="shared" si="13"/>
        <v>0</v>
      </c>
      <c r="X10" t="b">
        <f t="shared" si="14"/>
        <v>0</v>
      </c>
      <c r="Y10" t="b">
        <f t="shared" si="15"/>
        <v>0</v>
      </c>
      <c r="Z10" t="b">
        <f t="shared" si="16"/>
        <v>0</v>
      </c>
      <c r="AA10" t="b">
        <f t="shared" si="17"/>
        <v>0</v>
      </c>
      <c r="AB10" t="b">
        <f t="shared" si="18"/>
        <v>0</v>
      </c>
      <c r="AC10" t="b">
        <f t="shared" si="19"/>
        <v>0</v>
      </c>
      <c r="AD10" t="b">
        <f t="shared" si="20"/>
        <v>0</v>
      </c>
      <c r="AE10" t="b">
        <f t="shared" si="21"/>
        <v>0</v>
      </c>
      <c r="AF10" t="b">
        <f t="shared" si="22"/>
        <v>0</v>
      </c>
      <c r="AG10" s="50">
        <f>SUMIFS($I$2:$I$165,$G$2:$G$165,AG$1,$R$2:$R$165,TRUE)</f>
        <v>6</v>
      </c>
      <c r="AH10" s="50">
        <f>SUMIFS($I$2:$I$165,$G$2:$G$165,AH$1,$R$2:$R$165,TRUE)</f>
        <v>0</v>
      </c>
      <c r="AI10" s="50">
        <f>SUMIFS($I$2:$I$165,$G$2:$G$165,AI$1,$R$2:$R$165,TRUE)</f>
        <v>0</v>
      </c>
      <c r="AJ10" s="50">
        <f>SUMIFS($I$2:$I$165,$G$2:$G$165,AJ$1,$R$2:$R$165,TRUE)</f>
        <v>0</v>
      </c>
      <c r="AK10" t="s">
        <v>5</v>
      </c>
      <c r="AL10" s="48" t="s">
        <v>226</v>
      </c>
      <c r="AM10">
        <v>6</v>
      </c>
      <c r="AN10" t="s">
        <v>22</v>
      </c>
      <c r="AO10" s="48" t="s">
        <v>226</v>
      </c>
      <c r="AP10">
        <v>0</v>
      </c>
      <c r="AQ10" t="s">
        <v>17</v>
      </c>
      <c r="AS10" s="48" t="s">
        <v>226</v>
      </c>
      <c r="AT10">
        <v>0</v>
      </c>
      <c r="AU10" t="s">
        <v>8</v>
      </c>
      <c r="AV10" s="48" t="s">
        <v>226</v>
      </c>
      <c r="AW10">
        <v>0</v>
      </c>
    </row>
    <row r="11" spans="1:49" x14ac:dyDescent="0.25">
      <c r="A11" s="4" t="s">
        <v>0</v>
      </c>
      <c r="B11" s="38" t="s">
        <v>18</v>
      </c>
      <c r="C11" s="5" t="s">
        <v>19</v>
      </c>
      <c r="D11" s="4">
        <v>1264979</v>
      </c>
      <c r="E11" s="1" t="s">
        <v>25</v>
      </c>
      <c r="F11" s="4" t="s">
        <v>21</v>
      </c>
      <c r="G11" s="4" t="s">
        <v>22</v>
      </c>
      <c r="H11" s="1">
        <v>5.38</v>
      </c>
      <c r="I11" s="4">
        <v>2</v>
      </c>
      <c r="J11" t="b">
        <f t="shared" si="0"/>
        <v>0</v>
      </c>
      <c r="K11" t="b">
        <f t="shared" si="1"/>
        <v>0</v>
      </c>
      <c r="L11" t="b">
        <f t="shared" si="2"/>
        <v>0</v>
      </c>
      <c r="M11" t="b">
        <f t="shared" si="3"/>
        <v>0</v>
      </c>
      <c r="N11" t="b">
        <f t="shared" si="4"/>
        <v>0</v>
      </c>
      <c r="O11" t="b">
        <f t="shared" si="5"/>
        <v>1</v>
      </c>
      <c r="P11" t="b">
        <f t="shared" si="6"/>
        <v>0</v>
      </c>
      <c r="Q11" t="b">
        <f t="shared" si="7"/>
        <v>0</v>
      </c>
      <c r="R11" t="b">
        <f t="shared" si="8"/>
        <v>0</v>
      </c>
      <c r="S11" t="b">
        <f t="shared" si="9"/>
        <v>0</v>
      </c>
      <c r="T11" t="b">
        <f t="shared" si="10"/>
        <v>0</v>
      </c>
      <c r="U11" t="b">
        <f t="shared" si="11"/>
        <v>0</v>
      </c>
      <c r="V11" t="b">
        <f t="shared" si="12"/>
        <v>0</v>
      </c>
      <c r="W11" t="b">
        <f t="shared" si="13"/>
        <v>0</v>
      </c>
      <c r="X11" t="b">
        <f t="shared" si="14"/>
        <v>0</v>
      </c>
      <c r="Y11" t="b">
        <f t="shared" si="15"/>
        <v>0</v>
      </c>
      <c r="Z11" t="b">
        <f t="shared" si="16"/>
        <v>0</v>
      </c>
      <c r="AA11" t="b">
        <f t="shared" si="17"/>
        <v>0</v>
      </c>
      <c r="AB11" t="b">
        <f t="shared" si="18"/>
        <v>0</v>
      </c>
      <c r="AC11" t="b">
        <f t="shared" si="19"/>
        <v>0</v>
      </c>
      <c r="AD11" t="b">
        <f t="shared" si="20"/>
        <v>0</v>
      </c>
      <c r="AE11" t="b">
        <f t="shared" si="21"/>
        <v>0</v>
      </c>
      <c r="AF11" t="b">
        <f t="shared" si="22"/>
        <v>0</v>
      </c>
      <c r="AG11" s="55">
        <f>SUMIFS($I$2:$I$165,$G$2:$G$165,AG$1,$S$2:$S$165,TRUE)</f>
        <v>10</v>
      </c>
      <c r="AH11" s="55">
        <f>SUMIFS($I$2:$I$165,$G$2:$G$165,AH$1,$S$2:$S$165,TRUE)</f>
        <v>9</v>
      </c>
      <c r="AI11" s="55">
        <f>SUMIFS($I$2:$I$165,$G$2:$G$165,AI$1,$S$2:$S$165,TRUE)</f>
        <v>2.2999999999999998</v>
      </c>
      <c r="AJ11" s="55">
        <f>SUMIFS($I$2:$I$165,$G$2:$G$165,AJ$1,$S$2:$S$165,TRUE)</f>
        <v>0</v>
      </c>
      <c r="AK11" t="s">
        <v>5</v>
      </c>
      <c r="AL11" s="51" t="s">
        <v>227</v>
      </c>
      <c r="AM11">
        <v>10</v>
      </c>
      <c r="AN11" t="s">
        <v>22</v>
      </c>
      <c r="AO11" s="51" t="s">
        <v>227</v>
      </c>
      <c r="AP11">
        <v>9</v>
      </c>
      <c r="AQ11" t="s">
        <v>17</v>
      </c>
      <c r="AS11" s="51" t="s">
        <v>227</v>
      </c>
      <c r="AT11">
        <v>2.2999999999999998</v>
      </c>
      <c r="AU11" t="s">
        <v>8</v>
      </c>
      <c r="AV11" s="51" t="s">
        <v>227</v>
      </c>
      <c r="AW11">
        <v>0</v>
      </c>
    </row>
    <row r="12" spans="1:49" x14ac:dyDescent="0.25">
      <c r="A12" s="4" t="s">
        <v>0</v>
      </c>
      <c r="B12" s="38" t="s">
        <v>18</v>
      </c>
      <c r="C12" s="5" t="s">
        <v>19</v>
      </c>
      <c r="D12" s="4">
        <v>1264979</v>
      </c>
      <c r="E12" s="1" t="s">
        <v>26</v>
      </c>
      <c r="F12" s="4" t="s">
        <v>21</v>
      </c>
      <c r="G12" s="4" t="s">
        <v>22</v>
      </c>
      <c r="H12" s="1">
        <v>1.54</v>
      </c>
      <c r="I12" s="4">
        <v>2</v>
      </c>
      <c r="J12" t="b">
        <f t="shared" si="0"/>
        <v>0</v>
      </c>
      <c r="K12" t="b">
        <f t="shared" si="1"/>
        <v>0</v>
      </c>
      <c r="L12" t="b">
        <f t="shared" si="2"/>
        <v>0</v>
      </c>
      <c r="M12" t="b">
        <f t="shared" si="3"/>
        <v>0</v>
      </c>
      <c r="N12" t="b">
        <f t="shared" si="4"/>
        <v>0</v>
      </c>
      <c r="O12" t="b">
        <f t="shared" si="5"/>
        <v>1</v>
      </c>
      <c r="P12" t="b">
        <f t="shared" si="6"/>
        <v>0</v>
      </c>
      <c r="Q12" t="b">
        <f t="shared" si="7"/>
        <v>0</v>
      </c>
      <c r="R12" t="b">
        <f t="shared" si="8"/>
        <v>0</v>
      </c>
      <c r="S12" t="b">
        <f t="shared" si="9"/>
        <v>0</v>
      </c>
      <c r="T12" t="b">
        <f t="shared" si="10"/>
        <v>0</v>
      </c>
      <c r="U12" t="b">
        <f t="shared" si="11"/>
        <v>0</v>
      </c>
      <c r="V12" t="b">
        <f t="shared" si="12"/>
        <v>0</v>
      </c>
      <c r="W12" t="b">
        <f t="shared" si="13"/>
        <v>0</v>
      </c>
      <c r="X12" t="b">
        <f t="shared" si="14"/>
        <v>0</v>
      </c>
      <c r="Y12" t="b">
        <f t="shared" si="15"/>
        <v>0</v>
      </c>
      <c r="Z12" t="b">
        <f t="shared" si="16"/>
        <v>0</v>
      </c>
      <c r="AA12" t="b">
        <f t="shared" si="17"/>
        <v>0</v>
      </c>
      <c r="AB12" t="b">
        <f t="shared" si="18"/>
        <v>0</v>
      </c>
      <c r="AC12" t="b">
        <f t="shared" si="19"/>
        <v>0</v>
      </c>
      <c r="AD12" t="b">
        <f t="shared" si="20"/>
        <v>0</v>
      </c>
      <c r="AE12" t="b">
        <f t="shared" si="21"/>
        <v>0</v>
      </c>
      <c r="AF12" t="b">
        <f t="shared" si="22"/>
        <v>0</v>
      </c>
      <c r="AG12" s="58">
        <f>SUMIFS($I$2:$I$165,$G$2:$G$165,AG$1,$T$2:$T$165,TRUE)</f>
        <v>2</v>
      </c>
      <c r="AH12" s="58">
        <f>SUMIFS($I$2:$I$165,$G$2:$G$165,AH$1,$T$2:$T$165,TRUE)</f>
        <v>0</v>
      </c>
      <c r="AI12" s="58">
        <f>SUMIFS($I$2:$I$165,$G$2:$G$165,AI$1,$T$2:$T$165,TRUE)</f>
        <v>8</v>
      </c>
      <c r="AJ12" s="58">
        <f>SUMIFS($I$2:$I$165,$G$2:$G$165,AJ$1,$T$2:$T$165,TRUE)</f>
        <v>0</v>
      </c>
      <c r="AK12" t="s">
        <v>5</v>
      </c>
      <c r="AL12" s="56" t="s">
        <v>228</v>
      </c>
      <c r="AM12">
        <v>2</v>
      </c>
      <c r="AN12" t="s">
        <v>22</v>
      </c>
      <c r="AO12" s="56" t="s">
        <v>228</v>
      </c>
      <c r="AP12">
        <v>0</v>
      </c>
      <c r="AQ12" t="s">
        <v>17</v>
      </c>
      <c r="AS12" s="56" t="s">
        <v>228</v>
      </c>
      <c r="AT12">
        <v>8</v>
      </c>
      <c r="AU12" t="s">
        <v>8</v>
      </c>
      <c r="AV12" s="56" t="s">
        <v>228</v>
      </c>
      <c r="AW12">
        <v>0</v>
      </c>
    </row>
    <row r="13" spans="1:49" x14ac:dyDescent="0.25">
      <c r="A13" s="1" t="s">
        <v>0</v>
      </c>
      <c r="B13" s="39" t="s">
        <v>18</v>
      </c>
      <c r="C13" s="2" t="s">
        <v>19</v>
      </c>
      <c r="D13" s="3">
        <v>1264979</v>
      </c>
      <c r="E13" s="1" t="s">
        <v>27</v>
      </c>
      <c r="F13" s="1" t="s">
        <v>21</v>
      </c>
      <c r="G13" s="1" t="s">
        <v>5</v>
      </c>
      <c r="H13" s="1">
        <v>14.72</v>
      </c>
      <c r="I13" s="1">
        <v>8</v>
      </c>
      <c r="J13" t="b">
        <f t="shared" si="0"/>
        <v>0</v>
      </c>
      <c r="K13" t="b">
        <f t="shared" si="1"/>
        <v>0</v>
      </c>
      <c r="L13" t="b">
        <f t="shared" si="2"/>
        <v>0</v>
      </c>
      <c r="M13" t="b">
        <f t="shared" si="3"/>
        <v>0</v>
      </c>
      <c r="N13" t="b">
        <f t="shared" si="4"/>
        <v>0</v>
      </c>
      <c r="O13" t="b">
        <f t="shared" si="5"/>
        <v>1</v>
      </c>
      <c r="P13" t="b">
        <f t="shared" si="6"/>
        <v>0</v>
      </c>
      <c r="Q13" t="b">
        <f t="shared" si="7"/>
        <v>0</v>
      </c>
      <c r="R13" t="b">
        <f t="shared" si="8"/>
        <v>0</v>
      </c>
      <c r="S13" t="b">
        <f t="shared" si="9"/>
        <v>0</v>
      </c>
      <c r="T13" t="b">
        <f t="shared" si="10"/>
        <v>0</v>
      </c>
      <c r="U13" t="b">
        <f t="shared" si="11"/>
        <v>0</v>
      </c>
      <c r="V13" t="b">
        <f t="shared" si="12"/>
        <v>0</v>
      </c>
      <c r="W13" t="b">
        <f t="shared" si="13"/>
        <v>0</v>
      </c>
      <c r="X13" t="b">
        <f t="shared" si="14"/>
        <v>0</v>
      </c>
      <c r="Y13" t="b">
        <f t="shared" si="15"/>
        <v>0</v>
      </c>
      <c r="Z13" t="b">
        <f t="shared" si="16"/>
        <v>0</v>
      </c>
      <c r="AA13" t="b">
        <f t="shared" si="17"/>
        <v>0</v>
      </c>
      <c r="AB13" t="b">
        <f t="shared" si="18"/>
        <v>0</v>
      </c>
      <c r="AC13" t="b">
        <f t="shared" si="19"/>
        <v>0</v>
      </c>
      <c r="AD13" t="b">
        <f t="shared" si="20"/>
        <v>0</v>
      </c>
      <c r="AE13" t="b">
        <f t="shared" si="21"/>
        <v>0</v>
      </c>
      <c r="AF13" t="b">
        <f t="shared" si="22"/>
        <v>0</v>
      </c>
      <c r="AG13" s="61">
        <f>SUMIFS($I$2:$I$165,$G$2:$G$165,AG$1,$U$2:$U$165,TRUE)</f>
        <v>0</v>
      </c>
      <c r="AH13" s="61">
        <f>SUMIFS($I$2:$I$165,$G$2:$G$165,AH$1,$U$2:$U$165,TRUE)</f>
        <v>3</v>
      </c>
      <c r="AI13" s="61">
        <f>SUMIFS($I$2:$I$165,$G$2:$G$165,AI$1,$U$2:$U$165,TRUE)</f>
        <v>3</v>
      </c>
      <c r="AJ13" s="61">
        <f>SUMIFS($I$2:$I$165,$G$2:$G$165,AJ$1,$U$2:$U$165,TRUE)</f>
        <v>1.5</v>
      </c>
      <c r="AK13" t="s">
        <v>5</v>
      </c>
      <c r="AL13" s="59" t="s">
        <v>229</v>
      </c>
      <c r="AM13">
        <v>0</v>
      </c>
      <c r="AN13" t="s">
        <v>22</v>
      </c>
      <c r="AO13" s="59" t="s">
        <v>229</v>
      </c>
      <c r="AP13">
        <v>3</v>
      </c>
      <c r="AQ13" t="s">
        <v>17</v>
      </c>
      <c r="AS13" s="59" t="s">
        <v>229</v>
      </c>
      <c r="AT13">
        <v>3</v>
      </c>
      <c r="AU13" t="s">
        <v>8</v>
      </c>
      <c r="AV13" s="59" t="s">
        <v>229</v>
      </c>
      <c r="AW13">
        <v>1.5</v>
      </c>
    </row>
    <row r="14" spans="1:49" x14ac:dyDescent="0.25">
      <c r="A14" s="4" t="s">
        <v>0</v>
      </c>
      <c r="B14" s="38" t="s">
        <v>18</v>
      </c>
      <c r="C14" s="5" t="s">
        <v>19</v>
      </c>
      <c r="D14" s="4">
        <v>1264979</v>
      </c>
      <c r="E14" s="1" t="s">
        <v>28</v>
      </c>
      <c r="F14" s="4" t="s">
        <v>21</v>
      </c>
      <c r="G14" s="4" t="s">
        <v>22</v>
      </c>
      <c r="H14" s="1">
        <v>1.9</v>
      </c>
      <c r="I14" s="4">
        <v>2</v>
      </c>
      <c r="J14" t="b">
        <f t="shared" si="0"/>
        <v>0</v>
      </c>
      <c r="K14" t="b">
        <f t="shared" si="1"/>
        <v>0</v>
      </c>
      <c r="L14" t="b">
        <f t="shared" si="2"/>
        <v>0</v>
      </c>
      <c r="M14" t="b">
        <f t="shared" si="3"/>
        <v>0</v>
      </c>
      <c r="N14" t="b">
        <f t="shared" si="4"/>
        <v>0</v>
      </c>
      <c r="O14" t="b">
        <f t="shared" si="5"/>
        <v>1</v>
      </c>
      <c r="P14" t="b">
        <f t="shared" si="6"/>
        <v>0</v>
      </c>
      <c r="Q14" t="b">
        <f t="shared" si="7"/>
        <v>0</v>
      </c>
      <c r="R14" t="b">
        <f t="shared" si="8"/>
        <v>0</v>
      </c>
      <c r="S14" t="b">
        <f t="shared" si="9"/>
        <v>0</v>
      </c>
      <c r="T14" t="b">
        <f t="shared" si="10"/>
        <v>0</v>
      </c>
      <c r="U14" t="b">
        <f t="shared" si="11"/>
        <v>0</v>
      </c>
      <c r="V14" t="b">
        <f t="shared" si="12"/>
        <v>0</v>
      </c>
      <c r="W14" t="b">
        <f t="shared" si="13"/>
        <v>0</v>
      </c>
      <c r="X14" t="b">
        <f t="shared" si="14"/>
        <v>0</v>
      </c>
      <c r="Y14" t="b">
        <f t="shared" si="15"/>
        <v>0</v>
      </c>
      <c r="Z14" t="b">
        <f t="shared" si="16"/>
        <v>0</v>
      </c>
      <c r="AA14" t="b">
        <f t="shared" si="17"/>
        <v>0</v>
      </c>
      <c r="AB14" t="b">
        <f t="shared" si="18"/>
        <v>0</v>
      </c>
      <c r="AC14" t="b">
        <f t="shared" si="19"/>
        <v>0</v>
      </c>
      <c r="AD14" t="b">
        <f t="shared" si="20"/>
        <v>0</v>
      </c>
      <c r="AE14" t="b">
        <f t="shared" si="21"/>
        <v>0</v>
      </c>
      <c r="AF14" t="b">
        <f t="shared" si="22"/>
        <v>0</v>
      </c>
      <c r="AG14" s="64">
        <f>SUMIFS($I$2:$I$165,$G$2:$G$165,AG$1,$V$2:$V$165,TRUE)</f>
        <v>6</v>
      </c>
      <c r="AH14" s="64">
        <f>SUMIFS($I$2:$I$165,$G$2:$G$165,AH$1,$V$2:$V$165,TRUE)</f>
        <v>2</v>
      </c>
      <c r="AI14" s="64">
        <f>SUMIFS($I$2:$I$165,$G$2:$G$165,AI$1,$V$2:$V$165,TRUE)</f>
        <v>0</v>
      </c>
      <c r="AJ14" s="64">
        <f>SUMIFS($I$2:$I$165,$G$2:$G$165,AJ$1,$V$2:$V$165,TRUE)</f>
        <v>0</v>
      </c>
      <c r="AK14" t="s">
        <v>5</v>
      </c>
      <c r="AL14" s="62" t="s">
        <v>130</v>
      </c>
      <c r="AM14">
        <v>6</v>
      </c>
      <c r="AN14" t="s">
        <v>22</v>
      </c>
      <c r="AO14" s="62" t="s">
        <v>130</v>
      </c>
      <c r="AP14">
        <v>2</v>
      </c>
      <c r="AQ14" t="s">
        <v>17</v>
      </c>
      <c r="AS14" s="62" t="s">
        <v>130</v>
      </c>
      <c r="AT14">
        <v>0</v>
      </c>
      <c r="AU14" t="s">
        <v>8</v>
      </c>
      <c r="AV14" s="62" t="s">
        <v>130</v>
      </c>
      <c r="AW14">
        <v>0</v>
      </c>
    </row>
    <row r="15" spans="1:49" x14ac:dyDescent="0.25">
      <c r="A15" s="1" t="s">
        <v>0</v>
      </c>
      <c r="B15" s="39" t="s">
        <v>18</v>
      </c>
      <c r="C15" s="2" t="s">
        <v>29</v>
      </c>
      <c r="D15" s="3">
        <v>1264979</v>
      </c>
      <c r="E15" s="1" t="s">
        <v>30</v>
      </c>
      <c r="F15" s="1" t="s">
        <v>21</v>
      </c>
      <c r="G15" s="1" t="s">
        <v>8</v>
      </c>
      <c r="H15" s="1">
        <v>21.2</v>
      </c>
      <c r="I15" s="1">
        <v>1</v>
      </c>
      <c r="J15" t="b">
        <f t="shared" si="0"/>
        <v>0</v>
      </c>
      <c r="K15" t="b">
        <f t="shared" si="1"/>
        <v>0</v>
      </c>
      <c r="L15" t="b">
        <f t="shared" si="2"/>
        <v>0</v>
      </c>
      <c r="M15" t="b">
        <f t="shared" si="3"/>
        <v>0</v>
      </c>
      <c r="N15" t="b">
        <f t="shared" si="4"/>
        <v>0</v>
      </c>
      <c r="O15" t="b">
        <f t="shared" si="5"/>
        <v>1</v>
      </c>
      <c r="P15" t="b">
        <f t="shared" si="6"/>
        <v>0</v>
      </c>
      <c r="Q15" t="b">
        <f t="shared" si="7"/>
        <v>0</v>
      </c>
      <c r="R15" t="b">
        <f t="shared" si="8"/>
        <v>0</v>
      </c>
      <c r="S15" t="b">
        <f t="shared" si="9"/>
        <v>0</v>
      </c>
      <c r="T15" t="b">
        <f t="shared" si="10"/>
        <v>0</v>
      </c>
      <c r="U15" t="b">
        <f t="shared" si="11"/>
        <v>0</v>
      </c>
      <c r="V15" t="b">
        <f t="shared" si="12"/>
        <v>0</v>
      </c>
      <c r="W15" t="b">
        <f t="shared" si="13"/>
        <v>0</v>
      </c>
      <c r="X15" t="b">
        <f t="shared" si="14"/>
        <v>0</v>
      </c>
      <c r="Y15" t="b">
        <f t="shared" si="15"/>
        <v>0</v>
      </c>
      <c r="Z15" t="b">
        <f t="shared" si="16"/>
        <v>0</v>
      </c>
      <c r="AA15" t="b">
        <f t="shared" si="17"/>
        <v>0</v>
      </c>
      <c r="AB15" t="b">
        <f t="shared" si="18"/>
        <v>0</v>
      </c>
      <c r="AC15" t="b">
        <f t="shared" si="19"/>
        <v>0</v>
      </c>
      <c r="AD15" t="b">
        <f t="shared" si="20"/>
        <v>0</v>
      </c>
      <c r="AE15" t="b">
        <f t="shared" si="21"/>
        <v>0</v>
      </c>
      <c r="AF15" t="b">
        <f t="shared" si="22"/>
        <v>0</v>
      </c>
      <c r="AG15" s="67">
        <f>SUMIFS($I$2:$I$165,$G$2:$G$165,AG$1,$W$2:$W$165,TRUE)</f>
        <v>3</v>
      </c>
      <c r="AH15" s="67">
        <f>SUMIFS($I$2:$I$165,$G$2:$G$165,AH$1,$W$2:$W$165,TRUE)</f>
        <v>0</v>
      </c>
      <c r="AI15" s="67">
        <f>SUMIFS($I$2:$I$165,$G$2:$G$165,AI$1,$W$2:$W$165,TRUE)</f>
        <v>10</v>
      </c>
      <c r="AJ15" s="67">
        <f>SUMIFS($I$2:$I$165,$G$2:$G$165,AJ$1,$W$2:$W$165,TRUE)</f>
        <v>0</v>
      </c>
      <c r="AK15" t="s">
        <v>5</v>
      </c>
      <c r="AL15" s="65" t="s">
        <v>84</v>
      </c>
      <c r="AM15">
        <v>3</v>
      </c>
      <c r="AN15" t="s">
        <v>22</v>
      </c>
      <c r="AO15" s="65" t="s">
        <v>84</v>
      </c>
      <c r="AP15">
        <v>0</v>
      </c>
      <c r="AQ15" t="s">
        <v>17</v>
      </c>
      <c r="AS15" s="65" t="s">
        <v>84</v>
      </c>
      <c r="AT15">
        <v>10</v>
      </c>
      <c r="AU15" t="s">
        <v>8</v>
      </c>
      <c r="AV15" s="65" t="s">
        <v>84</v>
      </c>
      <c r="AW15">
        <v>0</v>
      </c>
    </row>
    <row r="16" spans="1:49" x14ac:dyDescent="0.25">
      <c r="A16" s="4" t="s">
        <v>0</v>
      </c>
      <c r="B16" s="38" t="s">
        <v>18</v>
      </c>
      <c r="C16" s="5" t="s">
        <v>31</v>
      </c>
      <c r="D16" s="4">
        <v>1264979</v>
      </c>
      <c r="E16" s="1" t="s">
        <v>32</v>
      </c>
      <c r="F16" s="4" t="s">
        <v>21</v>
      </c>
      <c r="G16" s="4" t="s">
        <v>22</v>
      </c>
      <c r="H16" s="1">
        <v>0.4</v>
      </c>
      <c r="I16" s="4">
        <v>1</v>
      </c>
      <c r="J16" t="b">
        <f t="shared" si="0"/>
        <v>0</v>
      </c>
      <c r="K16" t="b">
        <f t="shared" si="1"/>
        <v>0</v>
      </c>
      <c r="L16" t="b">
        <f t="shared" si="2"/>
        <v>0</v>
      </c>
      <c r="M16" t="b">
        <f t="shared" si="3"/>
        <v>0</v>
      </c>
      <c r="N16" t="b">
        <f t="shared" si="4"/>
        <v>0</v>
      </c>
      <c r="O16" t="b">
        <f t="shared" si="5"/>
        <v>1</v>
      </c>
      <c r="P16" t="b">
        <f t="shared" si="6"/>
        <v>0</v>
      </c>
      <c r="Q16" t="b">
        <f t="shared" si="7"/>
        <v>0</v>
      </c>
      <c r="R16" t="b">
        <f t="shared" si="8"/>
        <v>0</v>
      </c>
      <c r="S16" t="b">
        <f t="shared" si="9"/>
        <v>0</v>
      </c>
      <c r="T16" t="b">
        <f t="shared" si="10"/>
        <v>0</v>
      </c>
      <c r="U16" t="b">
        <f t="shared" si="11"/>
        <v>0</v>
      </c>
      <c r="V16" t="b">
        <f t="shared" si="12"/>
        <v>0</v>
      </c>
      <c r="W16" t="b">
        <f t="shared" si="13"/>
        <v>0</v>
      </c>
      <c r="X16" t="b">
        <f t="shared" si="14"/>
        <v>0</v>
      </c>
      <c r="Y16" t="b">
        <f t="shared" si="15"/>
        <v>0</v>
      </c>
      <c r="Z16" t="b">
        <f t="shared" si="16"/>
        <v>0</v>
      </c>
      <c r="AA16" t="b">
        <f t="shared" si="17"/>
        <v>0</v>
      </c>
      <c r="AB16" t="b">
        <f t="shared" si="18"/>
        <v>0</v>
      </c>
      <c r="AC16" t="b">
        <f t="shared" si="19"/>
        <v>0</v>
      </c>
      <c r="AD16" t="b">
        <f t="shared" si="20"/>
        <v>0</v>
      </c>
      <c r="AE16" t="b">
        <f t="shared" si="21"/>
        <v>0</v>
      </c>
      <c r="AF16" t="b">
        <f t="shared" si="22"/>
        <v>0</v>
      </c>
      <c r="AG16" s="70">
        <f>SUMIFS($I$2:$I$165,$G$2:$G$165,AG$1,$X$2:$X$165,TRUE)</f>
        <v>0</v>
      </c>
      <c r="AH16" s="70">
        <f>SUMIFS($I$2:$I$165,$G$2:$G$165,AH$1,$X$2:$X$165,TRUE)</f>
        <v>0</v>
      </c>
      <c r="AI16" s="70">
        <f>SUMIFS($I$2:$I$165,$G$2:$G$165,AI$1,$X$2:$X$165,TRUE)</f>
        <v>2.5</v>
      </c>
      <c r="AJ16" s="70">
        <f>SUMIFS($I$2:$I$165,$G$2:$G$165,AJ$1,$X$2:$X$165,TRUE)</f>
        <v>2.75</v>
      </c>
      <c r="AK16" t="s">
        <v>5</v>
      </c>
      <c r="AL16" s="68" t="s">
        <v>230</v>
      </c>
      <c r="AM16">
        <v>0</v>
      </c>
      <c r="AN16" t="s">
        <v>22</v>
      </c>
      <c r="AO16" s="68" t="s">
        <v>230</v>
      </c>
      <c r="AP16">
        <v>0</v>
      </c>
      <c r="AQ16" t="s">
        <v>17</v>
      </c>
      <c r="AS16" s="68" t="s">
        <v>230</v>
      </c>
      <c r="AT16">
        <v>2.5</v>
      </c>
      <c r="AU16" t="s">
        <v>8</v>
      </c>
      <c r="AV16" s="68" t="s">
        <v>230</v>
      </c>
      <c r="AW16">
        <v>2.75</v>
      </c>
    </row>
    <row r="17" spans="1:49" x14ac:dyDescent="0.25">
      <c r="A17" s="1" t="s">
        <v>0</v>
      </c>
      <c r="B17" s="42" t="s">
        <v>33</v>
      </c>
      <c r="C17" s="2" t="s">
        <v>34</v>
      </c>
      <c r="D17" s="3">
        <v>1371489</v>
      </c>
      <c r="E17" s="1" t="s">
        <v>35</v>
      </c>
      <c r="F17" s="1" t="s">
        <v>36</v>
      </c>
      <c r="G17" s="1" t="s">
        <v>5</v>
      </c>
      <c r="H17" s="4">
        <v>3.44</v>
      </c>
      <c r="I17" s="1">
        <v>3</v>
      </c>
      <c r="J17" t="b">
        <f t="shared" si="0"/>
        <v>0</v>
      </c>
      <c r="K17" t="b">
        <f t="shared" si="1"/>
        <v>0</v>
      </c>
      <c r="L17" t="b">
        <f t="shared" si="2"/>
        <v>0</v>
      </c>
      <c r="M17" t="b">
        <f t="shared" si="3"/>
        <v>0</v>
      </c>
      <c r="N17" t="b">
        <f t="shared" si="4"/>
        <v>0</v>
      </c>
      <c r="O17" t="b">
        <f t="shared" si="5"/>
        <v>0</v>
      </c>
      <c r="P17" t="b">
        <f t="shared" si="6"/>
        <v>1</v>
      </c>
      <c r="Q17" t="b">
        <f t="shared" si="7"/>
        <v>0</v>
      </c>
      <c r="R17" t="b">
        <f t="shared" si="8"/>
        <v>0</v>
      </c>
      <c r="S17" t="b">
        <f t="shared" si="9"/>
        <v>0</v>
      </c>
      <c r="T17" t="b">
        <f t="shared" si="10"/>
        <v>0</v>
      </c>
      <c r="U17" t="b">
        <f t="shared" si="11"/>
        <v>0</v>
      </c>
      <c r="V17" t="b">
        <f t="shared" si="12"/>
        <v>0</v>
      </c>
      <c r="W17" t="b">
        <f t="shared" si="13"/>
        <v>0</v>
      </c>
      <c r="X17" t="b">
        <f t="shared" si="14"/>
        <v>0</v>
      </c>
      <c r="Y17" t="b">
        <f t="shared" si="15"/>
        <v>0</v>
      </c>
      <c r="Z17" t="b">
        <f t="shared" si="16"/>
        <v>0</v>
      </c>
      <c r="AA17" t="b">
        <f t="shared" si="17"/>
        <v>0</v>
      </c>
      <c r="AB17" t="b">
        <f t="shared" si="18"/>
        <v>0</v>
      </c>
      <c r="AC17" t="b">
        <f t="shared" si="19"/>
        <v>0</v>
      </c>
      <c r="AD17" t="b">
        <f t="shared" si="20"/>
        <v>0</v>
      </c>
      <c r="AE17" t="b">
        <f t="shared" si="21"/>
        <v>0</v>
      </c>
      <c r="AF17" t="b">
        <f t="shared" si="22"/>
        <v>0</v>
      </c>
      <c r="AG17" s="72">
        <f>SUMIFS($I$2:$I$165,$G$2:$G$165,AG$1,$Y$2:$Y$165,TRUE)</f>
        <v>8</v>
      </c>
      <c r="AH17" s="72">
        <f>SUMIFS($I$2:$I$165,$G$2:$G$165,AH$1,$Y$2:$Y$165,TRUE)</f>
        <v>0</v>
      </c>
      <c r="AI17" s="72">
        <f>SUMIFS($I$2:$I$165,$G$2:$G$165,AI$1,$Y$2:$Y$165,TRUE)</f>
        <v>3</v>
      </c>
      <c r="AJ17" s="72">
        <f>SUMIFS($I$2:$I$165,$G$2:$G$165,AJ$1,$Y$2:$Y$165,TRUE)</f>
        <v>0</v>
      </c>
      <c r="AK17" t="s">
        <v>5</v>
      </c>
      <c r="AL17" s="73" t="s">
        <v>231</v>
      </c>
      <c r="AM17">
        <v>8</v>
      </c>
      <c r="AN17" t="s">
        <v>22</v>
      </c>
      <c r="AO17" s="73" t="s">
        <v>231</v>
      </c>
      <c r="AP17">
        <v>0</v>
      </c>
      <c r="AQ17" t="s">
        <v>17</v>
      </c>
      <c r="AS17" s="73" t="s">
        <v>231</v>
      </c>
      <c r="AT17">
        <v>3</v>
      </c>
      <c r="AU17" t="s">
        <v>8</v>
      </c>
      <c r="AV17" s="73" t="s">
        <v>231</v>
      </c>
      <c r="AW17">
        <v>0</v>
      </c>
    </row>
    <row r="18" spans="1:49" x14ac:dyDescent="0.25">
      <c r="A18" s="1" t="s">
        <v>0</v>
      </c>
      <c r="B18" s="42" t="s">
        <v>33</v>
      </c>
      <c r="C18" s="2" t="s">
        <v>34</v>
      </c>
      <c r="D18" s="3">
        <v>1371489</v>
      </c>
      <c r="E18" s="1" t="s">
        <v>37</v>
      </c>
      <c r="F18" s="1" t="s">
        <v>36</v>
      </c>
      <c r="G18" s="1" t="s">
        <v>5</v>
      </c>
      <c r="H18" s="4">
        <v>0.03</v>
      </c>
      <c r="I18" s="1">
        <v>0.03</v>
      </c>
      <c r="J18" t="b">
        <f t="shared" si="0"/>
        <v>0</v>
      </c>
      <c r="K18" t="b">
        <f t="shared" si="1"/>
        <v>0</v>
      </c>
      <c r="L18" t="b">
        <f t="shared" si="2"/>
        <v>0</v>
      </c>
      <c r="M18" t="b">
        <f t="shared" si="3"/>
        <v>0</v>
      </c>
      <c r="N18" t="b">
        <f t="shared" si="4"/>
        <v>0</v>
      </c>
      <c r="O18" t="b">
        <f t="shared" si="5"/>
        <v>0</v>
      </c>
      <c r="P18" t="b">
        <f t="shared" si="6"/>
        <v>1</v>
      </c>
      <c r="Q18" t="b">
        <f t="shared" si="7"/>
        <v>0</v>
      </c>
      <c r="R18" t="b">
        <f t="shared" si="8"/>
        <v>0</v>
      </c>
      <c r="S18" t="b">
        <f t="shared" si="9"/>
        <v>0</v>
      </c>
      <c r="T18" t="b">
        <f t="shared" si="10"/>
        <v>0</v>
      </c>
      <c r="U18" t="b">
        <f t="shared" si="11"/>
        <v>0</v>
      </c>
      <c r="V18" t="b">
        <f t="shared" si="12"/>
        <v>0</v>
      </c>
      <c r="W18" t="b">
        <f t="shared" si="13"/>
        <v>0</v>
      </c>
      <c r="X18" t="b">
        <f t="shared" si="14"/>
        <v>0</v>
      </c>
      <c r="Y18" t="b">
        <f t="shared" si="15"/>
        <v>0</v>
      </c>
      <c r="Z18" t="b">
        <f t="shared" si="16"/>
        <v>0</v>
      </c>
      <c r="AA18" t="b">
        <f t="shared" si="17"/>
        <v>0</v>
      </c>
      <c r="AB18" t="b">
        <f t="shared" si="18"/>
        <v>0</v>
      </c>
      <c r="AC18" t="b">
        <f t="shared" si="19"/>
        <v>0</v>
      </c>
      <c r="AD18" t="b">
        <f t="shared" si="20"/>
        <v>0</v>
      </c>
      <c r="AE18" t="b">
        <f t="shared" si="21"/>
        <v>0</v>
      </c>
      <c r="AF18" t="b">
        <f t="shared" si="22"/>
        <v>0</v>
      </c>
      <c r="AG18" s="76">
        <f>SUMIFS($I$2:$I$165,$G$2:$G$165,AG$1,$Z$2:$Z$165,TRUE)</f>
        <v>0</v>
      </c>
      <c r="AH18" s="76">
        <f>SUMIFS($I$2:$I$165,$G$2:$G$165,AH$1,$Z$2:$Z$165,TRUE)</f>
        <v>0</v>
      </c>
      <c r="AI18" s="76">
        <f>SUMIFS($I$2:$I$165,$G$2:$G$165,AI$1,$Z$2:$Z$165,TRUE)</f>
        <v>2</v>
      </c>
      <c r="AJ18" s="76">
        <f>SUMIFS($I$2:$I$165,$G$2:$G$165,AJ$1,$Z$2:$Z$165,TRUE)</f>
        <v>0</v>
      </c>
      <c r="AK18" t="s">
        <v>5</v>
      </c>
      <c r="AL18" s="74" t="s">
        <v>232</v>
      </c>
      <c r="AM18">
        <v>0</v>
      </c>
      <c r="AN18" t="s">
        <v>22</v>
      </c>
      <c r="AO18" s="74" t="s">
        <v>232</v>
      </c>
      <c r="AP18">
        <v>0</v>
      </c>
      <c r="AQ18" t="s">
        <v>17</v>
      </c>
      <c r="AS18" s="74" t="s">
        <v>232</v>
      </c>
      <c r="AT18">
        <v>2</v>
      </c>
      <c r="AU18" t="s">
        <v>8</v>
      </c>
      <c r="AV18" s="74" t="s">
        <v>232</v>
      </c>
      <c r="AW18">
        <v>0</v>
      </c>
    </row>
    <row r="19" spans="1:49" x14ac:dyDescent="0.25">
      <c r="A19" s="1" t="s">
        <v>0</v>
      </c>
      <c r="B19" s="45" t="s">
        <v>38</v>
      </c>
      <c r="C19" s="2" t="s">
        <v>39</v>
      </c>
      <c r="D19" s="7">
        <v>1355916</v>
      </c>
      <c r="E19" s="1" t="s">
        <v>40</v>
      </c>
      <c r="F19" s="1" t="s">
        <v>42</v>
      </c>
      <c r="G19" s="1" t="s">
        <v>8</v>
      </c>
      <c r="H19" s="1">
        <v>0.49</v>
      </c>
      <c r="I19" s="1">
        <v>1</v>
      </c>
      <c r="J19" t="b">
        <f t="shared" si="0"/>
        <v>0</v>
      </c>
      <c r="K19" t="b">
        <f t="shared" si="1"/>
        <v>0</v>
      </c>
      <c r="L19" t="b">
        <f t="shared" si="2"/>
        <v>0</v>
      </c>
      <c r="M19" t="b">
        <f t="shared" si="3"/>
        <v>0</v>
      </c>
      <c r="N19" t="b">
        <f t="shared" si="4"/>
        <v>0</v>
      </c>
      <c r="O19" t="b">
        <f t="shared" si="5"/>
        <v>0</v>
      </c>
      <c r="P19" t="b">
        <f t="shared" si="6"/>
        <v>0</v>
      </c>
      <c r="Q19" t="b">
        <f t="shared" si="7"/>
        <v>1</v>
      </c>
      <c r="R19" t="b">
        <f t="shared" si="8"/>
        <v>0</v>
      </c>
      <c r="S19" t="b">
        <f t="shared" si="9"/>
        <v>0</v>
      </c>
      <c r="T19" t="b">
        <f t="shared" si="10"/>
        <v>0</v>
      </c>
      <c r="U19" t="b">
        <f t="shared" si="11"/>
        <v>0</v>
      </c>
      <c r="V19" t="b">
        <f t="shared" si="12"/>
        <v>0</v>
      </c>
      <c r="W19" t="b">
        <f t="shared" si="13"/>
        <v>0</v>
      </c>
      <c r="X19" t="b">
        <f t="shared" si="14"/>
        <v>0</v>
      </c>
      <c r="Y19" t="b">
        <f t="shared" si="15"/>
        <v>0</v>
      </c>
      <c r="Z19" t="b">
        <f t="shared" si="16"/>
        <v>0</v>
      </c>
      <c r="AA19" t="b">
        <f t="shared" si="17"/>
        <v>0</v>
      </c>
      <c r="AB19" t="b">
        <f t="shared" si="18"/>
        <v>0</v>
      </c>
      <c r="AC19" t="b">
        <f t="shared" si="19"/>
        <v>0</v>
      </c>
      <c r="AD19" t="b">
        <f t="shared" si="20"/>
        <v>0</v>
      </c>
      <c r="AE19" t="b">
        <f t="shared" si="21"/>
        <v>0</v>
      </c>
      <c r="AF19" t="b">
        <f t="shared" si="22"/>
        <v>0</v>
      </c>
      <c r="AG19" s="78">
        <f>SUMIFS($I$2:$I$165,$G$2:$G$165,AG$1,$AA$2:$AA$165,TRUE)</f>
        <v>0</v>
      </c>
      <c r="AH19" s="78">
        <f>SUMIFS($I$2:$I$165,$G$2:$G$165,AH$1,$AA$2:$AA$165,TRUE)</f>
        <v>3.36</v>
      </c>
      <c r="AI19" s="78">
        <f>SUMIFS($I$2:$I$165,$G$2:$G$165,AI$1,$AA$2:$AA$165,TRUE)</f>
        <v>9</v>
      </c>
      <c r="AJ19" s="78">
        <f>SUMIFS($I$2:$I$165,$G$2:$G$165,AJ$1,$AA$2:$AA$165,TRUE)</f>
        <v>0</v>
      </c>
      <c r="AK19" t="s">
        <v>5</v>
      </c>
      <c r="AL19" s="77" t="s">
        <v>233</v>
      </c>
      <c r="AM19">
        <v>0</v>
      </c>
      <c r="AN19" t="s">
        <v>22</v>
      </c>
      <c r="AO19" s="77" t="s">
        <v>233</v>
      </c>
      <c r="AP19">
        <v>3.36</v>
      </c>
      <c r="AQ19" t="s">
        <v>17</v>
      </c>
      <c r="AS19" s="77" t="s">
        <v>233</v>
      </c>
      <c r="AT19">
        <v>9</v>
      </c>
      <c r="AU19" t="s">
        <v>8</v>
      </c>
      <c r="AV19" s="77" t="s">
        <v>233</v>
      </c>
      <c r="AW19">
        <v>0</v>
      </c>
    </row>
    <row r="20" spans="1:49" x14ac:dyDescent="0.25">
      <c r="A20" s="1" t="s">
        <v>0</v>
      </c>
      <c r="B20" s="46" t="s">
        <v>38</v>
      </c>
      <c r="C20" s="2" t="s">
        <v>43</v>
      </c>
      <c r="D20" s="7">
        <v>1355916</v>
      </c>
      <c r="E20" s="1" t="s">
        <v>44</v>
      </c>
      <c r="F20" s="1" t="s">
        <v>42</v>
      </c>
      <c r="G20" s="1" t="s">
        <v>8</v>
      </c>
      <c r="H20" s="1">
        <v>4.01</v>
      </c>
      <c r="I20" s="1">
        <v>1</v>
      </c>
      <c r="J20" t="b">
        <f t="shared" si="0"/>
        <v>0</v>
      </c>
      <c r="K20" t="b">
        <f t="shared" si="1"/>
        <v>0</v>
      </c>
      <c r="L20" t="b">
        <f t="shared" si="2"/>
        <v>0</v>
      </c>
      <c r="M20" t="b">
        <f t="shared" si="3"/>
        <v>0</v>
      </c>
      <c r="N20" t="b">
        <f t="shared" si="4"/>
        <v>0</v>
      </c>
      <c r="O20" t="b">
        <f t="shared" si="5"/>
        <v>0</v>
      </c>
      <c r="P20" t="b">
        <f t="shared" si="6"/>
        <v>0</v>
      </c>
      <c r="Q20" t="b">
        <f t="shared" si="7"/>
        <v>1</v>
      </c>
      <c r="R20" t="b">
        <f t="shared" si="8"/>
        <v>0</v>
      </c>
      <c r="S20" t="b">
        <f t="shared" si="9"/>
        <v>0</v>
      </c>
      <c r="T20" t="b">
        <f t="shared" si="10"/>
        <v>0</v>
      </c>
      <c r="U20" t="b">
        <f t="shared" si="11"/>
        <v>0</v>
      </c>
      <c r="V20" t="b">
        <f t="shared" si="12"/>
        <v>0</v>
      </c>
      <c r="W20" t="b">
        <f t="shared" si="13"/>
        <v>0</v>
      </c>
      <c r="X20" t="b">
        <f t="shared" si="14"/>
        <v>0</v>
      </c>
      <c r="Y20" t="b">
        <f t="shared" si="15"/>
        <v>0</v>
      </c>
      <c r="Z20" t="b">
        <f t="shared" si="16"/>
        <v>0</v>
      </c>
      <c r="AA20" t="b">
        <f t="shared" si="17"/>
        <v>0</v>
      </c>
      <c r="AB20" t="b">
        <f t="shared" si="18"/>
        <v>0</v>
      </c>
      <c r="AC20" t="b">
        <f t="shared" si="19"/>
        <v>0</v>
      </c>
      <c r="AD20" t="b">
        <f t="shared" si="20"/>
        <v>0</v>
      </c>
      <c r="AE20" t="b">
        <f t="shared" si="21"/>
        <v>0</v>
      </c>
      <c r="AF20" t="b">
        <f t="shared" si="22"/>
        <v>0</v>
      </c>
      <c r="AG20" s="82">
        <f>SUMIFS($I$2:$I$165,$G$2:$G$165,AG$1,$AB$2:$AB$165,TRUE)</f>
        <v>0</v>
      </c>
      <c r="AH20" s="82">
        <f>SUMIFS($I$2:$I$165,$G$2:$G$165,AH$1,$AB$2:$AB$165,TRUE)</f>
        <v>0</v>
      </c>
      <c r="AI20" s="82">
        <f>SUMIFS($I$2:$I$165,$G$2:$G$165,AI$1,$AB$2:$AB$165,TRUE)</f>
        <v>1.08</v>
      </c>
      <c r="AJ20" s="82">
        <f>SUMIFS($I$2:$I$165,$G$2:$G$165,AJ$1,$AB$2:$AB$165,TRUE)</f>
        <v>1</v>
      </c>
      <c r="AK20" t="s">
        <v>5</v>
      </c>
      <c r="AL20" s="80" t="s">
        <v>234</v>
      </c>
      <c r="AM20">
        <v>0</v>
      </c>
      <c r="AN20" t="s">
        <v>22</v>
      </c>
      <c r="AO20" s="80" t="s">
        <v>234</v>
      </c>
      <c r="AP20">
        <v>0</v>
      </c>
      <c r="AQ20" t="s">
        <v>17</v>
      </c>
      <c r="AS20" s="80" t="s">
        <v>234</v>
      </c>
      <c r="AT20">
        <v>1.08</v>
      </c>
      <c r="AU20" t="s">
        <v>8</v>
      </c>
      <c r="AV20" s="80" t="s">
        <v>234</v>
      </c>
      <c r="AW20">
        <v>1</v>
      </c>
    </row>
    <row r="21" spans="1:49" x14ac:dyDescent="0.25">
      <c r="A21" s="1" t="s">
        <v>0</v>
      </c>
      <c r="B21" s="46" t="s">
        <v>38</v>
      </c>
      <c r="C21" s="2" t="s">
        <v>43</v>
      </c>
      <c r="D21" s="7">
        <v>1355916</v>
      </c>
      <c r="E21" s="1" t="s">
        <v>45</v>
      </c>
      <c r="F21" s="1" t="s">
        <v>42</v>
      </c>
      <c r="G21" s="1" t="s">
        <v>22</v>
      </c>
      <c r="H21" s="1">
        <v>1.36</v>
      </c>
      <c r="I21" s="1">
        <v>2</v>
      </c>
      <c r="J21" t="b">
        <f t="shared" si="0"/>
        <v>0</v>
      </c>
      <c r="K21" t="b">
        <f t="shared" si="1"/>
        <v>0</v>
      </c>
      <c r="L21" t="b">
        <f t="shared" si="2"/>
        <v>0</v>
      </c>
      <c r="M21" t="b">
        <f t="shared" si="3"/>
        <v>0</v>
      </c>
      <c r="N21" t="b">
        <f t="shared" si="4"/>
        <v>0</v>
      </c>
      <c r="O21" t="b">
        <f t="shared" si="5"/>
        <v>0</v>
      </c>
      <c r="P21" t="b">
        <f t="shared" si="6"/>
        <v>0</v>
      </c>
      <c r="Q21" t="b">
        <f t="shared" si="7"/>
        <v>1</v>
      </c>
      <c r="R21" t="b">
        <f t="shared" si="8"/>
        <v>0</v>
      </c>
      <c r="S21" t="b">
        <f t="shared" si="9"/>
        <v>0</v>
      </c>
      <c r="T21" t="b">
        <f t="shared" si="10"/>
        <v>0</v>
      </c>
      <c r="U21" t="b">
        <f t="shared" si="11"/>
        <v>0</v>
      </c>
      <c r="V21" t="b">
        <f t="shared" si="12"/>
        <v>0</v>
      </c>
      <c r="W21" t="b">
        <f t="shared" si="13"/>
        <v>0</v>
      </c>
      <c r="X21" t="b">
        <f t="shared" si="14"/>
        <v>0</v>
      </c>
      <c r="Y21" t="b">
        <f t="shared" si="15"/>
        <v>0</v>
      </c>
      <c r="Z21" t="b">
        <f t="shared" si="16"/>
        <v>0</v>
      </c>
      <c r="AA21" t="b">
        <f t="shared" si="17"/>
        <v>0</v>
      </c>
      <c r="AB21" t="b">
        <f t="shared" si="18"/>
        <v>0</v>
      </c>
      <c r="AC21" t="b">
        <f t="shared" si="19"/>
        <v>0</v>
      </c>
      <c r="AD21" t="b">
        <f t="shared" si="20"/>
        <v>0</v>
      </c>
      <c r="AE21" t="b">
        <f t="shared" si="21"/>
        <v>0</v>
      </c>
      <c r="AF21" t="b">
        <f t="shared" si="22"/>
        <v>0</v>
      </c>
      <c r="AG21" s="83">
        <f>SUMIFS($I$2:$I$165,$G$2:$G$165,AG$1,$AC$2:$AC$165,TRUE)</f>
        <v>9.5</v>
      </c>
      <c r="AH21" s="83">
        <f>SUMIFS($I$2:$I$165,$G$2:$G$165,AH$1,$AC$2:$AC$165,TRUE)</f>
        <v>3.5</v>
      </c>
      <c r="AI21" s="83">
        <f>SUMIFS($I$2:$I$165,$G$2:$G$165,AI$1,$AC$2:$AC$165,TRUE)</f>
        <v>1</v>
      </c>
      <c r="AJ21" s="83">
        <f>SUMIFS($I$2:$I$165,$G$2:$G$165,AJ$1,$AC$2:$AC$165,TRUE)</f>
        <v>9.34</v>
      </c>
      <c r="AK21" t="s">
        <v>5</v>
      </c>
      <c r="AL21" s="40" t="s">
        <v>235</v>
      </c>
      <c r="AM21">
        <v>9.5</v>
      </c>
      <c r="AN21" t="s">
        <v>22</v>
      </c>
      <c r="AO21" s="40" t="s">
        <v>235</v>
      </c>
      <c r="AP21">
        <v>3.5</v>
      </c>
      <c r="AQ21" t="s">
        <v>17</v>
      </c>
      <c r="AS21" s="40" t="s">
        <v>235</v>
      </c>
      <c r="AT21">
        <v>1</v>
      </c>
      <c r="AU21" t="s">
        <v>8</v>
      </c>
      <c r="AV21" s="40" t="s">
        <v>235</v>
      </c>
      <c r="AW21">
        <v>9.34</v>
      </c>
    </row>
    <row r="22" spans="1:49" x14ac:dyDescent="0.25">
      <c r="A22" s="8" t="s">
        <v>46</v>
      </c>
      <c r="B22" s="49" t="s">
        <v>47</v>
      </c>
      <c r="C22" s="2" t="s">
        <v>41</v>
      </c>
      <c r="D22" s="1">
        <v>1366593</v>
      </c>
      <c r="E22" s="1" t="s">
        <v>48</v>
      </c>
      <c r="F22" s="1" t="s">
        <v>49</v>
      </c>
      <c r="G22" s="1" t="s">
        <v>5</v>
      </c>
      <c r="H22" s="1">
        <v>6.4</v>
      </c>
      <c r="I22" s="1">
        <v>6</v>
      </c>
      <c r="J22" t="b">
        <f t="shared" si="0"/>
        <v>0</v>
      </c>
      <c r="K22" t="b">
        <f t="shared" si="1"/>
        <v>0</v>
      </c>
      <c r="L22" t="b">
        <f t="shared" si="2"/>
        <v>0</v>
      </c>
      <c r="M22" t="b">
        <f t="shared" si="3"/>
        <v>0</v>
      </c>
      <c r="N22" t="b">
        <f t="shared" si="4"/>
        <v>0</v>
      </c>
      <c r="O22" t="b">
        <f t="shared" si="5"/>
        <v>0</v>
      </c>
      <c r="P22" t="b">
        <f t="shared" si="6"/>
        <v>0</v>
      </c>
      <c r="Q22" t="b">
        <f t="shared" si="7"/>
        <v>0</v>
      </c>
      <c r="R22" t="b">
        <f t="shared" si="8"/>
        <v>1</v>
      </c>
      <c r="S22" t="b">
        <f t="shared" si="9"/>
        <v>0</v>
      </c>
      <c r="T22" t="b">
        <f t="shared" si="10"/>
        <v>0</v>
      </c>
      <c r="U22" t="b">
        <f t="shared" si="11"/>
        <v>0</v>
      </c>
      <c r="V22" t="b">
        <f t="shared" si="12"/>
        <v>0</v>
      </c>
      <c r="W22" t="b">
        <f t="shared" si="13"/>
        <v>0</v>
      </c>
      <c r="X22" t="b">
        <f t="shared" si="14"/>
        <v>0</v>
      </c>
      <c r="Y22" t="b">
        <f t="shared" si="15"/>
        <v>0</v>
      </c>
      <c r="Z22" t="b">
        <f t="shared" si="16"/>
        <v>0</v>
      </c>
      <c r="AA22" t="b">
        <f t="shared" si="17"/>
        <v>0</v>
      </c>
      <c r="AB22" t="b">
        <f t="shared" si="18"/>
        <v>0</v>
      </c>
      <c r="AC22" t="b">
        <f t="shared" si="19"/>
        <v>0</v>
      </c>
      <c r="AD22" t="b">
        <f t="shared" si="20"/>
        <v>0</v>
      </c>
      <c r="AE22" t="b">
        <f t="shared" si="21"/>
        <v>0</v>
      </c>
      <c r="AF22" t="b">
        <f t="shared" si="22"/>
        <v>0</v>
      </c>
      <c r="AG22" s="88">
        <f>SUMIFS($I$2:$I$165,$G$2:$G$165,AG$1,$AD$2:$AD$165,TRUE)</f>
        <v>0</v>
      </c>
      <c r="AH22" s="88">
        <f>SUMIFS($I$2:$I$165,$G$2:$G$165,AH$1,$AD$2:$AD$165,TRUE)</f>
        <v>5</v>
      </c>
      <c r="AI22" s="88">
        <f>SUMIFS($I$2:$I$165,$G$2:$G$165,AI$1,$AD$2:$AD$165,TRUE)</f>
        <v>1</v>
      </c>
      <c r="AJ22" s="88">
        <f>SUMIFS($I$2:$I$165,$G$2:$G$165,AJ$1,$AD$2:$AD$165,TRUE)</f>
        <v>8.379999999999999</v>
      </c>
      <c r="AK22" t="s">
        <v>5</v>
      </c>
      <c r="AL22" s="86" t="s">
        <v>236</v>
      </c>
      <c r="AM22">
        <v>0</v>
      </c>
      <c r="AN22" t="s">
        <v>22</v>
      </c>
      <c r="AO22" s="86" t="s">
        <v>236</v>
      </c>
      <c r="AP22">
        <v>5</v>
      </c>
      <c r="AQ22" t="s">
        <v>17</v>
      </c>
      <c r="AS22" s="86" t="s">
        <v>236</v>
      </c>
      <c r="AT22">
        <v>1</v>
      </c>
      <c r="AU22" t="s">
        <v>8</v>
      </c>
      <c r="AV22" s="86" t="s">
        <v>236</v>
      </c>
      <c r="AW22">
        <v>8.379999999999999</v>
      </c>
    </row>
    <row r="23" spans="1:49" x14ac:dyDescent="0.25">
      <c r="A23" s="8" t="s">
        <v>46</v>
      </c>
      <c r="B23" s="52" t="s">
        <v>50</v>
      </c>
      <c r="C23" s="2" t="s">
        <v>41</v>
      </c>
      <c r="D23" s="3">
        <v>1367009</v>
      </c>
      <c r="E23" s="3" t="s">
        <v>51</v>
      </c>
      <c r="F23" s="3" t="s">
        <v>52</v>
      </c>
      <c r="G23" s="1" t="s">
        <v>5</v>
      </c>
      <c r="H23" s="9">
        <v>1.1000000000000001</v>
      </c>
      <c r="I23" s="1">
        <v>2</v>
      </c>
      <c r="J23" t="b">
        <f t="shared" si="0"/>
        <v>0</v>
      </c>
      <c r="K23" t="b">
        <f t="shared" si="1"/>
        <v>0</v>
      </c>
      <c r="L23" t="b">
        <f t="shared" si="2"/>
        <v>0</v>
      </c>
      <c r="M23" t="b">
        <f t="shared" si="3"/>
        <v>0</v>
      </c>
      <c r="N23" t="b">
        <f t="shared" si="4"/>
        <v>0</v>
      </c>
      <c r="O23" t="b">
        <f t="shared" si="5"/>
        <v>0</v>
      </c>
      <c r="P23" t="b">
        <f t="shared" si="6"/>
        <v>0</v>
      </c>
      <c r="Q23" t="b">
        <f t="shared" si="7"/>
        <v>0</v>
      </c>
      <c r="R23" t="b">
        <f t="shared" si="8"/>
        <v>0</v>
      </c>
      <c r="S23" t="b">
        <f t="shared" si="9"/>
        <v>1</v>
      </c>
      <c r="T23" t="b">
        <f t="shared" si="10"/>
        <v>0</v>
      </c>
      <c r="U23" t="b">
        <f t="shared" si="11"/>
        <v>0</v>
      </c>
      <c r="V23" t="b">
        <f t="shared" si="12"/>
        <v>0</v>
      </c>
      <c r="W23" t="b">
        <f t="shared" si="13"/>
        <v>0</v>
      </c>
      <c r="X23" t="b">
        <f t="shared" si="14"/>
        <v>0</v>
      </c>
      <c r="Y23" t="b">
        <f t="shared" si="15"/>
        <v>0</v>
      </c>
      <c r="Z23" t="b">
        <f t="shared" si="16"/>
        <v>0</v>
      </c>
      <c r="AA23" t="b">
        <f t="shared" si="17"/>
        <v>0</v>
      </c>
      <c r="AB23" t="b">
        <f t="shared" si="18"/>
        <v>0</v>
      </c>
      <c r="AC23" t="b">
        <f t="shared" si="19"/>
        <v>0</v>
      </c>
      <c r="AD23" t="b">
        <f t="shared" si="20"/>
        <v>0</v>
      </c>
      <c r="AE23" t="b">
        <f t="shared" si="21"/>
        <v>0</v>
      </c>
      <c r="AF23" t="b">
        <f t="shared" si="22"/>
        <v>0</v>
      </c>
      <c r="AG23" s="43">
        <f>SUMIFS($I$2:$I$165,$G$2:$G$165,AG$1,$AE$2:$AE$165,TRUE)</f>
        <v>0</v>
      </c>
      <c r="AH23" s="43">
        <f>SUMIFS($I$2:$I$165,$G$2:$G$165,AH$1,$AE$2:$AE$165,TRUE)</f>
        <v>8</v>
      </c>
      <c r="AI23" s="43">
        <f>SUMIFS($I$2:$I$165,$G$2:$G$165,AI$1,$AE$2:$AE$165,TRUE)</f>
        <v>3</v>
      </c>
      <c r="AJ23" s="43">
        <f>SUMIFS($I$2:$I$165,$G$2:$G$165,AJ$1,$AE$2:$AE$165,TRUE)</f>
        <v>0</v>
      </c>
      <c r="AK23" t="s">
        <v>5</v>
      </c>
      <c r="AL23" s="41" t="s">
        <v>237</v>
      </c>
      <c r="AM23">
        <v>0</v>
      </c>
      <c r="AN23" t="s">
        <v>22</v>
      </c>
      <c r="AO23" s="41" t="s">
        <v>237</v>
      </c>
      <c r="AP23">
        <v>8</v>
      </c>
      <c r="AQ23" t="s">
        <v>17</v>
      </c>
      <c r="AS23" s="41" t="s">
        <v>237</v>
      </c>
      <c r="AT23">
        <v>3</v>
      </c>
      <c r="AU23" t="s">
        <v>8</v>
      </c>
      <c r="AV23" s="41" t="s">
        <v>237</v>
      </c>
      <c r="AW23">
        <v>0</v>
      </c>
    </row>
    <row r="24" spans="1:49" x14ac:dyDescent="0.25">
      <c r="A24" s="10" t="s">
        <v>46</v>
      </c>
      <c r="B24" s="53" t="s">
        <v>50</v>
      </c>
      <c r="C24" s="5" t="s">
        <v>41</v>
      </c>
      <c r="D24" s="4">
        <v>1367009</v>
      </c>
      <c r="E24" s="11" t="s">
        <v>53</v>
      </c>
      <c r="F24" s="4" t="s">
        <v>52</v>
      </c>
      <c r="G24" s="4" t="s">
        <v>22</v>
      </c>
      <c r="H24" s="4">
        <v>0.92</v>
      </c>
      <c r="I24" s="4">
        <v>8</v>
      </c>
      <c r="J24" t="b">
        <f t="shared" si="0"/>
        <v>0</v>
      </c>
      <c r="K24" t="b">
        <f t="shared" si="1"/>
        <v>0</v>
      </c>
      <c r="L24" t="b">
        <f t="shared" si="2"/>
        <v>0</v>
      </c>
      <c r="M24" t="b">
        <f t="shared" si="3"/>
        <v>0</v>
      </c>
      <c r="N24" t="b">
        <f t="shared" si="4"/>
        <v>0</v>
      </c>
      <c r="O24" t="b">
        <f t="shared" si="5"/>
        <v>0</v>
      </c>
      <c r="P24" t="b">
        <f t="shared" si="6"/>
        <v>0</v>
      </c>
      <c r="Q24" t="b">
        <f t="shared" si="7"/>
        <v>0</v>
      </c>
      <c r="R24" t="b">
        <f t="shared" si="8"/>
        <v>0</v>
      </c>
      <c r="S24" t="b">
        <f t="shared" si="9"/>
        <v>1</v>
      </c>
      <c r="T24" t="b">
        <f t="shared" si="10"/>
        <v>0</v>
      </c>
      <c r="U24" t="b">
        <f t="shared" si="11"/>
        <v>0</v>
      </c>
      <c r="V24" t="b">
        <f t="shared" si="12"/>
        <v>0</v>
      </c>
      <c r="W24" t="b">
        <f t="shared" si="13"/>
        <v>0</v>
      </c>
      <c r="X24" t="b">
        <f t="shared" si="14"/>
        <v>0</v>
      </c>
      <c r="Y24" t="b">
        <f t="shared" si="15"/>
        <v>0</v>
      </c>
      <c r="Z24" t="b">
        <f t="shared" si="16"/>
        <v>0</v>
      </c>
      <c r="AA24" t="b">
        <f t="shared" si="17"/>
        <v>0</v>
      </c>
      <c r="AB24" t="b">
        <f t="shared" si="18"/>
        <v>0</v>
      </c>
      <c r="AC24" t="b">
        <f t="shared" si="19"/>
        <v>0</v>
      </c>
      <c r="AD24" t="b">
        <f t="shared" si="20"/>
        <v>0</v>
      </c>
      <c r="AE24" t="b">
        <f t="shared" si="21"/>
        <v>0</v>
      </c>
      <c r="AF24" t="b">
        <f t="shared" si="22"/>
        <v>0</v>
      </c>
      <c r="AG24" s="90">
        <f>SUMIFS($I$2:$I$165,$G$2:$G$165,AG$1,$AF$2:$AF$165,TRUE)</f>
        <v>9</v>
      </c>
      <c r="AH24" s="90">
        <f>SUMIFS($I$2:$I$165,$G$2:$G$165,AH$1,$AF$2:$AF$165,TRUE)</f>
        <v>8</v>
      </c>
      <c r="AI24" s="90">
        <f>SUMIFS($I$2:$I$165,$G$2:$G$165,AI$1,$AF$2:$AF$165,TRUE)</f>
        <v>8</v>
      </c>
      <c r="AJ24" s="90">
        <f>SUMIFS($I$2:$I$165,$G$2:$G$165,AJ$1,$AF$2:$AF$165,TRUE)</f>
        <v>0</v>
      </c>
      <c r="AK24" t="s">
        <v>5</v>
      </c>
      <c r="AL24" s="89" t="s">
        <v>238</v>
      </c>
      <c r="AM24">
        <v>9</v>
      </c>
      <c r="AN24" t="s">
        <v>22</v>
      </c>
      <c r="AO24" s="89" t="s">
        <v>238</v>
      </c>
      <c r="AP24">
        <v>8</v>
      </c>
      <c r="AQ24" t="s">
        <v>17</v>
      </c>
      <c r="AS24" s="89" t="s">
        <v>238</v>
      </c>
      <c r="AT24">
        <v>8</v>
      </c>
      <c r="AU24" t="s">
        <v>8</v>
      </c>
      <c r="AV24" s="89" t="s">
        <v>238</v>
      </c>
      <c r="AW24">
        <v>0</v>
      </c>
    </row>
    <row r="25" spans="1:49" x14ac:dyDescent="0.25">
      <c r="A25" s="8" t="s">
        <v>46</v>
      </c>
      <c r="B25" s="54" t="s">
        <v>50</v>
      </c>
      <c r="C25" s="2" t="s">
        <v>41</v>
      </c>
      <c r="D25" s="3">
        <v>1366969</v>
      </c>
      <c r="E25" s="11" t="s">
        <v>54</v>
      </c>
      <c r="F25" s="3" t="s">
        <v>55</v>
      </c>
      <c r="G25" s="1" t="s">
        <v>22</v>
      </c>
      <c r="H25" s="9">
        <v>0.49</v>
      </c>
      <c r="I25" s="1">
        <v>1</v>
      </c>
      <c r="J25" t="b">
        <f t="shared" si="0"/>
        <v>0</v>
      </c>
      <c r="K25" t="b">
        <f t="shared" si="1"/>
        <v>0</v>
      </c>
      <c r="L25" t="b">
        <f t="shared" si="2"/>
        <v>0</v>
      </c>
      <c r="M25" t="b">
        <f t="shared" si="3"/>
        <v>0</v>
      </c>
      <c r="N25" t="b">
        <f t="shared" si="4"/>
        <v>0</v>
      </c>
      <c r="O25" t="b">
        <f t="shared" si="5"/>
        <v>0</v>
      </c>
      <c r="P25" t="b">
        <f t="shared" si="6"/>
        <v>0</v>
      </c>
      <c r="Q25" t="b">
        <f t="shared" si="7"/>
        <v>0</v>
      </c>
      <c r="R25" t="b">
        <f t="shared" si="8"/>
        <v>0</v>
      </c>
      <c r="S25" t="b">
        <f t="shared" si="9"/>
        <v>1</v>
      </c>
      <c r="T25" t="b">
        <f t="shared" si="10"/>
        <v>0</v>
      </c>
      <c r="U25" t="b">
        <f t="shared" si="11"/>
        <v>0</v>
      </c>
      <c r="V25" t="b">
        <f t="shared" si="12"/>
        <v>0</v>
      </c>
      <c r="W25" t="b">
        <f t="shared" si="13"/>
        <v>0</v>
      </c>
      <c r="X25" t="b">
        <f t="shared" si="14"/>
        <v>0</v>
      </c>
      <c r="Y25" t="b">
        <f t="shared" si="15"/>
        <v>0</v>
      </c>
      <c r="Z25" t="b">
        <f t="shared" si="16"/>
        <v>0</v>
      </c>
      <c r="AA25" t="b">
        <f t="shared" si="17"/>
        <v>0</v>
      </c>
      <c r="AB25" t="b">
        <f t="shared" si="18"/>
        <v>0</v>
      </c>
      <c r="AC25" t="b">
        <f t="shared" si="19"/>
        <v>0</v>
      </c>
      <c r="AD25" t="b">
        <f t="shared" si="20"/>
        <v>0</v>
      </c>
      <c r="AE25" t="b">
        <f t="shared" si="21"/>
        <v>0</v>
      </c>
      <c r="AF25" t="b">
        <f t="shared" si="22"/>
        <v>0</v>
      </c>
      <c r="AK25" t="s">
        <v>5</v>
      </c>
      <c r="AL25" t="s">
        <v>239</v>
      </c>
      <c r="AM25">
        <v>15</v>
      </c>
      <c r="AN25" t="s">
        <v>22</v>
      </c>
      <c r="AO25" t="s">
        <v>241</v>
      </c>
      <c r="AP25">
        <v>8</v>
      </c>
      <c r="AQ25" t="s">
        <v>17</v>
      </c>
      <c r="AS25" t="s">
        <v>243</v>
      </c>
      <c r="AT25">
        <v>3</v>
      </c>
      <c r="AU25" t="s">
        <v>8</v>
      </c>
      <c r="AV25" t="s">
        <v>124</v>
      </c>
      <c r="AW25">
        <v>2</v>
      </c>
    </row>
    <row r="26" spans="1:49" x14ac:dyDescent="0.25">
      <c r="A26" s="8" t="s">
        <v>46</v>
      </c>
      <c r="B26" s="54" t="s">
        <v>50</v>
      </c>
      <c r="C26" s="2" t="s">
        <v>41</v>
      </c>
      <c r="D26" s="3">
        <v>1366969</v>
      </c>
      <c r="E26" s="3" t="s">
        <v>56</v>
      </c>
      <c r="F26" s="3" t="s">
        <v>55</v>
      </c>
      <c r="G26" s="1" t="s">
        <v>17</v>
      </c>
      <c r="H26" s="9">
        <v>0.49</v>
      </c>
      <c r="I26" s="1">
        <v>2.2999999999999998</v>
      </c>
      <c r="J26" t="b">
        <f t="shared" si="0"/>
        <v>0</v>
      </c>
      <c r="K26" t="b">
        <f t="shared" si="1"/>
        <v>0</v>
      </c>
      <c r="L26" t="b">
        <f t="shared" si="2"/>
        <v>0</v>
      </c>
      <c r="M26" t="b">
        <f t="shared" si="3"/>
        <v>0</v>
      </c>
      <c r="N26" t="b">
        <f t="shared" si="4"/>
        <v>0</v>
      </c>
      <c r="O26" t="b">
        <f t="shared" si="5"/>
        <v>0</v>
      </c>
      <c r="P26" t="b">
        <f t="shared" si="6"/>
        <v>0</v>
      </c>
      <c r="Q26" t="b">
        <f t="shared" si="7"/>
        <v>0</v>
      </c>
      <c r="R26" t="b">
        <f t="shared" si="8"/>
        <v>0</v>
      </c>
      <c r="S26" t="b">
        <f t="shared" si="9"/>
        <v>1</v>
      </c>
      <c r="T26" t="b">
        <f t="shared" si="10"/>
        <v>0</v>
      </c>
      <c r="U26" t="b">
        <f t="shared" si="11"/>
        <v>0</v>
      </c>
      <c r="V26" t="b">
        <f t="shared" si="12"/>
        <v>0</v>
      </c>
      <c r="W26" t="b">
        <f t="shared" si="13"/>
        <v>0</v>
      </c>
      <c r="X26" t="b">
        <f t="shared" si="14"/>
        <v>0</v>
      </c>
      <c r="Y26" t="b">
        <f t="shared" si="15"/>
        <v>0</v>
      </c>
      <c r="Z26" t="b">
        <f t="shared" si="16"/>
        <v>0</v>
      </c>
      <c r="AA26" t="b">
        <f t="shared" si="17"/>
        <v>0</v>
      </c>
      <c r="AB26" t="b">
        <f t="shared" si="18"/>
        <v>0</v>
      </c>
      <c r="AC26" t="b">
        <f t="shared" si="19"/>
        <v>0</v>
      </c>
      <c r="AD26" t="b">
        <f t="shared" si="20"/>
        <v>0</v>
      </c>
      <c r="AE26" t="b">
        <f t="shared" si="21"/>
        <v>0</v>
      </c>
      <c r="AF26" t="b">
        <f t="shared" si="22"/>
        <v>0</v>
      </c>
      <c r="AK26" t="s">
        <v>5</v>
      </c>
      <c r="AL26" t="s">
        <v>240</v>
      </c>
      <c r="AM26">
        <v>3</v>
      </c>
      <c r="AN26" t="s">
        <v>22</v>
      </c>
      <c r="AO26" t="s">
        <v>242</v>
      </c>
      <c r="AP26">
        <v>3</v>
      </c>
      <c r="AQ26" t="s">
        <v>17</v>
      </c>
      <c r="AS26" t="s">
        <v>244</v>
      </c>
      <c r="AT26">
        <v>5.92</v>
      </c>
    </row>
    <row r="27" spans="1:49" x14ac:dyDescent="0.25">
      <c r="A27" s="8" t="s">
        <v>46</v>
      </c>
      <c r="B27" s="52" t="s">
        <v>50</v>
      </c>
      <c r="C27" s="2" t="s">
        <v>41</v>
      </c>
      <c r="D27" s="3">
        <v>1371465</v>
      </c>
      <c r="E27" s="1" t="s">
        <v>57</v>
      </c>
      <c r="F27" s="3" t="s">
        <v>52</v>
      </c>
      <c r="G27" s="1" t="s">
        <v>5</v>
      </c>
      <c r="H27" s="9">
        <v>3.81</v>
      </c>
      <c r="I27" s="1">
        <v>5</v>
      </c>
      <c r="J27" t="b">
        <f t="shared" si="0"/>
        <v>0</v>
      </c>
      <c r="K27" t="b">
        <f t="shared" si="1"/>
        <v>0</v>
      </c>
      <c r="L27" t="b">
        <f t="shared" si="2"/>
        <v>0</v>
      </c>
      <c r="M27" t="b">
        <f t="shared" si="3"/>
        <v>0</v>
      </c>
      <c r="N27" t="b">
        <f t="shared" si="4"/>
        <v>0</v>
      </c>
      <c r="O27" t="b">
        <f t="shared" si="5"/>
        <v>0</v>
      </c>
      <c r="P27" t="b">
        <f t="shared" si="6"/>
        <v>0</v>
      </c>
      <c r="Q27" t="b">
        <f t="shared" si="7"/>
        <v>0</v>
      </c>
      <c r="R27" t="b">
        <f t="shared" si="8"/>
        <v>0</v>
      </c>
      <c r="S27" t="b">
        <f t="shared" si="9"/>
        <v>1</v>
      </c>
      <c r="T27" t="b">
        <f t="shared" si="10"/>
        <v>0</v>
      </c>
      <c r="U27" t="b">
        <f t="shared" si="11"/>
        <v>0</v>
      </c>
      <c r="V27" t="b">
        <f t="shared" si="12"/>
        <v>0</v>
      </c>
      <c r="W27" t="b">
        <f t="shared" si="13"/>
        <v>0</v>
      </c>
      <c r="X27" t="b">
        <f t="shared" si="14"/>
        <v>0</v>
      </c>
      <c r="Y27" t="b">
        <f t="shared" si="15"/>
        <v>0</v>
      </c>
      <c r="Z27" t="b">
        <f t="shared" si="16"/>
        <v>0</v>
      </c>
      <c r="AA27" t="b">
        <f t="shared" si="17"/>
        <v>0</v>
      </c>
      <c r="AB27" t="b">
        <f t="shared" si="18"/>
        <v>0</v>
      </c>
      <c r="AC27" t="b">
        <f t="shared" si="19"/>
        <v>0</v>
      </c>
      <c r="AD27" t="b">
        <f t="shared" si="20"/>
        <v>0</v>
      </c>
      <c r="AE27" t="b">
        <f t="shared" si="21"/>
        <v>0</v>
      </c>
      <c r="AF27" t="b">
        <f t="shared" si="22"/>
        <v>0</v>
      </c>
      <c r="AQ27" t="s">
        <v>17</v>
      </c>
      <c r="AS27" t="s">
        <v>245</v>
      </c>
      <c r="AT27">
        <v>1</v>
      </c>
    </row>
    <row r="28" spans="1:49" x14ac:dyDescent="0.25">
      <c r="A28" s="8" t="s">
        <v>46</v>
      </c>
      <c r="B28" s="57" t="s">
        <v>58</v>
      </c>
      <c r="C28" s="2" t="s">
        <v>41</v>
      </c>
      <c r="D28" s="12">
        <v>1345833</v>
      </c>
      <c r="E28" s="1" t="s">
        <v>59</v>
      </c>
      <c r="F28" s="13" t="s">
        <v>60</v>
      </c>
      <c r="G28" s="1" t="s">
        <v>5</v>
      </c>
      <c r="H28" s="1">
        <v>0.92</v>
      </c>
      <c r="I28" s="14">
        <v>2</v>
      </c>
      <c r="J28" t="b">
        <f t="shared" si="0"/>
        <v>0</v>
      </c>
      <c r="K28" t="b">
        <f t="shared" si="1"/>
        <v>0</v>
      </c>
      <c r="L28" t="b">
        <f t="shared" si="2"/>
        <v>0</v>
      </c>
      <c r="M28" t="b">
        <f t="shared" si="3"/>
        <v>0</v>
      </c>
      <c r="N28" t="b">
        <f t="shared" si="4"/>
        <v>0</v>
      </c>
      <c r="O28" t="b">
        <f t="shared" si="5"/>
        <v>0</v>
      </c>
      <c r="P28" t="b">
        <f t="shared" si="6"/>
        <v>0</v>
      </c>
      <c r="Q28" t="b">
        <f t="shared" si="7"/>
        <v>0</v>
      </c>
      <c r="R28" t="b">
        <f t="shared" si="8"/>
        <v>0</v>
      </c>
      <c r="S28" t="b">
        <f t="shared" si="9"/>
        <v>0</v>
      </c>
      <c r="T28" t="b">
        <f t="shared" si="10"/>
        <v>1</v>
      </c>
      <c r="U28" t="b">
        <f t="shared" si="11"/>
        <v>0</v>
      </c>
      <c r="V28" t="b">
        <f t="shared" si="12"/>
        <v>0</v>
      </c>
      <c r="W28" t="b">
        <f t="shared" si="13"/>
        <v>0</v>
      </c>
      <c r="X28" t="b">
        <f t="shared" si="14"/>
        <v>0</v>
      </c>
      <c r="Y28" t="b">
        <f t="shared" si="15"/>
        <v>0</v>
      </c>
      <c r="Z28" t="b">
        <f t="shared" si="16"/>
        <v>0</v>
      </c>
      <c r="AA28" t="b">
        <f t="shared" si="17"/>
        <v>0</v>
      </c>
      <c r="AB28" t="b">
        <f t="shared" si="18"/>
        <v>0</v>
      </c>
      <c r="AC28" t="b">
        <f t="shared" si="19"/>
        <v>0</v>
      </c>
      <c r="AD28" t="b">
        <f t="shared" si="20"/>
        <v>0</v>
      </c>
      <c r="AE28" t="b">
        <f t="shared" si="21"/>
        <v>0</v>
      </c>
      <c r="AF28" t="b">
        <f t="shared" si="22"/>
        <v>0</v>
      </c>
    </row>
    <row r="29" spans="1:49" x14ac:dyDescent="0.25">
      <c r="A29" s="1" t="s">
        <v>0</v>
      </c>
      <c r="B29" s="60" t="s">
        <v>61</v>
      </c>
      <c r="C29" s="2" t="s">
        <v>62</v>
      </c>
      <c r="D29" s="12">
        <v>1376431</v>
      </c>
      <c r="E29" s="11" t="s">
        <v>63</v>
      </c>
      <c r="F29" s="13" t="s">
        <v>64</v>
      </c>
      <c r="G29" s="1" t="s">
        <v>22</v>
      </c>
      <c r="H29" s="1">
        <v>2.73</v>
      </c>
      <c r="I29" s="1">
        <v>1</v>
      </c>
      <c r="J29" t="b">
        <f t="shared" si="0"/>
        <v>0</v>
      </c>
      <c r="K29" t="b">
        <f t="shared" si="1"/>
        <v>0</v>
      </c>
      <c r="L29" t="b">
        <f t="shared" si="2"/>
        <v>0</v>
      </c>
      <c r="M29" t="b">
        <f t="shared" si="3"/>
        <v>0</v>
      </c>
      <c r="N29" t="b">
        <f t="shared" si="4"/>
        <v>0</v>
      </c>
      <c r="O29" t="b">
        <f t="shared" si="5"/>
        <v>0</v>
      </c>
      <c r="P29" t="b">
        <f t="shared" si="6"/>
        <v>0</v>
      </c>
      <c r="Q29" t="b">
        <f t="shared" si="7"/>
        <v>0</v>
      </c>
      <c r="R29" t="b">
        <f t="shared" si="8"/>
        <v>0</v>
      </c>
      <c r="S29" t="b">
        <f t="shared" si="9"/>
        <v>0</v>
      </c>
      <c r="T29" t="b">
        <f t="shared" si="10"/>
        <v>0</v>
      </c>
      <c r="U29" t="b">
        <f t="shared" si="11"/>
        <v>1</v>
      </c>
      <c r="V29" t="b">
        <f t="shared" si="12"/>
        <v>0</v>
      </c>
      <c r="W29" t="b">
        <f t="shared" si="13"/>
        <v>0</v>
      </c>
      <c r="X29" t="b">
        <f t="shared" si="14"/>
        <v>0</v>
      </c>
      <c r="Y29" t="b">
        <f t="shared" si="15"/>
        <v>0</v>
      </c>
      <c r="Z29" t="b">
        <f t="shared" si="16"/>
        <v>0</v>
      </c>
      <c r="AA29" t="b">
        <f t="shared" si="17"/>
        <v>0</v>
      </c>
      <c r="AB29" t="b">
        <f t="shared" si="18"/>
        <v>0</v>
      </c>
      <c r="AC29" t="b">
        <f t="shared" si="19"/>
        <v>0</v>
      </c>
      <c r="AD29" t="b">
        <f t="shared" si="20"/>
        <v>0</v>
      </c>
      <c r="AE29" t="b">
        <f t="shared" si="21"/>
        <v>0</v>
      </c>
      <c r="AF29" t="b">
        <f t="shared" si="22"/>
        <v>0</v>
      </c>
      <c r="AJ29" t="str">
        <f>AK26</f>
        <v>duong.nguyen</v>
      </c>
      <c r="AK29">
        <f>SUM(AM2:AM26)</f>
        <v>126.03</v>
      </c>
    </row>
    <row r="30" spans="1:49" x14ac:dyDescent="0.25">
      <c r="A30" s="1" t="s">
        <v>0</v>
      </c>
      <c r="B30" s="60" t="s">
        <v>61</v>
      </c>
      <c r="C30" s="2" t="s">
        <v>62</v>
      </c>
      <c r="D30" s="12">
        <v>1376431</v>
      </c>
      <c r="E30" s="11" t="s">
        <v>65</v>
      </c>
      <c r="F30" s="13" t="s">
        <v>64</v>
      </c>
      <c r="G30" s="1" t="s">
        <v>22</v>
      </c>
      <c r="H30" s="1">
        <v>2.13</v>
      </c>
      <c r="I30" s="1">
        <v>2</v>
      </c>
      <c r="J30" t="b">
        <f t="shared" si="0"/>
        <v>0</v>
      </c>
      <c r="K30" t="b">
        <f t="shared" si="1"/>
        <v>0</v>
      </c>
      <c r="L30" t="b">
        <f t="shared" si="2"/>
        <v>0</v>
      </c>
      <c r="M30" t="b">
        <f t="shared" si="3"/>
        <v>0</v>
      </c>
      <c r="N30" t="b">
        <f t="shared" si="4"/>
        <v>0</v>
      </c>
      <c r="O30" t="b">
        <f t="shared" si="5"/>
        <v>0</v>
      </c>
      <c r="P30" t="b">
        <f t="shared" si="6"/>
        <v>0</v>
      </c>
      <c r="Q30" t="b">
        <f t="shared" si="7"/>
        <v>0</v>
      </c>
      <c r="R30" t="b">
        <f t="shared" si="8"/>
        <v>0</v>
      </c>
      <c r="S30" t="b">
        <f t="shared" si="9"/>
        <v>0</v>
      </c>
      <c r="T30" t="b">
        <f t="shared" si="10"/>
        <v>0</v>
      </c>
      <c r="U30" t="b">
        <f t="shared" si="11"/>
        <v>1</v>
      </c>
      <c r="V30" t="b">
        <f t="shared" si="12"/>
        <v>0</v>
      </c>
      <c r="W30" t="b">
        <f t="shared" si="13"/>
        <v>0</v>
      </c>
      <c r="X30" t="b">
        <f t="shared" si="14"/>
        <v>0</v>
      </c>
      <c r="Y30" t="b">
        <f t="shared" si="15"/>
        <v>0</v>
      </c>
      <c r="Z30" t="b">
        <f t="shared" si="16"/>
        <v>0</v>
      </c>
      <c r="AA30" t="b">
        <f t="shared" si="17"/>
        <v>0</v>
      </c>
      <c r="AB30" t="b">
        <f t="shared" si="18"/>
        <v>0</v>
      </c>
      <c r="AC30" t="b">
        <f t="shared" si="19"/>
        <v>0</v>
      </c>
      <c r="AD30" t="b">
        <f t="shared" si="20"/>
        <v>0</v>
      </c>
      <c r="AE30" t="b">
        <f t="shared" si="21"/>
        <v>0</v>
      </c>
      <c r="AF30" t="b">
        <f t="shared" si="22"/>
        <v>0</v>
      </c>
      <c r="AJ30" t="str">
        <f>AN26</f>
        <v>loc.do-phu</v>
      </c>
      <c r="AK30">
        <f>SUM(AP2:AP26)</f>
        <v>112.68</v>
      </c>
    </row>
    <row r="31" spans="1:49" x14ac:dyDescent="0.25">
      <c r="A31" s="1" t="s">
        <v>0</v>
      </c>
      <c r="B31" s="60" t="s">
        <v>61</v>
      </c>
      <c r="C31" s="2" t="s">
        <v>62</v>
      </c>
      <c r="D31" s="12">
        <v>1376431</v>
      </c>
      <c r="E31" s="3" t="s">
        <v>66</v>
      </c>
      <c r="F31" s="13" t="s">
        <v>64</v>
      </c>
      <c r="G31" s="1" t="s">
        <v>17</v>
      </c>
      <c r="H31" s="1">
        <v>2.57</v>
      </c>
      <c r="I31" s="1">
        <v>3</v>
      </c>
      <c r="J31" t="b">
        <f t="shared" si="0"/>
        <v>0</v>
      </c>
      <c r="K31" t="b">
        <f t="shared" si="1"/>
        <v>0</v>
      </c>
      <c r="L31" t="b">
        <f t="shared" si="2"/>
        <v>0</v>
      </c>
      <c r="M31" t="b">
        <f t="shared" si="3"/>
        <v>0</v>
      </c>
      <c r="N31" t="b">
        <f t="shared" si="4"/>
        <v>0</v>
      </c>
      <c r="O31" t="b">
        <f t="shared" si="5"/>
        <v>0</v>
      </c>
      <c r="P31" t="b">
        <f t="shared" si="6"/>
        <v>0</v>
      </c>
      <c r="Q31" t="b">
        <f t="shared" si="7"/>
        <v>0</v>
      </c>
      <c r="R31" t="b">
        <f t="shared" si="8"/>
        <v>0</v>
      </c>
      <c r="S31" t="b">
        <f t="shared" si="9"/>
        <v>0</v>
      </c>
      <c r="T31" t="b">
        <f t="shared" si="10"/>
        <v>0</v>
      </c>
      <c r="U31" t="b">
        <f t="shared" si="11"/>
        <v>1</v>
      </c>
      <c r="V31" t="b">
        <f t="shared" si="12"/>
        <v>0</v>
      </c>
      <c r="W31" t="b">
        <f t="shared" si="13"/>
        <v>0</v>
      </c>
      <c r="X31" t="b">
        <f t="shared" si="14"/>
        <v>0</v>
      </c>
      <c r="Y31" t="b">
        <f t="shared" si="15"/>
        <v>0</v>
      </c>
      <c r="Z31" t="b">
        <f t="shared" si="16"/>
        <v>0</v>
      </c>
      <c r="AA31" t="b">
        <f t="shared" si="17"/>
        <v>0</v>
      </c>
      <c r="AB31" t="b">
        <f t="shared" si="18"/>
        <v>0</v>
      </c>
      <c r="AC31" t="b">
        <f t="shared" si="19"/>
        <v>0</v>
      </c>
      <c r="AD31" t="b">
        <f t="shared" si="20"/>
        <v>0</v>
      </c>
      <c r="AE31" t="b">
        <f t="shared" si="21"/>
        <v>0</v>
      </c>
      <c r="AF31" t="b">
        <f t="shared" si="22"/>
        <v>0</v>
      </c>
      <c r="AJ31" t="str">
        <f>AQ24</f>
        <v>thanh.nguyen-kim</v>
      </c>
      <c r="AK31">
        <f>SUM(AT2:AT27)</f>
        <v>105.19</v>
      </c>
    </row>
    <row r="32" spans="1:49" x14ac:dyDescent="0.25">
      <c r="A32" s="1" t="s">
        <v>0</v>
      </c>
      <c r="B32" s="63" t="s">
        <v>67</v>
      </c>
      <c r="C32" s="2" t="s">
        <v>68</v>
      </c>
      <c r="D32" s="12">
        <v>1375562</v>
      </c>
      <c r="E32" s="11" t="s">
        <v>69</v>
      </c>
      <c r="F32" s="1" t="s">
        <v>70</v>
      </c>
      <c r="G32" s="1" t="s">
        <v>22</v>
      </c>
      <c r="H32" s="1">
        <v>6.59</v>
      </c>
      <c r="I32" s="1">
        <v>2</v>
      </c>
      <c r="J32" t="b">
        <f t="shared" si="0"/>
        <v>0</v>
      </c>
      <c r="K32" t="b">
        <f t="shared" si="1"/>
        <v>0</v>
      </c>
      <c r="L32" t="b">
        <f t="shared" si="2"/>
        <v>0</v>
      </c>
      <c r="M32" t="b">
        <f t="shared" si="3"/>
        <v>0</v>
      </c>
      <c r="N32" t="b">
        <f t="shared" si="4"/>
        <v>0</v>
      </c>
      <c r="O32" t="b">
        <f t="shared" si="5"/>
        <v>0</v>
      </c>
      <c r="P32" t="b">
        <f t="shared" si="6"/>
        <v>0</v>
      </c>
      <c r="Q32" t="b">
        <f t="shared" si="7"/>
        <v>0</v>
      </c>
      <c r="R32" t="b">
        <f t="shared" si="8"/>
        <v>0</v>
      </c>
      <c r="S32" t="b">
        <f t="shared" si="9"/>
        <v>0</v>
      </c>
      <c r="T32" t="b">
        <f t="shared" si="10"/>
        <v>0</v>
      </c>
      <c r="U32" t="b">
        <f t="shared" si="11"/>
        <v>0</v>
      </c>
      <c r="V32" t="b">
        <f t="shared" si="12"/>
        <v>1</v>
      </c>
      <c r="W32" t="b">
        <f t="shared" si="13"/>
        <v>0</v>
      </c>
      <c r="X32" t="b">
        <f t="shared" si="14"/>
        <v>0</v>
      </c>
      <c r="Y32" t="b">
        <f t="shared" si="15"/>
        <v>0</v>
      </c>
      <c r="Z32" t="b">
        <f t="shared" si="16"/>
        <v>0</v>
      </c>
      <c r="AA32" t="b">
        <f t="shared" si="17"/>
        <v>0</v>
      </c>
      <c r="AB32" t="b">
        <f t="shared" si="18"/>
        <v>0</v>
      </c>
      <c r="AC32" t="b">
        <f t="shared" si="19"/>
        <v>0</v>
      </c>
      <c r="AD32" t="b">
        <f t="shared" si="20"/>
        <v>0</v>
      </c>
      <c r="AE32" t="b">
        <f t="shared" si="21"/>
        <v>0</v>
      </c>
      <c r="AF32" t="b">
        <f t="shared" si="22"/>
        <v>0</v>
      </c>
      <c r="AJ32" t="str">
        <f>AU25</f>
        <v>chung.ly</v>
      </c>
      <c r="AK32">
        <f>SUM(AW2:AW25)</f>
        <v>58.759999999999991</v>
      </c>
    </row>
    <row r="33" spans="1:37" x14ac:dyDescent="0.25">
      <c r="A33" s="15" t="s">
        <v>0</v>
      </c>
      <c r="B33" s="23" t="s">
        <v>71</v>
      </c>
      <c r="C33" s="16" t="s">
        <v>72</v>
      </c>
      <c r="D33" s="15">
        <v>1324814</v>
      </c>
      <c r="E33" s="17" t="s">
        <v>73</v>
      </c>
      <c r="F33" s="15" t="s">
        <v>74</v>
      </c>
      <c r="G33" s="15" t="s">
        <v>22</v>
      </c>
      <c r="H33" s="15">
        <v>3.71</v>
      </c>
      <c r="I33" s="15">
        <v>2</v>
      </c>
      <c r="J33" t="b">
        <f t="shared" ref="J33:J39" si="23">IF(ISERROR(SEARCH("GAC_Carbon_Stream_ESPCP",B33,1)),FALSE,TRUE)</f>
        <v>1</v>
      </c>
      <c r="K33" t="b">
        <f t="shared" si="1"/>
        <v>0</v>
      </c>
      <c r="L33" t="b">
        <f t="shared" si="2"/>
        <v>0</v>
      </c>
      <c r="M33" t="b">
        <f t="shared" si="3"/>
        <v>0</v>
      </c>
      <c r="N33" t="b">
        <f t="shared" si="4"/>
        <v>0</v>
      </c>
      <c r="O33" t="b">
        <f t="shared" si="5"/>
        <v>0</v>
      </c>
      <c r="P33" t="b">
        <f t="shared" si="6"/>
        <v>0</v>
      </c>
      <c r="Q33" t="b">
        <f t="shared" si="7"/>
        <v>0</v>
      </c>
      <c r="R33" t="b">
        <f t="shared" si="8"/>
        <v>0</v>
      </c>
      <c r="S33" t="b">
        <f t="shared" si="9"/>
        <v>0</v>
      </c>
      <c r="T33" t="b">
        <f t="shared" si="10"/>
        <v>0</v>
      </c>
      <c r="U33" t="b">
        <f t="shared" si="11"/>
        <v>0</v>
      </c>
      <c r="V33" t="b">
        <f t="shared" si="12"/>
        <v>0</v>
      </c>
      <c r="W33" t="b">
        <f t="shared" si="13"/>
        <v>0</v>
      </c>
      <c r="X33" t="b">
        <f t="shared" si="14"/>
        <v>0</v>
      </c>
      <c r="Y33" t="b">
        <f t="shared" si="15"/>
        <v>0</v>
      </c>
      <c r="Z33" t="b">
        <f t="shared" si="16"/>
        <v>0</v>
      </c>
      <c r="AA33" t="b">
        <f t="shared" si="17"/>
        <v>0</v>
      </c>
      <c r="AB33" t="b">
        <f t="shared" si="18"/>
        <v>0</v>
      </c>
      <c r="AC33" t="b">
        <f t="shared" si="19"/>
        <v>0</v>
      </c>
      <c r="AD33" t="b">
        <f t="shared" si="20"/>
        <v>0</v>
      </c>
      <c r="AE33" t="b">
        <f t="shared" si="21"/>
        <v>0</v>
      </c>
      <c r="AF33" t="b">
        <f t="shared" si="22"/>
        <v>0</v>
      </c>
      <c r="AJ33" t="s">
        <v>246</v>
      </c>
      <c r="AK33">
        <f>SUM(AK29:AK32)</f>
        <v>402.65999999999997</v>
      </c>
    </row>
    <row r="34" spans="1:37" x14ac:dyDescent="0.25">
      <c r="A34" s="15" t="s">
        <v>0</v>
      </c>
      <c r="B34" s="23" t="s">
        <v>71</v>
      </c>
      <c r="C34" s="16" t="s">
        <v>75</v>
      </c>
      <c r="D34" s="15">
        <v>1324814</v>
      </c>
      <c r="E34" s="17" t="s">
        <v>76</v>
      </c>
      <c r="F34" s="15" t="s">
        <v>74</v>
      </c>
      <c r="G34" s="15" t="s">
        <v>22</v>
      </c>
      <c r="H34" s="15">
        <v>1.42</v>
      </c>
      <c r="I34" s="15">
        <v>2</v>
      </c>
      <c r="J34" t="b">
        <f t="shared" si="23"/>
        <v>1</v>
      </c>
      <c r="K34" t="b">
        <f t="shared" ref="K34:K65" si="24">IF(ISERROR(SEARCH("CNMS Super Deuterium",$B34,1)),FALSE,TRUE)</f>
        <v>0</v>
      </c>
      <c r="L34" t="b">
        <f t="shared" ref="L34:L65" si="25">IF(ISERROR(SEARCH("221259_FAW_C105EV_L2_ESPhev",$B34,1)),FALSE,TRUE)</f>
        <v>0</v>
      </c>
      <c r="M34" t="b">
        <f t="shared" ref="M34:M65" si="26">IF(ISERROR(SEARCH("MC_232534_SGMW_CN202C",$B34,1)),FALSE,TRUE)</f>
        <v>0</v>
      </c>
      <c r="N34" t="b">
        <f t="shared" ref="N34:N65" si="27">IF(ISERROR(SEARCH("BYD_IPB_SW_Mainstream",$B34,1)),FALSE,TRUE)</f>
        <v>0</v>
      </c>
      <c r="O34" t="b">
        <f t="shared" ref="O34:O65" si="28">IF(ISERROR(SEARCH("BYD_Carbon_Mainstream",$B34,1)),FALSE,TRUE)</f>
        <v>0</v>
      </c>
      <c r="P34" t="b">
        <f t="shared" ref="P34:P65" si="29">IF(ISERROR(SEARCH("GWM_ESP9.3_CHB071_HP_RC2",$B34,1)),FALSE,TRUE)</f>
        <v>0</v>
      </c>
      <c r="Q34" t="b">
        <f t="shared" ref="Q34:Q65" si="30">IF(ISERROR(SEARCH("FAW_HQEV_2WD_MC",$B34,1)),FALSE,TRUE)</f>
        <v>0</v>
      </c>
      <c r="R34" t="b">
        <f t="shared" ref="R34:R65" si="31">IF(ISERROR(SEARCH("GAC_Carbon_RPA_iBooster_Mainpath",$B34,1)),FALSE,TRUE)</f>
        <v>0</v>
      </c>
      <c r="S34" t="b">
        <f t="shared" ref="S34:S65" si="32">IF(ISERROR(SEARCH("HHT_VX1_ESPHevX",$B34,1)),FALSE,TRUE)</f>
        <v>0</v>
      </c>
      <c r="T34" t="b">
        <f t="shared" ref="T34:T65" si="33">IF(ISERROR(SEARCH("239689_NIO_G1.3&amp;G1.F_ESPHevX",$B34,1)),FALSE,TRUE)</f>
        <v>0</v>
      </c>
      <c r="U34" t="b">
        <f t="shared" ref="U34:U65" si="34">IF(ISERROR(SEARCH("E111_ESPHevx",$B34,1)),FALSE,TRUE)</f>
        <v>0</v>
      </c>
      <c r="V34" t="b">
        <f t="shared" ref="V34:V65" si="35">IF(ISERROR(SEARCH("Geely_KC2A_ESP9.3_HB_225750_BB8033",$B34,1)),FALSE,TRUE)</f>
        <v>0</v>
      </c>
      <c r="W34" t="b">
        <f t="shared" ref="W34:W65" si="36">IF(ISERROR(SEARCH("240688_DFSK_F517\527\537_EVR_Carbon_ESP9.3",$B34,1)),FALSE,TRUE)</f>
        <v>0</v>
      </c>
      <c r="X34" t="b">
        <f t="shared" ref="X34:X65" si="37">IF(ISERROR(SEARCH("Adapt_236234_SMART_VDDM_ESPHevX",$B34,1)),FALSE,TRUE)</f>
        <v>0</v>
      </c>
      <c r="Y34" t="b">
        <f t="shared" ref="Y34:Y65" si="38">IF(ISERROR(SEARCH("235199_SAIC_EP21_MCE_ESP9.3HevX",$B34,1)),FALSE,TRUE)</f>
        <v>0</v>
      </c>
      <c r="Z34" t="b">
        <f t="shared" ref="Z34:Z65" si="39">IF(ISERROR(SEARCH("233878_GAC_A20_CarbonESP9.3CP",$B34,1)),FALSE,TRUE)</f>
        <v>0</v>
      </c>
      <c r="AA34" t="b">
        <f t="shared" ref="AA34:AA65" si="40">IF(ISERROR(SEARCH("225378_FAW_D357_High",$B34,1)),FALSE,TRUE)</f>
        <v>0</v>
      </c>
      <c r="AB34" t="b">
        <f t="shared" ref="AB34:AB65" si="41">IF(ISERROR(SEARCH("Adapt_218053_CA_CD569_ESP9.3CP",$B34,1)),FALSE,TRUE)</f>
        <v>0</v>
      </c>
      <c r="AC34" t="b">
        <f t="shared" ref="AC34:AC65" si="42">IF(ISERROR(SEARCH("216997_FAW_E115_L3_IB2",$B34,1)),FALSE,TRUE)</f>
        <v>0</v>
      </c>
      <c r="AD34" t="b">
        <f t="shared" ref="AD34:AD65" si="43">IF(ISERROR(SEARCH("216916_FAW_E115_L3_ESPhev_APB(CBi)",$B34,1)),FALSE,TRUE)</f>
        <v>0</v>
      </c>
      <c r="AE34" t="b">
        <f t="shared" ref="AE34:AE65" si="44">IF(ISERROR(SEARCH("SAIC SV51H iBooster",$B34,1)),FALSE,TRUE)</f>
        <v>0</v>
      </c>
      <c r="AF34" t="b">
        <f t="shared" ref="AF34:AF65" si="45">IF(ISERROR(SEARCH("MC_244837_SGMW_CN210M_RC_ABS9.3CBi",$B34,1)),FALSE,TRUE)</f>
        <v>0</v>
      </c>
    </row>
    <row r="35" spans="1:37" x14ac:dyDescent="0.25">
      <c r="A35" s="15" t="s">
        <v>0</v>
      </c>
      <c r="B35" s="23" t="s">
        <v>71</v>
      </c>
      <c r="C35" s="16" t="s">
        <v>75</v>
      </c>
      <c r="D35" s="15">
        <v>1324814</v>
      </c>
      <c r="E35" s="17" t="s">
        <v>77</v>
      </c>
      <c r="F35" s="15" t="s">
        <v>74</v>
      </c>
      <c r="G35" s="15" t="s">
        <v>22</v>
      </c>
      <c r="H35" s="15">
        <v>0.67</v>
      </c>
      <c r="I35" s="15">
        <v>2</v>
      </c>
      <c r="J35" t="b">
        <f t="shared" si="23"/>
        <v>1</v>
      </c>
      <c r="K35" t="b">
        <f t="shared" si="24"/>
        <v>0</v>
      </c>
      <c r="L35" t="b">
        <f t="shared" si="25"/>
        <v>0</v>
      </c>
      <c r="M35" t="b">
        <f t="shared" si="26"/>
        <v>0</v>
      </c>
      <c r="N35" t="b">
        <f t="shared" si="27"/>
        <v>0</v>
      </c>
      <c r="O35" t="b">
        <f t="shared" si="28"/>
        <v>0</v>
      </c>
      <c r="P35" t="b">
        <f t="shared" si="29"/>
        <v>0</v>
      </c>
      <c r="Q35" t="b">
        <f t="shared" si="30"/>
        <v>0</v>
      </c>
      <c r="R35" t="b">
        <f t="shared" si="31"/>
        <v>0</v>
      </c>
      <c r="S35" t="b">
        <f t="shared" si="32"/>
        <v>0</v>
      </c>
      <c r="T35" t="b">
        <f t="shared" si="33"/>
        <v>0</v>
      </c>
      <c r="U35" t="b">
        <f t="shared" si="34"/>
        <v>0</v>
      </c>
      <c r="V35" t="b">
        <f t="shared" si="35"/>
        <v>0</v>
      </c>
      <c r="W35" t="b">
        <f t="shared" si="36"/>
        <v>0</v>
      </c>
      <c r="X35" t="b">
        <f t="shared" si="37"/>
        <v>0</v>
      </c>
      <c r="Y35" t="b">
        <f t="shared" si="38"/>
        <v>0</v>
      </c>
      <c r="Z35" t="b">
        <f t="shared" si="39"/>
        <v>0</v>
      </c>
      <c r="AA35" t="b">
        <f t="shared" si="40"/>
        <v>0</v>
      </c>
      <c r="AB35" t="b">
        <f t="shared" si="41"/>
        <v>0</v>
      </c>
      <c r="AC35" t="b">
        <f t="shared" si="42"/>
        <v>0</v>
      </c>
      <c r="AD35" t="b">
        <f t="shared" si="43"/>
        <v>0</v>
      </c>
      <c r="AE35" t="b">
        <f t="shared" si="44"/>
        <v>0</v>
      </c>
      <c r="AF35" t="b">
        <f t="shared" si="45"/>
        <v>0</v>
      </c>
    </row>
    <row r="36" spans="1:37" x14ac:dyDescent="0.25">
      <c r="A36" s="15" t="s">
        <v>0</v>
      </c>
      <c r="B36" s="23" t="s">
        <v>71</v>
      </c>
      <c r="C36" s="16" t="s">
        <v>75</v>
      </c>
      <c r="D36" s="15">
        <v>1324814</v>
      </c>
      <c r="E36" s="17" t="s">
        <v>78</v>
      </c>
      <c r="F36" s="15" t="s">
        <v>74</v>
      </c>
      <c r="G36" s="15" t="s">
        <v>22</v>
      </c>
      <c r="H36" s="15">
        <v>1.95</v>
      </c>
      <c r="I36" s="15">
        <v>1</v>
      </c>
      <c r="J36" t="b">
        <f t="shared" si="23"/>
        <v>1</v>
      </c>
      <c r="K36" t="b">
        <f t="shared" si="24"/>
        <v>0</v>
      </c>
      <c r="L36" t="b">
        <f t="shared" si="25"/>
        <v>0</v>
      </c>
      <c r="M36" t="b">
        <f t="shared" si="26"/>
        <v>0</v>
      </c>
      <c r="N36" t="b">
        <f t="shared" si="27"/>
        <v>0</v>
      </c>
      <c r="O36" t="b">
        <f t="shared" si="28"/>
        <v>0</v>
      </c>
      <c r="P36" t="b">
        <f t="shared" si="29"/>
        <v>0</v>
      </c>
      <c r="Q36" t="b">
        <f t="shared" si="30"/>
        <v>0</v>
      </c>
      <c r="R36" t="b">
        <f t="shared" si="31"/>
        <v>0</v>
      </c>
      <c r="S36" t="b">
        <f t="shared" si="32"/>
        <v>0</v>
      </c>
      <c r="T36" t="b">
        <f t="shared" si="33"/>
        <v>0</v>
      </c>
      <c r="U36" t="b">
        <f t="shared" si="34"/>
        <v>0</v>
      </c>
      <c r="V36" t="b">
        <f t="shared" si="35"/>
        <v>0</v>
      </c>
      <c r="W36" t="b">
        <f t="shared" si="36"/>
        <v>0</v>
      </c>
      <c r="X36" t="b">
        <f t="shared" si="37"/>
        <v>0</v>
      </c>
      <c r="Y36" t="b">
        <f t="shared" si="38"/>
        <v>0</v>
      </c>
      <c r="Z36" t="b">
        <f t="shared" si="39"/>
        <v>0</v>
      </c>
      <c r="AA36" t="b">
        <f t="shared" si="40"/>
        <v>0</v>
      </c>
      <c r="AB36" t="b">
        <f t="shared" si="41"/>
        <v>0</v>
      </c>
      <c r="AC36" t="b">
        <f t="shared" si="42"/>
        <v>0</v>
      </c>
      <c r="AD36" t="b">
        <f t="shared" si="43"/>
        <v>0</v>
      </c>
      <c r="AE36" t="b">
        <f t="shared" si="44"/>
        <v>0</v>
      </c>
      <c r="AF36" t="b">
        <f t="shared" si="45"/>
        <v>0</v>
      </c>
    </row>
    <row r="37" spans="1:37" x14ac:dyDescent="0.25">
      <c r="A37" s="1" t="s">
        <v>0</v>
      </c>
      <c r="B37" s="24" t="s">
        <v>71</v>
      </c>
      <c r="C37" s="2" t="s">
        <v>79</v>
      </c>
      <c r="D37" s="1">
        <v>1324814</v>
      </c>
      <c r="E37" s="12" t="s">
        <v>80</v>
      </c>
      <c r="F37" s="1" t="s">
        <v>74</v>
      </c>
      <c r="G37" s="1" t="s">
        <v>5</v>
      </c>
      <c r="H37" s="1">
        <v>8.49</v>
      </c>
      <c r="I37" s="1">
        <v>5</v>
      </c>
      <c r="J37" t="b">
        <f t="shared" si="23"/>
        <v>1</v>
      </c>
      <c r="K37" t="b">
        <f t="shared" si="24"/>
        <v>0</v>
      </c>
      <c r="L37" t="b">
        <f t="shared" si="25"/>
        <v>0</v>
      </c>
      <c r="M37" t="b">
        <f t="shared" si="26"/>
        <v>0</v>
      </c>
      <c r="N37" t="b">
        <f t="shared" si="27"/>
        <v>0</v>
      </c>
      <c r="O37" t="b">
        <f t="shared" si="28"/>
        <v>0</v>
      </c>
      <c r="P37" t="b">
        <f t="shared" si="29"/>
        <v>0</v>
      </c>
      <c r="Q37" t="b">
        <f t="shared" si="30"/>
        <v>0</v>
      </c>
      <c r="R37" t="b">
        <f t="shared" si="31"/>
        <v>0</v>
      </c>
      <c r="S37" t="b">
        <f t="shared" si="32"/>
        <v>0</v>
      </c>
      <c r="T37" t="b">
        <f t="shared" si="33"/>
        <v>0</v>
      </c>
      <c r="U37" t="b">
        <f t="shared" si="34"/>
        <v>0</v>
      </c>
      <c r="V37" t="b">
        <f t="shared" si="35"/>
        <v>0</v>
      </c>
      <c r="W37" t="b">
        <f t="shared" si="36"/>
        <v>0</v>
      </c>
      <c r="X37" t="b">
        <f t="shared" si="37"/>
        <v>0</v>
      </c>
      <c r="Y37" t="b">
        <f t="shared" si="38"/>
        <v>0</v>
      </c>
      <c r="Z37" t="b">
        <f t="shared" si="39"/>
        <v>0</v>
      </c>
      <c r="AA37" t="b">
        <f t="shared" si="40"/>
        <v>0</v>
      </c>
      <c r="AB37" t="b">
        <f t="shared" si="41"/>
        <v>0</v>
      </c>
      <c r="AC37" t="b">
        <f t="shared" si="42"/>
        <v>0</v>
      </c>
      <c r="AD37" t="b">
        <f t="shared" si="43"/>
        <v>0</v>
      </c>
      <c r="AE37" t="b">
        <f t="shared" si="44"/>
        <v>0</v>
      </c>
      <c r="AF37" t="b">
        <f t="shared" si="45"/>
        <v>0</v>
      </c>
    </row>
    <row r="38" spans="1:37" x14ac:dyDescent="0.25">
      <c r="A38" s="15" t="s">
        <v>0</v>
      </c>
      <c r="B38" s="23" t="s">
        <v>71</v>
      </c>
      <c r="C38" s="16" t="s">
        <v>81</v>
      </c>
      <c r="D38" s="15">
        <v>1324814</v>
      </c>
      <c r="E38" s="17" t="s">
        <v>82</v>
      </c>
      <c r="F38" s="15" t="s">
        <v>74</v>
      </c>
      <c r="G38" s="15" t="s">
        <v>22</v>
      </c>
      <c r="H38" s="15">
        <v>1.49</v>
      </c>
      <c r="I38" s="15">
        <v>1</v>
      </c>
      <c r="J38" t="b">
        <f t="shared" si="23"/>
        <v>1</v>
      </c>
      <c r="K38" t="b">
        <f t="shared" si="24"/>
        <v>0</v>
      </c>
      <c r="L38" t="b">
        <f t="shared" si="25"/>
        <v>0</v>
      </c>
      <c r="M38" t="b">
        <f t="shared" si="26"/>
        <v>0</v>
      </c>
      <c r="N38" t="b">
        <f t="shared" si="27"/>
        <v>0</v>
      </c>
      <c r="O38" t="b">
        <f t="shared" si="28"/>
        <v>0</v>
      </c>
      <c r="P38" t="b">
        <f t="shared" si="29"/>
        <v>0</v>
      </c>
      <c r="Q38" t="b">
        <f t="shared" si="30"/>
        <v>0</v>
      </c>
      <c r="R38" t="b">
        <f t="shared" si="31"/>
        <v>0</v>
      </c>
      <c r="S38" t="b">
        <f t="shared" si="32"/>
        <v>0</v>
      </c>
      <c r="T38" t="b">
        <f t="shared" si="33"/>
        <v>0</v>
      </c>
      <c r="U38" t="b">
        <f t="shared" si="34"/>
        <v>0</v>
      </c>
      <c r="V38" t="b">
        <f t="shared" si="35"/>
        <v>0</v>
      </c>
      <c r="W38" t="b">
        <f t="shared" si="36"/>
        <v>0</v>
      </c>
      <c r="X38" t="b">
        <f t="shared" si="37"/>
        <v>0</v>
      </c>
      <c r="Y38" t="b">
        <f t="shared" si="38"/>
        <v>0</v>
      </c>
      <c r="Z38" t="b">
        <f t="shared" si="39"/>
        <v>0</v>
      </c>
      <c r="AA38" t="b">
        <f t="shared" si="40"/>
        <v>0</v>
      </c>
      <c r="AB38" t="b">
        <f t="shared" si="41"/>
        <v>0</v>
      </c>
      <c r="AC38" t="b">
        <f t="shared" si="42"/>
        <v>0</v>
      </c>
      <c r="AD38" t="b">
        <f t="shared" si="43"/>
        <v>0</v>
      </c>
      <c r="AE38" t="b">
        <f t="shared" si="44"/>
        <v>0</v>
      </c>
      <c r="AF38" t="b">
        <f t="shared" si="45"/>
        <v>0</v>
      </c>
    </row>
    <row r="39" spans="1:37" x14ac:dyDescent="0.25">
      <c r="A39" s="1" t="s">
        <v>0</v>
      </c>
      <c r="B39" s="24" t="s">
        <v>71</v>
      </c>
      <c r="C39" s="2" t="s">
        <v>72</v>
      </c>
      <c r="D39" s="1">
        <v>1324814</v>
      </c>
      <c r="E39" s="12" t="s">
        <v>83</v>
      </c>
      <c r="F39" s="1" t="s">
        <v>74</v>
      </c>
      <c r="G39" s="1" t="s">
        <v>5</v>
      </c>
      <c r="H39" s="1">
        <v>4.5999999999999996</v>
      </c>
      <c r="I39" s="1">
        <v>3</v>
      </c>
      <c r="J39" t="b">
        <f t="shared" si="23"/>
        <v>1</v>
      </c>
      <c r="K39" t="b">
        <f t="shared" si="24"/>
        <v>0</v>
      </c>
      <c r="L39" t="b">
        <f t="shared" si="25"/>
        <v>0</v>
      </c>
      <c r="M39" t="b">
        <f t="shared" si="26"/>
        <v>0</v>
      </c>
      <c r="N39" t="b">
        <f t="shared" si="27"/>
        <v>0</v>
      </c>
      <c r="O39" t="b">
        <f t="shared" si="28"/>
        <v>0</v>
      </c>
      <c r="P39" t="b">
        <f t="shared" si="29"/>
        <v>0</v>
      </c>
      <c r="Q39" t="b">
        <f t="shared" si="30"/>
        <v>0</v>
      </c>
      <c r="R39" t="b">
        <f t="shared" si="31"/>
        <v>0</v>
      </c>
      <c r="S39" t="b">
        <f t="shared" si="32"/>
        <v>0</v>
      </c>
      <c r="T39" t="b">
        <f t="shared" si="33"/>
        <v>0</v>
      </c>
      <c r="U39" t="b">
        <f t="shared" si="34"/>
        <v>0</v>
      </c>
      <c r="V39" t="b">
        <f t="shared" si="35"/>
        <v>0</v>
      </c>
      <c r="W39" t="b">
        <f t="shared" si="36"/>
        <v>0</v>
      </c>
      <c r="X39" t="b">
        <f t="shared" si="37"/>
        <v>0</v>
      </c>
      <c r="Y39" t="b">
        <f t="shared" si="38"/>
        <v>0</v>
      </c>
      <c r="Z39" t="b">
        <f t="shared" si="39"/>
        <v>0</v>
      </c>
      <c r="AA39" t="b">
        <f t="shared" si="40"/>
        <v>0</v>
      </c>
      <c r="AB39" t="b">
        <f t="shared" si="41"/>
        <v>0</v>
      </c>
      <c r="AC39" t="b">
        <f t="shared" si="42"/>
        <v>0</v>
      </c>
      <c r="AD39" t="b">
        <f t="shared" si="43"/>
        <v>0</v>
      </c>
      <c r="AE39" t="b">
        <f t="shared" si="44"/>
        <v>0</v>
      </c>
      <c r="AF39" t="b">
        <f t="shared" si="45"/>
        <v>0</v>
      </c>
    </row>
    <row r="40" spans="1:37" x14ac:dyDescent="0.25">
      <c r="A40" s="1" t="s">
        <v>0</v>
      </c>
      <c r="B40" s="66" t="s">
        <v>84</v>
      </c>
      <c r="C40" s="2" t="s">
        <v>85</v>
      </c>
      <c r="D40" s="12">
        <v>1297584</v>
      </c>
      <c r="E40" s="1" t="s">
        <v>86</v>
      </c>
      <c r="F40" s="1" t="s">
        <v>87</v>
      </c>
      <c r="G40" s="1" t="s">
        <v>17</v>
      </c>
      <c r="H40" s="1">
        <v>7.8</v>
      </c>
      <c r="I40" s="1">
        <v>6</v>
      </c>
      <c r="J40" t="b">
        <f t="shared" ref="J40:J52" si="46">IF(ISERROR(SEARCH("GAC_Carbon_Stream_ESPCP",$B40,1)),FALSE,TRUE)</f>
        <v>0</v>
      </c>
      <c r="K40" t="b">
        <f t="shared" si="24"/>
        <v>0</v>
      </c>
      <c r="L40" t="b">
        <f t="shared" si="25"/>
        <v>0</v>
      </c>
      <c r="M40" t="b">
        <f t="shared" si="26"/>
        <v>0</v>
      </c>
      <c r="N40" t="b">
        <f t="shared" si="27"/>
        <v>0</v>
      </c>
      <c r="O40" t="b">
        <f t="shared" si="28"/>
        <v>0</v>
      </c>
      <c r="P40" t="b">
        <f t="shared" si="29"/>
        <v>0</v>
      </c>
      <c r="Q40" t="b">
        <f t="shared" si="30"/>
        <v>0</v>
      </c>
      <c r="R40" t="b">
        <f t="shared" si="31"/>
        <v>0</v>
      </c>
      <c r="S40" t="b">
        <f t="shared" si="32"/>
        <v>0</v>
      </c>
      <c r="T40" t="b">
        <f t="shared" si="33"/>
        <v>0</v>
      </c>
      <c r="U40" t="b">
        <f t="shared" si="34"/>
        <v>0</v>
      </c>
      <c r="V40" t="b">
        <f t="shared" si="35"/>
        <v>0</v>
      </c>
      <c r="W40" t="b">
        <f t="shared" si="36"/>
        <v>1</v>
      </c>
      <c r="X40" t="b">
        <f t="shared" si="37"/>
        <v>0</v>
      </c>
      <c r="Y40" t="b">
        <f t="shared" si="38"/>
        <v>0</v>
      </c>
      <c r="Z40" t="b">
        <f t="shared" si="39"/>
        <v>0</v>
      </c>
      <c r="AA40" t="b">
        <f t="shared" si="40"/>
        <v>0</v>
      </c>
      <c r="AB40" t="b">
        <f t="shared" si="41"/>
        <v>0</v>
      </c>
      <c r="AC40" t="b">
        <f t="shared" si="42"/>
        <v>0</v>
      </c>
      <c r="AD40" t="b">
        <f t="shared" si="43"/>
        <v>0</v>
      </c>
      <c r="AE40" t="b">
        <f t="shared" si="44"/>
        <v>0</v>
      </c>
      <c r="AF40" t="b">
        <f t="shared" si="45"/>
        <v>0</v>
      </c>
    </row>
    <row r="41" spans="1:37" x14ac:dyDescent="0.25">
      <c r="A41" s="1" t="s">
        <v>0</v>
      </c>
      <c r="B41" s="66" t="s">
        <v>84</v>
      </c>
      <c r="C41" s="2" t="s">
        <v>88</v>
      </c>
      <c r="D41" s="12">
        <v>1297584</v>
      </c>
      <c r="E41" s="1" t="s">
        <v>89</v>
      </c>
      <c r="F41" s="1" t="s">
        <v>87</v>
      </c>
      <c r="G41" s="1" t="s">
        <v>17</v>
      </c>
      <c r="H41" s="1">
        <v>2.11</v>
      </c>
      <c r="I41" s="1">
        <v>2</v>
      </c>
      <c r="J41" t="b">
        <f t="shared" si="46"/>
        <v>0</v>
      </c>
      <c r="K41" t="b">
        <f t="shared" si="24"/>
        <v>0</v>
      </c>
      <c r="L41" t="b">
        <f t="shared" si="25"/>
        <v>0</v>
      </c>
      <c r="M41" t="b">
        <f t="shared" si="26"/>
        <v>0</v>
      </c>
      <c r="N41" t="b">
        <f t="shared" si="27"/>
        <v>0</v>
      </c>
      <c r="O41" t="b">
        <f t="shared" si="28"/>
        <v>0</v>
      </c>
      <c r="P41" t="b">
        <f t="shared" si="29"/>
        <v>0</v>
      </c>
      <c r="Q41" t="b">
        <f t="shared" si="30"/>
        <v>0</v>
      </c>
      <c r="R41" t="b">
        <f t="shared" si="31"/>
        <v>0</v>
      </c>
      <c r="S41" t="b">
        <f t="shared" si="32"/>
        <v>0</v>
      </c>
      <c r="T41" t="b">
        <f t="shared" si="33"/>
        <v>0</v>
      </c>
      <c r="U41" t="b">
        <f t="shared" si="34"/>
        <v>0</v>
      </c>
      <c r="V41" t="b">
        <f t="shared" si="35"/>
        <v>0</v>
      </c>
      <c r="W41" t="b">
        <f t="shared" si="36"/>
        <v>1</v>
      </c>
      <c r="X41" t="b">
        <f t="shared" si="37"/>
        <v>0</v>
      </c>
      <c r="Y41" t="b">
        <f t="shared" si="38"/>
        <v>0</v>
      </c>
      <c r="Z41" t="b">
        <f t="shared" si="39"/>
        <v>0</v>
      </c>
      <c r="AA41" t="b">
        <f t="shared" si="40"/>
        <v>0</v>
      </c>
      <c r="AB41" t="b">
        <f t="shared" si="41"/>
        <v>0</v>
      </c>
      <c r="AC41" t="b">
        <f t="shared" si="42"/>
        <v>0</v>
      </c>
      <c r="AD41" t="b">
        <f t="shared" si="43"/>
        <v>0</v>
      </c>
      <c r="AE41" t="b">
        <f t="shared" si="44"/>
        <v>0</v>
      </c>
      <c r="AF41" t="b">
        <f t="shared" si="45"/>
        <v>0</v>
      </c>
    </row>
    <row r="42" spans="1:37" x14ac:dyDescent="0.25">
      <c r="A42" s="1" t="s">
        <v>0</v>
      </c>
      <c r="B42" s="66" t="s">
        <v>84</v>
      </c>
      <c r="C42" s="2" t="s">
        <v>88</v>
      </c>
      <c r="D42" s="12">
        <v>1297584</v>
      </c>
      <c r="E42" s="1" t="s">
        <v>90</v>
      </c>
      <c r="F42" s="1" t="s">
        <v>87</v>
      </c>
      <c r="G42" s="1" t="s">
        <v>17</v>
      </c>
      <c r="H42" s="1">
        <v>0.51</v>
      </c>
      <c r="I42" s="1">
        <v>0.5</v>
      </c>
      <c r="J42" t="b">
        <f t="shared" si="46"/>
        <v>0</v>
      </c>
      <c r="K42" t="b">
        <f t="shared" si="24"/>
        <v>0</v>
      </c>
      <c r="L42" t="b">
        <f t="shared" si="25"/>
        <v>0</v>
      </c>
      <c r="M42" t="b">
        <f t="shared" si="26"/>
        <v>0</v>
      </c>
      <c r="N42" t="b">
        <f t="shared" si="27"/>
        <v>0</v>
      </c>
      <c r="O42" t="b">
        <f t="shared" si="28"/>
        <v>0</v>
      </c>
      <c r="P42" t="b">
        <f t="shared" si="29"/>
        <v>0</v>
      </c>
      <c r="Q42" t="b">
        <f t="shared" si="30"/>
        <v>0</v>
      </c>
      <c r="R42" t="b">
        <f t="shared" si="31"/>
        <v>0</v>
      </c>
      <c r="S42" t="b">
        <f t="shared" si="32"/>
        <v>0</v>
      </c>
      <c r="T42" t="b">
        <f t="shared" si="33"/>
        <v>0</v>
      </c>
      <c r="U42" t="b">
        <f t="shared" si="34"/>
        <v>0</v>
      </c>
      <c r="V42" t="b">
        <f t="shared" si="35"/>
        <v>0</v>
      </c>
      <c r="W42" t="b">
        <f t="shared" si="36"/>
        <v>1</v>
      </c>
      <c r="X42" t="b">
        <f t="shared" si="37"/>
        <v>0</v>
      </c>
      <c r="Y42" t="b">
        <f t="shared" si="38"/>
        <v>0</v>
      </c>
      <c r="Z42" t="b">
        <f t="shared" si="39"/>
        <v>0</v>
      </c>
      <c r="AA42" t="b">
        <f t="shared" si="40"/>
        <v>0</v>
      </c>
      <c r="AB42" t="b">
        <f t="shared" si="41"/>
        <v>0</v>
      </c>
      <c r="AC42" t="b">
        <f t="shared" si="42"/>
        <v>0</v>
      </c>
      <c r="AD42" t="b">
        <f t="shared" si="43"/>
        <v>0</v>
      </c>
      <c r="AE42" t="b">
        <f t="shared" si="44"/>
        <v>0</v>
      </c>
      <c r="AF42" t="b">
        <f t="shared" si="45"/>
        <v>0</v>
      </c>
    </row>
    <row r="43" spans="1:37" x14ac:dyDescent="0.25">
      <c r="A43" s="1" t="s">
        <v>0</v>
      </c>
      <c r="B43" s="66" t="s">
        <v>84</v>
      </c>
      <c r="C43" s="2" t="s">
        <v>88</v>
      </c>
      <c r="D43" s="12">
        <v>1297584</v>
      </c>
      <c r="E43" s="12" t="s">
        <v>91</v>
      </c>
      <c r="F43" s="1" t="s">
        <v>87</v>
      </c>
      <c r="G43" s="1" t="s">
        <v>5</v>
      </c>
      <c r="H43" s="1">
        <v>2.88</v>
      </c>
      <c r="I43" s="1">
        <v>1.5</v>
      </c>
      <c r="J43" t="b">
        <f t="shared" si="46"/>
        <v>0</v>
      </c>
      <c r="K43" t="b">
        <f t="shared" si="24"/>
        <v>0</v>
      </c>
      <c r="L43" t="b">
        <f t="shared" si="25"/>
        <v>0</v>
      </c>
      <c r="M43" t="b">
        <f t="shared" si="26"/>
        <v>0</v>
      </c>
      <c r="N43" t="b">
        <f t="shared" si="27"/>
        <v>0</v>
      </c>
      <c r="O43" t="b">
        <f t="shared" si="28"/>
        <v>0</v>
      </c>
      <c r="P43" t="b">
        <f t="shared" si="29"/>
        <v>0</v>
      </c>
      <c r="Q43" t="b">
        <f t="shared" si="30"/>
        <v>0</v>
      </c>
      <c r="R43" t="b">
        <f t="shared" si="31"/>
        <v>0</v>
      </c>
      <c r="S43" t="b">
        <f t="shared" si="32"/>
        <v>0</v>
      </c>
      <c r="T43" t="b">
        <f t="shared" si="33"/>
        <v>0</v>
      </c>
      <c r="U43" t="b">
        <f t="shared" si="34"/>
        <v>0</v>
      </c>
      <c r="V43" t="b">
        <f t="shared" si="35"/>
        <v>0</v>
      </c>
      <c r="W43" t="b">
        <f t="shared" si="36"/>
        <v>1</v>
      </c>
      <c r="X43" t="b">
        <f t="shared" si="37"/>
        <v>0</v>
      </c>
      <c r="Y43" t="b">
        <f t="shared" si="38"/>
        <v>0</v>
      </c>
      <c r="Z43" t="b">
        <f t="shared" si="39"/>
        <v>0</v>
      </c>
      <c r="AA43" t="b">
        <f t="shared" si="40"/>
        <v>0</v>
      </c>
      <c r="AB43" t="b">
        <f t="shared" si="41"/>
        <v>0</v>
      </c>
      <c r="AC43" t="b">
        <f t="shared" si="42"/>
        <v>0</v>
      </c>
      <c r="AD43" t="b">
        <f t="shared" si="43"/>
        <v>0</v>
      </c>
      <c r="AE43" t="b">
        <f t="shared" si="44"/>
        <v>0</v>
      </c>
      <c r="AF43" t="b">
        <f t="shared" si="45"/>
        <v>0</v>
      </c>
    </row>
    <row r="44" spans="1:37" x14ac:dyDescent="0.25">
      <c r="A44" s="1" t="s">
        <v>0</v>
      </c>
      <c r="B44" s="66" t="s">
        <v>84</v>
      </c>
      <c r="C44" s="2" t="s">
        <v>88</v>
      </c>
      <c r="D44" s="12">
        <v>1297584</v>
      </c>
      <c r="E44" s="1" t="s">
        <v>92</v>
      </c>
      <c r="F44" s="1" t="s">
        <v>87</v>
      </c>
      <c r="G44" s="1" t="s">
        <v>17</v>
      </c>
      <c r="H44" s="1">
        <v>1.68</v>
      </c>
      <c r="I44" s="1">
        <v>1</v>
      </c>
      <c r="J44" t="b">
        <f t="shared" si="46"/>
        <v>0</v>
      </c>
      <c r="K44" t="b">
        <f t="shared" si="24"/>
        <v>0</v>
      </c>
      <c r="L44" t="b">
        <f t="shared" si="25"/>
        <v>0</v>
      </c>
      <c r="M44" t="b">
        <f t="shared" si="26"/>
        <v>0</v>
      </c>
      <c r="N44" t="b">
        <f t="shared" si="27"/>
        <v>0</v>
      </c>
      <c r="O44" t="b">
        <f t="shared" si="28"/>
        <v>0</v>
      </c>
      <c r="P44" t="b">
        <f t="shared" si="29"/>
        <v>0</v>
      </c>
      <c r="Q44" t="b">
        <f t="shared" si="30"/>
        <v>0</v>
      </c>
      <c r="R44" t="b">
        <f t="shared" si="31"/>
        <v>0</v>
      </c>
      <c r="S44" t="b">
        <f t="shared" si="32"/>
        <v>0</v>
      </c>
      <c r="T44" t="b">
        <f t="shared" si="33"/>
        <v>0</v>
      </c>
      <c r="U44" t="b">
        <f t="shared" si="34"/>
        <v>0</v>
      </c>
      <c r="V44" t="b">
        <f t="shared" si="35"/>
        <v>0</v>
      </c>
      <c r="W44" t="b">
        <f t="shared" si="36"/>
        <v>1</v>
      </c>
      <c r="X44" t="b">
        <f t="shared" si="37"/>
        <v>0</v>
      </c>
      <c r="Y44" t="b">
        <f t="shared" si="38"/>
        <v>0</v>
      </c>
      <c r="Z44" t="b">
        <f t="shared" si="39"/>
        <v>0</v>
      </c>
      <c r="AA44" t="b">
        <f t="shared" si="40"/>
        <v>0</v>
      </c>
      <c r="AB44" t="b">
        <f t="shared" si="41"/>
        <v>0</v>
      </c>
      <c r="AC44" t="b">
        <f t="shared" si="42"/>
        <v>0</v>
      </c>
      <c r="AD44" t="b">
        <f t="shared" si="43"/>
        <v>0</v>
      </c>
      <c r="AE44" t="b">
        <f t="shared" si="44"/>
        <v>0</v>
      </c>
      <c r="AF44" t="b">
        <f t="shared" si="45"/>
        <v>0</v>
      </c>
    </row>
    <row r="45" spans="1:37" x14ac:dyDescent="0.25">
      <c r="A45" s="1" t="s">
        <v>0</v>
      </c>
      <c r="B45" s="66" t="s">
        <v>84</v>
      </c>
      <c r="C45" s="2" t="s">
        <v>88</v>
      </c>
      <c r="D45" s="12">
        <v>1297584</v>
      </c>
      <c r="E45" s="12" t="s">
        <v>93</v>
      </c>
      <c r="F45" s="1" t="s">
        <v>87</v>
      </c>
      <c r="G45" s="1" t="s">
        <v>5</v>
      </c>
      <c r="H45" s="1">
        <v>3.02</v>
      </c>
      <c r="I45" s="1">
        <v>1.5</v>
      </c>
      <c r="J45" t="b">
        <f t="shared" si="46"/>
        <v>0</v>
      </c>
      <c r="K45" t="b">
        <f t="shared" si="24"/>
        <v>0</v>
      </c>
      <c r="L45" t="b">
        <f t="shared" si="25"/>
        <v>0</v>
      </c>
      <c r="M45" t="b">
        <f t="shared" si="26"/>
        <v>0</v>
      </c>
      <c r="N45" t="b">
        <f t="shared" si="27"/>
        <v>0</v>
      </c>
      <c r="O45" t="b">
        <f t="shared" si="28"/>
        <v>0</v>
      </c>
      <c r="P45" t="b">
        <f t="shared" si="29"/>
        <v>0</v>
      </c>
      <c r="Q45" t="b">
        <f t="shared" si="30"/>
        <v>0</v>
      </c>
      <c r="R45" t="b">
        <f t="shared" si="31"/>
        <v>0</v>
      </c>
      <c r="S45" t="b">
        <f t="shared" si="32"/>
        <v>0</v>
      </c>
      <c r="T45" t="b">
        <f t="shared" si="33"/>
        <v>0</v>
      </c>
      <c r="U45" t="b">
        <f t="shared" si="34"/>
        <v>0</v>
      </c>
      <c r="V45" t="b">
        <f t="shared" si="35"/>
        <v>0</v>
      </c>
      <c r="W45" t="b">
        <f t="shared" si="36"/>
        <v>1</v>
      </c>
      <c r="X45" t="b">
        <f t="shared" si="37"/>
        <v>0</v>
      </c>
      <c r="Y45" t="b">
        <f t="shared" si="38"/>
        <v>0</v>
      </c>
      <c r="Z45" t="b">
        <f t="shared" si="39"/>
        <v>0</v>
      </c>
      <c r="AA45" t="b">
        <f t="shared" si="40"/>
        <v>0</v>
      </c>
      <c r="AB45" t="b">
        <f t="shared" si="41"/>
        <v>0</v>
      </c>
      <c r="AC45" t="b">
        <f t="shared" si="42"/>
        <v>0</v>
      </c>
      <c r="AD45" t="b">
        <f t="shared" si="43"/>
        <v>0</v>
      </c>
      <c r="AE45" t="b">
        <f t="shared" si="44"/>
        <v>0</v>
      </c>
      <c r="AF45" t="b">
        <f t="shared" si="45"/>
        <v>0</v>
      </c>
    </row>
    <row r="46" spans="1:37" x14ac:dyDescent="0.25">
      <c r="A46" s="1" t="s">
        <v>0</v>
      </c>
      <c r="B46" s="66" t="s">
        <v>84</v>
      </c>
      <c r="C46" s="2" t="s">
        <v>94</v>
      </c>
      <c r="D46" s="12">
        <v>1297584</v>
      </c>
      <c r="E46" s="1" t="s">
        <v>95</v>
      </c>
      <c r="F46" s="1" t="s">
        <v>87</v>
      </c>
      <c r="G46" s="1" t="s">
        <v>17</v>
      </c>
      <c r="H46" s="1">
        <v>0.17</v>
      </c>
      <c r="I46" s="1">
        <v>0.5</v>
      </c>
      <c r="J46" t="b">
        <f t="shared" si="46"/>
        <v>0</v>
      </c>
      <c r="K46" t="b">
        <f t="shared" si="24"/>
        <v>0</v>
      </c>
      <c r="L46" t="b">
        <f t="shared" si="25"/>
        <v>0</v>
      </c>
      <c r="M46" t="b">
        <f t="shared" si="26"/>
        <v>0</v>
      </c>
      <c r="N46" t="b">
        <f t="shared" si="27"/>
        <v>0</v>
      </c>
      <c r="O46" t="b">
        <f t="shared" si="28"/>
        <v>0</v>
      </c>
      <c r="P46" t="b">
        <f t="shared" si="29"/>
        <v>0</v>
      </c>
      <c r="Q46" t="b">
        <f t="shared" si="30"/>
        <v>0</v>
      </c>
      <c r="R46" t="b">
        <f t="shared" si="31"/>
        <v>0</v>
      </c>
      <c r="S46" t="b">
        <f t="shared" si="32"/>
        <v>0</v>
      </c>
      <c r="T46" t="b">
        <f t="shared" si="33"/>
        <v>0</v>
      </c>
      <c r="U46" t="b">
        <f t="shared" si="34"/>
        <v>0</v>
      </c>
      <c r="V46" t="b">
        <f t="shared" si="35"/>
        <v>0</v>
      </c>
      <c r="W46" t="b">
        <f t="shared" si="36"/>
        <v>1</v>
      </c>
      <c r="X46" t="b">
        <f t="shared" si="37"/>
        <v>0</v>
      </c>
      <c r="Y46" t="b">
        <f t="shared" si="38"/>
        <v>0</v>
      </c>
      <c r="Z46" t="b">
        <f t="shared" si="39"/>
        <v>0</v>
      </c>
      <c r="AA46" t="b">
        <f t="shared" si="40"/>
        <v>0</v>
      </c>
      <c r="AB46" t="b">
        <f t="shared" si="41"/>
        <v>0</v>
      </c>
      <c r="AC46" t="b">
        <f t="shared" si="42"/>
        <v>0</v>
      </c>
      <c r="AD46" t="b">
        <f t="shared" si="43"/>
        <v>0</v>
      </c>
      <c r="AE46" t="b">
        <f t="shared" si="44"/>
        <v>0</v>
      </c>
      <c r="AF46" t="b">
        <f t="shared" si="45"/>
        <v>0</v>
      </c>
    </row>
    <row r="47" spans="1:37" x14ac:dyDescent="0.25">
      <c r="A47" s="1" t="s">
        <v>0</v>
      </c>
      <c r="B47" s="69" t="s">
        <v>96</v>
      </c>
      <c r="C47" s="2" t="s">
        <v>97</v>
      </c>
      <c r="D47" s="1">
        <v>1375788</v>
      </c>
      <c r="E47" s="1" t="s">
        <v>98</v>
      </c>
      <c r="F47" s="1" t="s">
        <v>99</v>
      </c>
      <c r="G47" s="1" t="s">
        <v>17</v>
      </c>
      <c r="H47" s="1">
        <v>2.2200000000000002</v>
      </c>
      <c r="I47" s="1">
        <v>2</v>
      </c>
      <c r="J47" t="b">
        <f t="shared" si="46"/>
        <v>0</v>
      </c>
      <c r="K47" t="b">
        <f t="shared" si="24"/>
        <v>0</v>
      </c>
      <c r="L47" t="b">
        <f t="shared" si="25"/>
        <v>0</v>
      </c>
      <c r="M47" t="b">
        <f t="shared" si="26"/>
        <v>0</v>
      </c>
      <c r="N47" t="b">
        <f t="shared" si="27"/>
        <v>0</v>
      </c>
      <c r="O47" t="b">
        <f t="shared" si="28"/>
        <v>0</v>
      </c>
      <c r="P47" t="b">
        <f t="shared" si="29"/>
        <v>0</v>
      </c>
      <c r="Q47" t="b">
        <f t="shared" si="30"/>
        <v>0</v>
      </c>
      <c r="R47" t="b">
        <f t="shared" si="31"/>
        <v>0</v>
      </c>
      <c r="S47" t="b">
        <f t="shared" si="32"/>
        <v>0</v>
      </c>
      <c r="T47" t="b">
        <f t="shared" si="33"/>
        <v>0</v>
      </c>
      <c r="U47" t="b">
        <f t="shared" si="34"/>
        <v>0</v>
      </c>
      <c r="V47" t="b">
        <f t="shared" si="35"/>
        <v>0</v>
      </c>
      <c r="W47" t="b">
        <f t="shared" si="36"/>
        <v>0</v>
      </c>
      <c r="X47" t="b">
        <f t="shared" si="37"/>
        <v>1</v>
      </c>
      <c r="Y47" t="b">
        <f t="shared" si="38"/>
        <v>0</v>
      </c>
      <c r="Z47" t="b">
        <f t="shared" si="39"/>
        <v>0</v>
      </c>
      <c r="AA47" t="b">
        <f t="shared" si="40"/>
        <v>0</v>
      </c>
      <c r="AB47" t="b">
        <f t="shared" si="41"/>
        <v>0</v>
      </c>
      <c r="AC47" t="b">
        <f t="shared" si="42"/>
        <v>0</v>
      </c>
      <c r="AD47" t="b">
        <f t="shared" si="43"/>
        <v>0</v>
      </c>
      <c r="AE47" t="b">
        <f t="shared" si="44"/>
        <v>0</v>
      </c>
      <c r="AF47" t="b">
        <f t="shared" si="45"/>
        <v>0</v>
      </c>
    </row>
    <row r="48" spans="1:37" x14ac:dyDescent="0.25">
      <c r="A48" s="1" t="s">
        <v>0</v>
      </c>
      <c r="B48" s="69" t="s">
        <v>96</v>
      </c>
      <c r="C48" s="2" t="s">
        <v>97</v>
      </c>
      <c r="D48" s="1">
        <v>1375788</v>
      </c>
      <c r="E48" s="1" t="s">
        <v>100</v>
      </c>
      <c r="F48" s="1" t="s">
        <v>99</v>
      </c>
      <c r="G48" s="1" t="s">
        <v>17</v>
      </c>
      <c r="H48" s="1">
        <v>0.57999999999999996</v>
      </c>
      <c r="I48" s="1">
        <v>0.5</v>
      </c>
      <c r="J48" t="b">
        <f t="shared" si="46"/>
        <v>0</v>
      </c>
      <c r="K48" t="b">
        <f t="shared" si="24"/>
        <v>0</v>
      </c>
      <c r="L48" t="b">
        <f t="shared" si="25"/>
        <v>0</v>
      </c>
      <c r="M48" t="b">
        <f t="shared" si="26"/>
        <v>0</v>
      </c>
      <c r="N48" t="b">
        <f t="shared" si="27"/>
        <v>0</v>
      </c>
      <c r="O48" t="b">
        <f t="shared" si="28"/>
        <v>0</v>
      </c>
      <c r="P48" t="b">
        <f t="shared" si="29"/>
        <v>0</v>
      </c>
      <c r="Q48" t="b">
        <f t="shared" si="30"/>
        <v>0</v>
      </c>
      <c r="R48" t="b">
        <f t="shared" si="31"/>
        <v>0</v>
      </c>
      <c r="S48" t="b">
        <f t="shared" si="32"/>
        <v>0</v>
      </c>
      <c r="T48" t="b">
        <f t="shared" si="33"/>
        <v>0</v>
      </c>
      <c r="U48" t="b">
        <f t="shared" si="34"/>
        <v>0</v>
      </c>
      <c r="V48" t="b">
        <f t="shared" si="35"/>
        <v>0</v>
      </c>
      <c r="W48" t="b">
        <f t="shared" si="36"/>
        <v>0</v>
      </c>
      <c r="X48" t="b">
        <f t="shared" si="37"/>
        <v>1</v>
      </c>
      <c r="Y48" t="b">
        <f t="shared" si="38"/>
        <v>0</v>
      </c>
      <c r="Z48" t="b">
        <f t="shared" si="39"/>
        <v>0</v>
      </c>
      <c r="AA48" t="b">
        <f t="shared" si="40"/>
        <v>0</v>
      </c>
      <c r="AB48" t="b">
        <f t="shared" si="41"/>
        <v>0</v>
      </c>
      <c r="AC48" t="b">
        <f t="shared" si="42"/>
        <v>0</v>
      </c>
      <c r="AD48" t="b">
        <f t="shared" si="43"/>
        <v>0</v>
      </c>
      <c r="AE48" t="b">
        <f t="shared" si="44"/>
        <v>0</v>
      </c>
      <c r="AF48" t="b">
        <f t="shared" si="45"/>
        <v>0</v>
      </c>
    </row>
    <row r="49" spans="1:38" x14ac:dyDescent="0.25">
      <c r="A49" s="1" t="s">
        <v>0</v>
      </c>
      <c r="B49" s="71" t="s">
        <v>101</v>
      </c>
      <c r="C49" s="2" t="s">
        <v>102</v>
      </c>
      <c r="D49" s="1">
        <v>1373324</v>
      </c>
      <c r="E49" s="1" t="s">
        <v>103</v>
      </c>
      <c r="F49" s="1" t="s">
        <v>104</v>
      </c>
      <c r="G49" s="1" t="s">
        <v>17</v>
      </c>
      <c r="H49" s="1">
        <v>3.16</v>
      </c>
      <c r="I49" s="1">
        <v>3</v>
      </c>
      <c r="J49" t="b">
        <f t="shared" si="46"/>
        <v>0</v>
      </c>
      <c r="K49" t="b">
        <f t="shared" si="24"/>
        <v>0</v>
      </c>
      <c r="L49" t="b">
        <f t="shared" si="25"/>
        <v>0</v>
      </c>
      <c r="M49" t="b">
        <f t="shared" si="26"/>
        <v>0</v>
      </c>
      <c r="N49" t="b">
        <f t="shared" si="27"/>
        <v>0</v>
      </c>
      <c r="O49" t="b">
        <f t="shared" si="28"/>
        <v>0</v>
      </c>
      <c r="P49" t="b">
        <f t="shared" si="29"/>
        <v>0</v>
      </c>
      <c r="Q49" t="b">
        <f t="shared" si="30"/>
        <v>0</v>
      </c>
      <c r="R49" t="b">
        <f t="shared" si="31"/>
        <v>0</v>
      </c>
      <c r="S49" t="b">
        <f t="shared" si="32"/>
        <v>0</v>
      </c>
      <c r="T49" t="b">
        <f t="shared" si="33"/>
        <v>0</v>
      </c>
      <c r="U49" t="b">
        <f t="shared" si="34"/>
        <v>0</v>
      </c>
      <c r="V49" t="b">
        <f t="shared" si="35"/>
        <v>0</v>
      </c>
      <c r="W49" t="b">
        <f t="shared" si="36"/>
        <v>0</v>
      </c>
      <c r="X49" t="b">
        <f t="shared" si="37"/>
        <v>0</v>
      </c>
      <c r="Y49" t="b">
        <f t="shared" si="38"/>
        <v>1</v>
      </c>
      <c r="Z49" t="b">
        <f t="shared" si="39"/>
        <v>0</v>
      </c>
      <c r="AA49" t="b">
        <f t="shared" si="40"/>
        <v>0</v>
      </c>
      <c r="AB49" t="b">
        <f t="shared" si="41"/>
        <v>0</v>
      </c>
      <c r="AC49" t="b">
        <f t="shared" si="42"/>
        <v>0</v>
      </c>
      <c r="AD49" t="b">
        <f t="shared" si="43"/>
        <v>0</v>
      </c>
      <c r="AE49" t="b">
        <f t="shared" si="44"/>
        <v>0</v>
      </c>
      <c r="AF49" t="b">
        <f t="shared" si="45"/>
        <v>0</v>
      </c>
    </row>
    <row r="50" spans="1:38" x14ac:dyDescent="0.25">
      <c r="A50" s="1" t="s">
        <v>0</v>
      </c>
      <c r="B50" s="71" t="s">
        <v>101</v>
      </c>
      <c r="C50" s="2" t="s">
        <v>102</v>
      </c>
      <c r="D50" s="1">
        <v>1373324</v>
      </c>
      <c r="E50" s="12" t="s">
        <v>105</v>
      </c>
      <c r="F50" s="1" t="s">
        <v>104</v>
      </c>
      <c r="G50" s="1" t="s">
        <v>5</v>
      </c>
      <c r="H50" s="1">
        <v>3.48</v>
      </c>
      <c r="I50" s="1">
        <v>3</v>
      </c>
      <c r="J50" t="b">
        <f t="shared" si="46"/>
        <v>0</v>
      </c>
      <c r="K50" t="b">
        <f t="shared" si="24"/>
        <v>0</v>
      </c>
      <c r="L50" t="b">
        <f t="shared" si="25"/>
        <v>0</v>
      </c>
      <c r="M50" t="b">
        <f t="shared" si="26"/>
        <v>0</v>
      </c>
      <c r="N50" t="b">
        <f t="shared" si="27"/>
        <v>0</v>
      </c>
      <c r="O50" t="b">
        <f t="shared" si="28"/>
        <v>0</v>
      </c>
      <c r="P50" t="b">
        <f t="shared" si="29"/>
        <v>0</v>
      </c>
      <c r="Q50" t="b">
        <f t="shared" si="30"/>
        <v>0</v>
      </c>
      <c r="R50" t="b">
        <f t="shared" si="31"/>
        <v>0</v>
      </c>
      <c r="S50" t="b">
        <f t="shared" si="32"/>
        <v>0</v>
      </c>
      <c r="T50" t="b">
        <f t="shared" si="33"/>
        <v>0</v>
      </c>
      <c r="U50" t="b">
        <f t="shared" si="34"/>
        <v>0</v>
      </c>
      <c r="V50" t="b">
        <f t="shared" si="35"/>
        <v>0</v>
      </c>
      <c r="W50" t="b">
        <f t="shared" si="36"/>
        <v>0</v>
      </c>
      <c r="X50" t="b">
        <f t="shared" si="37"/>
        <v>0</v>
      </c>
      <c r="Y50" t="b">
        <f t="shared" si="38"/>
        <v>1</v>
      </c>
      <c r="Z50" t="b">
        <f t="shared" si="39"/>
        <v>0</v>
      </c>
      <c r="AA50" t="b">
        <f t="shared" si="40"/>
        <v>0</v>
      </c>
      <c r="AB50" t="b">
        <f t="shared" si="41"/>
        <v>0</v>
      </c>
      <c r="AC50" t="b">
        <f t="shared" si="42"/>
        <v>0</v>
      </c>
      <c r="AD50" t="b">
        <f t="shared" si="43"/>
        <v>0</v>
      </c>
      <c r="AE50" t="b">
        <f t="shared" si="44"/>
        <v>0</v>
      </c>
      <c r="AF50" t="b">
        <f t="shared" si="45"/>
        <v>0</v>
      </c>
    </row>
    <row r="51" spans="1:38" x14ac:dyDescent="0.25">
      <c r="A51" s="1" t="s">
        <v>0</v>
      </c>
      <c r="B51" s="71" t="s">
        <v>106</v>
      </c>
      <c r="C51" s="2" t="s">
        <v>107</v>
      </c>
      <c r="D51" s="1">
        <v>1380105</v>
      </c>
      <c r="E51" s="12" t="s">
        <v>108</v>
      </c>
      <c r="F51" s="1" t="s">
        <v>104</v>
      </c>
      <c r="G51" s="1" t="s">
        <v>5</v>
      </c>
      <c r="H51" s="1">
        <v>7.41</v>
      </c>
      <c r="I51" s="1">
        <v>5</v>
      </c>
      <c r="J51" t="b">
        <f t="shared" si="46"/>
        <v>0</v>
      </c>
      <c r="K51" t="b">
        <f t="shared" si="24"/>
        <v>0</v>
      </c>
      <c r="L51" t="b">
        <f t="shared" si="25"/>
        <v>0</v>
      </c>
      <c r="M51" t="b">
        <f t="shared" si="26"/>
        <v>0</v>
      </c>
      <c r="N51" t="b">
        <f t="shared" si="27"/>
        <v>0</v>
      </c>
      <c r="O51" t="b">
        <f t="shared" si="28"/>
        <v>0</v>
      </c>
      <c r="P51" t="b">
        <f t="shared" si="29"/>
        <v>0</v>
      </c>
      <c r="Q51" t="b">
        <f t="shared" si="30"/>
        <v>0</v>
      </c>
      <c r="R51" t="b">
        <f t="shared" si="31"/>
        <v>0</v>
      </c>
      <c r="S51" t="b">
        <f t="shared" si="32"/>
        <v>0</v>
      </c>
      <c r="T51" t="b">
        <f t="shared" si="33"/>
        <v>0</v>
      </c>
      <c r="U51" t="b">
        <f t="shared" si="34"/>
        <v>0</v>
      </c>
      <c r="V51" t="b">
        <f t="shared" si="35"/>
        <v>0</v>
      </c>
      <c r="W51" t="b">
        <f t="shared" si="36"/>
        <v>0</v>
      </c>
      <c r="X51" t="b">
        <f t="shared" si="37"/>
        <v>0</v>
      </c>
      <c r="Y51" t="b">
        <f t="shared" si="38"/>
        <v>1</v>
      </c>
      <c r="Z51" t="b">
        <f t="shared" si="39"/>
        <v>0</v>
      </c>
      <c r="AA51" t="b">
        <f t="shared" si="40"/>
        <v>0</v>
      </c>
      <c r="AB51" t="b">
        <f t="shared" si="41"/>
        <v>0</v>
      </c>
      <c r="AC51" t="b">
        <f t="shared" si="42"/>
        <v>0</v>
      </c>
      <c r="AD51" t="b">
        <f t="shared" si="43"/>
        <v>0</v>
      </c>
      <c r="AE51" t="b">
        <f t="shared" si="44"/>
        <v>0</v>
      </c>
      <c r="AF51" t="b">
        <f t="shared" si="45"/>
        <v>0</v>
      </c>
    </row>
    <row r="52" spans="1:38" x14ac:dyDescent="0.25">
      <c r="A52" s="8" t="s">
        <v>46</v>
      </c>
      <c r="B52" s="75" t="s">
        <v>109</v>
      </c>
      <c r="C52" s="2" t="s">
        <v>41</v>
      </c>
      <c r="D52" s="1">
        <v>1380028</v>
      </c>
      <c r="E52" s="1" t="s">
        <v>110</v>
      </c>
      <c r="F52" s="1" t="s">
        <v>111</v>
      </c>
      <c r="G52" s="1" t="s">
        <v>17</v>
      </c>
      <c r="H52" s="1">
        <v>0.86</v>
      </c>
      <c r="I52" s="1">
        <v>2</v>
      </c>
      <c r="J52" t="b">
        <f t="shared" si="46"/>
        <v>0</v>
      </c>
      <c r="K52" t="b">
        <f t="shared" si="24"/>
        <v>0</v>
      </c>
      <c r="L52" t="b">
        <f t="shared" si="25"/>
        <v>0</v>
      </c>
      <c r="M52" t="b">
        <f t="shared" si="26"/>
        <v>0</v>
      </c>
      <c r="N52" t="b">
        <f t="shared" si="27"/>
        <v>0</v>
      </c>
      <c r="O52" t="b">
        <f t="shared" si="28"/>
        <v>0</v>
      </c>
      <c r="P52" t="b">
        <f t="shared" si="29"/>
        <v>0</v>
      </c>
      <c r="Q52" t="b">
        <f t="shared" si="30"/>
        <v>0</v>
      </c>
      <c r="R52" t="b">
        <f t="shared" si="31"/>
        <v>0</v>
      </c>
      <c r="S52" t="b">
        <f t="shared" si="32"/>
        <v>0</v>
      </c>
      <c r="T52" t="b">
        <f t="shared" si="33"/>
        <v>0</v>
      </c>
      <c r="U52" t="b">
        <f t="shared" si="34"/>
        <v>0</v>
      </c>
      <c r="V52" t="b">
        <f t="shared" si="35"/>
        <v>0</v>
      </c>
      <c r="W52" t="b">
        <f t="shared" si="36"/>
        <v>0</v>
      </c>
      <c r="X52" t="b">
        <f t="shared" si="37"/>
        <v>0</v>
      </c>
      <c r="Y52" t="b">
        <f t="shared" si="38"/>
        <v>0</v>
      </c>
      <c r="Z52" t="b">
        <f t="shared" si="39"/>
        <v>1</v>
      </c>
      <c r="AA52" t="b">
        <f t="shared" si="40"/>
        <v>0</v>
      </c>
      <c r="AB52" t="b">
        <f t="shared" si="41"/>
        <v>0</v>
      </c>
      <c r="AC52" t="b">
        <f t="shared" si="42"/>
        <v>0</v>
      </c>
      <c r="AD52" t="b">
        <f t="shared" si="43"/>
        <v>0</v>
      </c>
      <c r="AE52" t="b">
        <f t="shared" si="44"/>
        <v>0</v>
      </c>
      <c r="AF52" t="b">
        <f t="shared" si="45"/>
        <v>0</v>
      </c>
    </row>
    <row r="53" spans="1:38" x14ac:dyDescent="0.25">
      <c r="A53" s="8" t="s">
        <v>46</v>
      </c>
      <c r="B53" s="24" t="s">
        <v>71</v>
      </c>
      <c r="C53" s="2" t="s">
        <v>41</v>
      </c>
      <c r="D53" s="1">
        <v>1379963</v>
      </c>
      <c r="E53" s="1" t="s">
        <v>112</v>
      </c>
      <c r="F53" s="1" t="s">
        <v>113</v>
      </c>
      <c r="G53" s="1" t="s">
        <v>22</v>
      </c>
      <c r="H53" s="1">
        <v>4.92</v>
      </c>
      <c r="I53" s="1">
        <v>6</v>
      </c>
      <c r="J53" t="b">
        <f>IF(ISERROR(SEARCH("GAC_Carbon_Stream_ESPCP",B53,1)),FALSE,TRUE)</f>
        <v>1</v>
      </c>
      <c r="K53" t="b">
        <f t="shared" si="24"/>
        <v>0</v>
      </c>
      <c r="L53" t="b">
        <f t="shared" si="25"/>
        <v>0</v>
      </c>
      <c r="M53" t="b">
        <f t="shared" si="26"/>
        <v>0</v>
      </c>
      <c r="N53" t="b">
        <f t="shared" si="27"/>
        <v>0</v>
      </c>
      <c r="O53" t="b">
        <f t="shared" si="28"/>
        <v>0</v>
      </c>
      <c r="P53" t="b">
        <f t="shared" si="29"/>
        <v>0</v>
      </c>
      <c r="Q53" t="b">
        <f t="shared" si="30"/>
        <v>0</v>
      </c>
      <c r="R53" t="b">
        <f t="shared" si="31"/>
        <v>0</v>
      </c>
      <c r="S53" t="b">
        <f t="shared" si="32"/>
        <v>0</v>
      </c>
      <c r="T53" t="b">
        <f t="shared" si="33"/>
        <v>0</v>
      </c>
      <c r="U53" t="b">
        <f t="shared" si="34"/>
        <v>0</v>
      </c>
      <c r="V53" t="b">
        <f t="shared" si="35"/>
        <v>0</v>
      </c>
      <c r="W53" t="b">
        <f t="shared" si="36"/>
        <v>0</v>
      </c>
      <c r="X53" t="b">
        <f t="shared" si="37"/>
        <v>0</v>
      </c>
      <c r="Y53" t="b">
        <f t="shared" si="38"/>
        <v>0</v>
      </c>
      <c r="Z53" t="b">
        <f t="shared" si="39"/>
        <v>0</v>
      </c>
      <c r="AA53" t="b">
        <f t="shared" si="40"/>
        <v>0</v>
      </c>
      <c r="AB53" t="b">
        <f t="shared" si="41"/>
        <v>0</v>
      </c>
      <c r="AC53" t="b">
        <f t="shared" si="42"/>
        <v>0</v>
      </c>
      <c r="AD53" t="b">
        <f t="shared" si="43"/>
        <v>0</v>
      </c>
      <c r="AE53" t="b">
        <f t="shared" si="44"/>
        <v>0</v>
      </c>
      <c r="AF53" t="b">
        <f t="shared" si="45"/>
        <v>0</v>
      </c>
    </row>
    <row r="54" spans="1:38" x14ac:dyDescent="0.25">
      <c r="A54" s="8" t="s">
        <v>46</v>
      </c>
      <c r="B54" s="24" t="s">
        <v>71</v>
      </c>
      <c r="C54" s="2" t="s">
        <v>41</v>
      </c>
      <c r="D54" s="1">
        <v>1379963</v>
      </c>
      <c r="E54" s="1" t="s">
        <v>114</v>
      </c>
      <c r="F54" s="1" t="s">
        <v>113</v>
      </c>
      <c r="G54" s="1" t="s">
        <v>8</v>
      </c>
      <c r="H54" s="1">
        <v>1.96</v>
      </c>
      <c r="I54" s="1">
        <v>1.5</v>
      </c>
      <c r="J54" t="b">
        <f>IF(ISERROR(SEARCH("GAC_Carbon_Stream_ESPCP",B54,1)),FALSE,TRUE)</f>
        <v>1</v>
      </c>
      <c r="K54" t="b">
        <f t="shared" si="24"/>
        <v>0</v>
      </c>
      <c r="L54" t="b">
        <f t="shared" si="25"/>
        <v>0</v>
      </c>
      <c r="M54" t="b">
        <f t="shared" si="26"/>
        <v>0</v>
      </c>
      <c r="N54" t="b">
        <f t="shared" si="27"/>
        <v>0</v>
      </c>
      <c r="O54" t="b">
        <f t="shared" si="28"/>
        <v>0</v>
      </c>
      <c r="P54" t="b">
        <f t="shared" si="29"/>
        <v>0</v>
      </c>
      <c r="Q54" t="b">
        <f t="shared" si="30"/>
        <v>0</v>
      </c>
      <c r="R54" t="b">
        <f t="shared" si="31"/>
        <v>0</v>
      </c>
      <c r="S54" t="b">
        <f t="shared" si="32"/>
        <v>0</v>
      </c>
      <c r="T54" t="b">
        <f t="shared" si="33"/>
        <v>0</v>
      </c>
      <c r="U54" t="b">
        <f t="shared" si="34"/>
        <v>0</v>
      </c>
      <c r="V54" t="b">
        <f t="shared" si="35"/>
        <v>0</v>
      </c>
      <c r="W54" t="b">
        <f t="shared" si="36"/>
        <v>0</v>
      </c>
      <c r="X54" t="b">
        <f t="shared" si="37"/>
        <v>0</v>
      </c>
      <c r="Y54" t="b">
        <f t="shared" si="38"/>
        <v>0</v>
      </c>
      <c r="Z54" t="b">
        <f t="shared" si="39"/>
        <v>0</v>
      </c>
      <c r="AA54" t="b">
        <f t="shared" si="40"/>
        <v>0</v>
      </c>
      <c r="AB54" t="b">
        <f t="shared" si="41"/>
        <v>0</v>
      </c>
      <c r="AC54" t="b">
        <f t="shared" si="42"/>
        <v>0</v>
      </c>
      <c r="AD54" t="b">
        <f t="shared" si="43"/>
        <v>0</v>
      </c>
      <c r="AE54" t="b">
        <f t="shared" si="44"/>
        <v>0</v>
      </c>
      <c r="AF54" t="b">
        <f t="shared" si="45"/>
        <v>0</v>
      </c>
    </row>
    <row r="55" spans="1:38" x14ac:dyDescent="0.25">
      <c r="A55" s="8" t="s">
        <v>46</v>
      </c>
      <c r="B55" s="24" t="s">
        <v>71</v>
      </c>
      <c r="C55" s="2" t="s">
        <v>41</v>
      </c>
      <c r="D55" s="1">
        <v>1379963</v>
      </c>
      <c r="E55" s="1" t="s">
        <v>115</v>
      </c>
      <c r="F55" s="1" t="s">
        <v>113</v>
      </c>
      <c r="G55" s="1" t="s">
        <v>8</v>
      </c>
      <c r="H55" s="1">
        <v>0.67</v>
      </c>
      <c r="I55" s="1">
        <v>1</v>
      </c>
      <c r="J55" t="b">
        <f>IF(ISERROR(SEARCH("GAC_Carbon_Stream_ESPCP",B55,1)),FALSE,TRUE)</f>
        <v>1</v>
      </c>
      <c r="K55" t="b">
        <f t="shared" si="24"/>
        <v>0</v>
      </c>
      <c r="L55" t="b">
        <f t="shared" si="25"/>
        <v>0</v>
      </c>
      <c r="M55" t="b">
        <f t="shared" si="26"/>
        <v>0</v>
      </c>
      <c r="N55" t="b">
        <f t="shared" si="27"/>
        <v>0</v>
      </c>
      <c r="O55" t="b">
        <f t="shared" si="28"/>
        <v>0</v>
      </c>
      <c r="P55" t="b">
        <f t="shared" si="29"/>
        <v>0</v>
      </c>
      <c r="Q55" t="b">
        <f t="shared" si="30"/>
        <v>0</v>
      </c>
      <c r="R55" t="b">
        <f t="shared" si="31"/>
        <v>0</v>
      </c>
      <c r="S55" t="b">
        <f t="shared" si="32"/>
        <v>0</v>
      </c>
      <c r="T55" t="b">
        <f t="shared" si="33"/>
        <v>0</v>
      </c>
      <c r="U55" t="b">
        <f t="shared" si="34"/>
        <v>0</v>
      </c>
      <c r="V55" t="b">
        <f t="shared" si="35"/>
        <v>0</v>
      </c>
      <c r="W55" t="b">
        <f t="shared" si="36"/>
        <v>0</v>
      </c>
      <c r="X55" t="b">
        <f t="shared" si="37"/>
        <v>0</v>
      </c>
      <c r="Y55" t="b">
        <f t="shared" si="38"/>
        <v>0</v>
      </c>
      <c r="Z55" t="b">
        <f t="shared" si="39"/>
        <v>0</v>
      </c>
      <c r="AA55" t="b">
        <f t="shared" si="40"/>
        <v>0</v>
      </c>
      <c r="AB55" t="b">
        <f t="shared" si="41"/>
        <v>0</v>
      </c>
      <c r="AC55" t="b">
        <f t="shared" si="42"/>
        <v>0</v>
      </c>
      <c r="AD55" t="b">
        <f t="shared" si="43"/>
        <v>0</v>
      </c>
      <c r="AE55" t="b">
        <f t="shared" si="44"/>
        <v>0</v>
      </c>
      <c r="AF55" t="b">
        <f t="shared" si="45"/>
        <v>0</v>
      </c>
    </row>
    <row r="56" spans="1:38" x14ac:dyDescent="0.25">
      <c r="A56" s="8" t="s">
        <v>46</v>
      </c>
      <c r="B56" s="24" t="s">
        <v>71</v>
      </c>
      <c r="C56" s="2" t="s">
        <v>41</v>
      </c>
      <c r="D56" s="1">
        <v>1379963</v>
      </c>
      <c r="E56" s="1" t="s">
        <v>116</v>
      </c>
      <c r="F56" s="1" t="s">
        <v>113</v>
      </c>
      <c r="G56" s="1" t="s">
        <v>22</v>
      </c>
      <c r="H56" s="1">
        <v>1.1599999999999999</v>
      </c>
      <c r="I56" s="1">
        <v>1</v>
      </c>
      <c r="J56" t="b">
        <f>IF(ISERROR(SEARCH("GAC_Carbon_Stream_ESPCP",B56,1)),FALSE,TRUE)</f>
        <v>1</v>
      </c>
      <c r="K56" t="b">
        <f t="shared" si="24"/>
        <v>0</v>
      </c>
      <c r="L56" t="b">
        <f t="shared" si="25"/>
        <v>0</v>
      </c>
      <c r="M56" t="b">
        <f t="shared" si="26"/>
        <v>0</v>
      </c>
      <c r="N56" t="b">
        <f t="shared" si="27"/>
        <v>0</v>
      </c>
      <c r="O56" t="b">
        <f t="shared" si="28"/>
        <v>0</v>
      </c>
      <c r="P56" t="b">
        <f t="shared" si="29"/>
        <v>0</v>
      </c>
      <c r="Q56" t="b">
        <f t="shared" si="30"/>
        <v>0</v>
      </c>
      <c r="R56" t="b">
        <f t="shared" si="31"/>
        <v>0</v>
      </c>
      <c r="S56" t="b">
        <f t="shared" si="32"/>
        <v>0</v>
      </c>
      <c r="T56" t="b">
        <f t="shared" si="33"/>
        <v>0</v>
      </c>
      <c r="U56" t="b">
        <f t="shared" si="34"/>
        <v>0</v>
      </c>
      <c r="V56" t="b">
        <f t="shared" si="35"/>
        <v>0</v>
      </c>
      <c r="W56" t="b">
        <f t="shared" si="36"/>
        <v>0</v>
      </c>
      <c r="X56" t="b">
        <f t="shared" si="37"/>
        <v>0</v>
      </c>
      <c r="Y56" t="b">
        <f t="shared" si="38"/>
        <v>0</v>
      </c>
      <c r="Z56" t="b">
        <f t="shared" si="39"/>
        <v>0</v>
      </c>
      <c r="AA56" t="b">
        <f t="shared" si="40"/>
        <v>0</v>
      </c>
      <c r="AB56" t="b">
        <f t="shared" si="41"/>
        <v>0</v>
      </c>
      <c r="AC56" t="b">
        <f t="shared" si="42"/>
        <v>0</v>
      </c>
      <c r="AD56" t="b">
        <f t="shared" si="43"/>
        <v>0</v>
      </c>
      <c r="AE56" t="b">
        <f t="shared" si="44"/>
        <v>0</v>
      </c>
      <c r="AF56" t="b">
        <f t="shared" si="45"/>
        <v>0</v>
      </c>
    </row>
    <row r="57" spans="1:38" x14ac:dyDescent="0.25">
      <c r="A57" s="8" t="s">
        <v>46</v>
      </c>
      <c r="B57" s="24" t="s">
        <v>71</v>
      </c>
      <c r="C57" s="2" t="s">
        <v>41</v>
      </c>
      <c r="D57" s="1">
        <v>1379963</v>
      </c>
      <c r="E57" s="1" t="s">
        <v>117</v>
      </c>
      <c r="F57" s="1" t="s">
        <v>113</v>
      </c>
      <c r="G57" s="1" t="s">
        <v>5</v>
      </c>
      <c r="H57" s="1">
        <v>6.03</v>
      </c>
      <c r="I57" s="1">
        <v>6</v>
      </c>
      <c r="J57" t="b">
        <f>IF(ISERROR(SEARCH("GAC_Carbon_Stream_ESPCP",B57,1)),FALSE,TRUE)</f>
        <v>1</v>
      </c>
      <c r="K57" t="b">
        <f t="shared" si="24"/>
        <v>0</v>
      </c>
      <c r="L57" t="b">
        <f t="shared" si="25"/>
        <v>0</v>
      </c>
      <c r="M57" t="b">
        <f t="shared" si="26"/>
        <v>0</v>
      </c>
      <c r="N57" t="b">
        <f t="shared" si="27"/>
        <v>0</v>
      </c>
      <c r="O57" t="b">
        <f t="shared" si="28"/>
        <v>0</v>
      </c>
      <c r="P57" t="b">
        <f t="shared" si="29"/>
        <v>0</v>
      </c>
      <c r="Q57" t="b">
        <f t="shared" si="30"/>
        <v>0</v>
      </c>
      <c r="R57" t="b">
        <f t="shared" si="31"/>
        <v>0</v>
      </c>
      <c r="S57" t="b">
        <f t="shared" si="32"/>
        <v>0</v>
      </c>
      <c r="T57" t="b">
        <f t="shared" si="33"/>
        <v>0</v>
      </c>
      <c r="U57" t="b">
        <f t="shared" si="34"/>
        <v>0</v>
      </c>
      <c r="V57" t="b">
        <f t="shared" si="35"/>
        <v>0</v>
      </c>
      <c r="W57" t="b">
        <f t="shared" si="36"/>
        <v>0</v>
      </c>
      <c r="X57" t="b">
        <f t="shared" si="37"/>
        <v>0</v>
      </c>
      <c r="Y57" t="b">
        <f t="shared" si="38"/>
        <v>0</v>
      </c>
      <c r="Z57" t="b">
        <f t="shared" si="39"/>
        <v>0</v>
      </c>
      <c r="AA57" t="b">
        <f t="shared" si="40"/>
        <v>0</v>
      </c>
      <c r="AB57" t="b">
        <f t="shared" si="41"/>
        <v>0</v>
      </c>
      <c r="AC57" t="b">
        <f t="shared" si="42"/>
        <v>0</v>
      </c>
      <c r="AD57" t="b">
        <f t="shared" si="43"/>
        <v>0</v>
      </c>
      <c r="AE57" t="b">
        <f t="shared" si="44"/>
        <v>0</v>
      </c>
      <c r="AF57" t="b">
        <f t="shared" si="45"/>
        <v>0</v>
      </c>
    </row>
    <row r="58" spans="1:38" x14ac:dyDescent="0.25">
      <c r="A58" s="8" t="s">
        <v>46</v>
      </c>
      <c r="B58" s="1" t="s">
        <v>118</v>
      </c>
      <c r="C58" s="2" t="s">
        <v>41</v>
      </c>
      <c r="D58" s="1">
        <v>1381575</v>
      </c>
      <c r="E58" s="1" t="s">
        <v>119</v>
      </c>
      <c r="F58" s="1" t="s">
        <v>120</v>
      </c>
      <c r="G58" s="1" t="s">
        <v>17</v>
      </c>
      <c r="H58" s="1">
        <v>2.83</v>
      </c>
      <c r="I58" s="1">
        <v>3</v>
      </c>
      <c r="J58" t="b">
        <f t="shared" ref="J58:J67" si="47">IF(ISERROR(SEARCH("GAC_Carbon_Stream_ESPCP",$B58,1)),FALSE,TRUE)</f>
        <v>0</v>
      </c>
      <c r="K58" t="b">
        <f t="shared" si="24"/>
        <v>0</v>
      </c>
      <c r="L58" t="b">
        <f t="shared" si="25"/>
        <v>0</v>
      </c>
      <c r="M58" t="b">
        <f t="shared" si="26"/>
        <v>0</v>
      </c>
      <c r="N58" t="b">
        <f t="shared" si="27"/>
        <v>0</v>
      </c>
      <c r="O58" t="b">
        <f t="shared" si="28"/>
        <v>0</v>
      </c>
      <c r="P58" t="b">
        <f t="shared" si="29"/>
        <v>0</v>
      </c>
      <c r="Q58" t="b">
        <f t="shared" si="30"/>
        <v>0</v>
      </c>
      <c r="R58" t="b">
        <f t="shared" si="31"/>
        <v>0</v>
      </c>
      <c r="S58" t="b">
        <f t="shared" si="32"/>
        <v>0</v>
      </c>
      <c r="T58" t="b">
        <f t="shared" si="33"/>
        <v>0</v>
      </c>
      <c r="U58" t="b">
        <f t="shared" si="34"/>
        <v>0</v>
      </c>
      <c r="V58" t="b">
        <f t="shared" si="35"/>
        <v>0</v>
      </c>
      <c r="W58" t="b">
        <f t="shared" si="36"/>
        <v>0</v>
      </c>
      <c r="X58" t="b">
        <f t="shared" si="37"/>
        <v>0</v>
      </c>
      <c r="Y58" t="b">
        <f t="shared" si="38"/>
        <v>0</v>
      </c>
      <c r="Z58" t="b">
        <f t="shared" si="39"/>
        <v>0</v>
      </c>
      <c r="AA58" t="b">
        <f t="shared" si="40"/>
        <v>0</v>
      </c>
      <c r="AB58" t="b">
        <f t="shared" si="41"/>
        <v>0</v>
      </c>
      <c r="AC58" t="b">
        <f t="shared" si="42"/>
        <v>0</v>
      </c>
      <c r="AD58" t="b">
        <f t="shared" si="43"/>
        <v>0</v>
      </c>
      <c r="AE58" t="b">
        <f t="shared" si="44"/>
        <v>0</v>
      </c>
      <c r="AF58" t="b">
        <f t="shared" si="45"/>
        <v>0</v>
      </c>
      <c r="AL58" s="93"/>
    </row>
    <row r="59" spans="1:38" x14ac:dyDescent="0.25">
      <c r="A59" s="8" t="s">
        <v>46</v>
      </c>
      <c r="B59" s="1" t="s">
        <v>121</v>
      </c>
      <c r="C59" s="2" t="s">
        <v>41</v>
      </c>
      <c r="D59" s="1">
        <v>1382215</v>
      </c>
      <c r="E59" s="1" t="s">
        <v>122</v>
      </c>
      <c r="F59" s="1" t="s">
        <v>123</v>
      </c>
      <c r="G59" s="1" t="s">
        <v>22</v>
      </c>
      <c r="H59" s="1">
        <v>3.69</v>
      </c>
      <c r="I59" s="1">
        <v>8</v>
      </c>
      <c r="J59" t="b">
        <f t="shared" si="47"/>
        <v>0</v>
      </c>
      <c r="K59" t="b">
        <f t="shared" si="24"/>
        <v>0</v>
      </c>
      <c r="L59" t="b">
        <f t="shared" si="25"/>
        <v>0</v>
      </c>
      <c r="M59" t="b">
        <f t="shared" si="26"/>
        <v>0</v>
      </c>
      <c r="N59" t="b">
        <f t="shared" si="27"/>
        <v>0</v>
      </c>
      <c r="O59" t="b">
        <f t="shared" si="28"/>
        <v>0</v>
      </c>
      <c r="P59" t="b">
        <f t="shared" si="29"/>
        <v>0</v>
      </c>
      <c r="Q59" t="b">
        <f t="shared" si="30"/>
        <v>0</v>
      </c>
      <c r="R59" t="b">
        <f t="shared" si="31"/>
        <v>0</v>
      </c>
      <c r="S59" t="b">
        <f t="shared" si="32"/>
        <v>0</v>
      </c>
      <c r="T59" t="b">
        <f t="shared" si="33"/>
        <v>0</v>
      </c>
      <c r="U59" t="b">
        <f t="shared" si="34"/>
        <v>0</v>
      </c>
      <c r="V59" t="b">
        <f t="shared" si="35"/>
        <v>0</v>
      </c>
      <c r="W59" t="b">
        <f t="shared" si="36"/>
        <v>0</v>
      </c>
      <c r="X59" t="b">
        <f t="shared" si="37"/>
        <v>0</v>
      </c>
      <c r="Y59" t="b">
        <f t="shared" si="38"/>
        <v>0</v>
      </c>
      <c r="Z59" t="b">
        <f t="shared" si="39"/>
        <v>0</v>
      </c>
      <c r="AA59" t="b">
        <f t="shared" si="40"/>
        <v>0</v>
      </c>
      <c r="AB59" t="b">
        <f t="shared" si="41"/>
        <v>0</v>
      </c>
      <c r="AC59" t="b">
        <f t="shared" si="42"/>
        <v>0</v>
      </c>
      <c r="AD59" t="b">
        <f t="shared" si="43"/>
        <v>0</v>
      </c>
      <c r="AE59" t="b">
        <f t="shared" si="44"/>
        <v>0</v>
      </c>
      <c r="AF59" t="b">
        <f t="shared" si="45"/>
        <v>0</v>
      </c>
    </row>
    <row r="60" spans="1:38" x14ac:dyDescent="0.25">
      <c r="A60" s="1" t="s">
        <v>0</v>
      </c>
      <c r="B60" s="1" t="s">
        <v>124</v>
      </c>
      <c r="C60" s="2" t="s">
        <v>125</v>
      </c>
      <c r="D60" s="1">
        <v>1383781</v>
      </c>
      <c r="E60" s="1" t="s">
        <v>126</v>
      </c>
      <c r="F60" s="1" t="s">
        <v>127</v>
      </c>
      <c r="G60" s="1" t="s">
        <v>8</v>
      </c>
      <c r="H60" s="1">
        <v>2.63</v>
      </c>
      <c r="I60" s="1">
        <v>2</v>
      </c>
      <c r="J60" t="b">
        <f t="shared" si="47"/>
        <v>0</v>
      </c>
      <c r="K60" t="b">
        <f t="shared" si="24"/>
        <v>0</v>
      </c>
      <c r="L60" t="b">
        <f t="shared" si="25"/>
        <v>0</v>
      </c>
      <c r="M60" t="b">
        <f t="shared" si="26"/>
        <v>0</v>
      </c>
      <c r="N60" t="b">
        <f t="shared" si="27"/>
        <v>0</v>
      </c>
      <c r="O60" t="b">
        <f t="shared" si="28"/>
        <v>0</v>
      </c>
      <c r="P60" t="b">
        <f t="shared" si="29"/>
        <v>0</v>
      </c>
      <c r="Q60" t="b">
        <f t="shared" si="30"/>
        <v>0</v>
      </c>
      <c r="R60" t="b">
        <f t="shared" si="31"/>
        <v>0</v>
      </c>
      <c r="S60" t="b">
        <f t="shared" si="32"/>
        <v>0</v>
      </c>
      <c r="T60" t="b">
        <f t="shared" si="33"/>
        <v>0</v>
      </c>
      <c r="U60" t="b">
        <f t="shared" si="34"/>
        <v>0</v>
      </c>
      <c r="V60" t="b">
        <f t="shared" si="35"/>
        <v>0</v>
      </c>
      <c r="W60" t="b">
        <f t="shared" si="36"/>
        <v>0</v>
      </c>
      <c r="X60" t="b">
        <f t="shared" si="37"/>
        <v>0</v>
      </c>
      <c r="Y60" t="b">
        <f t="shared" si="38"/>
        <v>0</v>
      </c>
      <c r="Z60" t="b">
        <f t="shared" si="39"/>
        <v>0</v>
      </c>
      <c r="AA60" t="b">
        <f t="shared" si="40"/>
        <v>0</v>
      </c>
      <c r="AB60" t="b">
        <f t="shared" si="41"/>
        <v>0</v>
      </c>
      <c r="AC60" t="b">
        <f t="shared" si="42"/>
        <v>0</v>
      </c>
      <c r="AD60" t="b">
        <f t="shared" si="43"/>
        <v>0</v>
      </c>
      <c r="AE60" t="b">
        <f t="shared" si="44"/>
        <v>0</v>
      </c>
      <c r="AF60" t="b">
        <f t="shared" si="45"/>
        <v>0</v>
      </c>
    </row>
    <row r="61" spans="1:38" x14ac:dyDescent="0.25">
      <c r="A61" s="1" t="s">
        <v>0</v>
      </c>
      <c r="B61" s="60" t="s">
        <v>61</v>
      </c>
      <c r="C61" s="2" t="s">
        <v>128</v>
      </c>
      <c r="D61" s="1">
        <v>1369645</v>
      </c>
      <c r="E61" s="1" t="s">
        <v>129</v>
      </c>
      <c r="F61" s="1" t="s">
        <v>64</v>
      </c>
      <c r="G61" s="1" t="s">
        <v>8</v>
      </c>
      <c r="H61" s="1">
        <v>2.56</v>
      </c>
      <c r="I61" s="1">
        <v>1.5</v>
      </c>
      <c r="J61" t="b">
        <f t="shared" si="47"/>
        <v>0</v>
      </c>
      <c r="K61" t="b">
        <f t="shared" si="24"/>
        <v>0</v>
      </c>
      <c r="L61" t="b">
        <f t="shared" si="25"/>
        <v>0</v>
      </c>
      <c r="M61" t="b">
        <f t="shared" si="26"/>
        <v>0</v>
      </c>
      <c r="N61" t="b">
        <f t="shared" si="27"/>
        <v>0</v>
      </c>
      <c r="O61" t="b">
        <f t="shared" si="28"/>
        <v>0</v>
      </c>
      <c r="P61" t="b">
        <f t="shared" si="29"/>
        <v>0</v>
      </c>
      <c r="Q61" t="b">
        <f t="shared" si="30"/>
        <v>0</v>
      </c>
      <c r="R61" t="b">
        <f t="shared" si="31"/>
        <v>0</v>
      </c>
      <c r="S61" t="b">
        <f t="shared" si="32"/>
        <v>0</v>
      </c>
      <c r="T61" t="b">
        <f t="shared" si="33"/>
        <v>0</v>
      </c>
      <c r="U61" t="b">
        <f t="shared" si="34"/>
        <v>1</v>
      </c>
      <c r="V61" t="b">
        <f t="shared" si="35"/>
        <v>0</v>
      </c>
      <c r="W61" t="b">
        <f t="shared" si="36"/>
        <v>0</v>
      </c>
      <c r="X61" t="b">
        <f t="shared" si="37"/>
        <v>0</v>
      </c>
      <c r="Y61" t="b">
        <f t="shared" si="38"/>
        <v>0</v>
      </c>
      <c r="Z61" t="b">
        <f t="shared" si="39"/>
        <v>0</v>
      </c>
      <c r="AA61" t="b">
        <f t="shared" si="40"/>
        <v>0</v>
      </c>
      <c r="AB61" t="b">
        <f t="shared" si="41"/>
        <v>0</v>
      </c>
      <c r="AC61" t="b">
        <f t="shared" si="42"/>
        <v>0</v>
      </c>
      <c r="AD61" t="b">
        <f t="shared" si="43"/>
        <v>0</v>
      </c>
      <c r="AE61" t="b">
        <f t="shared" si="44"/>
        <v>0</v>
      </c>
      <c r="AF61" t="b">
        <f t="shared" si="45"/>
        <v>0</v>
      </c>
    </row>
    <row r="62" spans="1:38" x14ac:dyDescent="0.25">
      <c r="A62" s="1" t="s">
        <v>0</v>
      </c>
      <c r="B62" s="63" t="s">
        <v>130</v>
      </c>
      <c r="C62" s="2" t="s">
        <v>131</v>
      </c>
      <c r="D62" s="1">
        <v>1387954</v>
      </c>
      <c r="E62" s="1" t="s">
        <v>132</v>
      </c>
      <c r="F62" s="1" t="s">
        <v>133</v>
      </c>
      <c r="G62" s="1" t="s">
        <v>5</v>
      </c>
      <c r="H62" s="1">
        <v>6.06</v>
      </c>
      <c r="I62" s="1">
        <v>6</v>
      </c>
      <c r="J62" t="b">
        <f t="shared" si="47"/>
        <v>0</v>
      </c>
      <c r="K62" t="b">
        <f t="shared" si="24"/>
        <v>0</v>
      </c>
      <c r="L62" t="b">
        <f t="shared" si="25"/>
        <v>0</v>
      </c>
      <c r="M62" t="b">
        <f t="shared" si="26"/>
        <v>0</v>
      </c>
      <c r="N62" t="b">
        <f t="shared" si="27"/>
        <v>0</v>
      </c>
      <c r="O62" t="b">
        <f t="shared" si="28"/>
        <v>0</v>
      </c>
      <c r="P62" t="b">
        <f t="shared" si="29"/>
        <v>0</v>
      </c>
      <c r="Q62" t="b">
        <f t="shared" si="30"/>
        <v>0</v>
      </c>
      <c r="R62" t="b">
        <f t="shared" si="31"/>
        <v>0</v>
      </c>
      <c r="S62" t="b">
        <f t="shared" si="32"/>
        <v>0</v>
      </c>
      <c r="T62" t="b">
        <f t="shared" si="33"/>
        <v>0</v>
      </c>
      <c r="U62" t="b">
        <f t="shared" si="34"/>
        <v>0</v>
      </c>
      <c r="V62" t="b">
        <f t="shared" si="35"/>
        <v>1</v>
      </c>
      <c r="W62" t="b">
        <f t="shared" si="36"/>
        <v>0</v>
      </c>
      <c r="X62" t="b">
        <f t="shared" si="37"/>
        <v>0</v>
      </c>
      <c r="Y62" t="b">
        <f t="shared" si="38"/>
        <v>0</v>
      </c>
      <c r="Z62" t="b">
        <f t="shared" si="39"/>
        <v>0</v>
      </c>
      <c r="AA62" t="b">
        <f t="shared" si="40"/>
        <v>0</v>
      </c>
      <c r="AB62" t="b">
        <f t="shared" si="41"/>
        <v>0</v>
      </c>
      <c r="AC62" t="b">
        <f t="shared" si="42"/>
        <v>0</v>
      </c>
      <c r="AD62" t="b">
        <f t="shared" si="43"/>
        <v>0</v>
      </c>
      <c r="AE62" t="b">
        <f t="shared" si="44"/>
        <v>0</v>
      </c>
      <c r="AF62" t="b">
        <f t="shared" si="45"/>
        <v>0</v>
      </c>
    </row>
    <row r="63" spans="1:38" x14ac:dyDescent="0.25">
      <c r="A63" s="1" t="s">
        <v>0</v>
      </c>
      <c r="B63" s="79" t="s">
        <v>134</v>
      </c>
      <c r="C63" s="2" t="s">
        <v>135</v>
      </c>
      <c r="D63" s="1">
        <v>1386581</v>
      </c>
      <c r="E63" s="1" t="s">
        <v>136</v>
      </c>
      <c r="F63" s="18" t="s">
        <v>137</v>
      </c>
      <c r="G63" s="1" t="s">
        <v>22</v>
      </c>
      <c r="H63" s="1">
        <v>3.36</v>
      </c>
      <c r="I63" s="1">
        <f t="shared" ref="I63:I71" si="48">H63</f>
        <v>3.36</v>
      </c>
      <c r="J63" t="b">
        <f t="shared" si="47"/>
        <v>0</v>
      </c>
      <c r="K63" t="b">
        <f t="shared" si="24"/>
        <v>0</v>
      </c>
      <c r="L63" t="b">
        <f t="shared" si="25"/>
        <v>0</v>
      </c>
      <c r="M63" t="b">
        <f t="shared" si="26"/>
        <v>0</v>
      </c>
      <c r="N63" t="b">
        <f t="shared" si="27"/>
        <v>0</v>
      </c>
      <c r="O63" t="b">
        <f t="shared" si="28"/>
        <v>0</v>
      </c>
      <c r="P63" t="b">
        <f t="shared" si="29"/>
        <v>0</v>
      </c>
      <c r="Q63" t="b">
        <f t="shared" si="30"/>
        <v>0</v>
      </c>
      <c r="R63" t="b">
        <f t="shared" si="31"/>
        <v>0</v>
      </c>
      <c r="S63" t="b">
        <f t="shared" si="32"/>
        <v>0</v>
      </c>
      <c r="T63" t="b">
        <f t="shared" si="33"/>
        <v>0</v>
      </c>
      <c r="U63" t="b">
        <f t="shared" si="34"/>
        <v>0</v>
      </c>
      <c r="V63" t="b">
        <f t="shared" si="35"/>
        <v>0</v>
      </c>
      <c r="W63" t="b">
        <f t="shared" si="36"/>
        <v>0</v>
      </c>
      <c r="X63" t="b">
        <f t="shared" si="37"/>
        <v>0</v>
      </c>
      <c r="Y63" t="b">
        <f t="shared" si="38"/>
        <v>0</v>
      </c>
      <c r="Z63" t="b">
        <f t="shared" si="39"/>
        <v>0</v>
      </c>
      <c r="AA63" t="b">
        <f t="shared" si="40"/>
        <v>1</v>
      </c>
      <c r="AB63" t="b">
        <f t="shared" si="41"/>
        <v>0</v>
      </c>
      <c r="AC63" t="b">
        <f t="shared" si="42"/>
        <v>0</v>
      </c>
      <c r="AD63" t="b">
        <f t="shared" si="43"/>
        <v>0</v>
      </c>
      <c r="AE63" t="b">
        <f t="shared" si="44"/>
        <v>0</v>
      </c>
      <c r="AF63" t="b">
        <f t="shared" si="45"/>
        <v>0</v>
      </c>
    </row>
    <row r="64" spans="1:38" x14ac:dyDescent="0.25">
      <c r="A64" s="1" t="s">
        <v>0</v>
      </c>
      <c r="B64" s="1" t="s">
        <v>138</v>
      </c>
      <c r="C64" s="2" t="s">
        <v>139</v>
      </c>
      <c r="D64" s="1">
        <v>1386393</v>
      </c>
      <c r="E64" s="1" t="s">
        <v>86</v>
      </c>
      <c r="F64" s="1" t="s">
        <v>74</v>
      </c>
      <c r="G64" s="1" t="s">
        <v>17</v>
      </c>
      <c r="H64" s="1">
        <v>2.2200000000000002</v>
      </c>
      <c r="I64" s="1">
        <f t="shared" si="48"/>
        <v>2.2200000000000002</v>
      </c>
      <c r="J64" t="b">
        <f t="shared" si="47"/>
        <v>0</v>
      </c>
      <c r="K64" t="b">
        <f t="shared" si="24"/>
        <v>0</v>
      </c>
      <c r="L64" t="b">
        <f t="shared" si="25"/>
        <v>0</v>
      </c>
      <c r="M64" t="b">
        <f t="shared" si="26"/>
        <v>0</v>
      </c>
      <c r="N64" t="b">
        <f t="shared" si="27"/>
        <v>0</v>
      </c>
      <c r="O64" t="b">
        <f t="shared" si="28"/>
        <v>0</v>
      </c>
      <c r="P64" t="b">
        <f t="shared" si="29"/>
        <v>0</v>
      </c>
      <c r="Q64" t="b">
        <f t="shared" si="30"/>
        <v>0</v>
      </c>
      <c r="R64" t="b">
        <f t="shared" si="31"/>
        <v>0</v>
      </c>
      <c r="S64" t="b">
        <f t="shared" si="32"/>
        <v>0</v>
      </c>
      <c r="T64" t="b">
        <f t="shared" si="33"/>
        <v>0</v>
      </c>
      <c r="U64" t="b">
        <f t="shared" si="34"/>
        <v>0</v>
      </c>
      <c r="V64" t="b">
        <f t="shared" si="35"/>
        <v>0</v>
      </c>
      <c r="W64" t="b">
        <f t="shared" si="36"/>
        <v>0</v>
      </c>
      <c r="X64" t="b">
        <f t="shared" si="37"/>
        <v>0</v>
      </c>
      <c r="Y64" t="b">
        <f t="shared" si="38"/>
        <v>0</v>
      </c>
      <c r="Z64" t="b">
        <f t="shared" si="39"/>
        <v>0</v>
      </c>
      <c r="AA64" t="b">
        <f t="shared" si="40"/>
        <v>0</v>
      </c>
      <c r="AB64" t="b">
        <f t="shared" si="41"/>
        <v>0</v>
      </c>
      <c r="AC64" t="b">
        <f t="shared" si="42"/>
        <v>0</v>
      </c>
      <c r="AD64" t="b">
        <f t="shared" si="43"/>
        <v>0</v>
      </c>
      <c r="AE64" t="b">
        <f t="shared" si="44"/>
        <v>0</v>
      </c>
      <c r="AF64" t="b">
        <f t="shared" si="45"/>
        <v>0</v>
      </c>
    </row>
    <row r="65" spans="1:32" x14ac:dyDescent="0.25">
      <c r="A65" s="1" t="s">
        <v>0</v>
      </c>
      <c r="B65" s="1" t="s">
        <v>138</v>
      </c>
      <c r="C65" s="2" t="s">
        <v>140</v>
      </c>
      <c r="D65" s="1">
        <v>1386393</v>
      </c>
      <c r="E65" s="1" t="s">
        <v>141</v>
      </c>
      <c r="F65" s="1" t="s">
        <v>74</v>
      </c>
      <c r="G65" s="1" t="s">
        <v>17</v>
      </c>
      <c r="H65" s="1">
        <v>2.8</v>
      </c>
      <c r="I65" s="1">
        <f t="shared" si="48"/>
        <v>2.8</v>
      </c>
      <c r="J65" t="b">
        <f t="shared" si="47"/>
        <v>0</v>
      </c>
      <c r="K65" t="b">
        <f t="shared" si="24"/>
        <v>0</v>
      </c>
      <c r="L65" t="b">
        <f t="shared" si="25"/>
        <v>0</v>
      </c>
      <c r="M65" t="b">
        <f t="shared" si="26"/>
        <v>0</v>
      </c>
      <c r="N65" t="b">
        <f t="shared" si="27"/>
        <v>0</v>
      </c>
      <c r="O65" t="b">
        <f t="shared" si="28"/>
        <v>0</v>
      </c>
      <c r="P65" t="b">
        <f t="shared" si="29"/>
        <v>0</v>
      </c>
      <c r="Q65" t="b">
        <f t="shared" si="30"/>
        <v>0</v>
      </c>
      <c r="R65" t="b">
        <f t="shared" si="31"/>
        <v>0</v>
      </c>
      <c r="S65" t="b">
        <f t="shared" si="32"/>
        <v>0</v>
      </c>
      <c r="T65" t="b">
        <f t="shared" si="33"/>
        <v>0</v>
      </c>
      <c r="U65" t="b">
        <f t="shared" si="34"/>
        <v>0</v>
      </c>
      <c r="V65" t="b">
        <f t="shared" si="35"/>
        <v>0</v>
      </c>
      <c r="W65" t="b">
        <f t="shared" si="36"/>
        <v>0</v>
      </c>
      <c r="X65" t="b">
        <f t="shared" si="37"/>
        <v>0</v>
      </c>
      <c r="Y65" t="b">
        <f t="shared" si="38"/>
        <v>0</v>
      </c>
      <c r="Z65" t="b">
        <f t="shared" si="39"/>
        <v>0</v>
      </c>
      <c r="AA65" t="b">
        <f t="shared" si="40"/>
        <v>0</v>
      </c>
      <c r="AB65" t="b">
        <f t="shared" si="41"/>
        <v>0</v>
      </c>
      <c r="AC65" t="b">
        <f t="shared" si="42"/>
        <v>0</v>
      </c>
      <c r="AD65" t="b">
        <f t="shared" si="43"/>
        <v>0</v>
      </c>
      <c r="AE65" t="b">
        <f t="shared" si="44"/>
        <v>0</v>
      </c>
      <c r="AF65" t="b">
        <f t="shared" si="45"/>
        <v>0</v>
      </c>
    </row>
    <row r="66" spans="1:32" x14ac:dyDescent="0.25">
      <c r="A66" s="1" t="s">
        <v>0</v>
      </c>
      <c r="B66" s="1" t="s">
        <v>138</v>
      </c>
      <c r="C66" s="2" t="s">
        <v>142</v>
      </c>
      <c r="D66" s="1">
        <v>1386393</v>
      </c>
      <c r="E66" s="1" t="s">
        <v>143</v>
      </c>
      <c r="F66" s="1" t="s">
        <v>74</v>
      </c>
      <c r="G66" s="1" t="s">
        <v>17</v>
      </c>
      <c r="H66" s="1">
        <v>0.39</v>
      </c>
      <c r="I66" s="1">
        <f t="shared" si="48"/>
        <v>0.39</v>
      </c>
      <c r="J66" t="b">
        <f t="shared" si="47"/>
        <v>0</v>
      </c>
      <c r="K66" t="b">
        <f t="shared" ref="K66:K97" si="49">IF(ISERROR(SEARCH("CNMS Super Deuterium",$B66,1)),FALSE,TRUE)</f>
        <v>0</v>
      </c>
      <c r="L66" t="b">
        <f t="shared" ref="L66:L97" si="50">IF(ISERROR(SEARCH("221259_FAW_C105EV_L2_ESPhev",$B66,1)),FALSE,TRUE)</f>
        <v>0</v>
      </c>
      <c r="M66" t="b">
        <f t="shared" ref="M66:M97" si="51">IF(ISERROR(SEARCH("MC_232534_SGMW_CN202C",$B66,1)),FALSE,TRUE)</f>
        <v>0</v>
      </c>
      <c r="N66" t="b">
        <f t="shared" ref="N66:N97" si="52">IF(ISERROR(SEARCH("BYD_IPB_SW_Mainstream",$B66,1)),FALSE,TRUE)</f>
        <v>0</v>
      </c>
      <c r="O66" t="b">
        <f t="shared" ref="O66:O97" si="53">IF(ISERROR(SEARCH("BYD_Carbon_Mainstream",$B66,1)),FALSE,TRUE)</f>
        <v>0</v>
      </c>
      <c r="P66" t="b">
        <f t="shared" ref="P66:P97" si="54">IF(ISERROR(SEARCH("GWM_ESP9.3_CHB071_HP_RC2",$B66,1)),FALSE,TRUE)</f>
        <v>0</v>
      </c>
      <c r="Q66" t="b">
        <f t="shared" ref="Q66:Q97" si="55">IF(ISERROR(SEARCH("FAW_HQEV_2WD_MC",$B66,1)),FALSE,TRUE)</f>
        <v>0</v>
      </c>
      <c r="R66" t="b">
        <f t="shared" ref="R66:R97" si="56">IF(ISERROR(SEARCH("GAC_Carbon_RPA_iBooster_Mainpath",$B66,1)),FALSE,TRUE)</f>
        <v>0</v>
      </c>
      <c r="S66" t="b">
        <f t="shared" ref="S66:S97" si="57">IF(ISERROR(SEARCH("HHT_VX1_ESPHevX",$B66,1)),FALSE,TRUE)</f>
        <v>0</v>
      </c>
      <c r="T66" t="b">
        <f t="shared" ref="T66:T97" si="58">IF(ISERROR(SEARCH("239689_NIO_G1.3&amp;G1.F_ESPHevX",$B66,1)),FALSE,TRUE)</f>
        <v>0</v>
      </c>
      <c r="U66" t="b">
        <f t="shared" ref="U66:U97" si="59">IF(ISERROR(SEARCH("E111_ESPHevx",$B66,1)),FALSE,TRUE)</f>
        <v>0</v>
      </c>
      <c r="V66" t="b">
        <f t="shared" ref="V66:V97" si="60">IF(ISERROR(SEARCH("Geely_KC2A_ESP9.3_HB_225750_BB8033",$B66,1)),FALSE,TRUE)</f>
        <v>0</v>
      </c>
      <c r="W66" t="b">
        <f t="shared" ref="W66:W97" si="61">IF(ISERROR(SEARCH("240688_DFSK_F517\527\537_EVR_Carbon_ESP9.3",$B66,1)),FALSE,TRUE)</f>
        <v>0</v>
      </c>
      <c r="X66" t="b">
        <f t="shared" ref="X66:X97" si="62">IF(ISERROR(SEARCH("Adapt_236234_SMART_VDDM_ESPHevX",$B66,1)),FALSE,TRUE)</f>
        <v>0</v>
      </c>
      <c r="Y66" t="b">
        <f t="shared" ref="Y66:Y97" si="63">IF(ISERROR(SEARCH("235199_SAIC_EP21_MCE_ESP9.3HevX",$B66,1)),FALSE,TRUE)</f>
        <v>0</v>
      </c>
      <c r="Z66" t="b">
        <f t="shared" ref="Z66:Z97" si="64">IF(ISERROR(SEARCH("233878_GAC_A20_CarbonESP9.3CP",$B66,1)),FALSE,TRUE)</f>
        <v>0</v>
      </c>
      <c r="AA66" t="b">
        <f t="shared" ref="AA66:AA97" si="65">IF(ISERROR(SEARCH("225378_FAW_D357_High",$B66,1)),FALSE,TRUE)</f>
        <v>0</v>
      </c>
      <c r="AB66" t="b">
        <f t="shared" ref="AB66:AB97" si="66">IF(ISERROR(SEARCH("Adapt_218053_CA_CD569_ESP9.3CP",$B66,1)),FALSE,TRUE)</f>
        <v>0</v>
      </c>
      <c r="AC66" t="b">
        <f t="shared" ref="AC66:AC97" si="67">IF(ISERROR(SEARCH("216997_FAW_E115_L3_IB2",$B66,1)),FALSE,TRUE)</f>
        <v>0</v>
      </c>
      <c r="AD66" t="b">
        <f t="shared" ref="AD66:AD97" si="68">IF(ISERROR(SEARCH("216916_FAW_E115_L3_ESPhev_APB(CBi)",$B66,1)),FALSE,TRUE)</f>
        <v>0</v>
      </c>
      <c r="AE66" t="b">
        <f t="shared" ref="AE66:AE97" si="69">IF(ISERROR(SEARCH("SAIC SV51H iBooster",$B66,1)),FALSE,TRUE)</f>
        <v>0</v>
      </c>
      <c r="AF66" t="b">
        <f t="shared" ref="AF66:AF97" si="70">IF(ISERROR(SEARCH("MC_244837_SGMW_CN210M_RC_ABS9.3CBi",$B66,1)),FALSE,TRUE)</f>
        <v>0</v>
      </c>
    </row>
    <row r="67" spans="1:32" x14ac:dyDescent="0.25">
      <c r="A67" s="1" t="s">
        <v>0</v>
      </c>
      <c r="B67" s="1" t="s">
        <v>138</v>
      </c>
      <c r="C67" s="2" t="s">
        <v>142</v>
      </c>
      <c r="D67" s="1">
        <v>1386393</v>
      </c>
      <c r="E67" s="1" t="s">
        <v>144</v>
      </c>
      <c r="F67" s="1" t="s">
        <v>74</v>
      </c>
      <c r="G67" s="1" t="s">
        <v>17</v>
      </c>
      <c r="H67" s="1">
        <v>0.51</v>
      </c>
      <c r="I67" s="1">
        <f t="shared" si="48"/>
        <v>0.51</v>
      </c>
      <c r="J67" t="b">
        <f t="shared" si="47"/>
        <v>0</v>
      </c>
      <c r="K67" t="b">
        <f t="shared" si="49"/>
        <v>0</v>
      </c>
      <c r="L67" t="b">
        <f t="shared" si="50"/>
        <v>0</v>
      </c>
      <c r="M67" t="b">
        <f t="shared" si="51"/>
        <v>0</v>
      </c>
      <c r="N67" t="b">
        <f t="shared" si="52"/>
        <v>0</v>
      </c>
      <c r="O67" t="b">
        <f t="shared" si="53"/>
        <v>0</v>
      </c>
      <c r="P67" t="b">
        <f t="shared" si="54"/>
        <v>0</v>
      </c>
      <c r="Q67" t="b">
        <f t="shared" si="55"/>
        <v>0</v>
      </c>
      <c r="R67" t="b">
        <f t="shared" si="56"/>
        <v>0</v>
      </c>
      <c r="S67" t="b">
        <f t="shared" si="57"/>
        <v>0</v>
      </c>
      <c r="T67" t="b">
        <f t="shared" si="58"/>
        <v>0</v>
      </c>
      <c r="U67" t="b">
        <f t="shared" si="59"/>
        <v>0</v>
      </c>
      <c r="V67" t="b">
        <f t="shared" si="60"/>
        <v>0</v>
      </c>
      <c r="W67" t="b">
        <f t="shared" si="61"/>
        <v>0</v>
      </c>
      <c r="X67" t="b">
        <f t="shared" si="62"/>
        <v>0</v>
      </c>
      <c r="Y67" t="b">
        <f t="shared" si="63"/>
        <v>0</v>
      </c>
      <c r="Z67" t="b">
        <f t="shared" si="64"/>
        <v>0</v>
      </c>
      <c r="AA67" t="b">
        <f t="shared" si="65"/>
        <v>0</v>
      </c>
      <c r="AB67" t="b">
        <f t="shared" si="66"/>
        <v>0</v>
      </c>
      <c r="AC67" t="b">
        <f t="shared" si="67"/>
        <v>0</v>
      </c>
      <c r="AD67" t="b">
        <f t="shared" si="68"/>
        <v>0</v>
      </c>
      <c r="AE67" t="b">
        <f t="shared" si="69"/>
        <v>0</v>
      </c>
      <c r="AF67" t="b">
        <f t="shared" si="70"/>
        <v>0</v>
      </c>
    </row>
    <row r="68" spans="1:32" x14ac:dyDescent="0.25">
      <c r="A68" s="1" t="s">
        <v>0</v>
      </c>
      <c r="B68" s="24" t="s">
        <v>71</v>
      </c>
      <c r="C68" s="2" t="s">
        <v>145</v>
      </c>
      <c r="D68" s="1">
        <v>1388354</v>
      </c>
      <c r="E68" s="1" t="s">
        <v>146</v>
      </c>
      <c r="F68" s="1" t="s">
        <v>74</v>
      </c>
      <c r="G68" s="1" t="s">
        <v>8</v>
      </c>
      <c r="H68" s="1">
        <v>1.1499999999999999</v>
      </c>
      <c r="I68" s="1">
        <f t="shared" si="48"/>
        <v>1.1499999999999999</v>
      </c>
      <c r="J68" t="b">
        <f t="shared" ref="J68:J75" si="71">IF(ISERROR(SEARCH("GAC_Carbon_Stream_ESPCP",B68,1)),FALSE,TRUE)</f>
        <v>1</v>
      </c>
      <c r="K68" t="b">
        <f t="shared" si="49"/>
        <v>0</v>
      </c>
      <c r="L68" t="b">
        <f t="shared" si="50"/>
        <v>0</v>
      </c>
      <c r="M68" t="b">
        <f t="shared" si="51"/>
        <v>0</v>
      </c>
      <c r="N68" t="b">
        <f t="shared" si="52"/>
        <v>0</v>
      </c>
      <c r="O68" t="b">
        <f t="shared" si="53"/>
        <v>0</v>
      </c>
      <c r="P68" t="b">
        <f t="shared" si="54"/>
        <v>0</v>
      </c>
      <c r="Q68" t="b">
        <f t="shared" si="55"/>
        <v>0</v>
      </c>
      <c r="R68" t="b">
        <f t="shared" si="56"/>
        <v>0</v>
      </c>
      <c r="S68" t="b">
        <f t="shared" si="57"/>
        <v>0</v>
      </c>
      <c r="T68" t="b">
        <f t="shared" si="58"/>
        <v>0</v>
      </c>
      <c r="U68" t="b">
        <f t="shared" si="59"/>
        <v>0</v>
      </c>
      <c r="V68" t="b">
        <f t="shared" si="60"/>
        <v>0</v>
      </c>
      <c r="W68" t="b">
        <f t="shared" si="61"/>
        <v>0</v>
      </c>
      <c r="X68" t="b">
        <f t="shared" si="62"/>
        <v>0</v>
      </c>
      <c r="Y68" t="b">
        <f t="shared" si="63"/>
        <v>0</v>
      </c>
      <c r="Z68" t="b">
        <f t="shared" si="64"/>
        <v>0</v>
      </c>
      <c r="AA68" t="b">
        <f t="shared" si="65"/>
        <v>0</v>
      </c>
      <c r="AB68" t="b">
        <f t="shared" si="66"/>
        <v>0</v>
      </c>
      <c r="AC68" t="b">
        <f t="shared" si="67"/>
        <v>0</v>
      </c>
      <c r="AD68" t="b">
        <f t="shared" si="68"/>
        <v>0</v>
      </c>
      <c r="AE68" t="b">
        <f t="shared" si="69"/>
        <v>0</v>
      </c>
      <c r="AF68" t="b">
        <f t="shared" si="70"/>
        <v>0</v>
      </c>
    </row>
    <row r="69" spans="1:32" x14ac:dyDescent="0.25">
      <c r="A69" s="1" t="s">
        <v>0</v>
      </c>
      <c r="B69" s="24" t="s">
        <v>71</v>
      </c>
      <c r="C69" s="2" t="s">
        <v>145</v>
      </c>
      <c r="D69" s="1">
        <v>1388354</v>
      </c>
      <c r="E69" s="1" t="s">
        <v>86</v>
      </c>
      <c r="F69" s="1" t="s">
        <v>74</v>
      </c>
      <c r="G69" s="1" t="s">
        <v>22</v>
      </c>
      <c r="H69" s="1">
        <v>0.6</v>
      </c>
      <c r="I69" s="1">
        <f t="shared" si="48"/>
        <v>0.6</v>
      </c>
      <c r="J69" t="b">
        <f t="shared" si="71"/>
        <v>1</v>
      </c>
      <c r="K69" t="b">
        <f t="shared" si="49"/>
        <v>0</v>
      </c>
      <c r="L69" t="b">
        <f t="shared" si="50"/>
        <v>0</v>
      </c>
      <c r="M69" t="b">
        <f t="shared" si="51"/>
        <v>0</v>
      </c>
      <c r="N69" t="b">
        <f t="shared" si="52"/>
        <v>0</v>
      </c>
      <c r="O69" t="b">
        <f t="shared" si="53"/>
        <v>0</v>
      </c>
      <c r="P69" t="b">
        <f t="shared" si="54"/>
        <v>0</v>
      </c>
      <c r="Q69" t="b">
        <f t="shared" si="55"/>
        <v>0</v>
      </c>
      <c r="R69" t="b">
        <f t="shared" si="56"/>
        <v>0</v>
      </c>
      <c r="S69" t="b">
        <f t="shared" si="57"/>
        <v>0</v>
      </c>
      <c r="T69" t="b">
        <f t="shared" si="58"/>
        <v>0</v>
      </c>
      <c r="U69" t="b">
        <f t="shared" si="59"/>
        <v>0</v>
      </c>
      <c r="V69" t="b">
        <f t="shared" si="60"/>
        <v>0</v>
      </c>
      <c r="W69" t="b">
        <f t="shared" si="61"/>
        <v>0</v>
      </c>
      <c r="X69" t="b">
        <f t="shared" si="62"/>
        <v>0</v>
      </c>
      <c r="Y69" t="b">
        <f t="shared" si="63"/>
        <v>0</v>
      </c>
      <c r="Z69" t="b">
        <f t="shared" si="64"/>
        <v>0</v>
      </c>
      <c r="AA69" t="b">
        <f t="shared" si="65"/>
        <v>0</v>
      </c>
      <c r="AB69" t="b">
        <f t="shared" si="66"/>
        <v>0</v>
      </c>
      <c r="AC69" t="b">
        <f t="shared" si="67"/>
        <v>0</v>
      </c>
      <c r="AD69" t="b">
        <f t="shared" si="68"/>
        <v>0</v>
      </c>
      <c r="AE69" t="b">
        <f t="shared" si="69"/>
        <v>0</v>
      </c>
      <c r="AF69" t="b">
        <f t="shared" si="70"/>
        <v>0</v>
      </c>
    </row>
    <row r="70" spans="1:32" x14ac:dyDescent="0.25">
      <c r="A70" s="1" t="s">
        <v>0</v>
      </c>
      <c r="B70" s="24" t="s">
        <v>71</v>
      </c>
      <c r="C70" s="2" t="s">
        <v>147</v>
      </c>
      <c r="D70" s="1">
        <v>1388354</v>
      </c>
      <c r="E70" s="1" t="s">
        <v>146</v>
      </c>
      <c r="F70" s="1" t="s">
        <v>74</v>
      </c>
      <c r="G70" s="1" t="s">
        <v>8</v>
      </c>
      <c r="H70" s="1">
        <v>1.1499999999999999</v>
      </c>
      <c r="I70" s="1">
        <f t="shared" si="48"/>
        <v>1.1499999999999999</v>
      </c>
      <c r="J70" t="b">
        <f t="shared" si="71"/>
        <v>1</v>
      </c>
      <c r="K70" t="b">
        <f t="shared" si="49"/>
        <v>0</v>
      </c>
      <c r="L70" t="b">
        <f t="shared" si="50"/>
        <v>0</v>
      </c>
      <c r="M70" t="b">
        <f t="shared" si="51"/>
        <v>0</v>
      </c>
      <c r="N70" t="b">
        <f t="shared" si="52"/>
        <v>0</v>
      </c>
      <c r="O70" t="b">
        <f t="shared" si="53"/>
        <v>0</v>
      </c>
      <c r="P70" t="b">
        <f t="shared" si="54"/>
        <v>0</v>
      </c>
      <c r="Q70" t="b">
        <f t="shared" si="55"/>
        <v>0</v>
      </c>
      <c r="R70" t="b">
        <f t="shared" si="56"/>
        <v>0</v>
      </c>
      <c r="S70" t="b">
        <f t="shared" si="57"/>
        <v>0</v>
      </c>
      <c r="T70" t="b">
        <f t="shared" si="58"/>
        <v>0</v>
      </c>
      <c r="U70" t="b">
        <f t="shared" si="59"/>
        <v>0</v>
      </c>
      <c r="V70" t="b">
        <f t="shared" si="60"/>
        <v>0</v>
      </c>
      <c r="W70" t="b">
        <f t="shared" si="61"/>
        <v>0</v>
      </c>
      <c r="X70" t="b">
        <f t="shared" si="62"/>
        <v>0</v>
      </c>
      <c r="Y70" t="b">
        <f t="shared" si="63"/>
        <v>0</v>
      </c>
      <c r="Z70" t="b">
        <f t="shared" si="64"/>
        <v>0</v>
      </c>
      <c r="AA70" t="b">
        <f t="shared" si="65"/>
        <v>0</v>
      </c>
      <c r="AB70" t="b">
        <f t="shared" si="66"/>
        <v>0</v>
      </c>
      <c r="AC70" t="b">
        <f t="shared" si="67"/>
        <v>0</v>
      </c>
      <c r="AD70" t="b">
        <f t="shared" si="68"/>
        <v>0</v>
      </c>
      <c r="AE70" t="b">
        <f t="shared" si="69"/>
        <v>0</v>
      </c>
      <c r="AF70" t="b">
        <f t="shared" si="70"/>
        <v>0</v>
      </c>
    </row>
    <row r="71" spans="1:32" x14ac:dyDescent="0.25">
      <c r="A71" s="1" t="s">
        <v>0</v>
      </c>
      <c r="B71" s="24" t="s">
        <v>71</v>
      </c>
      <c r="C71" s="2" t="s">
        <v>147</v>
      </c>
      <c r="D71" s="1">
        <v>1388354</v>
      </c>
      <c r="E71" s="1" t="s">
        <v>86</v>
      </c>
      <c r="F71" s="1" t="s">
        <v>74</v>
      </c>
      <c r="G71" s="1" t="s">
        <v>22</v>
      </c>
      <c r="H71" s="1">
        <v>0.6</v>
      </c>
      <c r="I71" s="1">
        <f t="shared" si="48"/>
        <v>0.6</v>
      </c>
      <c r="J71" t="b">
        <f t="shared" si="71"/>
        <v>1</v>
      </c>
      <c r="K71" t="b">
        <f t="shared" si="49"/>
        <v>0</v>
      </c>
      <c r="L71" t="b">
        <f t="shared" si="50"/>
        <v>0</v>
      </c>
      <c r="M71" t="b">
        <f t="shared" si="51"/>
        <v>0</v>
      </c>
      <c r="N71" t="b">
        <f t="shared" si="52"/>
        <v>0</v>
      </c>
      <c r="O71" t="b">
        <f t="shared" si="53"/>
        <v>0</v>
      </c>
      <c r="P71" t="b">
        <f t="shared" si="54"/>
        <v>0</v>
      </c>
      <c r="Q71" t="b">
        <f t="shared" si="55"/>
        <v>0</v>
      </c>
      <c r="R71" t="b">
        <f t="shared" si="56"/>
        <v>0</v>
      </c>
      <c r="S71" t="b">
        <f t="shared" si="57"/>
        <v>0</v>
      </c>
      <c r="T71" t="b">
        <f t="shared" si="58"/>
        <v>0</v>
      </c>
      <c r="U71" t="b">
        <f t="shared" si="59"/>
        <v>0</v>
      </c>
      <c r="V71" t="b">
        <f t="shared" si="60"/>
        <v>0</v>
      </c>
      <c r="W71" t="b">
        <f t="shared" si="61"/>
        <v>0</v>
      </c>
      <c r="X71" t="b">
        <f t="shared" si="62"/>
        <v>0</v>
      </c>
      <c r="Y71" t="b">
        <f t="shared" si="63"/>
        <v>0</v>
      </c>
      <c r="Z71" t="b">
        <f t="shared" si="64"/>
        <v>0</v>
      </c>
      <c r="AA71" t="b">
        <f t="shared" si="65"/>
        <v>0</v>
      </c>
      <c r="AB71" t="b">
        <f t="shared" si="66"/>
        <v>0</v>
      </c>
      <c r="AC71" t="b">
        <f t="shared" si="67"/>
        <v>0</v>
      </c>
      <c r="AD71" t="b">
        <f t="shared" si="68"/>
        <v>0</v>
      </c>
      <c r="AE71" t="b">
        <f t="shared" si="69"/>
        <v>0</v>
      </c>
      <c r="AF71" t="b">
        <f t="shared" si="70"/>
        <v>0</v>
      </c>
    </row>
    <row r="72" spans="1:32" x14ac:dyDescent="0.25">
      <c r="A72" s="1" t="s">
        <v>0</v>
      </c>
      <c r="B72" s="24" t="s">
        <v>71</v>
      </c>
      <c r="C72" s="2" t="s">
        <v>148</v>
      </c>
      <c r="D72" s="1">
        <v>1388271</v>
      </c>
      <c r="E72" s="1" t="s">
        <v>146</v>
      </c>
      <c r="F72" s="1" t="s">
        <v>74</v>
      </c>
      <c r="G72" s="1" t="s">
        <v>5</v>
      </c>
      <c r="H72" s="1">
        <v>1.1499999999999999</v>
      </c>
      <c r="I72" s="1">
        <v>1</v>
      </c>
      <c r="J72" t="b">
        <f t="shared" si="71"/>
        <v>1</v>
      </c>
      <c r="K72" t="b">
        <f t="shared" si="49"/>
        <v>0</v>
      </c>
      <c r="L72" t="b">
        <f t="shared" si="50"/>
        <v>0</v>
      </c>
      <c r="M72" t="b">
        <f t="shared" si="51"/>
        <v>0</v>
      </c>
      <c r="N72" t="b">
        <f t="shared" si="52"/>
        <v>0</v>
      </c>
      <c r="O72" t="b">
        <f t="shared" si="53"/>
        <v>0</v>
      </c>
      <c r="P72" t="b">
        <f t="shared" si="54"/>
        <v>0</v>
      </c>
      <c r="Q72" t="b">
        <f t="shared" si="55"/>
        <v>0</v>
      </c>
      <c r="R72" t="b">
        <f t="shared" si="56"/>
        <v>0</v>
      </c>
      <c r="S72" t="b">
        <f t="shared" si="57"/>
        <v>0</v>
      </c>
      <c r="T72" t="b">
        <f t="shared" si="58"/>
        <v>0</v>
      </c>
      <c r="U72" t="b">
        <f t="shared" si="59"/>
        <v>0</v>
      </c>
      <c r="V72" t="b">
        <f t="shared" si="60"/>
        <v>0</v>
      </c>
      <c r="W72" t="b">
        <f t="shared" si="61"/>
        <v>0</v>
      </c>
      <c r="X72" t="b">
        <f t="shared" si="62"/>
        <v>0</v>
      </c>
      <c r="Y72" t="b">
        <f t="shared" si="63"/>
        <v>0</v>
      </c>
      <c r="Z72" t="b">
        <f t="shared" si="64"/>
        <v>0</v>
      </c>
      <c r="AA72" t="b">
        <f t="shared" si="65"/>
        <v>0</v>
      </c>
      <c r="AB72" t="b">
        <f t="shared" si="66"/>
        <v>0</v>
      </c>
      <c r="AC72" t="b">
        <f t="shared" si="67"/>
        <v>0</v>
      </c>
      <c r="AD72" t="b">
        <f t="shared" si="68"/>
        <v>0</v>
      </c>
      <c r="AE72" t="b">
        <f t="shared" si="69"/>
        <v>0</v>
      </c>
      <c r="AF72" t="b">
        <f t="shared" si="70"/>
        <v>0</v>
      </c>
    </row>
    <row r="73" spans="1:32" x14ac:dyDescent="0.25">
      <c r="A73" s="1" t="s">
        <v>0</v>
      </c>
      <c r="B73" s="24" t="s">
        <v>71</v>
      </c>
      <c r="C73" s="2" t="s">
        <v>148</v>
      </c>
      <c r="D73" s="1">
        <v>1388271</v>
      </c>
      <c r="E73" s="1" t="s">
        <v>86</v>
      </c>
      <c r="F73" s="1" t="s">
        <v>74</v>
      </c>
      <c r="G73" s="1" t="s">
        <v>22</v>
      </c>
      <c r="H73" s="1">
        <v>0.6</v>
      </c>
      <c r="I73" s="1">
        <f>H73</f>
        <v>0.6</v>
      </c>
      <c r="J73" t="b">
        <f t="shared" si="71"/>
        <v>1</v>
      </c>
      <c r="K73" t="b">
        <f t="shared" si="49"/>
        <v>0</v>
      </c>
      <c r="L73" t="b">
        <f t="shared" si="50"/>
        <v>0</v>
      </c>
      <c r="M73" t="b">
        <f t="shared" si="51"/>
        <v>0</v>
      </c>
      <c r="N73" t="b">
        <f t="shared" si="52"/>
        <v>0</v>
      </c>
      <c r="O73" t="b">
        <f t="shared" si="53"/>
        <v>0</v>
      </c>
      <c r="P73" t="b">
        <f t="shared" si="54"/>
        <v>0</v>
      </c>
      <c r="Q73" t="b">
        <f t="shared" si="55"/>
        <v>0</v>
      </c>
      <c r="R73" t="b">
        <f t="shared" si="56"/>
        <v>0</v>
      </c>
      <c r="S73" t="b">
        <f t="shared" si="57"/>
        <v>0</v>
      </c>
      <c r="T73" t="b">
        <f t="shared" si="58"/>
        <v>0</v>
      </c>
      <c r="U73" t="b">
        <f t="shared" si="59"/>
        <v>0</v>
      </c>
      <c r="V73" t="b">
        <f t="shared" si="60"/>
        <v>0</v>
      </c>
      <c r="W73" t="b">
        <f t="shared" si="61"/>
        <v>0</v>
      </c>
      <c r="X73" t="b">
        <f t="shared" si="62"/>
        <v>0</v>
      </c>
      <c r="Y73" t="b">
        <f t="shared" si="63"/>
        <v>0</v>
      </c>
      <c r="Z73" t="b">
        <f t="shared" si="64"/>
        <v>0</v>
      </c>
      <c r="AA73" t="b">
        <f t="shared" si="65"/>
        <v>0</v>
      </c>
      <c r="AB73" t="b">
        <f t="shared" si="66"/>
        <v>0</v>
      </c>
      <c r="AC73" t="b">
        <f t="shared" si="67"/>
        <v>0</v>
      </c>
      <c r="AD73" t="b">
        <f t="shared" si="68"/>
        <v>0</v>
      </c>
      <c r="AE73" t="b">
        <f t="shared" si="69"/>
        <v>0</v>
      </c>
      <c r="AF73" t="b">
        <f t="shared" si="70"/>
        <v>0</v>
      </c>
    </row>
    <row r="74" spans="1:32" x14ac:dyDescent="0.25">
      <c r="A74" s="1" t="s">
        <v>0</v>
      </c>
      <c r="B74" s="24" t="s">
        <v>71</v>
      </c>
      <c r="C74" s="2" t="s">
        <v>149</v>
      </c>
      <c r="D74" s="1">
        <v>1388271</v>
      </c>
      <c r="E74" s="1" t="s">
        <v>146</v>
      </c>
      <c r="F74" s="1" t="s">
        <v>74</v>
      </c>
      <c r="G74" s="1" t="s">
        <v>5</v>
      </c>
      <c r="H74" s="1">
        <v>1.1499999999999999</v>
      </c>
      <c r="I74" s="1">
        <v>1</v>
      </c>
      <c r="J74" t="b">
        <f t="shared" si="71"/>
        <v>1</v>
      </c>
      <c r="K74" t="b">
        <f t="shared" si="49"/>
        <v>0</v>
      </c>
      <c r="L74" t="b">
        <f t="shared" si="50"/>
        <v>0</v>
      </c>
      <c r="M74" t="b">
        <f t="shared" si="51"/>
        <v>0</v>
      </c>
      <c r="N74" t="b">
        <f t="shared" si="52"/>
        <v>0</v>
      </c>
      <c r="O74" t="b">
        <f t="shared" si="53"/>
        <v>0</v>
      </c>
      <c r="P74" t="b">
        <f t="shared" si="54"/>
        <v>0</v>
      </c>
      <c r="Q74" t="b">
        <f t="shared" si="55"/>
        <v>0</v>
      </c>
      <c r="R74" t="b">
        <f t="shared" si="56"/>
        <v>0</v>
      </c>
      <c r="S74" t="b">
        <f t="shared" si="57"/>
        <v>0</v>
      </c>
      <c r="T74" t="b">
        <f t="shared" si="58"/>
        <v>0</v>
      </c>
      <c r="U74" t="b">
        <f t="shared" si="59"/>
        <v>0</v>
      </c>
      <c r="V74" t="b">
        <f t="shared" si="60"/>
        <v>0</v>
      </c>
      <c r="W74" t="b">
        <f t="shared" si="61"/>
        <v>0</v>
      </c>
      <c r="X74" t="b">
        <f t="shared" si="62"/>
        <v>0</v>
      </c>
      <c r="Y74" t="b">
        <f t="shared" si="63"/>
        <v>0</v>
      </c>
      <c r="Z74" t="b">
        <f t="shared" si="64"/>
        <v>0</v>
      </c>
      <c r="AA74" t="b">
        <f t="shared" si="65"/>
        <v>0</v>
      </c>
      <c r="AB74" t="b">
        <f t="shared" si="66"/>
        <v>0</v>
      </c>
      <c r="AC74" t="b">
        <f t="shared" si="67"/>
        <v>0</v>
      </c>
      <c r="AD74" t="b">
        <f t="shared" si="68"/>
        <v>0</v>
      </c>
      <c r="AE74" t="b">
        <f t="shared" si="69"/>
        <v>0</v>
      </c>
      <c r="AF74" t="b">
        <f t="shared" si="70"/>
        <v>0</v>
      </c>
    </row>
    <row r="75" spans="1:32" x14ac:dyDescent="0.25">
      <c r="A75" s="1" t="s">
        <v>0</v>
      </c>
      <c r="B75" s="24" t="s">
        <v>71</v>
      </c>
      <c r="C75" s="2" t="s">
        <v>149</v>
      </c>
      <c r="D75" s="1">
        <v>1388271</v>
      </c>
      <c r="E75" s="1" t="s">
        <v>86</v>
      </c>
      <c r="F75" s="1" t="s">
        <v>74</v>
      </c>
      <c r="G75" s="1" t="s">
        <v>22</v>
      </c>
      <c r="H75" s="1">
        <v>0.6</v>
      </c>
      <c r="I75" s="1">
        <f>H75</f>
        <v>0.6</v>
      </c>
      <c r="J75" t="b">
        <f t="shared" si="71"/>
        <v>1</v>
      </c>
      <c r="K75" t="b">
        <f t="shared" si="49"/>
        <v>0</v>
      </c>
      <c r="L75" t="b">
        <f t="shared" si="50"/>
        <v>0</v>
      </c>
      <c r="M75" t="b">
        <f t="shared" si="51"/>
        <v>0</v>
      </c>
      <c r="N75" t="b">
        <f t="shared" si="52"/>
        <v>0</v>
      </c>
      <c r="O75" t="b">
        <f t="shared" si="53"/>
        <v>0</v>
      </c>
      <c r="P75" t="b">
        <f t="shared" si="54"/>
        <v>0</v>
      </c>
      <c r="Q75" t="b">
        <f t="shared" si="55"/>
        <v>0</v>
      </c>
      <c r="R75" t="b">
        <f t="shared" si="56"/>
        <v>0</v>
      </c>
      <c r="S75" t="b">
        <f t="shared" si="57"/>
        <v>0</v>
      </c>
      <c r="T75" t="b">
        <f t="shared" si="58"/>
        <v>0</v>
      </c>
      <c r="U75" t="b">
        <f t="shared" si="59"/>
        <v>0</v>
      </c>
      <c r="V75" t="b">
        <f t="shared" si="60"/>
        <v>0</v>
      </c>
      <c r="W75" t="b">
        <f t="shared" si="61"/>
        <v>0</v>
      </c>
      <c r="X75" t="b">
        <f t="shared" si="62"/>
        <v>0</v>
      </c>
      <c r="Y75" t="b">
        <f t="shared" si="63"/>
        <v>0</v>
      </c>
      <c r="Z75" t="b">
        <f t="shared" si="64"/>
        <v>0</v>
      </c>
      <c r="AA75" t="b">
        <f t="shared" si="65"/>
        <v>0</v>
      </c>
      <c r="AB75" t="b">
        <f t="shared" si="66"/>
        <v>0</v>
      </c>
      <c r="AC75" t="b">
        <f t="shared" si="67"/>
        <v>0</v>
      </c>
      <c r="AD75" t="b">
        <f t="shared" si="68"/>
        <v>0</v>
      </c>
      <c r="AE75" t="b">
        <f t="shared" si="69"/>
        <v>0</v>
      </c>
      <c r="AF75" t="b">
        <f t="shared" si="70"/>
        <v>0</v>
      </c>
    </row>
    <row r="76" spans="1:32" x14ac:dyDescent="0.25">
      <c r="A76" s="1" t="s">
        <v>0</v>
      </c>
      <c r="B76" s="81" t="s">
        <v>150</v>
      </c>
      <c r="C76" s="2" t="s">
        <v>151</v>
      </c>
      <c r="D76" s="1">
        <v>1388032</v>
      </c>
      <c r="E76" s="1" t="s">
        <v>152</v>
      </c>
      <c r="F76" s="1" t="s">
        <v>153</v>
      </c>
      <c r="G76" s="1" t="s">
        <v>17</v>
      </c>
      <c r="H76" s="1">
        <v>1.08</v>
      </c>
      <c r="I76" s="1">
        <f>H76</f>
        <v>1.08</v>
      </c>
      <c r="J76" t="b">
        <f t="shared" ref="J76:J107" si="72">IF(ISERROR(SEARCH("GAC_Carbon_Stream_ESPCP",$B76,1)),FALSE,TRUE)</f>
        <v>0</v>
      </c>
      <c r="K76" t="b">
        <f t="shared" si="49"/>
        <v>0</v>
      </c>
      <c r="L76" t="b">
        <f t="shared" si="50"/>
        <v>0</v>
      </c>
      <c r="M76" t="b">
        <f t="shared" si="51"/>
        <v>0</v>
      </c>
      <c r="N76" t="b">
        <f t="shared" si="52"/>
        <v>0</v>
      </c>
      <c r="O76" t="b">
        <f t="shared" si="53"/>
        <v>0</v>
      </c>
      <c r="P76" t="b">
        <f t="shared" si="54"/>
        <v>0</v>
      </c>
      <c r="Q76" t="b">
        <f t="shared" si="55"/>
        <v>0</v>
      </c>
      <c r="R76" t="b">
        <f t="shared" si="56"/>
        <v>0</v>
      </c>
      <c r="S76" t="b">
        <f t="shared" si="57"/>
        <v>0</v>
      </c>
      <c r="T76" t="b">
        <f t="shared" si="58"/>
        <v>0</v>
      </c>
      <c r="U76" t="b">
        <f t="shared" si="59"/>
        <v>0</v>
      </c>
      <c r="V76" t="b">
        <f t="shared" si="60"/>
        <v>0</v>
      </c>
      <c r="W76" t="b">
        <f t="shared" si="61"/>
        <v>0</v>
      </c>
      <c r="X76" t="b">
        <f t="shared" si="62"/>
        <v>0</v>
      </c>
      <c r="Y76" t="b">
        <f t="shared" si="63"/>
        <v>0</v>
      </c>
      <c r="Z76" t="b">
        <f t="shared" si="64"/>
        <v>0</v>
      </c>
      <c r="AA76" t="b">
        <f t="shared" si="65"/>
        <v>0</v>
      </c>
      <c r="AB76" t="b">
        <f t="shared" si="66"/>
        <v>1</v>
      </c>
      <c r="AC76" t="b">
        <f t="shared" si="67"/>
        <v>0</v>
      </c>
      <c r="AD76" t="b">
        <f t="shared" si="68"/>
        <v>0</v>
      </c>
      <c r="AE76" t="b">
        <f t="shared" si="69"/>
        <v>0</v>
      </c>
      <c r="AF76" t="b">
        <f t="shared" si="70"/>
        <v>0</v>
      </c>
    </row>
    <row r="77" spans="1:32" x14ac:dyDescent="0.25">
      <c r="A77" s="1" t="s">
        <v>0</v>
      </c>
      <c r="B77" s="1" t="s">
        <v>154</v>
      </c>
      <c r="C77" s="2" t="s">
        <v>155</v>
      </c>
      <c r="D77" s="1">
        <v>1388833</v>
      </c>
      <c r="E77" s="1" t="s">
        <v>156</v>
      </c>
      <c r="F77" s="1" t="s">
        <v>157</v>
      </c>
      <c r="G77" s="1" t="s">
        <v>5</v>
      </c>
      <c r="H77" s="1">
        <v>15.28</v>
      </c>
      <c r="I77" s="1">
        <v>8</v>
      </c>
      <c r="J77" t="b">
        <f t="shared" si="72"/>
        <v>0</v>
      </c>
      <c r="K77" t="b">
        <f t="shared" si="49"/>
        <v>0</v>
      </c>
      <c r="L77" t="b">
        <f t="shared" si="50"/>
        <v>0</v>
      </c>
      <c r="M77" t="b">
        <f t="shared" si="51"/>
        <v>0</v>
      </c>
      <c r="N77" t="b">
        <f t="shared" si="52"/>
        <v>0</v>
      </c>
      <c r="O77" t="b">
        <f t="shared" si="53"/>
        <v>0</v>
      </c>
      <c r="P77" t="b">
        <f t="shared" si="54"/>
        <v>0</v>
      </c>
      <c r="Q77" t="b">
        <f t="shared" si="55"/>
        <v>0</v>
      </c>
      <c r="R77" t="b">
        <f t="shared" si="56"/>
        <v>0</v>
      </c>
      <c r="S77" t="b">
        <f t="shared" si="57"/>
        <v>0</v>
      </c>
      <c r="T77" t="b">
        <f t="shared" si="58"/>
        <v>0</v>
      </c>
      <c r="U77" t="b">
        <f t="shared" si="59"/>
        <v>0</v>
      </c>
      <c r="V77" t="b">
        <f t="shared" si="60"/>
        <v>0</v>
      </c>
      <c r="W77" t="b">
        <f t="shared" si="61"/>
        <v>0</v>
      </c>
      <c r="X77" t="b">
        <f t="shared" si="62"/>
        <v>0</v>
      </c>
      <c r="Y77" t="b">
        <f t="shared" si="63"/>
        <v>0</v>
      </c>
      <c r="Z77" t="b">
        <f t="shared" si="64"/>
        <v>0</v>
      </c>
      <c r="AA77" t="b">
        <f t="shared" si="65"/>
        <v>0</v>
      </c>
      <c r="AB77" t="b">
        <f t="shared" si="66"/>
        <v>0</v>
      </c>
      <c r="AC77" t="b">
        <f t="shared" si="67"/>
        <v>0</v>
      </c>
      <c r="AD77" t="b">
        <f t="shared" si="68"/>
        <v>0</v>
      </c>
      <c r="AE77" t="b">
        <f t="shared" si="69"/>
        <v>0</v>
      </c>
      <c r="AF77" t="b">
        <f t="shared" si="70"/>
        <v>0</v>
      </c>
    </row>
    <row r="78" spans="1:32" x14ac:dyDescent="0.25">
      <c r="A78" s="1" t="s">
        <v>0</v>
      </c>
      <c r="B78" s="1" t="s">
        <v>154</v>
      </c>
      <c r="C78" s="2" t="s">
        <v>155</v>
      </c>
      <c r="D78" s="1">
        <v>1380537</v>
      </c>
      <c r="E78" s="1" t="s">
        <v>83</v>
      </c>
      <c r="F78" s="1" t="s">
        <v>157</v>
      </c>
      <c r="G78" s="1" t="s">
        <v>5</v>
      </c>
      <c r="H78" s="1">
        <v>4.5999999999999996</v>
      </c>
      <c r="I78" s="1">
        <v>4</v>
      </c>
      <c r="J78" t="b">
        <f t="shared" si="72"/>
        <v>0</v>
      </c>
      <c r="K78" t="b">
        <f t="shared" si="49"/>
        <v>0</v>
      </c>
      <c r="L78" t="b">
        <f t="shared" si="50"/>
        <v>0</v>
      </c>
      <c r="M78" t="b">
        <f t="shared" si="51"/>
        <v>0</v>
      </c>
      <c r="N78" t="b">
        <f t="shared" si="52"/>
        <v>0</v>
      </c>
      <c r="O78" t="b">
        <f t="shared" si="53"/>
        <v>0</v>
      </c>
      <c r="P78" t="b">
        <f t="shared" si="54"/>
        <v>0</v>
      </c>
      <c r="Q78" t="b">
        <f t="shared" si="55"/>
        <v>0</v>
      </c>
      <c r="R78" t="b">
        <f t="shared" si="56"/>
        <v>0</v>
      </c>
      <c r="S78" t="b">
        <f t="shared" si="57"/>
        <v>0</v>
      </c>
      <c r="T78" t="b">
        <f t="shared" si="58"/>
        <v>0</v>
      </c>
      <c r="U78" t="b">
        <f t="shared" si="59"/>
        <v>0</v>
      </c>
      <c r="V78" t="b">
        <f t="shared" si="60"/>
        <v>0</v>
      </c>
      <c r="W78" t="b">
        <f t="shared" si="61"/>
        <v>0</v>
      </c>
      <c r="X78" t="b">
        <f t="shared" si="62"/>
        <v>0</v>
      </c>
      <c r="Y78" t="b">
        <f t="shared" si="63"/>
        <v>0</v>
      </c>
      <c r="Z78" t="b">
        <f t="shared" si="64"/>
        <v>0</v>
      </c>
      <c r="AA78" t="b">
        <f t="shared" si="65"/>
        <v>0</v>
      </c>
      <c r="AB78" t="b">
        <f t="shared" si="66"/>
        <v>0</v>
      </c>
      <c r="AC78" t="b">
        <f t="shared" si="67"/>
        <v>0</v>
      </c>
      <c r="AD78" t="b">
        <f t="shared" si="68"/>
        <v>0</v>
      </c>
      <c r="AE78" t="b">
        <f t="shared" si="69"/>
        <v>0</v>
      </c>
      <c r="AF78" t="b">
        <f t="shared" si="70"/>
        <v>0</v>
      </c>
    </row>
    <row r="79" spans="1:32" x14ac:dyDescent="0.25">
      <c r="A79" s="1" t="s">
        <v>0</v>
      </c>
      <c r="B79" s="1" t="s">
        <v>154</v>
      </c>
      <c r="C79" s="2" t="s">
        <v>155</v>
      </c>
      <c r="D79" s="1">
        <v>1380537</v>
      </c>
      <c r="E79" s="1" t="s">
        <v>158</v>
      </c>
      <c r="F79" s="1" t="s">
        <v>157</v>
      </c>
      <c r="G79" s="1" t="s">
        <v>5</v>
      </c>
      <c r="H79" s="1">
        <v>3.12</v>
      </c>
      <c r="I79" s="1">
        <v>3</v>
      </c>
      <c r="J79" t="b">
        <f t="shared" si="72"/>
        <v>0</v>
      </c>
      <c r="K79" t="b">
        <f t="shared" si="49"/>
        <v>0</v>
      </c>
      <c r="L79" t="b">
        <f t="shared" si="50"/>
        <v>0</v>
      </c>
      <c r="M79" t="b">
        <f t="shared" si="51"/>
        <v>0</v>
      </c>
      <c r="N79" t="b">
        <f t="shared" si="52"/>
        <v>0</v>
      </c>
      <c r="O79" t="b">
        <f t="shared" si="53"/>
        <v>0</v>
      </c>
      <c r="P79" t="b">
        <f t="shared" si="54"/>
        <v>0</v>
      </c>
      <c r="Q79" t="b">
        <f t="shared" si="55"/>
        <v>0</v>
      </c>
      <c r="R79" t="b">
        <f t="shared" si="56"/>
        <v>0</v>
      </c>
      <c r="S79" t="b">
        <f t="shared" si="57"/>
        <v>0</v>
      </c>
      <c r="T79" t="b">
        <f t="shared" si="58"/>
        <v>0</v>
      </c>
      <c r="U79" t="b">
        <f t="shared" si="59"/>
        <v>0</v>
      </c>
      <c r="V79" t="b">
        <f t="shared" si="60"/>
        <v>0</v>
      </c>
      <c r="W79" t="b">
        <f t="shared" si="61"/>
        <v>0</v>
      </c>
      <c r="X79" t="b">
        <f t="shared" si="62"/>
        <v>0</v>
      </c>
      <c r="Y79" t="b">
        <f t="shared" si="63"/>
        <v>0</v>
      </c>
      <c r="Z79" t="b">
        <f t="shared" si="64"/>
        <v>0</v>
      </c>
      <c r="AA79" t="b">
        <f t="shared" si="65"/>
        <v>0</v>
      </c>
      <c r="AB79" t="b">
        <f t="shared" si="66"/>
        <v>0</v>
      </c>
      <c r="AC79" t="b">
        <f t="shared" si="67"/>
        <v>0</v>
      </c>
      <c r="AD79" t="b">
        <f t="shared" si="68"/>
        <v>0</v>
      </c>
      <c r="AE79" t="b">
        <f t="shared" si="69"/>
        <v>0</v>
      </c>
      <c r="AF79" t="b">
        <f t="shared" si="70"/>
        <v>0</v>
      </c>
    </row>
    <row r="80" spans="1:32" x14ac:dyDescent="0.25">
      <c r="A80" s="1" t="s">
        <v>0</v>
      </c>
      <c r="B80" s="25" t="s">
        <v>159</v>
      </c>
      <c r="C80" s="2" t="s">
        <v>160</v>
      </c>
      <c r="D80" s="1">
        <v>1341660</v>
      </c>
      <c r="E80" s="1" t="s">
        <v>161</v>
      </c>
      <c r="F80" s="1" t="s">
        <v>162</v>
      </c>
      <c r="G80" s="1" t="s">
        <v>5</v>
      </c>
      <c r="H80" s="1">
        <v>1.36</v>
      </c>
      <c r="I80" s="1">
        <v>1</v>
      </c>
      <c r="J80" t="b">
        <f t="shared" si="72"/>
        <v>0</v>
      </c>
      <c r="K80" t="b">
        <f t="shared" si="49"/>
        <v>1</v>
      </c>
      <c r="L80" t="b">
        <f t="shared" si="50"/>
        <v>0</v>
      </c>
      <c r="M80" t="b">
        <f t="shared" si="51"/>
        <v>0</v>
      </c>
      <c r="N80" t="b">
        <f t="shared" si="52"/>
        <v>0</v>
      </c>
      <c r="O80" t="b">
        <f t="shared" si="53"/>
        <v>0</v>
      </c>
      <c r="P80" t="b">
        <f t="shared" si="54"/>
        <v>0</v>
      </c>
      <c r="Q80" t="b">
        <f t="shared" si="55"/>
        <v>0</v>
      </c>
      <c r="R80" t="b">
        <f t="shared" si="56"/>
        <v>0</v>
      </c>
      <c r="S80" t="b">
        <f t="shared" si="57"/>
        <v>0</v>
      </c>
      <c r="T80" t="b">
        <f t="shared" si="58"/>
        <v>0</v>
      </c>
      <c r="U80" t="b">
        <f t="shared" si="59"/>
        <v>0</v>
      </c>
      <c r="V80" t="b">
        <f t="shared" si="60"/>
        <v>0</v>
      </c>
      <c r="W80" t="b">
        <f t="shared" si="61"/>
        <v>0</v>
      </c>
      <c r="X80" t="b">
        <f t="shared" si="62"/>
        <v>0</v>
      </c>
      <c r="Y80" t="b">
        <f t="shared" si="63"/>
        <v>0</v>
      </c>
      <c r="Z80" t="b">
        <f t="shared" si="64"/>
        <v>0</v>
      </c>
      <c r="AA80" t="b">
        <f t="shared" si="65"/>
        <v>0</v>
      </c>
      <c r="AB80" t="b">
        <f t="shared" si="66"/>
        <v>0</v>
      </c>
      <c r="AC80" t="b">
        <f t="shared" si="67"/>
        <v>0</v>
      </c>
      <c r="AD80" t="b">
        <f t="shared" si="68"/>
        <v>0</v>
      </c>
      <c r="AE80" t="b">
        <f t="shared" si="69"/>
        <v>0</v>
      </c>
      <c r="AF80" t="b">
        <f t="shared" si="70"/>
        <v>0</v>
      </c>
    </row>
    <row r="81" spans="1:32" x14ac:dyDescent="0.25">
      <c r="A81" s="1" t="s">
        <v>0</v>
      </c>
      <c r="B81" s="25" t="s">
        <v>159</v>
      </c>
      <c r="C81" s="2" t="s">
        <v>160</v>
      </c>
      <c r="D81" s="1">
        <v>1341660</v>
      </c>
      <c r="E81" s="1" t="s">
        <v>163</v>
      </c>
      <c r="F81" s="1" t="s">
        <v>162</v>
      </c>
      <c r="G81" s="1" t="s">
        <v>5</v>
      </c>
      <c r="H81" s="1">
        <v>0.78</v>
      </c>
      <c r="I81" s="1">
        <v>0.5</v>
      </c>
      <c r="J81" t="b">
        <f t="shared" si="72"/>
        <v>0</v>
      </c>
      <c r="K81" t="b">
        <f t="shared" si="49"/>
        <v>1</v>
      </c>
      <c r="L81" t="b">
        <f t="shared" si="50"/>
        <v>0</v>
      </c>
      <c r="M81" t="b">
        <f t="shared" si="51"/>
        <v>0</v>
      </c>
      <c r="N81" t="b">
        <f t="shared" si="52"/>
        <v>0</v>
      </c>
      <c r="O81" t="b">
        <f t="shared" si="53"/>
        <v>0</v>
      </c>
      <c r="P81" t="b">
        <f t="shared" si="54"/>
        <v>0</v>
      </c>
      <c r="Q81" t="b">
        <f t="shared" si="55"/>
        <v>0</v>
      </c>
      <c r="R81" t="b">
        <f t="shared" si="56"/>
        <v>0</v>
      </c>
      <c r="S81" t="b">
        <f t="shared" si="57"/>
        <v>0</v>
      </c>
      <c r="T81" t="b">
        <f t="shared" si="58"/>
        <v>0</v>
      </c>
      <c r="U81" t="b">
        <f t="shared" si="59"/>
        <v>0</v>
      </c>
      <c r="V81" t="b">
        <f t="shared" si="60"/>
        <v>0</v>
      </c>
      <c r="W81" t="b">
        <f t="shared" si="61"/>
        <v>0</v>
      </c>
      <c r="X81" t="b">
        <f t="shared" si="62"/>
        <v>0</v>
      </c>
      <c r="Y81" t="b">
        <f t="shared" si="63"/>
        <v>0</v>
      </c>
      <c r="Z81" t="b">
        <f t="shared" si="64"/>
        <v>0</v>
      </c>
      <c r="AA81" t="b">
        <f t="shared" si="65"/>
        <v>0</v>
      </c>
      <c r="AB81" t="b">
        <f t="shared" si="66"/>
        <v>0</v>
      </c>
      <c r="AC81" t="b">
        <f t="shared" si="67"/>
        <v>0</v>
      </c>
      <c r="AD81" t="b">
        <f t="shared" si="68"/>
        <v>0</v>
      </c>
      <c r="AE81" t="b">
        <f t="shared" si="69"/>
        <v>0</v>
      </c>
      <c r="AF81" t="b">
        <f t="shared" si="70"/>
        <v>0</v>
      </c>
    </row>
    <row r="82" spans="1:32" x14ac:dyDescent="0.25">
      <c r="A82" s="1" t="s">
        <v>0</v>
      </c>
      <c r="B82" s="25" t="s">
        <v>159</v>
      </c>
      <c r="C82" s="2" t="s">
        <v>160</v>
      </c>
      <c r="D82" s="1">
        <v>1341660</v>
      </c>
      <c r="E82" s="1" t="s">
        <v>164</v>
      </c>
      <c r="F82" s="1" t="s">
        <v>162</v>
      </c>
      <c r="G82" s="1" t="s">
        <v>5</v>
      </c>
      <c r="H82" s="1">
        <v>3.73</v>
      </c>
      <c r="I82" s="1">
        <v>4</v>
      </c>
      <c r="J82" t="b">
        <f t="shared" si="72"/>
        <v>0</v>
      </c>
      <c r="K82" t="b">
        <f t="shared" si="49"/>
        <v>1</v>
      </c>
      <c r="L82" t="b">
        <f t="shared" si="50"/>
        <v>0</v>
      </c>
      <c r="M82" t="b">
        <f t="shared" si="51"/>
        <v>0</v>
      </c>
      <c r="N82" t="b">
        <f t="shared" si="52"/>
        <v>0</v>
      </c>
      <c r="O82" t="b">
        <f t="shared" si="53"/>
        <v>0</v>
      </c>
      <c r="P82" t="b">
        <f t="shared" si="54"/>
        <v>0</v>
      </c>
      <c r="Q82" t="b">
        <f t="shared" si="55"/>
        <v>0</v>
      </c>
      <c r="R82" t="b">
        <f t="shared" si="56"/>
        <v>0</v>
      </c>
      <c r="S82" t="b">
        <f t="shared" si="57"/>
        <v>0</v>
      </c>
      <c r="T82" t="b">
        <f t="shared" si="58"/>
        <v>0</v>
      </c>
      <c r="U82" t="b">
        <f t="shared" si="59"/>
        <v>0</v>
      </c>
      <c r="V82" t="b">
        <f t="shared" si="60"/>
        <v>0</v>
      </c>
      <c r="W82" t="b">
        <f t="shared" si="61"/>
        <v>0</v>
      </c>
      <c r="X82" t="b">
        <f t="shared" si="62"/>
        <v>0</v>
      </c>
      <c r="Y82" t="b">
        <f t="shared" si="63"/>
        <v>0</v>
      </c>
      <c r="Z82" t="b">
        <f t="shared" si="64"/>
        <v>0</v>
      </c>
      <c r="AA82" t="b">
        <f t="shared" si="65"/>
        <v>0</v>
      </c>
      <c r="AB82" t="b">
        <f t="shared" si="66"/>
        <v>0</v>
      </c>
      <c r="AC82" t="b">
        <f t="shared" si="67"/>
        <v>0</v>
      </c>
      <c r="AD82" t="b">
        <f t="shared" si="68"/>
        <v>0</v>
      </c>
      <c r="AE82" t="b">
        <f t="shared" si="69"/>
        <v>0</v>
      </c>
      <c r="AF82" t="b">
        <f t="shared" si="70"/>
        <v>0</v>
      </c>
    </row>
    <row r="83" spans="1:32" x14ac:dyDescent="0.25">
      <c r="A83" s="1" t="s">
        <v>0</v>
      </c>
      <c r="B83" s="25" t="s">
        <v>159</v>
      </c>
      <c r="C83" s="2" t="s">
        <v>165</v>
      </c>
      <c r="D83" s="1">
        <v>1341660</v>
      </c>
      <c r="E83" s="1" t="s">
        <v>166</v>
      </c>
      <c r="F83" s="1" t="s">
        <v>162</v>
      </c>
      <c r="G83" s="1" t="s">
        <v>5</v>
      </c>
      <c r="H83" s="1">
        <v>11.05</v>
      </c>
      <c r="I83" s="1">
        <v>6</v>
      </c>
      <c r="J83" t="b">
        <f t="shared" si="72"/>
        <v>0</v>
      </c>
      <c r="K83" t="b">
        <f t="shared" si="49"/>
        <v>1</v>
      </c>
      <c r="L83" t="b">
        <f t="shared" si="50"/>
        <v>0</v>
      </c>
      <c r="M83" t="b">
        <f t="shared" si="51"/>
        <v>0</v>
      </c>
      <c r="N83" t="b">
        <f t="shared" si="52"/>
        <v>0</v>
      </c>
      <c r="O83" t="b">
        <f t="shared" si="53"/>
        <v>0</v>
      </c>
      <c r="P83" t="b">
        <f t="shared" si="54"/>
        <v>0</v>
      </c>
      <c r="Q83" t="b">
        <f t="shared" si="55"/>
        <v>0</v>
      </c>
      <c r="R83" t="b">
        <f t="shared" si="56"/>
        <v>0</v>
      </c>
      <c r="S83" t="b">
        <f t="shared" si="57"/>
        <v>0</v>
      </c>
      <c r="T83" t="b">
        <f t="shared" si="58"/>
        <v>0</v>
      </c>
      <c r="U83" t="b">
        <f t="shared" si="59"/>
        <v>0</v>
      </c>
      <c r="V83" t="b">
        <f t="shared" si="60"/>
        <v>0</v>
      </c>
      <c r="W83" t="b">
        <f t="shared" si="61"/>
        <v>0</v>
      </c>
      <c r="X83" t="b">
        <f t="shared" si="62"/>
        <v>0</v>
      </c>
      <c r="Y83" t="b">
        <f t="shared" si="63"/>
        <v>0</v>
      </c>
      <c r="Z83" t="b">
        <f t="shared" si="64"/>
        <v>0</v>
      </c>
      <c r="AA83" t="b">
        <f t="shared" si="65"/>
        <v>0</v>
      </c>
      <c r="AB83" t="b">
        <f t="shared" si="66"/>
        <v>0</v>
      </c>
      <c r="AC83" t="b">
        <f t="shared" si="67"/>
        <v>0</v>
      </c>
      <c r="AD83" t="b">
        <f t="shared" si="68"/>
        <v>0</v>
      </c>
      <c r="AE83" t="b">
        <f t="shared" si="69"/>
        <v>0</v>
      </c>
      <c r="AF83" t="b">
        <f t="shared" si="70"/>
        <v>0</v>
      </c>
    </row>
    <row r="84" spans="1:32" x14ac:dyDescent="0.25">
      <c r="A84" s="1" t="s">
        <v>0</v>
      </c>
      <c r="B84" s="25" t="s">
        <v>159</v>
      </c>
      <c r="C84" s="2" t="s">
        <v>165</v>
      </c>
      <c r="D84" s="1">
        <v>1341660</v>
      </c>
      <c r="E84" s="1" t="s">
        <v>167</v>
      </c>
      <c r="F84" s="1" t="s">
        <v>162</v>
      </c>
      <c r="G84" s="1" t="s">
        <v>8</v>
      </c>
      <c r="H84" s="1">
        <v>1.72</v>
      </c>
      <c r="I84" s="1">
        <f t="shared" ref="I84:I106" si="73">H84</f>
        <v>1.72</v>
      </c>
      <c r="J84" t="b">
        <f t="shared" si="72"/>
        <v>0</v>
      </c>
      <c r="K84" t="b">
        <f t="shared" si="49"/>
        <v>1</v>
      </c>
      <c r="L84" t="b">
        <f t="shared" si="50"/>
        <v>0</v>
      </c>
      <c r="M84" t="b">
        <f t="shared" si="51"/>
        <v>0</v>
      </c>
      <c r="N84" t="b">
        <f t="shared" si="52"/>
        <v>0</v>
      </c>
      <c r="O84" t="b">
        <f t="shared" si="53"/>
        <v>0</v>
      </c>
      <c r="P84" t="b">
        <f t="shared" si="54"/>
        <v>0</v>
      </c>
      <c r="Q84" t="b">
        <f t="shared" si="55"/>
        <v>0</v>
      </c>
      <c r="R84" t="b">
        <f t="shared" si="56"/>
        <v>0</v>
      </c>
      <c r="S84" t="b">
        <f t="shared" si="57"/>
        <v>0</v>
      </c>
      <c r="T84" t="b">
        <f t="shared" si="58"/>
        <v>0</v>
      </c>
      <c r="U84" t="b">
        <f t="shared" si="59"/>
        <v>0</v>
      </c>
      <c r="V84" t="b">
        <f t="shared" si="60"/>
        <v>0</v>
      </c>
      <c r="W84" t="b">
        <f t="shared" si="61"/>
        <v>0</v>
      </c>
      <c r="X84" t="b">
        <f t="shared" si="62"/>
        <v>0</v>
      </c>
      <c r="Y84" t="b">
        <f t="shared" si="63"/>
        <v>0</v>
      </c>
      <c r="Z84" t="b">
        <f t="shared" si="64"/>
        <v>0</v>
      </c>
      <c r="AA84" t="b">
        <f t="shared" si="65"/>
        <v>0</v>
      </c>
      <c r="AB84" t="b">
        <f t="shared" si="66"/>
        <v>0</v>
      </c>
      <c r="AC84" t="b">
        <f t="shared" si="67"/>
        <v>0</v>
      </c>
      <c r="AD84" t="b">
        <f t="shared" si="68"/>
        <v>0</v>
      </c>
      <c r="AE84" t="b">
        <f t="shared" si="69"/>
        <v>0</v>
      </c>
      <c r="AF84" t="b">
        <f t="shared" si="70"/>
        <v>0</v>
      </c>
    </row>
    <row r="85" spans="1:32" x14ac:dyDescent="0.25">
      <c r="A85" s="1" t="s">
        <v>0</v>
      </c>
      <c r="B85" s="25" t="s">
        <v>159</v>
      </c>
      <c r="C85" s="2" t="s">
        <v>165</v>
      </c>
      <c r="D85" s="1">
        <v>1341660</v>
      </c>
      <c r="E85" s="1" t="s">
        <v>168</v>
      </c>
      <c r="F85" s="1" t="s">
        <v>162</v>
      </c>
      <c r="G85" s="1" t="s">
        <v>8</v>
      </c>
      <c r="H85" s="1">
        <v>1.77</v>
      </c>
      <c r="I85" s="1">
        <f t="shared" si="73"/>
        <v>1.77</v>
      </c>
      <c r="J85" t="b">
        <f t="shared" si="72"/>
        <v>0</v>
      </c>
      <c r="K85" t="b">
        <f t="shared" si="49"/>
        <v>1</v>
      </c>
      <c r="L85" t="b">
        <f t="shared" si="50"/>
        <v>0</v>
      </c>
      <c r="M85" t="b">
        <f t="shared" si="51"/>
        <v>0</v>
      </c>
      <c r="N85" t="b">
        <f t="shared" si="52"/>
        <v>0</v>
      </c>
      <c r="O85" t="b">
        <f t="shared" si="53"/>
        <v>0</v>
      </c>
      <c r="P85" t="b">
        <f t="shared" si="54"/>
        <v>0</v>
      </c>
      <c r="Q85" t="b">
        <f t="shared" si="55"/>
        <v>0</v>
      </c>
      <c r="R85" t="b">
        <f t="shared" si="56"/>
        <v>0</v>
      </c>
      <c r="S85" t="b">
        <f t="shared" si="57"/>
        <v>0</v>
      </c>
      <c r="T85" t="b">
        <f t="shared" si="58"/>
        <v>0</v>
      </c>
      <c r="U85" t="b">
        <f t="shared" si="59"/>
        <v>0</v>
      </c>
      <c r="V85" t="b">
        <f t="shared" si="60"/>
        <v>0</v>
      </c>
      <c r="W85" t="b">
        <f t="shared" si="61"/>
        <v>0</v>
      </c>
      <c r="X85" t="b">
        <f t="shared" si="62"/>
        <v>0</v>
      </c>
      <c r="Y85" t="b">
        <f t="shared" si="63"/>
        <v>0</v>
      </c>
      <c r="Z85" t="b">
        <f t="shared" si="64"/>
        <v>0</v>
      </c>
      <c r="AA85" t="b">
        <f t="shared" si="65"/>
        <v>0</v>
      </c>
      <c r="AB85" t="b">
        <f t="shared" si="66"/>
        <v>0</v>
      </c>
      <c r="AC85" t="b">
        <f t="shared" si="67"/>
        <v>0</v>
      </c>
      <c r="AD85" t="b">
        <f t="shared" si="68"/>
        <v>0</v>
      </c>
      <c r="AE85" t="b">
        <f t="shared" si="69"/>
        <v>0</v>
      </c>
      <c r="AF85" t="b">
        <f t="shared" si="70"/>
        <v>0</v>
      </c>
    </row>
    <row r="86" spans="1:32" x14ac:dyDescent="0.25">
      <c r="A86" s="1" t="s">
        <v>0</v>
      </c>
      <c r="B86" s="25" t="s">
        <v>159</v>
      </c>
      <c r="C86" s="2" t="s">
        <v>165</v>
      </c>
      <c r="D86" s="1">
        <v>1341660</v>
      </c>
      <c r="E86" s="1" t="s">
        <v>169</v>
      </c>
      <c r="F86" s="1" t="s">
        <v>162</v>
      </c>
      <c r="G86" s="1" t="s">
        <v>8</v>
      </c>
      <c r="H86" s="1">
        <v>0.14000000000000001</v>
      </c>
      <c r="I86" s="1">
        <f t="shared" si="73"/>
        <v>0.14000000000000001</v>
      </c>
      <c r="J86" t="b">
        <f t="shared" si="72"/>
        <v>0</v>
      </c>
      <c r="K86" t="b">
        <f t="shared" si="49"/>
        <v>1</v>
      </c>
      <c r="L86" t="b">
        <f t="shared" si="50"/>
        <v>0</v>
      </c>
      <c r="M86" t="b">
        <f t="shared" si="51"/>
        <v>0</v>
      </c>
      <c r="N86" t="b">
        <f t="shared" si="52"/>
        <v>0</v>
      </c>
      <c r="O86" t="b">
        <f t="shared" si="53"/>
        <v>0</v>
      </c>
      <c r="P86" t="b">
        <f t="shared" si="54"/>
        <v>0</v>
      </c>
      <c r="Q86" t="b">
        <f t="shared" si="55"/>
        <v>0</v>
      </c>
      <c r="R86" t="b">
        <f t="shared" si="56"/>
        <v>0</v>
      </c>
      <c r="S86" t="b">
        <f t="shared" si="57"/>
        <v>0</v>
      </c>
      <c r="T86" t="b">
        <f t="shared" si="58"/>
        <v>0</v>
      </c>
      <c r="U86" t="b">
        <f t="shared" si="59"/>
        <v>0</v>
      </c>
      <c r="V86" t="b">
        <f t="shared" si="60"/>
        <v>0</v>
      </c>
      <c r="W86" t="b">
        <f t="shared" si="61"/>
        <v>0</v>
      </c>
      <c r="X86" t="b">
        <f t="shared" si="62"/>
        <v>0</v>
      </c>
      <c r="Y86" t="b">
        <f t="shared" si="63"/>
        <v>0</v>
      </c>
      <c r="Z86" t="b">
        <f t="shared" si="64"/>
        <v>0</v>
      </c>
      <c r="AA86" t="b">
        <f t="shared" si="65"/>
        <v>0</v>
      </c>
      <c r="AB86" t="b">
        <f t="shared" si="66"/>
        <v>0</v>
      </c>
      <c r="AC86" t="b">
        <f t="shared" si="67"/>
        <v>0</v>
      </c>
      <c r="AD86" t="b">
        <f t="shared" si="68"/>
        <v>0</v>
      </c>
      <c r="AE86" t="b">
        <f t="shared" si="69"/>
        <v>0</v>
      </c>
      <c r="AF86" t="b">
        <f t="shared" si="70"/>
        <v>0</v>
      </c>
    </row>
    <row r="87" spans="1:32" x14ac:dyDescent="0.25">
      <c r="A87" s="1" t="s">
        <v>0</v>
      </c>
      <c r="B87" s="25" t="s">
        <v>159</v>
      </c>
      <c r="C87" s="2" t="s">
        <v>165</v>
      </c>
      <c r="D87" s="1">
        <v>1341660</v>
      </c>
      <c r="E87" s="1" t="s">
        <v>129</v>
      </c>
      <c r="F87" s="1" t="s">
        <v>162</v>
      </c>
      <c r="G87" s="1" t="s">
        <v>8</v>
      </c>
      <c r="H87" s="1">
        <v>2.63</v>
      </c>
      <c r="I87" s="1">
        <f t="shared" si="73"/>
        <v>2.63</v>
      </c>
      <c r="J87" t="b">
        <f t="shared" si="72"/>
        <v>0</v>
      </c>
      <c r="K87" t="b">
        <f t="shared" si="49"/>
        <v>1</v>
      </c>
      <c r="L87" t="b">
        <f t="shared" si="50"/>
        <v>0</v>
      </c>
      <c r="M87" t="b">
        <f t="shared" si="51"/>
        <v>0</v>
      </c>
      <c r="N87" t="b">
        <f t="shared" si="52"/>
        <v>0</v>
      </c>
      <c r="O87" t="b">
        <f t="shared" si="53"/>
        <v>0</v>
      </c>
      <c r="P87" t="b">
        <f t="shared" si="54"/>
        <v>0</v>
      </c>
      <c r="Q87" t="b">
        <f t="shared" si="55"/>
        <v>0</v>
      </c>
      <c r="R87" t="b">
        <f t="shared" si="56"/>
        <v>0</v>
      </c>
      <c r="S87" t="b">
        <f t="shared" si="57"/>
        <v>0</v>
      </c>
      <c r="T87" t="b">
        <f t="shared" si="58"/>
        <v>0</v>
      </c>
      <c r="U87" t="b">
        <f t="shared" si="59"/>
        <v>0</v>
      </c>
      <c r="V87" t="b">
        <f t="shared" si="60"/>
        <v>0</v>
      </c>
      <c r="W87" t="b">
        <f t="shared" si="61"/>
        <v>0</v>
      </c>
      <c r="X87" t="b">
        <f t="shared" si="62"/>
        <v>0</v>
      </c>
      <c r="Y87" t="b">
        <f t="shared" si="63"/>
        <v>0</v>
      </c>
      <c r="Z87" t="b">
        <f t="shared" si="64"/>
        <v>0</v>
      </c>
      <c r="AA87" t="b">
        <f t="shared" si="65"/>
        <v>0</v>
      </c>
      <c r="AB87" t="b">
        <f t="shared" si="66"/>
        <v>0</v>
      </c>
      <c r="AC87" t="b">
        <f t="shared" si="67"/>
        <v>0</v>
      </c>
      <c r="AD87" t="b">
        <f t="shared" si="68"/>
        <v>0</v>
      </c>
      <c r="AE87" t="b">
        <f t="shared" si="69"/>
        <v>0</v>
      </c>
      <c r="AF87" t="b">
        <f t="shared" si="70"/>
        <v>0</v>
      </c>
    </row>
    <row r="88" spans="1:32" x14ac:dyDescent="0.25">
      <c r="A88" s="1" t="s">
        <v>0</v>
      </c>
      <c r="B88" s="25" t="s">
        <v>159</v>
      </c>
      <c r="C88" s="2" t="s">
        <v>165</v>
      </c>
      <c r="D88" s="1">
        <v>1341660</v>
      </c>
      <c r="E88" s="1" t="s">
        <v>170</v>
      </c>
      <c r="F88" s="1" t="s">
        <v>162</v>
      </c>
      <c r="G88" s="1" t="s">
        <v>17</v>
      </c>
      <c r="H88" s="1">
        <v>0.3</v>
      </c>
      <c r="I88" s="1">
        <f t="shared" si="73"/>
        <v>0.3</v>
      </c>
      <c r="J88" t="b">
        <f t="shared" si="72"/>
        <v>0</v>
      </c>
      <c r="K88" t="b">
        <f t="shared" si="49"/>
        <v>1</v>
      </c>
      <c r="L88" t="b">
        <f t="shared" si="50"/>
        <v>0</v>
      </c>
      <c r="M88" t="b">
        <f t="shared" si="51"/>
        <v>0</v>
      </c>
      <c r="N88" t="b">
        <f t="shared" si="52"/>
        <v>0</v>
      </c>
      <c r="O88" t="b">
        <f t="shared" si="53"/>
        <v>0</v>
      </c>
      <c r="P88" t="b">
        <f t="shared" si="54"/>
        <v>0</v>
      </c>
      <c r="Q88" t="b">
        <f t="shared" si="55"/>
        <v>0</v>
      </c>
      <c r="R88" t="b">
        <f t="shared" si="56"/>
        <v>0</v>
      </c>
      <c r="S88" t="b">
        <f t="shared" si="57"/>
        <v>0</v>
      </c>
      <c r="T88" t="b">
        <f t="shared" si="58"/>
        <v>0</v>
      </c>
      <c r="U88" t="b">
        <f t="shared" si="59"/>
        <v>0</v>
      </c>
      <c r="V88" t="b">
        <f t="shared" si="60"/>
        <v>0</v>
      </c>
      <c r="W88" t="b">
        <f t="shared" si="61"/>
        <v>0</v>
      </c>
      <c r="X88" t="b">
        <f t="shared" si="62"/>
        <v>0</v>
      </c>
      <c r="Y88" t="b">
        <f t="shared" si="63"/>
        <v>0</v>
      </c>
      <c r="Z88" t="b">
        <f t="shared" si="64"/>
        <v>0</v>
      </c>
      <c r="AA88" t="b">
        <f t="shared" si="65"/>
        <v>0</v>
      </c>
      <c r="AB88" t="b">
        <f t="shared" si="66"/>
        <v>0</v>
      </c>
      <c r="AC88" t="b">
        <f t="shared" si="67"/>
        <v>0</v>
      </c>
      <c r="AD88" t="b">
        <f t="shared" si="68"/>
        <v>0</v>
      </c>
      <c r="AE88" t="b">
        <f t="shared" si="69"/>
        <v>0</v>
      </c>
      <c r="AF88" t="b">
        <f t="shared" si="70"/>
        <v>0</v>
      </c>
    </row>
    <row r="89" spans="1:32" x14ac:dyDescent="0.25">
      <c r="A89" s="1" t="s">
        <v>0</v>
      </c>
      <c r="B89" s="25" t="s">
        <v>159</v>
      </c>
      <c r="C89" s="2" t="s">
        <v>165</v>
      </c>
      <c r="D89" s="1">
        <v>1341660</v>
      </c>
      <c r="E89" s="1" t="s">
        <v>171</v>
      </c>
      <c r="F89" s="1" t="s">
        <v>162</v>
      </c>
      <c r="G89" s="1" t="s">
        <v>17</v>
      </c>
      <c r="H89" s="1">
        <v>0.32</v>
      </c>
      <c r="I89" s="1">
        <f t="shared" si="73"/>
        <v>0.32</v>
      </c>
      <c r="J89" t="b">
        <f t="shared" si="72"/>
        <v>0</v>
      </c>
      <c r="K89" t="b">
        <f t="shared" si="49"/>
        <v>1</v>
      </c>
      <c r="L89" t="b">
        <f t="shared" si="50"/>
        <v>0</v>
      </c>
      <c r="M89" t="b">
        <f t="shared" si="51"/>
        <v>0</v>
      </c>
      <c r="N89" t="b">
        <f t="shared" si="52"/>
        <v>0</v>
      </c>
      <c r="O89" t="b">
        <f t="shared" si="53"/>
        <v>0</v>
      </c>
      <c r="P89" t="b">
        <f t="shared" si="54"/>
        <v>0</v>
      </c>
      <c r="Q89" t="b">
        <f t="shared" si="55"/>
        <v>0</v>
      </c>
      <c r="R89" t="b">
        <f t="shared" si="56"/>
        <v>0</v>
      </c>
      <c r="S89" t="b">
        <f t="shared" si="57"/>
        <v>0</v>
      </c>
      <c r="T89" t="b">
        <f t="shared" si="58"/>
        <v>0</v>
      </c>
      <c r="U89" t="b">
        <f t="shared" si="59"/>
        <v>0</v>
      </c>
      <c r="V89" t="b">
        <f t="shared" si="60"/>
        <v>0</v>
      </c>
      <c r="W89" t="b">
        <f t="shared" si="61"/>
        <v>0</v>
      </c>
      <c r="X89" t="b">
        <f t="shared" si="62"/>
        <v>0</v>
      </c>
      <c r="Y89" t="b">
        <f t="shared" si="63"/>
        <v>0</v>
      </c>
      <c r="Z89" t="b">
        <f t="shared" si="64"/>
        <v>0</v>
      </c>
      <c r="AA89" t="b">
        <f t="shared" si="65"/>
        <v>0</v>
      </c>
      <c r="AB89" t="b">
        <f t="shared" si="66"/>
        <v>0</v>
      </c>
      <c r="AC89" t="b">
        <f t="shared" si="67"/>
        <v>0</v>
      </c>
      <c r="AD89" t="b">
        <f t="shared" si="68"/>
        <v>0</v>
      </c>
      <c r="AE89" t="b">
        <f t="shared" si="69"/>
        <v>0</v>
      </c>
      <c r="AF89" t="b">
        <f t="shared" si="70"/>
        <v>0</v>
      </c>
    </row>
    <row r="90" spans="1:32" x14ac:dyDescent="0.25">
      <c r="A90" s="1" t="s">
        <v>0</v>
      </c>
      <c r="B90" s="25" t="s">
        <v>159</v>
      </c>
      <c r="C90" s="2" t="s">
        <v>165</v>
      </c>
      <c r="D90" s="1">
        <v>1341660</v>
      </c>
      <c r="E90" s="11" t="s">
        <v>172</v>
      </c>
      <c r="F90" s="1" t="s">
        <v>162</v>
      </c>
      <c r="G90" s="1" t="s">
        <v>22</v>
      </c>
      <c r="H90" s="1">
        <v>2.29</v>
      </c>
      <c r="I90" s="1">
        <f t="shared" si="73"/>
        <v>2.29</v>
      </c>
      <c r="J90" t="b">
        <f t="shared" si="72"/>
        <v>0</v>
      </c>
      <c r="K90" t="b">
        <f t="shared" si="49"/>
        <v>1</v>
      </c>
      <c r="L90" t="b">
        <f t="shared" si="50"/>
        <v>0</v>
      </c>
      <c r="M90" t="b">
        <f t="shared" si="51"/>
        <v>0</v>
      </c>
      <c r="N90" t="b">
        <f t="shared" si="52"/>
        <v>0</v>
      </c>
      <c r="O90" t="b">
        <f t="shared" si="53"/>
        <v>0</v>
      </c>
      <c r="P90" t="b">
        <f t="shared" si="54"/>
        <v>0</v>
      </c>
      <c r="Q90" t="b">
        <f t="shared" si="55"/>
        <v>0</v>
      </c>
      <c r="R90" t="b">
        <f t="shared" si="56"/>
        <v>0</v>
      </c>
      <c r="S90" t="b">
        <f t="shared" si="57"/>
        <v>0</v>
      </c>
      <c r="T90" t="b">
        <f t="shared" si="58"/>
        <v>0</v>
      </c>
      <c r="U90" t="b">
        <f t="shared" si="59"/>
        <v>0</v>
      </c>
      <c r="V90" t="b">
        <f t="shared" si="60"/>
        <v>0</v>
      </c>
      <c r="W90" t="b">
        <f t="shared" si="61"/>
        <v>0</v>
      </c>
      <c r="X90" t="b">
        <f t="shared" si="62"/>
        <v>0</v>
      </c>
      <c r="Y90" t="b">
        <f t="shared" si="63"/>
        <v>0</v>
      </c>
      <c r="Z90" t="b">
        <f t="shared" si="64"/>
        <v>0</v>
      </c>
      <c r="AA90" t="b">
        <f t="shared" si="65"/>
        <v>0</v>
      </c>
      <c r="AB90" t="b">
        <f t="shared" si="66"/>
        <v>0</v>
      </c>
      <c r="AC90" t="b">
        <f t="shared" si="67"/>
        <v>0</v>
      </c>
      <c r="AD90" t="b">
        <f t="shared" si="68"/>
        <v>0</v>
      </c>
      <c r="AE90" t="b">
        <f t="shared" si="69"/>
        <v>0</v>
      </c>
      <c r="AF90" t="b">
        <f t="shared" si="70"/>
        <v>0</v>
      </c>
    </row>
    <row r="91" spans="1:32" x14ac:dyDescent="0.25">
      <c r="A91" s="1" t="s">
        <v>0</v>
      </c>
      <c r="B91" s="25" t="s">
        <v>159</v>
      </c>
      <c r="C91" s="2" t="s">
        <v>165</v>
      </c>
      <c r="D91" s="1">
        <v>1341660</v>
      </c>
      <c r="E91" s="11" t="s">
        <v>173</v>
      </c>
      <c r="F91" s="1" t="s">
        <v>162</v>
      </c>
      <c r="G91" s="1" t="s">
        <v>22</v>
      </c>
      <c r="H91" s="1">
        <v>3.48</v>
      </c>
      <c r="I91" s="1">
        <f t="shared" si="73"/>
        <v>3.48</v>
      </c>
      <c r="J91" t="b">
        <f t="shared" si="72"/>
        <v>0</v>
      </c>
      <c r="K91" t="b">
        <f t="shared" si="49"/>
        <v>1</v>
      </c>
      <c r="L91" t="b">
        <f t="shared" si="50"/>
        <v>0</v>
      </c>
      <c r="M91" t="b">
        <f t="shared" si="51"/>
        <v>0</v>
      </c>
      <c r="N91" t="b">
        <f t="shared" si="52"/>
        <v>0</v>
      </c>
      <c r="O91" t="b">
        <f t="shared" si="53"/>
        <v>0</v>
      </c>
      <c r="P91" t="b">
        <f t="shared" si="54"/>
        <v>0</v>
      </c>
      <c r="Q91" t="b">
        <f t="shared" si="55"/>
        <v>0</v>
      </c>
      <c r="R91" t="b">
        <f t="shared" si="56"/>
        <v>0</v>
      </c>
      <c r="S91" t="b">
        <f t="shared" si="57"/>
        <v>0</v>
      </c>
      <c r="T91" t="b">
        <f t="shared" si="58"/>
        <v>0</v>
      </c>
      <c r="U91" t="b">
        <f t="shared" si="59"/>
        <v>0</v>
      </c>
      <c r="V91" t="b">
        <f t="shared" si="60"/>
        <v>0</v>
      </c>
      <c r="W91" t="b">
        <f t="shared" si="61"/>
        <v>0</v>
      </c>
      <c r="X91" t="b">
        <f t="shared" si="62"/>
        <v>0</v>
      </c>
      <c r="Y91" t="b">
        <f t="shared" si="63"/>
        <v>0</v>
      </c>
      <c r="Z91" t="b">
        <f t="shared" si="64"/>
        <v>0</v>
      </c>
      <c r="AA91" t="b">
        <f t="shared" si="65"/>
        <v>0</v>
      </c>
      <c r="AB91" t="b">
        <f t="shared" si="66"/>
        <v>0</v>
      </c>
      <c r="AC91" t="b">
        <f t="shared" si="67"/>
        <v>0</v>
      </c>
      <c r="AD91" t="b">
        <f t="shared" si="68"/>
        <v>0</v>
      </c>
      <c r="AE91" t="b">
        <f t="shared" si="69"/>
        <v>0</v>
      </c>
      <c r="AF91" t="b">
        <f t="shared" si="70"/>
        <v>0</v>
      </c>
    </row>
    <row r="92" spans="1:32" x14ac:dyDescent="0.25">
      <c r="A92" s="1" t="s">
        <v>0</v>
      </c>
      <c r="B92" s="25" t="s">
        <v>159</v>
      </c>
      <c r="C92" s="2" t="s">
        <v>165</v>
      </c>
      <c r="D92" s="1">
        <v>1341660</v>
      </c>
      <c r="E92" s="11" t="s">
        <v>174</v>
      </c>
      <c r="F92" s="1" t="s">
        <v>162</v>
      </c>
      <c r="G92" s="1" t="s">
        <v>22</v>
      </c>
      <c r="H92" s="1">
        <v>1.84</v>
      </c>
      <c r="I92" s="1">
        <f t="shared" si="73"/>
        <v>1.84</v>
      </c>
      <c r="J92" t="b">
        <f t="shared" si="72"/>
        <v>0</v>
      </c>
      <c r="K92" t="b">
        <f t="shared" si="49"/>
        <v>1</v>
      </c>
      <c r="L92" t="b">
        <f t="shared" si="50"/>
        <v>0</v>
      </c>
      <c r="M92" t="b">
        <f t="shared" si="51"/>
        <v>0</v>
      </c>
      <c r="N92" t="b">
        <f t="shared" si="52"/>
        <v>0</v>
      </c>
      <c r="O92" t="b">
        <f t="shared" si="53"/>
        <v>0</v>
      </c>
      <c r="P92" t="b">
        <f t="shared" si="54"/>
        <v>0</v>
      </c>
      <c r="Q92" t="b">
        <f t="shared" si="55"/>
        <v>0</v>
      </c>
      <c r="R92" t="b">
        <f t="shared" si="56"/>
        <v>0</v>
      </c>
      <c r="S92" t="b">
        <f t="shared" si="57"/>
        <v>0</v>
      </c>
      <c r="T92" t="b">
        <f t="shared" si="58"/>
        <v>0</v>
      </c>
      <c r="U92" t="b">
        <f t="shared" si="59"/>
        <v>0</v>
      </c>
      <c r="V92" t="b">
        <f t="shared" si="60"/>
        <v>0</v>
      </c>
      <c r="W92" t="b">
        <f t="shared" si="61"/>
        <v>0</v>
      </c>
      <c r="X92" t="b">
        <f t="shared" si="62"/>
        <v>0</v>
      </c>
      <c r="Y92" t="b">
        <f t="shared" si="63"/>
        <v>0</v>
      </c>
      <c r="Z92" t="b">
        <f t="shared" si="64"/>
        <v>0</v>
      </c>
      <c r="AA92" t="b">
        <f t="shared" si="65"/>
        <v>0</v>
      </c>
      <c r="AB92" t="b">
        <f t="shared" si="66"/>
        <v>0</v>
      </c>
      <c r="AC92" t="b">
        <f t="shared" si="67"/>
        <v>0</v>
      </c>
      <c r="AD92" t="b">
        <f t="shared" si="68"/>
        <v>0</v>
      </c>
      <c r="AE92" t="b">
        <f t="shared" si="69"/>
        <v>0</v>
      </c>
      <c r="AF92" t="b">
        <f t="shared" si="70"/>
        <v>0</v>
      </c>
    </row>
    <row r="93" spans="1:32" x14ac:dyDescent="0.25">
      <c r="A93" s="1" t="s">
        <v>0</v>
      </c>
      <c r="B93" s="25" t="s">
        <v>159</v>
      </c>
      <c r="C93" s="2" t="s">
        <v>165</v>
      </c>
      <c r="D93" s="1">
        <v>1341660</v>
      </c>
      <c r="E93" s="11" t="s">
        <v>175</v>
      </c>
      <c r="F93" s="1" t="s">
        <v>162</v>
      </c>
      <c r="G93" s="1" t="s">
        <v>22</v>
      </c>
      <c r="H93" s="1">
        <v>2.73</v>
      </c>
      <c r="I93" s="1">
        <f t="shared" si="73"/>
        <v>2.73</v>
      </c>
      <c r="J93" t="b">
        <f t="shared" si="72"/>
        <v>0</v>
      </c>
      <c r="K93" t="b">
        <f t="shared" si="49"/>
        <v>1</v>
      </c>
      <c r="L93" t="b">
        <f t="shared" si="50"/>
        <v>0</v>
      </c>
      <c r="M93" t="b">
        <f t="shared" si="51"/>
        <v>0</v>
      </c>
      <c r="N93" t="b">
        <f t="shared" si="52"/>
        <v>0</v>
      </c>
      <c r="O93" t="b">
        <f t="shared" si="53"/>
        <v>0</v>
      </c>
      <c r="P93" t="b">
        <f t="shared" si="54"/>
        <v>0</v>
      </c>
      <c r="Q93" t="b">
        <f t="shared" si="55"/>
        <v>0</v>
      </c>
      <c r="R93" t="b">
        <f t="shared" si="56"/>
        <v>0</v>
      </c>
      <c r="S93" t="b">
        <f t="shared" si="57"/>
        <v>0</v>
      </c>
      <c r="T93" t="b">
        <f t="shared" si="58"/>
        <v>0</v>
      </c>
      <c r="U93" t="b">
        <f t="shared" si="59"/>
        <v>0</v>
      </c>
      <c r="V93" t="b">
        <f t="shared" si="60"/>
        <v>0</v>
      </c>
      <c r="W93" t="b">
        <f t="shared" si="61"/>
        <v>0</v>
      </c>
      <c r="X93" t="b">
        <f t="shared" si="62"/>
        <v>0</v>
      </c>
      <c r="Y93" t="b">
        <f t="shared" si="63"/>
        <v>0</v>
      </c>
      <c r="Z93" t="b">
        <f t="shared" si="64"/>
        <v>0</v>
      </c>
      <c r="AA93" t="b">
        <f t="shared" si="65"/>
        <v>0</v>
      </c>
      <c r="AB93" t="b">
        <f t="shared" si="66"/>
        <v>0</v>
      </c>
      <c r="AC93" t="b">
        <f t="shared" si="67"/>
        <v>0</v>
      </c>
      <c r="AD93" t="b">
        <f t="shared" si="68"/>
        <v>0</v>
      </c>
      <c r="AE93" t="b">
        <f t="shared" si="69"/>
        <v>0</v>
      </c>
      <c r="AF93" t="b">
        <f t="shared" si="70"/>
        <v>0</v>
      </c>
    </row>
    <row r="94" spans="1:32" x14ac:dyDescent="0.25">
      <c r="A94" s="1" t="s">
        <v>0</v>
      </c>
      <c r="B94" s="25" t="s">
        <v>159</v>
      </c>
      <c r="C94" s="2" t="s">
        <v>165</v>
      </c>
      <c r="D94" s="1">
        <v>1341660</v>
      </c>
      <c r="E94" s="11" t="s">
        <v>176</v>
      </c>
      <c r="F94" s="1" t="s">
        <v>162</v>
      </c>
      <c r="G94" s="1" t="s">
        <v>22</v>
      </c>
      <c r="H94" s="1">
        <v>2.96</v>
      </c>
      <c r="I94" s="1">
        <f t="shared" si="73"/>
        <v>2.96</v>
      </c>
      <c r="J94" t="b">
        <f t="shared" si="72"/>
        <v>0</v>
      </c>
      <c r="K94" t="b">
        <f t="shared" si="49"/>
        <v>1</v>
      </c>
      <c r="L94" t="b">
        <f t="shared" si="50"/>
        <v>0</v>
      </c>
      <c r="M94" t="b">
        <f t="shared" si="51"/>
        <v>0</v>
      </c>
      <c r="N94" t="b">
        <f t="shared" si="52"/>
        <v>0</v>
      </c>
      <c r="O94" t="b">
        <f t="shared" si="53"/>
        <v>0</v>
      </c>
      <c r="P94" t="b">
        <f t="shared" si="54"/>
        <v>0</v>
      </c>
      <c r="Q94" t="b">
        <f t="shared" si="55"/>
        <v>0</v>
      </c>
      <c r="R94" t="b">
        <f t="shared" si="56"/>
        <v>0</v>
      </c>
      <c r="S94" t="b">
        <f t="shared" si="57"/>
        <v>0</v>
      </c>
      <c r="T94" t="b">
        <f t="shared" si="58"/>
        <v>0</v>
      </c>
      <c r="U94" t="b">
        <f t="shared" si="59"/>
        <v>0</v>
      </c>
      <c r="V94" t="b">
        <f t="shared" si="60"/>
        <v>0</v>
      </c>
      <c r="W94" t="b">
        <f t="shared" si="61"/>
        <v>0</v>
      </c>
      <c r="X94" t="b">
        <f t="shared" si="62"/>
        <v>0</v>
      </c>
      <c r="Y94" t="b">
        <f t="shared" si="63"/>
        <v>0</v>
      </c>
      <c r="Z94" t="b">
        <f t="shared" si="64"/>
        <v>0</v>
      </c>
      <c r="AA94" t="b">
        <f t="shared" si="65"/>
        <v>0</v>
      </c>
      <c r="AB94" t="b">
        <f t="shared" si="66"/>
        <v>0</v>
      </c>
      <c r="AC94" t="b">
        <f t="shared" si="67"/>
        <v>0</v>
      </c>
      <c r="AD94" t="b">
        <f t="shared" si="68"/>
        <v>0</v>
      </c>
      <c r="AE94" t="b">
        <f t="shared" si="69"/>
        <v>0</v>
      </c>
      <c r="AF94" t="b">
        <f t="shared" si="70"/>
        <v>0</v>
      </c>
    </row>
    <row r="95" spans="1:32" x14ac:dyDescent="0.25">
      <c r="A95" s="1" t="s">
        <v>0</v>
      </c>
      <c r="B95" s="25" t="s">
        <v>159</v>
      </c>
      <c r="C95" s="2" t="s">
        <v>165</v>
      </c>
      <c r="D95" s="1">
        <v>1341660</v>
      </c>
      <c r="E95" s="11" t="s">
        <v>177</v>
      </c>
      <c r="F95" s="1" t="s">
        <v>162</v>
      </c>
      <c r="G95" s="1" t="s">
        <v>22</v>
      </c>
      <c r="H95" s="1">
        <v>2.61</v>
      </c>
      <c r="I95" s="1">
        <f t="shared" si="73"/>
        <v>2.61</v>
      </c>
      <c r="J95" t="b">
        <f t="shared" si="72"/>
        <v>0</v>
      </c>
      <c r="K95" t="b">
        <f t="shared" si="49"/>
        <v>1</v>
      </c>
      <c r="L95" t="b">
        <f t="shared" si="50"/>
        <v>0</v>
      </c>
      <c r="M95" t="b">
        <f t="shared" si="51"/>
        <v>0</v>
      </c>
      <c r="N95" t="b">
        <f t="shared" si="52"/>
        <v>0</v>
      </c>
      <c r="O95" t="b">
        <f t="shared" si="53"/>
        <v>0</v>
      </c>
      <c r="P95" t="b">
        <f t="shared" si="54"/>
        <v>0</v>
      </c>
      <c r="Q95" t="b">
        <f t="shared" si="55"/>
        <v>0</v>
      </c>
      <c r="R95" t="b">
        <f t="shared" si="56"/>
        <v>0</v>
      </c>
      <c r="S95" t="b">
        <f t="shared" si="57"/>
        <v>0</v>
      </c>
      <c r="T95" t="b">
        <f t="shared" si="58"/>
        <v>0</v>
      </c>
      <c r="U95" t="b">
        <f t="shared" si="59"/>
        <v>0</v>
      </c>
      <c r="V95" t="b">
        <f t="shared" si="60"/>
        <v>0</v>
      </c>
      <c r="W95" t="b">
        <f t="shared" si="61"/>
        <v>0</v>
      </c>
      <c r="X95" t="b">
        <f t="shared" si="62"/>
        <v>0</v>
      </c>
      <c r="Y95" t="b">
        <f t="shared" si="63"/>
        <v>0</v>
      </c>
      <c r="Z95" t="b">
        <f t="shared" si="64"/>
        <v>0</v>
      </c>
      <c r="AA95" t="b">
        <f t="shared" si="65"/>
        <v>0</v>
      </c>
      <c r="AB95" t="b">
        <f t="shared" si="66"/>
        <v>0</v>
      </c>
      <c r="AC95" t="b">
        <f t="shared" si="67"/>
        <v>0</v>
      </c>
      <c r="AD95" t="b">
        <f t="shared" si="68"/>
        <v>0</v>
      </c>
      <c r="AE95" t="b">
        <f t="shared" si="69"/>
        <v>0</v>
      </c>
      <c r="AF95" t="b">
        <f t="shared" si="70"/>
        <v>0</v>
      </c>
    </row>
    <row r="96" spans="1:32" x14ac:dyDescent="0.25">
      <c r="A96" s="1" t="s">
        <v>0</v>
      </c>
      <c r="B96" s="25" t="s">
        <v>159</v>
      </c>
      <c r="C96" s="2" t="s">
        <v>165</v>
      </c>
      <c r="D96" s="1">
        <v>1341660</v>
      </c>
      <c r="E96" s="11" t="s">
        <v>178</v>
      </c>
      <c r="F96" s="1" t="s">
        <v>162</v>
      </c>
      <c r="G96" s="1" t="s">
        <v>22</v>
      </c>
      <c r="H96" s="1">
        <v>4.51</v>
      </c>
      <c r="I96" s="1">
        <f t="shared" si="73"/>
        <v>4.51</v>
      </c>
      <c r="J96" t="b">
        <f t="shared" si="72"/>
        <v>0</v>
      </c>
      <c r="K96" t="b">
        <f t="shared" si="49"/>
        <v>1</v>
      </c>
      <c r="L96" t="b">
        <f t="shared" si="50"/>
        <v>0</v>
      </c>
      <c r="M96" t="b">
        <f t="shared" si="51"/>
        <v>0</v>
      </c>
      <c r="N96" t="b">
        <f t="shared" si="52"/>
        <v>0</v>
      </c>
      <c r="O96" t="b">
        <f t="shared" si="53"/>
        <v>0</v>
      </c>
      <c r="P96" t="b">
        <f t="shared" si="54"/>
        <v>0</v>
      </c>
      <c r="Q96" t="b">
        <f t="shared" si="55"/>
        <v>0</v>
      </c>
      <c r="R96" t="b">
        <f t="shared" si="56"/>
        <v>0</v>
      </c>
      <c r="S96" t="b">
        <f t="shared" si="57"/>
        <v>0</v>
      </c>
      <c r="T96" t="b">
        <f t="shared" si="58"/>
        <v>0</v>
      </c>
      <c r="U96" t="b">
        <f t="shared" si="59"/>
        <v>0</v>
      </c>
      <c r="V96" t="b">
        <f t="shared" si="60"/>
        <v>0</v>
      </c>
      <c r="W96" t="b">
        <f t="shared" si="61"/>
        <v>0</v>
      </c>
      <c r="X96" t="b">
        <f t="shared" si="62"/>
        <v>0</v>
      </c>
      <c r="Y96" t="b">
        <f t="shared" si="63"/>
        <v>0</v>
      </c>
      <c r="Z96" t="b">
        <f t="shared" si="64"/>
        <v>0</v>
      </c>
      <c r="AA96" t="b">
        <f t="shared" si="65"/>
        <v>0</v>
      </c>
      <c r="AB96" t="b">
        <f t="shared" si="66"/>
        <v>0</v>
      </c>
      <c r="AC96" t="b">
        <f t="shared" si="67"/>
        <v>0</v>
      </c>
      <c r="AD96" t="b">
        <f t="shared" si="68"/>
        <v>0</v>
      </c>
      <c r="AE96" t="b">
        <f t="shared" si="69"/>
        <v>0</v>
      </c>
      <c r="AF96" t="b">
        <f t="shared" si="70"/>
        <v>0</v>
      </c>
    </row>
    <row r="97" spans="1:32" x14ac:dyDescent="0.25">
      <c r="A97" s="1" t="s">
        <v>0</v>
      </c>
      <c r="B97" s="25" t="s">
        <v>159</v>
      </c>
      <c r="C97" s="2" t="s">
        <v>165</v>
      </c>
      <c r="D97" s="1">
        <v>1341660</v>
      </c>
      <c r="E97" s="1" t="s">
        <v>179</v>
      </c>
      <c r="F97" s="1" t="s">
        <v>162</v>
      </c>
      <c r="G97" s="1" t="s">
        <v>8</v>
      </c>
      <c r="H97" s="1">
        <v>3.43</v>
      </c>
      <c r="I97" s="1">
        <f t="shared" si="73"/>
        <v>3.43</v>
      </c>
      <c r="J97" t="b">
        <f t="shared" si="72"/>
        <v>0</v>
      </c>
      <c r="K97" t="b">
        <f t="shared" si="49"/>
        <v>1</v>
      </c>
      <c r="L97" t="b">
        <f t="shared" si="50"/>
        <v>0</v>
      </c>
      <c r="M97" t="b">
        <f t="shared" si="51"/>
        <v>0</v>
      </c>
      <c r="N97" t="b">
        <f t="shared" si="52"/>
        <v>0</v>
      </c>
      <c r="O97" t="b">
        <f t="shared" si="53"/>
        <v>0</v>
      </c>
      <c r="P97" t="b">
        <f t="shared" si="54"/>
        <v>0</v>
      </c>
      <c r="Q97" t="b">
        <f t="shared" si="55"/>
        <v>0</v>
      </c>
      <c r="R97" t="b">
        <f t="shared" si="56"/>
        <v>0</v>
      </c>
      <c r="S97" t="b">
        <f t="shared" si="57"/>
        <v>0</v>
      </c>
      <c r="T97" t="b">
        <f t="shared" si="58"/>
        <v>0</v>
      </c>
      <c r="U97" t="b">
        <f t="shared" si="59"/>
        <v>0</v>
      </c>
      <c r="V97" t="b">
        <f t="shared" si="60"/>
        <v>0</v>
      </c>
      <c r="W97" t="b">
        <f t="shared" si="61"/>
        <v>0</v>
      </c>
      <c r="X97" t="b">
        <f t="shared" si="62"/>
        <v>0</v>
      </c>
      <c r="Y97" t="b">
        <f t="shared" si="63"/>
        <v>0</v>
      </c>
      <c r="Z97" t="b">
        <f t="shared" si="64"/>
        <v>0</v>
      </c>
      <c r="AA97" t="b">
        <f t="shared" si="65"/>
        <v>0</v>
      </c>
      <c r="AB97" t="b">
        <f t="shared" si="66"/>
        <v>0</v>
      </c>
      <c r="AC97" t="b">
        <f t="shared" si="67"/>
        <v>0</v>
      </c>
      <c r="AD97" t="b">
        <f t="shared" si="68"/>
        <v>0</v>
      </c>
      <c r="AE97" t="b">
        <f t="shared" si="69"/>
        <v>0</v>
      </c>
      <c r="AF97" t="b">
        <f t="shared" si="70"/>
        <v>0</v>
      </c>
    </row>
    <row r="98" spans="1:32" x14ac:dyDescent="0.25">
      <c r="A98" s="1" t="s">
        <v>0</v>
      </c>
      <c r="B98" s="25" t="s">
        <v>159</v>
      </c>
      <c r="C98" s="2" t="s">
        <v>165</v>
      </c>
      <c r="D98" s="1">
        <v>1341660</v>
      </c>
      <c r="E98" s="1" t="s">
        <v>180</v>
      </c>
      <c r="F98" s="1" t="s">
        <v>162</v>
      </c>
      <c r="G98" s="1" t="s">
        <v>8</v>
      </c>
      <c r="H98" s="1">
        <v>3.62</v>
      </c>
      <c r="I98" s="1">
        <f t="shared" si="73"/>
        <v>3.62</v>
      </c>
      <c r="J98" t="b">
        <f t="shared" si="72"/>
        <v>0</v>
      </c>
      <c r="K98" t="b">
        <f t="shared" ref="K98:K129" si="74">IF(ISERROR(SEARCH("CNMS Super Deuterium",$B98,1)),FALSE,TRUE)</f>
        <v>1</v>
      </c>
      <c r="L98" t="b">
        <f t="shared" ref="L98:L129" si="75">IF(ISERROR(SEARCH("221259_FAW_C105EV_L2_ESPhev",$B98,1)),FALSE,TRUE)</f>
        <v>0</v>
      </c>
      <c r="M98" t="b">
        <f t="shared" ref="M98:M129" si="76">IF(ISERROR(SEARCH("MC_232534_SGMW_CN202C",$B98,1)),FALSE,TRUE)</f>
        <v>0</v>
      </c>
      <c r="N98" t="b">
        <f t="shared" ref="N98:N129" si="77">IF(ISERROR(SEARCH("BYD_IPB_SW_Mainstream",$B98,1)),FALSE,TRUE)</f>
        <v>0</v>
      </c>
      <c r="O98" t="b">
        <f t="shared" ref="O98:O129" si="78">IF(ISERROR(SEARCH("BYD_Carbon_Mainstream",$B98,1)),FALSE,TRUE)</f>
        <v>0</v>
      </c>
      <c r="P98" t="b">
        <f t="shared" ref="P98:P129" si="79">IF(ISERROR(SEARCH("GWM_ESP9.3_CHB071_HP_RC2",$B98,1)),FALSE,TRUE)</f>
        <v>0</v>
      </c>
      <c r="Q98" t="b">
        <f t="shared" ref="Q98:Q129" si="80">IF(ISERROR(SEARCH("FAW_HQEV_2WD_MC",$B98,1)),FALSE,TRUE)</f>
        <v>0</v>
      </c>
      <c r="R98" t="b">
        <f t="shared" ref="R98:R129" si="81">IF(ISERROR(SEARCH("GAC_Carbon_RPA_iBooster_Mainpath",$B98,1)),FALSE,TRUE)</f>
        <v>0</v>
      </c>
      <c r="S98" t="b">
        <f t="shared" ref="S98:S129" si="82">IF(ISERROR(SEARCH("HHT_VX1_ESPHevX",$B98,1)),FALSE,TRUE)</f>
        <v>0</v>
      </c>
      <c r="T98" t="b">
        <f t="shared" ref="T98:T129" si="83">IF(ISERROR(SEARCH("239689_NIO_G1.3&amp;G1.F_ESPHevX",$B98,1)),FALSE,TRUE)</f>
        <v>0</v>
      </c>
      <c r="U98" t="b">
        <f t="shared" ref="U98:U129" si="84">IF(ISERROR(SEARCH("E111_ESPHevx",$B98,1)),FALSE,TRUE)</f>
        <v>0</v>
      </c>
      <c r="V98" t="b">
        <f t="shared" ref="V98:V129" si="85">IF(ISERROR(SEARCH("Geely_KC2A_ESP9.3_HB_225750_BB8033",$B98,1)),FALSE,TRUE)</f>
        <v>0</v>
      </c>
      <c r="W98" t="b">
        <f t="shared" ref="W98:W129" si="86">IF(ISERROR(SEARCH("240688_DFSK_F517\527\537_EVR_Carbon_ESP9.3",$B98,1)),FALSE,TRUE)</f>
        <v>0</v>
      </c>
      <c r="X98" t="b">
        <f t="shared" ref="X98:X129" si="87">IF(ISERROR(SEARCH("Adapt_236234_SMART_VDDM_ESPHevX",$B98,1)),FALSE,TRUE)</f>
        <v>0</v>
      </c>
      <c r="Y98" t="b">
        <f t="shared" ref="Y98:Y129" si="88">IF(ISERROR(SEARCH("235199_SAIC_EP21_MCE_ESP9.3HevX",$B98,1)),FALSE,TRUE)</f>
        <v>0</v>
      </c>
      <c r="Z98" t="b">
        <f t="shared" ref="Z98:Z129" si="89">IF(ISERROR(SEARCH("233878_GAC_A20_CarbonESP9.3CP",$B98,1)),FALSE,TRUE)</f>
        <v>0</v>
      </c>
      <c r="AA98" t="b">
        <f t="shared" ref="AA98:AA129" si="90">IF(ISERROR(SEARCH("225378_FAW_D357_High",$B98,1)),FALSE,TRUE)</f>
        <v>0</v>
      </c>
      <c r="AB98" t="b">
        <f t="shared" ref="AB98:AB129" si="91">IF(ISERROR(SEARCH("Adapt_218053_CA_CD569_ESP9.3CP",$B98,1)),FALSE,TRUE)</f>
        <v>0</v>
      </c>
      <c r="AC98" t="b">
        <f t="shared" ref="AC98:AC129" si="92">IF(ISERROR(SEARCH("216997_FAW_E115_L3_IB2",$B98,1)),FALSE,TRUE)</f>
        <v>0</v>
      </c>
      <c r="AD98" t="b">
        <f t="shared" ref="AD98:AD129" si="93">IF(ISERROR(SEARCH("216916_FAW_E115_L3_ESPhev_APB(CBi)",$B98,1)),FALSE,TRUE)</f>
        <v>0</v>
      </c>
      <c r="AE98" t="b">
        <f t="shared" ref="AE98:AE129" si="94">IF(ISERROR(SEARCH("SAIC SV51H iBooster",$B98,1)),FALSE,TRUE)</f>
        <v>0</v>
      </c>
      <c r="AF98" t="b">
        <f t="shared" ref="AF98:AF129" si="95">IF(ISERROR(SEARCH("MC_244837_SGMW_CN210M_RC_ABS9.3CBi",$B98,1)),FALSE,TRUE)</f>
        <v>0</v>
      </c>
    </row>
    <row r="99" spans="1:32" x14ac:dyDescent="0.25">
      <c r="A99" s="1" t="s">
        <v>0</v>
      </c>
      <c r="B99" s="25" t="s">
        <v>159</v>
      </c>
      <c r="C99" s="2" t="s">
        <v>165</v>
      </c>
      <c r="D99" s="1">
        <v>1341660</v>
      </c>
      <c r="E99" s="1" t="s">
        <v>181</v>
      </c>
      <c r="F99" s="1" t="s">
        <v>162</v>
      </c>
      <c r="G99" s="1" t="s">
        <v>8</v>
      </c>
      <c r="H99" s="1">
        <v>3.44</v>
      </c>
      <c r="I99" s="1">
        <f t="shared" si="73"/>
        <v>3.44</v>
      </c>
      <c r="J99" t="b">
        <f t="shared" si="72"/>
        <v>0</v>
      </c>
      <c r="K99" t="b">
        <f t="shared" si="74"/>
        <v>1</v>
      </c>
      <c r="L99" t="b">
        <f t="shared" si="75"/>
        <v>0</v>
      </c>
      <c r="M99" t="b">
        <f t="shared" si="76"/>
        <v>0</v>
      </c>
      <c r="N99" t="b">
        <f t="shared" si="77"/>
        <v>0</v>
      </c>
      <c r="O99" t="b">
        <f t="shared" si="78"/>
        <v>0</v>
      </c>
      <c r="P99" t="b">
        <f t="shared" si="79"/>
        <v>0</v>
      </c>
      <c r="Q99" t="b">
        <f t="shared" si="80"/>
        <v>0</v>
      </c>
      <c r="R99" t="b">
        <f t="shared" si="81"/>
        <v>0</v>
      </c>
      <c r="S99" t="b">
        <f t="shared" si="82"/>
        <v>0</v>
      </c>
      <c r="T99" t="b">
        <f t="shared" si="83"/>
        <v>0</v>
      </c>
      <c r="U99" t="b">
        <f t="shared" si="84"/>
        <v>0</v>
      </c>
      <c r="V99" t="b">
        <f t="shared" si="85"/>
        <v>0</v>
      </c>
      <c r="W99" t="b">
        <f t="shared" si="86"/>
        <v>0</v>
      </c>
      <c r="X99" t="b">
        <f t="shared" si="87"/>
        <v>0</v>
      </c>
      <c r="Y99" t="b">
        <f t="shared" si="88"/>
        <v>0</v>
      </c>
      <c r="Z99" t="b">
        <f t="shared" si="89"/>
        <v>0</v>
      </c>
      <c r="AA99" t="b">
        <f t="shared" si="90"/>
        <v>0</v>
      </c>
      <c r="AB99" t="b">
        <f t="shared" si="91"/>
        <v>0</v>
      </c>
      <c r="AC99" t="b">
        <f t="shared" si="92"/>
        <v>0</v>
      </c>
      <c r="AD99" t="b">
        <f t="shared" si="93"/>
        <v>0</v>
      </c>
      <c r="AE99" t="b">
        <f t="shared" si="94"/>
        <v>0</v>
      </c>
      <c r="AF99" t="b">
        <f t="shared" si="95"/>
        <v>0</v>
      </c>
    </row>
    <row r="100" spans="1:32" x14ac:dyDescent="0.25">
      <c r="A100" s="1" t="s">
        <v>0</v>
      </c>
      <c r="B100" s="25" t="s">
        <v>159</v>
      </c>
      <c r="C100" s="2" t="s">
        <v>165</v>
      </c>
      <c r="D100" s="1">
        <v>1341660</v>
      </c>
      <c r="E100" s="1" t="s">
        <v>182</v>
      </c>
      <c r="F100" s="1" t="s">
        <v>162</v>
      </c>
      <c r="G100" s="1" t="s">
        <v>8</v>
      </c>
      <c r="H100" s="1">
        <v>2.5</v>
      </c>
      <c r="I100" s="1">
        <f t="shared" si="73"/>
        <v>2.5</v>
      </c>
      <c r="J100" t="b">
        <f t="shared" si="72"/>
        <v>0</v>
      </c>
      <c r="K100" t="b">
        <f t="shared" si="74"/>
        <v>1</v>
      </c>
      <c r="L100" t="b">
        <f t="shared" si="75"/>
        <v>0</v>
      </c>
      <c r="M100" t="b">
        <f t="shared" si="76"/>
        <v>0</v>
      </c>
      <c r="N100" t="b">
        <f t="shared" si="77"/>
        <v>0</v>
      </c>
      <c r="O100" t="b">
        <f t="shared" si="78"/>
        <v>0</v>
      </c>
      <c r="P100" t="b">
        <f t="shared" si="79"/>
        <v>0</v>
      </c>
      <c r="Q100" t="b">
        <f t="shared" si="80"/>
        <v>0</v>
      </c>
      <c r="R100" t="b">
        <f t="shared" si="81"/>
        <v>0</v>
      </c>
      <c r="S100" t="b">
        <f t="shared" si="82"/>
        <v>0</v>
      </c>
      <c r="T100" t="b">
        <f t="shared" si="83"/>
        <v>0</v>
      </c>
      <c r="U100" t="b">
        <f t="shared" si="84"/>
        <v>0</v>
      </c>
      <c r="V100" t="b">
        <f t="shared" si="85"/>
        <v>0</v>
      </c>
      <c r="W100" t="b">
        <f t="shared" si="86"/>
        <v>0</v>
      </c>
      <c r="X100" t="b">
        <f t="shared" si="87"/>
        <v>0</v>
      </c>
      <c r="Y100" t="b">
        <f t="shared" si="88"/>
        <v>0</v>
      </c>
      <c r="Z100" t="b">
        <f t="shared" si="89"/>
        <v>0</v>
      </c>
      <c r="AA100" t="b">
        <f t="shared" si="90"/>
        <v>0</v>
      </c>
      <c r="AB100" t="b">
        <f t="shared" si="91"/>
        <v>0</v>
      </c>
      <c r="AC100" t="b">
        <f t="shared" si="92"/>
        <v>0</v>
      </c>
      <c r="AD100" t="b">
        <f t="shared" si="93"/>
        <v>0</v>
      </c>
      <c r="AE100" t="b">
        <f t="shared" si="94"/>
        <v>0</v>
      </c>
      <c r="AF100" t="b">
        <f t="shared" si="95"/>
        <v>0</v>
      </c>
    </row>
    <row r="101" spans="1:32" x14ac:dyDescent="0.25">
      <c r="A101" s="1" t="s">
        <v>0</v>
      </c>
      <c r="B101" s="25" t="s">
        <v>159</v>
      </c>
      <c r="C101" s="2" t="s">
        <v>165</v>
      </c>
      <c r="D101" s="1">
        <v>1341660</v>
      </c>
      <c r="E101" s="1" t="s">
        <v>183</v>
      </c>
      <c r="F101" s="1" t="s">
        <v>162</v>
      </c>
      <c r="G101" s="1" t="s">
        <v>17</v>
      </c>
      <c r="H101" s="1">
        <v>3.37</v>
      </c>
      <c r="I101" s="1">
        <f t="shared" si="73"/>
        <v>3.37</v>
      </c>
      <c r="J101" t="b">
        <f t="shared" si="72"/>
        <v>0</v>
      </c>
      <c r="K101" t="b">
        <f t="shared" si="74"/>
        <v>1</v>
      </c>
      <c r="L101" t="b">
        <f t="shared" si="75"/>
        <v>0</v>
      </c>
      <c r="M101" t="b">
        <f t="shared" si="76"/>
        <v>0</v>
      </c>
      <c r="N101" t="b">
        <f t="shared" si="77"/>
        <v>0</v>
      </c>
      <c r="O101" t="b">
        <f t="shared" si="78"/>
        <v>0</v>
      </c>
      <c r="P101" t="b">
        <f t="shared" si="79"/>
        <v>0</v>
      </c>
      <c r="Q101" t="b">
        <f t="shared" si="80"/>
        <v>0</v>
      </c>
      <c r="R101" t="b">
        <f t="shared" si="81"/>
        <v>0</v>
      </c>
      <c r="S101" t="b">
        <f t="shared" si="82"/>
        <v>0</v>
      </c>
      <c r="T101" t="b">
        <f t="shared" si="83"/>
        <v>0</v>
      </c>
      <c r="U101" t="b">
        <f t="shared" si="84"/>
        <v>0</v>
      </c>
      <c r="V101" t="b">
        <f t="shared" si="85"/>
        <v>0</v>
      </c>
      <c r="W101" t="b">
        <f t="shared" si="86"/>
        <v>0</v>
      </c>
      <c r="X101" t="b">
        <f t="shared" si="87"/>
        <v>0</v>
      </c>
      <c r="Y101" t="b">
        <f t="shared" si="88"/>
        <v>0</v>
      </c>
      <c r="Z101" t="b">
        <f t="shared" si="89"/>
        <v>0</v>
      </c>
      <c r="AA101" t="b">
        <f t="shared" si="90"/>
        <v>0</v>
      </c>
      <c r="AB101" t="b">
        <f t="shared" si="91"/>
        <v>0</v>
      </c>
      <c r="AC101" t="b">
        <f t="shared" si="92"/>
        <v>0</v>
      </c>
      <c r="AD101" t="b">
        <f t="shared" si="93"/>
        <v>0</v>
      </c>
      <c r="AE101" t="b">
        <f t="shared" si="94"/>
        <v>0</v>
      </c>
      <c r="AF101" t="b">
        <f t="shared" si="95"/>
        <v>0</v>
      </c>
    </row>
    <row r="102" spans="1:32" x14ac:dyDescent="0.25">
      <c r="A102" s="1" t="s">
        <v>0</v>
      </c>
      <c r="B102" s="25" t="s">
        <v>159</v>
      </c>
      <c r="C102" s="2" t="s">
        <v>165</v>
      </c>
      <c r="D102" s="1">
        <v>1341660</v>
      </c>
      <c r="E102" s="1" t="s">
        <v>184</v>
      </c>
      <c r="F102" s="1" t="s">
        <v>162</v>
      </c>
      <c r="G102" s="1" t="s">
        <v>17</v>
      </c>
      <c r="H102" s="1">
        <v>1.9</v>
      </c>
      <c r="I102" s="1">
        <f t="shared" si="73"/>
        <v>1.9</v>
      </c>
      <c r="J102" t="b">
        <f t="shared" si="72"/>
        <v>0</v>
      </c>
      <c r="K102" t="b">
        <f t="shared" si="74"/>
        <v>1</v>
      </c>
      <c r="L102" t="b">
        <f t="shared" si="75"/>
        <v>0</v>
      </c>
      <c r="M102" t="b">
        <f t="shared" si="76"/>
        <v>0</v>
      </c>
      <c r="N102" t="b">
        <f t="shared" si="77"/>
        <v>0</v>
      </c>
      <c r="O102" t="b">
        <f t="shared" si="78"/>
        <v>0</v>
      </c>
      <c r="P102" t="b">
        <f t="shared" si="79"/>
        <v>0</v>
      </c>
      <c r="Q102" t="b">
        <f t="shared" si="80"/>
        <v>0</v>
      </c>
      <c r="R102" t="b">
        <f t="shared" si="81"/>
        <v>0</v>
      </c>
      <c r="S102" t="b">
        <f t="shared" si="82"/>
        <v>0</v>
      </c>
      <c r="T102" t="b">
        <f t="shared" si="83"/>
        <v>0</v>
      </c>
      <c r="U102" t="b">
        <f t="shared" si="84"/>
        <v>0</v>
      </c>
      <c r="V102" t="b">
        <f t="shared" si="85"/>
        <v>0</v>
      </c>
      <c r="W102" t="b">
        <f t="shared" si="86"/>
        <v>0</v>
      </c>
      <c r="X102" t="b">
        <f t="shared" si="87"/>
        <v>0</v>
      </c>
      <c r="Y102" t="b">
        <f t="shared" si="88"/>
        <v>0</v>
      </c>
      <c r="Z102" t="b">
        <f t="shared" si="89"/>
        <v>0</v>
      </c>
      <c r="AA102" t="b">
        <f t="shared" si="90"/>
        <v>0</v>
      </c>
      <c r="AB102" t="b">
        <f t="shared" si="91"/>
        <v>0</v>
      </c>
      <c r="AC102" t="b">
        <f t="shared" si="92"/>
        <v>0</v>
      </c>
      <c r="AD102" t="b">
        <f t="shared" si="93"/>
        <v>0</v>
      </c>
      <c r="AE102" t="b">
        <f t="shared" si="94"/>
        <v>0</v>
      </c>
      <c r="AF102" t="b">
        <f t="shared" si="95"/>
        <v>0</v>
      </c>
    </row>
    <row r="103" spans="1:32" x14ac:dyDescent="0.25">
      <c r="A103" s="1" t="s">
        <v>0</v>
      </c>
      <c r="B103" s="25" t="s">
        <v>159</v>
      </c>
      <c r="C103" s="2" t="s">
        <v>165</v>
      </c>
      <c r="D103" s="1">
        <v>1341660</v>
      </c>
      <c r="E103" s="1" t="s">
        <v>185</v>
      </c>
      <c r="F103" s="1" t="s">
        <v>162</v>
      </c>
      <c r="G103" s="1" t="s">
        <v>17</v>
      </c>
      <c r="H103" s="1">
        <v>4.78</v>
      </c>
      <c r="I103" s="1">
        <f t="shared" si="73"/>
        <v>4.78</v>
      </c>
      <c r="J103" t="b">
        <f t="shared" si="72"/>
        <v>0</v>
      </c>
      <c r="K103" t="b">
        <f t="shared" si="74"/>
        <v>1</v>
      </c>
      <c r="L103" t="b">
        <f t="shared" si="75"/>
        <v>0</v>
      </c>
      <c r="M103" t="b">
        <f t="shared" si="76"/>
        <v>0</v>
      </c>
      <c r="N103" t="b">
        <f t="shared" si="77"/>
        <v>0</v>
      </c>
      <c r="O103" t="b">
        <f t="shared" si="78"/>
        <v>0</v>
      </c>
      <c r="P103" t="b">
        <f t="shared" si="79"/>
        <v>0</v>
      </c>
      <c r="Q103" t="b">
        <f t="shared" si="80"/>
        <v>0</v>
      </c>
      <c r="R103" t="b">
        <f t="shared" si="81"/>
        <v>0</v>
      </c>
      <c r="S103" t="b">
        <f t="shared" si="82"/>
        <v>0</v>
      </c>
      <c r="T103" t="b">
        <f t="shared" si="83"/>
        <v>0</v>
      </c>
      <c r="U103" t="b">
        <f t="shared" si="84"/>
        <v>0</v>
      </c>
      <c r="V103" t="b">
        <f t="shared" si="85"/>
        <v>0</v>
      </c>
      <c r="W103" t="b">
        <f t="shared" si="86"/>
        <v>0</v>
      </c>
      <c r="X103" t="b">
        <f t="shared" si="87"/>
        <v>0</v>
      </c>
      <c r="Y103" t="b">
        <f t="shared" si="88"/>
        <v>0</v>
      </c>
      <c r="Z103" t="b">
        <f t="shared" si="89"/>
        <v>0</v>
      </c>
      <c r="AA103" t="b">
        <f t="shared" si="90"/>
        <v>0</v>
      </c>
      <c r="AB103" t="b">
        <f t="shared" si="91"/>
        <v>0</v>
      </c>
      <c r="AC103" t="b">
        <f t="shared" si="92"/>
        <v>0</v>
      </c>
      <c r="AD103" t="b">
        <f t="shared" si="93"/>
        <v>0</v>
      </c>
      <c r="AE103" t="b">
        <f t="shared" si="94"/>
        <v>0</v>
      </c>
      <c r="AF103" t="b">
        <f t="shared" si="95"/>
        <v>0</v>
      </c>
    </row>
    <row r="104" spans="1:32" x14ac:dyDescent="0.25">
      <c r="A104" s="1" t="s">
        <v>0</v>
      </c>
      <c r="B104" s="25" t="s">
        <v>159</v>
      </c>
      <c r="C104" s="2" t="s">
        <v>165</v>
      </c>
      <c r="D104" s="1">
        <v>1341660</v>
      </c>
      <c r="E104" s="1" t="s">
        <v>186</v>
      </c>
      <c r="F104" s="1" t="s">
        <v>162</v>
      </c>
      <c r="G104" s="1" t="s">
        <v>8</v>
      </c>
      <c r="H104" s="1">
        <v>1.24</v>
      </c>
      <c r="I104" s="1">
        <f t="shared" si="73"/>
        <v>1.24</v>
      </c>
      <c r="J104" t="b">
        <f t="shared" si="72"/>
        <v>0</v>
      </c>
      <c r="K104" t="b">
        <f t="shared" si="74"/>
        <v>1</v>
      </c>
      <c r="L104" t="b">
        <f t="shared" si="75"/>
        <v>0</v>
      </c>
      <c r="M104" t="b">
        <f t="shared" si="76"/>
        <v>0</v>
      </c>
      <c r="N104" t="b">
        <f t="shared" si="77"/>
        <v>0</v>
      </c>
      <c r="O104" t="b">
        <f t="shared" si="78"/>
        <v>0</v>
      </c>
      <c r="P104" t="b">
        <f t="shared" si="79"/>
        <v>0</v>
      </c>
      <c r="Q104" t="b">
        <f t="shared" si="80"/>
        <v>0</v>
      </c>
      <c r="R104" t="b">
        <f t="shared" si="81"/>
        <v>0</v>
      </c>
      <c r="S104" t="b">
        <f t="shared" si="82"/>
        <v>0</v>
      </c>
      <c r="T104" t="b">
        <f t="shared" si="83"/>
        <v>0</v>
      </c>
      <c r="U104" t="b">
        <f t="shared" si="84"/>
        <v>0</v>
      </c>
      <c r="V104" t="b">
        <f t="shared" si="85"/>
        <v>0</v>
      </c>
      <c r="W104" t="b">
        <f t="shared" si="86"/>
        <v>0</v>
      </c>
      <c r="X104" t="b">
        <f t="shared" si="87"/>
        <v>0</v>
      </c>
      <c r="Y104" t="b">
        <f t="shared" si="88"/>
        <v>0</v>
      </c>
      <c r="Z104" t="b">
        <f t="shared" si="89"/>
        <v>0</v>
      </c>
      <c r="AA104" t="b">
        <f t="shared" si="90"/>
        <v>0</v>
      </c>
      <c r="AB104" t="b">
        <f t="shared" si="91"/>
        <v>0</v>
      </c>
      <c r="AC104" t="b">
        <f t="shared" si="92"/>
        <v>0</v>
      </c>
      <c r="AD104" t="b">
        <f t="shared" si="93"/>
        <v>0</v>
      </c>
      <c r="AE104" t="b">
        <f t="shared" si="94"/>
        <v>0</v>
      </c>
      <c r="AF104" t="b">
        <f t="shared" si="95"/>
        <v>0</v>
      </c>
    </row>
    <row r="105" spans="1:32" x14ac:dyDescent="0.25">
      <c r="A105" s="1" t="s">
        <v>0</v>
      </c>
      <c r="B105" s="25" t="s">
        <v>159</v>
      </c>
      <c r="C105" s="2" t="s">
        <v>187</v>
      </c>
      <c r="D105" s="1">
        <v>1341660</v>
      </c>
      <c r="E105" s="1" t="s">
        <v>188</v>
      </c>
      <c r="F105" s="1" t="s">
        <v>162</v>
      </c>
      <c r="G105" s="1" t="s">
        <v>17</v>
      </c>
      <c r="H105" s="1">
        <v>3.62</v>
      </c>
      <c r="I105" s="1">
        <f t="shared" si="73"/>
        <v>3.62</v>
      </c>
      <c r="J105" t="b">
        <f t="shared" si="72"/>
        <v>0</v>
      </c>
      <c r="K105" t="b">
        <f t="shared" si="74"/>
        <v>1</v>
      </c>
      <c r="L105" t="b">
        <f t="shared" si="75"/>
        <v>0</v>
      </c>
      <c r="M105" t="b">
        <f t="shared" si="76"/>
        <v>0</v>
      </c>
      <c r="N105" t="b">
        <f t="shared" si="77"/>
        <v>0</v>
      </c>
      <c r="O105" t="b">
        <f t="shared" si="78"/>
        <v>0</v>
      </c>
      <c r="P105" t="b">
        <f t="shared" si="79"/>
        <v>0</v>
      </c>
      <c r="Q105" t="b">
        <f t="shared" si="80"/>
        <v>0</v>
      </c>
      <c r="R105" t="b">
        <f t="shared" si="81"/>
        <v>0</v>
      </c>
      <c r="S105" t="b">
        <f t="shared" si="82"/>
        <v>0</v>
      </c>
      <c r="T105" t="b">
        <f t="shared" si="83"/>
        <v>0</v>
      </c>
      <c r="U105" t="b">
        <f t="shared" si="84"/>
        <v>0</v>
      </c>
      <c r="V105" t="b">
        <f t="shared" si="85"/>
        <v>0</v>
      </c>
      <c r="W105" t="b">
        <f t="shared" si="86"/>
        <v>0</v>
      </c>
      <c r="X105" t="b">
        <f t="shared" si="87"/>
        <v>0</v>
      </c>
      <c r="Y105" t="b">
        <f t="shared" si="88"/>
        <v>0</v>
      </c>
      <c r="Z105" t="b">
        <f t="shared" si="89"/>
        <v>0</v>
      </c>
      <c r="AA105" t="b">
        <f t="shared" si="90"/>
        <v>0</v>
      </c>
      <c r="AB105" t="b">
        <f t="shared" si="91"/>
        <v>0</v>
      </c>
      <c r="AC105" t="b">
        <f t="shared" si="92"/>
        <v>0</v>
      </c>
      <c r="AD105" t="b">
        <f t="shared" si="93"/>
        <v>0</v>
      </c>
      <c r="AE105" t="b">
        <f t="shared" si="94"/>
        <v>0</v>
      </c>
      <c r="AF105" t="b">
        <f t="shared" si="95"/>
        <v>0</v>
      </c>
    </row>
    <row r="106" spans="1:32" x14ac:dyDescent="0.25">
      <c r="A106" s="1" t="s">
        <v>0</v>
      </c>
      <c r="B106" s="25" t="s">
        <v>159</v>
      </c>
      <c r="C106" s="2" t="s">
        <v>187</v>
      </c>
      <c r="D106" s="1">
        <v>1341660</v>
      </c>
      <c r="E106" s="1" t="s">
        <v>189</v>
      </c>
      <c r="F106" s="1" t="s">
        <v>162</v>
      </c>
      <c r="G106" s="1" t="s">
        <v>17</v>
      </c>
      <c r="H106" s="1">
        <v>3.28</v>
      </c>
      <c r="I106" s="1">
        <f t="shared" si="73"/>
        <v>3.28</v>
      </c>
      <c r="J106" t="b">
        <f t="shared" si="72"/>
        <v>0</v>
      </c>
      <c r="K106" t="b">
        <f t="shared" si="74"/>
        <v>1</v>
      </c>
      <c r="L106" t="b">
        <f t="shared" si="75"/>
        <v>0</v>
      </c>
      <c r="M106" t="b">
        <f t="shared" si="76"/>
        <v>0</v>
      </c>
      <c r="N106" t="b">
        <f t="shared" si="77"/>
        <v>0</v>
      </c>
      <c r="O106" t="b">
        <f t="shared" si="78"/>
        <v>0</v>
      </c>
      <c r="P106" t="b">
        <f t="shared" si="79"/>
        <v>0</v>
      </c>
      <c r="Q106" t="b">
        <f t="shared" si="80"/>
        <v>0</v>
      </c>
      <c r="R106" t="b">
        <f t="shared" si="81"/>
        <v>0</v>
      </c>
      <c r="S106" t="b">
        <f t="shared" si="82"/>
        <v>0</v>
      </c>
      <c r="T106" t="b">
        <f t="shared" si="83"/>
        <v>0</v>
      </c>
      <c r="U106" t="b">
        <f t="shared" si="84"/>
        <v>0</v>
      </c>
      <c r="V106" t="b">
        <f t="shared" si="85"/>
        <v>0</v>
      </c>
      <c r="W106" t="b">
        <f t="shared" si="86"/>
        <v>0</v>
      </c>
      <c r="X106" t="b">
        <f t="shared" si="87"/>
        <v>0</v>
      </c>
      <c r="Y106" t="b">
        <f t="shared" si="88"/>
        <v>0</v>
      </c>
      <c r="Z106" t="b">
        <f t="shared" si="89"/>
        <v>0</v>
      </c>
      <c r="AA106" t="b">
        <f t="shared" si="90"/>
        <v>0</v>
      </c>
      <c r="AB106" t="b">
        <f t="shared" si="91"/>
        <v>0</v>
      </c>
      <c r="AC106" t="b">
        <f t="shared" si="92"/>
        <v>0</v>
      </c>
      <c r="AD106" t="b">
        <f t="shared" si="93"/>
        <v>0</v>
      </c>
      <c r="AE106" t="b">
        <f t="shared" si="94"/>
        <v>0</v>
      </c>
      <c r="AF106" t="b">
        <f t="shared" si="95"/>
        <v>0</v>
      </c>
    </row>
    <row r="107" spans="1:32" x14ac:dyDescent="0.25">
      <c r="A107" s="1" t="s">
        <v>0</v>
      </c>
      <c r="B107" s="25" t="s">
        <v>159</v>
      </c>
      <c r="C107" s="2" t="s">
        <v>187</v>
      </c>
      <c r="D107" s="1">
        <v>1341660</v>
      </c>
      <c r="E107" s="1" t="s">
        <v>190</v>
      </c>
      <c r="F107" s="1" t="s">
        <v>162</v>
      </c>
      <c r="G107" s="1" t="s">
        <v>5</v>
      </c>
      <c r="H107" s="1">
        <v>1.2</v>
      </c>
      <c r="I107" s="1">
        <v>1</v>
      </c>
      <c r="J107" t="b">
        <f t="shared" si="72"/>
        <v>0</v>
      </c>
      <c r="K107" t="b">
        <f t="shared" si="74"/>
        <v>1</v>
      </c>
      <c r="L107" t="b">
        <f t="shared" si="75"/>
        <v>0</v>
      </c>
      <c r="M107" t="b">
        <f t="shared" si="76"/>
        <v>0</v>
      </c>
      <c r="N107" t="b">
        <f t="shared" si="77"/>
        <v>0</v>
      </c>
      <c r="O107" t="b">
        <f t="shared" si="78"/>
        <v>0</v>
      </c>
      <c r="P107" t="b">
        <f t="shared" si="79"/>
        <v>0</v>
      </c>
      <c r="Q107" t="b">
        <f t="shared" si="80"/>
        <v>0</v>
      </c>
      <c r="R107" t="b">
        <f t="shared" si="81"/>
        <v>0</v>
      </c>
      <c r="S107" t="b">
        <f t="shared" si="82"/>
        <v>0</v>
      </c>
      <c r="T107" t="b">
        <f t="shared" si="83"/>
        <v>0</v>
      </c>
      <c r="U107" t="b">
        <f t="shared" si="84"/>
        <v>0</v>
      </c>
      <c r="V107" t="b">
        <f t="shared" si="85"/>
        <v>0</v>
      </c>
      <c r="W107" t="b">
        <f t="shared" si="86"/>
        <v>0</v>
      </c>
      <c r="X107" t="b">
        <f t="shared" si="87"/>
        <v>0</v>
      </c>
      <c r="Y107" t="b">
        <f t="shared" si="88"/>
        <v>0</v>
      </c>
      <c r="Z107" t="b">
        <f t="shared" si="89"/>
        <v>0</v>
      </c>
      <c r="AA107" t="b">
        <f t="shared" si="90"/>
        <v>0</v>
      </c>
      <c r="AB107" t="b">
        <f t="shared" si="91"/>
        <v>0</v>
      </c>
      <c r="AC107" t="b">
        <f t="shared" si="92"/>
        <v>0</v>
      </c>
      <c r="AD107" t="b">
        <f t="shared" si="93"/>
        <v>0</v>
      </c>
      <c r="AE107" t="b">
        <f t="shared" si="94"/>
        <v>0</v>
      </c>
      <c r="AF107" t="b">
        <f t="shared" si="95"/>
        <v>0</v>
      </c>
    </row>
    <row r="108" spans="1:32" x14ac:dyDescent="0.25">
      <c r="A108" s="1" t="s">
        <v>0</v>
      </c>
      <c r="B108" s="25" t="s">
        <v>159</v>
      </c>
      <c r="C108" s="2" t="s">
        <v>187</v>
      </c>
      <c r="D108" s="1">
        <v>1341660</v>
      </c>
      <c r="E108" s="1" t="s">
        <v>191</v>
      </c>
      <c r="F108" s="1" t="s">
        <v>162</v>
      </c>
      <c r="G108" s="1" t="s">
        <v>5</v>
      </c>
      <c r="H108" s="1">
        <v>2.66</v>
      </c>
      <c r="I108" s="1">
        <v>2</v>
      </c>
      <c r="J108" t="b">
        <f t="shared" ref="J108:J139" si="96">IF(ISERROR(SEARCH("GAC_Carbon_Stream_ESPCP",$B108,1)),FALSE,TRUE)</f>
        <v>0</v>
      </c>
      <c r="K108" t="b">
        <f t="shared" si="74"/>
        <v>1</v>
      </c>
      <c r="L108" t="b">
        <f t="shared" si="75"/>
        <v>0</v>
      </c>
      <c r="M108" t="b">
        <f t="shared" si="76"/>
        <v>0</v>
      </c>
      <c r="N108" t="b">
        <f t="shared" si="77"/>
        <v>0</v>
      </c>
      <c r="O108" t="b">
        <f t="shared" si="78"/>
        <v>0</v>
      </c>
      <c r="P108" t="b">
        <f t="shared" si="79"/>
        <v>0</v>
      </c>
      <c r="Q108" t="b">
        <f t="shared" si="80"/>
        <v>0</v>
      </c>
      <c r="R108" t="b">
        <f t="shared" si="81"/>
        <v>0</v>
      </c>
      <c r="S108" t="b">
        <f t="shared" si="82"/>
        <v>0</v>
      </c>
      <c r="T108" t="b">
        <f t="shared" si="83"/>
        <v>0</v>
      </c>
      <c r="U108" t="b">
        <f t="shared" si="84"/>
        <v>0</v>
      </c>
      <c r="V108" t="b">
        <f t="shared" si="85"/>
        <v>0</v>
      </c>
      <c r="W108" t="b">
        <f t="shared" si="86"/>
        <v>0</v>
      </c>
      <c r="X108" t="b">
        <f t="shared" si="87"/>
        <v>0</v>
      </c>
      <c r="Y108" t="b">
        <f t="shared" si="88"/>
        <v>0</v>
      </c>
      <c r="Z108" t="b">
        <f t="shared" si="89"/>
        <v>0</v>
      </c>
      <c r="AA108" t="b">
        <f t="shared" si="90"/>
        <v>0</v>
      </c>
      <c r="AB108" t="b">
        <f t="shared" si="91"/>
        <v>0</v>
      </c>
      <c r="AC108" t="b">
        <f t="shared" si="92"/>
        <v>0</v>
      </c>
      <c r="AD108" t="b">
        <f t="shared" si="93"/>
        <v>0</v>
      </c>
      <c r="AE108" t="b">
        <f t="shared" si="94"/>
        <v>0</v>
      </c>
      <c r="AF108" t="b">
        <f t="shared" si="95"/>
        <v>0</v>
      </c>
    </row>
    <row r="109" spans="1:32" x14ac:dyDescent="0.25">
      <c r="A109" s="1" t="s">
        <v>0</v>
      </c>
      <c r="B109" s="25" t="s">
        <v>159</v>
      </c>
      <c r="C109" s="2" t="s">
        <v>187</v>
      </c>
      <c r="D109" s="1">
        <v>1341660</v>
      </c>
      <c r="E109" s="1" t="s">
        <v>192</v>
      </c>
      <c r="F109" s="1" t="s">
        <v>162</v>
      </c>
      <c r="G109" s="1" t="s">
        <v>17</v>
      </c>
      <c r="H109" s="1">
        <v>0.44</v>
      </c>
      <c r="I109" s="1">
        <f>H109</f>
        <v>0.44</v>
      </c>
      <c r="J109" t="b">
        <f t="shared" si="96"/>
        <v>0</v>
      </c>
      <c r="K109" t="b">
        <f t="shared" si="74"/>
        <v>1</v>
      </c>
      <c r="L109" t="b">
        <f t="shared" si="75"/>
        <v>0</v>
      </c>
      <c r="M109" t="b">
        <f t="shared" si="76"/>
        <v>0</v>
      </c>
      <c r="N109" t="b">
        <f t="shared" si="77"/>
        <v>0</v>
      </c>
      <c r="O109" t="b">
        <f t="shared" si="78"/>
        <v>0</v>
      </c>
      <c r="P109" t="b">
        <f t="shared" si="79"/>
        <v>0</v>
      </c>
      <c r="Q109" t="b">
        <f t="shared" si="80"/>
        <v>0</v>
      </c>
      <c r="R109" t="b">
        <f t="shared" si="81"/>
        <v>0</v>
      </c>
      <c r="S109" t="b">
        <f t="shared" si="82"/>
        <v>0</v>
      </c>
      <c r="T109" t="b">
        <f t="shared" si="83"/>
        <v>0</v>
      </c>
      <c r="U109" t="b">
        <f t="shared" si="84"/>
        <v>0</v>
      </c>
      <c r="V109" t="b">
        <f t="shared" si="85"/>
        <v>0</v>
      </c>
      <c r="W109" t="b">
        <f t="shared" si="86"/>
        <v>0</v>
      </c>
      <c r="X109" t="b">
        <f t="shared" si="87"/>
        <v>0</v>
      </c>
      <c r="Y109" t="b">
        <f t="shared" si="88"/>
        <v>0</v>
      </c>
      <c r="Z109" t="b">
        <f t="shared" si="89"/>
        <v>0</v>
      </c>
      <c r="AA109" t="b">
        <f t="shared" si="90"/>
        <v>0</v>
      </c>
      <c r="AB109" t="b">
        <f t="shared" si="91"/>
        <v>0</v>
      </c>
      <c r="AC109" t="b">
        <f t="shared" si="92"/>
        <v>0</v>
      </c>
      <c r="AD109" t="b">
        <f t="shared" si="93"/>
        <v>0</v>
      </c>
      <c r="AE109" t="b">
        <f t="shared" si="94"/>
        <v>0</v>
      </c>
      <c r="AF109" t="b">
        <f t="shared" si="95"/>
        <v>0</v>
      </c>
    </row>
    <row r="110" spans="1:32" x14ac:dyDescent="0.25">
      <c r="A110" s="1" t="s">
        <v>0</v>
      </c>
      <c r="B110" s="25" t="s">
        <v>159</v>
      </c>
      <c r="C110" s="2" t="s">
        <v>193</v>
      </c>
      <c r="D110" s="1">
        <v>1341660</v>
      </c>
      <c r="E110" s="1" t="s">
        <v>80</v>
      </c>
      <c r="F110" s="1" t="s">
        <v>162</v>
      </c>
      <c r="G110" s="1" t="s">
        <v>8</v>
      </c>
      <c r="H110" s="1">
        <v>8.65</v>
      </c>
      <c r="I110" s="1"/>
      <c r="J110" t="b">
        <f t="shared" si="96"/>
        <v>0</v>
      </c>
      <c r="K110" t="b">
        <f t="shared" si="74"/>
        <v>1</v>
      </c>
      <c r="L110" t="b">
        <f t="shared" si="75"/>
        <v>0</v>
      </c>
      <c r="M110" t="b">
        <f t="shared" si="76"/>
        <v>0</v>
      </c>
      <c r="N110" t="b">
        <f t="shared" si="77"/>
        <v>0</v>
      </c>
      <c r="O110" t="b">
        <f t="shared" si="78"/>
        <v>0</v>
      </c>
      <c r="P110" t="b">
        <f t="shared" si="79"/>
        <v>0</v>
      </c>
      <c r="Q110" t="b">
        <f t="shared" si="80"/>
        <v>0</v>
      </c>
      <c r="R110" t="b">
        <f t="shared" si="81"/>
        <v>0</v>
      </c>
      <c r="S110" t="b">
        <f t="shared" si="82"/>
        <v>0</v>
      </c>
      <c r="T110" t="b">
        <f t="shared" si="83"/>
        <v>0</v>
      </c>
      <c r="U110" t="b">
        <f t="shared" si="84"/>
        <v>0</v>
      </c>
      <c r="V110" t="b">
        <f t="shared" si="85"/>
        <v>0</v>
      </c>
      <c r="W110" t="b">
        <f t="shared" si="86"/>
        <v>0</v>
      </c>
      <c r="X110" t="b">
        <f t="shared" si="87"/>
        <v>0</v>
      </c>
      <c r="Y110" t="b">
        <f t="shared" si="88"/>
        <v>0</v>
      </c>
      <c r="Z110" t="b">
        <f t="shared" si="89"/>
        <v>0</v>
      </c>
      <c r="AA110" t="b">
        <f t="shared" si="90"/>
        <v>0</v>
      </c>
      <c r="AB110" t="b">
        <f t="shared" si="91"/>
        <v>0</v>
      </c>
      <c r="AC110" t="b">
        <f t="shared" si="92"/>
        <v>0</v>
      </c>
      <c r="AD110" t="b">
        <f t="shared" si="93"/>
        <v>0</v>
      </c>
      <c r="AE110" t="b">
        <f t="shared" si="94"/>
        <v>0</v>
      </c>
      <c r="AF110" t="b">
        <f t="shared" si="95"/>
        <v>0</v>
      </c>
    </row>
    <row r="111" spans="1:32" x14ac:dyDescent="0.25">
      <c r="A111" s="1" t="s">
        <v>0</v>
      </c>
      <c r="B111" s="25" t="s">
        <v>159</v>
      </c>
      <c r="C111" s="2" t="s">
        <v>193</v>
      </c>
      <c r="D111" s="1">
        <v>1341660</v>
      </c>
      <c r="E111" s="1" t="s">
        <v>194</v>
      </c>
      <c r="F111" s="1" t="s">
        <v>162</v>
      </c>
      <c r="G111" s="1" t="s">
        <v>17</v>
      </c>
      <c r="H111" s="1">
        <v>1.95</v>
      </c>
      <c r="I111" s="1">
        <f>H111</f>
        <v>1.95</v>
      </c>
      <c r="J111" t="b">
        <f t="shared" si="96"/>
        <v>0</v>
      </c>
      <c r="K111" t="b">
        <f t="shared" si="74"/>
        <v>1</v>
      </c>
      <c r="L111" t="b">
        <f t="shared" si="75"/>
        <v>0</v>
      </c>
      <c r="M111" t="b">
        <f t="shared" si="76"/>
        <v>0</v>
      </c>
      <c r="N111" t="b">
        <f t="shared" si="77"/>
        <v>0</v>
      </c>
      <c r="O111" t="b">
        <f t="shared" si="78"/>
        <v>0</v>
      </c>
      <c r="P111" t="b">
        <f t="shared" si="79"/>
        <v>0</v>
      </c>
      <c r="Q111" t="b">
        <f t="shared" si="80"/>
        <v>0</v>
      </c>
      <c r="R111" t="b">
        <f t="shared" si="81"/>
        <v>0</v>
      </c>
      <c r="S111" t="b">
        <f t="shared" si="82"/>
        <v>0</v>
      </c>
      <c r="T111" t="b">
        <f t="shared" si="83"/>
        <v>0</v>
      </c>
      <c r="U111" t="b">
        <f t="shared" si="84"/>
        <v>0</v>
      </c>
      <c r="V111" t="b">
        <f t="shared" si="85"/>
        <v>0</v>
      </c>
      <c r="W111" t="b">
        <f t="shared" si="86"/>
        <v>0</v>
      </c>
      <c r="X111" t="b">
        <f t="shared" si="87"/>
        <v>0</v>
      </c>
      <c r="Y111" t="b">
        <f t="shared" si="88"/>
        <v>0</v>
      </c>
      <c r="Z111" t="b">
        <f t="shared" si="89"/>
        <v>0</v>
      </c>
      <c r="AA111" t="b">
        <f t="shared" si="90"/>
        <v>0</v>
      </c>
      <c r="AB111" t="b">
        <f t="shared" si="91"/>
        <v>0</v>
      </c>
      <c r="AC111" t="b">
        <f t="shared" si="92"/>
        <v>0</v>
      </c>
      <c r="AD111" t="b">
        <f t="shared" si="93"/>
        <v>0</v>
      </c>
      <c r="AE111" t="b">
        <f t="shared" si="94"/>
        <v>0</v>
      </c>
      <c r="AF111" t="b">
        <f t="shared" si="95"/>
        <v>0</v>
      </c>
    </row>
    <row r="112" spans="1:32" x14ac:dyDescent="0.25">
      <c r="A112" s="1" t="s">
        <v>0</v>
      </c>
      <c r="B112" s="25" t="s">
        <v>159</v>
      </c>
      <c r="C112" s="2" t="s">
        <v>193</v>
      </c>
      <c r="D112" s="1">
        <v>1341660</v>
      </c>
      <c r="E112" s="1" t="s">
        <v>195</v>
      </c>
      <c r="F112" s="1" t="s">
        <v>162</v>
      </c>
      <c r="G112" s="1" t="s">
        <v>8</v>
      </c>
      <c r="H112" s="1">
        <v>2.96</v>
      </c>
      <c r="I112" s="1"/>
      <c r="J112" t="b">
        <f t="shared" si="96"/>
        <v>0</v>
      </c>
      <c r="K112" t="b">
        <f t="shared" si="74"/>
        <v>1</v>
      </c>
      <c r="L112" t="b">
        <f t="shared" si="75"/>
        <v>0</v>
      </c>
      <c r="M112" t="b">
        <f t="shared" si="76"/>
        <v>0</v>
      </c>
      <c r="N112" t="b">
        <f t="shared" si="77"/>
        <v>0</v>
      </c>
      <c r="O112" t="b">
        <f t="shared" si="78"/>
        <v>0</v>
      </c>
      <c r="P112" t="b">
        <f t="shared" si="79"/>
        <v>0</v>
      </c>
      <c r="Q112" t="b">
        <f t="shared" si="80"/>
        <v>0</v>
      </c>
      <c r="R112" t="b">
        <f t="shared" si="81"/>
        <v>0</v>
      </c>
      <c r="S112" t="b">
        <f t="shared" si="82"/>
        <v>0</v>
      </c>
      <c r="T112" t="b">
        <f t="shared" si="83"/>
        <v>0</v>
      </c>
      <c r="U112" t="b">
        <f t="shared" si="84"/>
        <v>0</v>
      </c>
      <c r="V112" t="b">
        <f t="shared" si="85"/>
        <v>0</v>
      </c>
      <c r="W112" t="b">
        <f t="shared" si="86"/>
        <v>0</v>
      </c>
      <c r="X112" t="b">
        <f t="shared" si="87"/>
        <v>0</v>
      </c>
      <c r="Y112" t="b">
        <f t="shared" si="88"/>
        <v>0</v>
      </c>
      <c r="Z112" t="b">
        <f t="shared" si="89"/>
        <v>0</v>
      </c>
      <c r="AA112" t="b">
        <f t="shared" si="90"/>
        <v>0</v>
      </c>
      <c r="AB112" t="b">
        <f t="shared" si="91"/>
        <v>0</v>
      </c>
      <c r="AC112" t="b">
        <f t="shared" si="92"/>
        <v>0</v>
      </c>
      <c r="AD112" t="b">
        <f t="shared" si="93"/>
        <v>0</v>
      </c>
      <c r="AE112" t="b">
        <f t="shared" si="94"/>
        <v>0</v>
      </c>
      <c r="AF112" t="b">
        <f t="shared" si="95"/>
        <v>0</v>
      </c>
    </row>
    <row r="113" spans="1:32" x14ac:dyDescent="0.25">
      <c r="A113" s="1" t="s">
        <v>0</v>
      </c>
      <c r="B113" s="25" t="s">
        <v>159</v>
      </c>
      <c r="C113" s="2" t="s">
        <v>193</v>
      </c>
      <c r="D113" s="1">
        <v>1341660</v>
      </c>
      <c r="E113" s="1" t="s">
        <v>196</v>
      </c>
      <c r="F113" s="1" t="s">
        <v>162</v>
      </c>
      <c r="G113" s="1" t="s">
        <v>17</v>
      </c>
      <c r="H113" s="1">
        <v>0.74</v>
      </c>
      <c r="I113" s="1">
        <f t="shared" ref="I113:I118" si="97">H113</f>
        <v>0.74</v>
      </c>
      <c r="J113" t="b">
        <f t="shared" si="96"/>
        <v>0</v>
      </c>
      <c r="K113" t="b">
        <f t="shared" si="74"/>
        <v>1</v>
      </c>
      <c r="L113" t="b">
        <f t="shared" si="75"/>
        <v>0</v>
      </c>
      <c r="M113" t="b">
        <f t="shared" si="76"/>
        <v>0</v>
      </c>
      <c r="N113" t="b">
        <f t="shared" si="77"/>
        <v>0</v>
      </c>
      <c r="O113" t="b">
        <f t="shared" si="78"/>
        <v>0</v>
      </c>
      <c r="P113" t="b">
        <f t="shared" si="79"/>
        <v>0</v>
      </c>
      <c r="Q113" t="b">
        <f t="shared" si="80"/>
        <v>0</v>
      </c>
      <c r="R113" t="b">
        <f t="shared" si="81"/>
        <v>0</v>
      </c>
      <c r="S113" t="b">
        <f t="shared" si="82"/>
        <v>0</v>
      </c>
      <c r="T113" t="b">
        <f t="shared" si="83"/>
        <v>0</v>
      </c>
      <c r="U113" t="b">
        <f t="shared" si="84"/>
        <v>0</v>
      </c>
      <c r="V113" t="b">
        <f t="shared" si="85"/>
        <v>0</v>
      </c>
      <c r="W113" t="b">
        <f t="shared" si="86"/>
        <v>0</v>
      </c>
      <c r="X113" t="b">
        <f t="shared" si="87"/>
        <v>0</v>
      </c>
      <c r="Y113" t="b">
        <f t="shared" si="88"/>
        <v>0</v>
      </c>
      <c r="Z113" t="b">
        <f t="shared" si="89"/>
        <v>0</v>
      </c>
      <c r="AA113" t="b">
        <f t="shared" si="90"/>
        <v>0</v>
      </c>
      <c r="AB113" t="b">
        <f t="shared" si="91"/>
        <v>0</v>
      </c>
      <c r="AC113" t="b">
        <f t="shared" si="92"/>
        <v>0</v>
      </c>
      <c r="AD113" t="b">
        <f t="shared" si="93"/>
        <v>0</v>
      </c>
      <c r="AE113" t="b">
        <f t="shared" si="94"/>
        <v>0</v>
      </c>
      <c r="AF113" t="b">
        <f t="shared" si="95"/>
        <v>0</v>
      </c>
    </row>
    <row r="114" spans="1:32" x14ac:dyDescent="0.25">
      <c r="A114" s="1" t="s">
        <v>0</v>
      </c>
      <c r="B114" s="25" t="s">
        <v>159</v>
      </c>
      <c r="C114" s="2" t="s">
        <v>193</v>
      </c>
      <c r="D114" s="1">
        <v>1341660</v>
      </c>
      <c r="E114" s="1" t="s">
        <v>197</v>
      </c>
      <c r="F114" s="1" t="s">
        <v>162</v>
      </c>
      <c r="G114" s="1" t="s">
        <v>17</v>
      </c>
      <c r="H114" s="1">
        <v>0.71</v>
      </c>
      <c r="I114" s="1">
        <f t="shared" si="97"/>
        <v>0.71</v>
      </c>
      <c r="J114" t="b">
        <f t="shared" si="96"/>
        <v>0</v>
      </c>
      <c r="K114" t="b">
        <f t="shared" si="74"/>
        <v>1</v>
      </c>
      <c r="L114" t="b">
        <f t="shared" si="75"/>
        <v>0</v>
      </c>
      <c r="M114" t="b">
        <f t="shared" si="76"/>
        <v>0</v>
      </c>
      <c r="N114" t="b">
        <f t="shared" si="77"/>
        <v>0</v>
      </c>
      <c r="O114" t="b">
        <f t="shared" si="78"/>
        <v>0</v>
      </c>
      <c r="P114" t="b">
        <f t="shared" si="79"/>
        <v>0</v>
      </c>
      <c r="Q114" t="b">
        <f t="shared" si="80"/>
        <v>0</v>
      </c>
      <c r="R114" t="b">
        <f t="shared" si="81"/>
        <v>0</v>
      </c>
      <c r="S114" t="b">
        <f t="shared" si="82"/>
        <v>0</v>
      </c>
      <c r="T114" t="b">
        <f t="shared" si="83"/>
        <v>0</v>
      </c>
      <c r="U114" t="b">
        <f t="shared" si="84"/>
        <v>0</v>
      </c>
      <c r="V114" t="b">
        <f t="shared" si="85"/>
        <v>0</v>
      </c>
      <c r="W114" t="b">
        <f t="shared" si="86"/>
        <v>0</v>
      </c>
      <c r="X114" t="b">
        <f t="shared" si="87"/>
        <v>0</v>
      </c>
      <c r="Y114" t="b">
        <f t="shared" si="88"/>
        <v>0</v>
      </c>
      <c r="Z114" t="b">
        <f t="shared" si="89"/>
        <v>0</v>
      </c>
      <c r="AA114" t="b">
        <f t="shared" si="90"/>
        <v>0</v>
      </c>
      <c r="AB114" t="b">
        <f t="shared" si="91"/>
        <v>0</v>
      </c>
      <c r="AC114" t="b">
        <f t="shared" si="92"/>
        <v>0</v>
      </c>
      <c r="AD114" t="b">
        <f t="shared" si="93"/>
        <v>0</v>
      </c>
      <c r="AE114" t="b">
        <f t="shared" si="94"/>
        <v>0</v>
      </c>
      <c r="AF114" t="b">
        <f t="shared" si="95"/>
        <v>0</v>
      </c>
    </row>
    <row r="115" spans="1:32" x14ac:dyDescent="0.25">
      <c r="A115" s="1" t="s">
        <v>0</v>
      </c>
      <c r="B115" s="25" t="s">
        <v>159</v>
      </c>
      <c r="C115" s="2" t="s">
        <v>198</v>
      </c>
      <c r="D115" s="1">
        <v>1341660</v>
      </c>
      <c r="E115" s="1" t="s">
        <v>199</v>
      </c>
      <c r="F115" s="1" t="s">
        <v>162</v>
      </c>
      <c r="G115" s="1" t="s">
        <v>17</v>
      </c>
      <c r="H115" s="1">
        <v>0.51</v>
      </c>
      <c r="I115" s="1">
        <f t="shared" si="97"/>
        <v>0.51</v>
      </c>
      <c r="J115" t="b">
        <f t="shared" si="96"/>
        <v>0</v>
      </c>
      <c r="K115" t="b">
        <f t="shared" si="74"/>
        <v>1</v>
      </c>
      <c r="L115" t="b">
        <f t="shared" si="75"/>
        <v>0</v>
      </c>
      <c r="M115" t="b">
        <f t="shared" si="76"/>
        <v>0</v>
      </c>
      <c r="N115" t="b">
        <f t="shared" si="77"/>
        <v>0</v>
      </c>
      <c r="O115" t="b">
        <f t="shared" si="78"/>
        <v>0</v>
      </c>
      <c r="P115" t="b">
        <f t="shared" si="79"/>
        <v>0</v>
      </c>
      <c r="Q115" t="b">
        <f t="shared" si="80"/>
        <v>0</v>
      </c>
      <c r="R115" t="b">
        <f t="shared" si="81"/>
        <v>0</v>
      </c>
      <c r="S115" t="b">
        <f t="shared" si="82"/>
        <v>0</v>
      </c>
      <c r="T115" t="b">
        <f t="shared" si="83"/>
        <v>0</v>
      </c>
      <c r="U115" t="b">
        <f t="shared" si="84"/>
        <v>0</v>
      </c>
      <c r="V115" t="b">
        <f t="shared" si="85"/>
        <v>0</v>
      </c>
      <c r="W115" t="b">
        <f t="shared" si="86"/>
        <v>0</v>
      </c>
      <c r="X115" t="b">
        <f t="shared" si="87"/>
        <v>0</v>
      </c>
      <c r="Y115" t="b">
        <f t="shared" si="88"/>
        <v>0</v>
      </c>
      <c r="Z115" t="b">
        <f t="shared" si="89"/>
        <v>0</v>
      </c>
      <c r="AA115" t="b">
        <f t="shared" si="90"/>
        <v>0</v>
      </c>
      <c r="AB115" t="b">
        <f t="shared" si="91"/>
        <v>0</v>
      </c>
      <c r="AC115" t="b">
        <f t="shared" si="92"/>
        <v>0</v>
      </c>
      <c r="AD115" t="b">
        <f t="shared" si="93"/>
        <v>0</v>
      </c>
      <c r="AE115" t="b">
        <f t="shared" si="94"/>
        <v>0</v>
      </c>
      <c r="AF115" t="b">
        <f t="shared" si="95"/>
        <v>0</v>
      </c>
    </row>
    <row r="116" spans="1:32" x14ac:dyDescent="0.25">
      <c r="A116" s="1" t="s">
        <v>0</v>
      </c>
      <c r="B116" s="25" t="s">
        <v>159</v>
      </c>
      <c r="C116" s="2" t="s">
        <v>198</v>
      </c>
      <c r="D116" s="1">
        <v>1341660</v>
      </c>
      <c r="E116" s="1" t="s">
        <v>194</v>
      </c>
      <c r="F116" s="1" t="s">
        <v>162</v>
      </c>
      <c r="G116" s="1" t="s">
        <v>17</v>
      </c>
      <c r="H116" s="1">
        <v>1.95</v>
      </c>
      <c r="I116" s="1">
        <f t="shared" si="97"/>
        <v>1.95</v>
      </c>
      <c r="J116" t="b">
        <f t="shared" si="96"/>
        <v>0</v>
      </c>
      <c r="K116" t="b">
        <f t="shared" si="74"/>
        <v>1</v>
      </c>
      <c r="L116" t="b">
        <f t="shared" si="75"/>
        <v>0</v>
      </c>
      <c r="M116" t="b">
        <f t="shared" si="76"/>
        <v>0</v>
      </c>
      <c r="N116" t="b">
        <f t="shared" si="77"/>
        <v>0</v>
      </c>
      <c r="O116" t="b">
        <f t="shared" si="78"/>
        <v>0</v>
      </c>
      <c r="P116" t="b">
        <f t="shared" si="79"/>
        <v>0</v>
      </c>
      <c r="Q116" t="b">
        <f t="shared" si="80"/>
        <v>0</v>
      </c>
      <c r="R116" t="b">
        <f t="shared" si="81"/>
        <v>0</v>
      </c>
      <c r="S116" t="b">
        <f t="shared" si="82"/>
        <v>0</v>
      </c>
      <c r="T116" t="b">
        <f t="shared" si="83"/>
        <v>0</v>
      </c>
      <c r="U116" t="b">
        <f t="shared" si="84"/>
        <v>0</v>
      </c>
      <c r="V116" t="b">
        <f t="shared" si="85"/>
        <v>0</v>
      </c>
      <c r="W116" t="b">
        <f t="shared" si="86"/>
        <v>0</v>
      </c>
      <c r="X116" t="b">
        <f t="shared" si="87"/>
        <v>0</v>
      </c>
      <c r="Y116" t="b">
        <f t="shared" si="88"/>
        <v>0</v>
      </c>
      <c r="Z116" t="b">
        <f t="shared" si="89"/>
        <v>0</v>
      </c>
      <c r="AA116" t="b">
        <f t="shared" si="90"/>
        <v>0</v>
      </c>
      <c r="AB116" t="b">
        <f t="shared" si="91"/>
        <v>0</v>
      </c>
      <c r="AC116" t="b">
        <f t="shared" si="92"/>
        <v>0</v>
      </c>
      <c r="AD116" t="b">
        <f t="shared" si="93"/>
        <v>0</v>
      </c>
      <c r="AE116" t="b">
        <f t="shared" si="94"/>
        <v>0</v>
      </c>
      <c r="AF116" t="b">
        <f t="shared" si="95"/>
        <v>0</v>
      </c>
    </row>
    <row r="117" spans="1:32" x14ac:dyDescent="0.25">
      <c r="A117" s="1" t="s">
        <v>0</v>
      </c>
      <c r="B117" s="25" t="s">
        <v>159</v>
      </c>
      <c r="C117" s="2" t="s">
        <v>198</v>
      </c>
      <c r="D117" s="1">
        <v>1341660</v>
      </c>
      <c r="E117" s="1" t="s">
        <v>196</v>
      </c>
      <c r="F117" s="1" t="s">
        <v>162</v>
      </c>
      <c r="G117" s="1" t="s">
        <v>17</v>
      </c>
      <c r="H117" s="1">
        <v>0.74</v>
      </c>
      <c r="I117" s="1">
        <f t="shared" si="97"/>
        <v>0.74</v>
      </c>
      <c r="J117" t="b">
        <f t="shared" si="96"/>
        <v>0</v>
      </c>
      <c r="K117" t="b">
        <f t="shared" si="74"/>
        <v>1</v>
      </c>
      <c r="L117" t="b">
        <f t="shared" si="75"/>
        <v>0</v>
      </c>
      <c r="M117" t="b">
        <f t="shared" si="76"/>
        <v>0</v>
      </c>
      <c r="N117" t="b">
        <f t="shared" si="77"/>
        <v>0</v>
      </c>
      <c r="O117" t="b">
        <f t="shared" si="78"/>
        <v>0</v>
      </c>
      <c r="P117" t="b">
        <f t="shared" si="79"/>
        <v>0</v>
      </c>
      <c r="Q117" t="b">
        <f t="shared" si="80"/>
        <v>0</v>
      </c>
      <c r="R117" t="b">
        <f t="shared" si="81"/>
        <v>0</v>
      </c>
      <c r="S117" t="b">
        <f t="shared" si="82"/>
        <v>0</v>
      </c>
      <c r="T117" t="b">
        <f t="shared" si="83"/>
        <v>0</v>
      </c>
      <c r="U117" t="b">
        <f t="shared" si="84"/>
        <v>0</v>
      </c>
      <c r="V117" t="b">
        <f t="shared" si="85"/>
        <v>0</v>
      </c>
      <c r="W117" t="b">
        <f t="shared" si="86"/>
        <v>0</v>
      </c>
      <c r="X117" t="b">
        <f t="shared" si="87"/>
        <v>0</v>
      </c>
      <c r="Y117" t="b">
        <f t="shared" si="88"/>
        <v>0</v>
      </c>
      <c r="Z117" t="b">
        <f t="shared" si="89"/>
        <v>0</v>
      </c>
      <c r="AA117" t="b">
        <f t="shared" si="90"/>
        <v>0</v>
      </c>
      <c r="AB117" t="b">
        <f t="shared" si="91"/>
        <v>0</v>
      </c>
      <c r="AC117" t="b">
        <f t="shared" si="92"/>
        <v>0</v>
      </c>
      <c r="AD117" t="b">
        <f t="shared" si="93"/>
        <v>0</v>
      </c>
      <c r="AE117" t="b">
        <f t="shared" si="94"/>
        <v>0</v>
      </c>
      <c r="AF117" t="b">
        <f t="shared" si="95"/>
        <v>0</v>
      </c>
    </row>
    <row r="118" spans="1:32" x14ac:dyDescent="0.25">
      <c r="A118" s="1" t="s">
        <v>0</v>
      </c>
      <c r="B118" s="25" t="s">
        <v>159</v>
      </c>
      <c r="C118" s="2" t="s">
        <v>198</v>
      </c>
      <c r="D118" s="1">
        <v>1341660</v>
      </c>
      <c r="E118" s="1" t="s">
        <v>200</v>
      </c>
      <c r="F118" s="1" t="s">
        <v>162</v>
      </c>
      <c r="G118" s="1" t="s">
        <v>17</v>
      </c>
      <c r="H118" s="1">
        <v>0.78</v>
      </c>
      <c r="I118" s="1">
        <f t="shared" si="97"/>
        <v>0.78</v>
      </c>
      <c r="J118" t="b">
        <f t="shared" si="96"/>
        <v>0</v>
      </c>
      <c r="K118" t="b">
        <f t="shared" si="74"/>
        <v>1</v>
      </c>
      <c r="L118" t="b">
        <f t="shared" si="75"/>
        <v>0</v>
      </c>
      <c r="M118" t="b">
        <f t="shared" si="76"/>
        <v>0</v>
      </c>
      <c r="N118" t="b">
        <f t="shared" si="77"/>
        <v>0</v>
      </c>
      <c r="O118" t="b">
        <f t="shared" si="78"/>
        <v>0</v>
      </c>
      <c r="P118" t="b">
        <f t="shared" si="79"/>
        <v>0</v>
      </c>
      <c r="Q118" t="b">
        <f t="shared" si="80"/>
        <v>0</v>
      </c>
      <c r="R118" t="b">
        <f t="shared" si="81"/>
        <v>0</v>
      </c>
      <c r="S118" t="b">
        <f t="shared" si="82"/>
        <v>0</v>
      </c>
      <c r="T118" t="b">
        <f t="shared" si="83"/>
        <v>0</v>
      </c>
      <c r="U118" t="b">
        <f t="shared" si="84"/>
        <v>0</v>
      </c>
      <c r="V118" t="b">
        <f t="shared" si="85"/>
        <v>0</v>
      </c>
      <c r="W118" t="b">
        <f t="shared" si="86"/>
        <v>0</v>
      </c>
      <c r="X118" t="b">
        <f t="shared" si="87"/>
        <v>0</v>
      </c>
      <c r="Y118" t="b">
        <f t="shared" si="88"/>
        <v>0</v>
      </c>
      <c r="Z118" t="b">
        <f t="shared" si="89"/>
        <v>0</v>
      </c>
      <c r="AA118" t="b">
        <f t="shared" si="90"/>
        <v>0</v>
      </c>
      <c r="AB118" t="b">
        <f t="shared" si="91"/>
        <v>0</v>
      </c>
      <c r="AC118" t="b">
        <f t="shared" si="92"/>
        <v>0</v>
      </c>
      <c r="AD118" t="b">
        <f t="shared" si="93"/>
        <v>0</v>
      </c>
      <c r="AE118" t="b">
        <f t="shared" si="94"/>
        <v>0</v>
      </c>
      <c r="AF118" t="b">
        <f t="shared" si="95"/>
        <v>0</v>
      </c>
    </row>
    <row r="119" spans="1:32" x14ac:dyDescent="0.25">
      <c r="A119" s="1" t="s">
        <v>46</v>
      </c>
      <c r="B119" s="52" t="s">
        <v>50</v>
      </c>
      <c r="G119" s="1" t="s">
        <v>5</v>
      </c>
      <c r="I119" s="1">
        <v>3</v>
      </c>
      <c r="J119" t="b">
        <f t="shared" si="96"/>
        <v>0</v>
      </c>
      <c r="K119" t="b">
        <f t="shared" si="74"/>
        <v>0</v>
      </c>
      <c r="L119" t="b">
        <f t="shared" si="75"/>
        <v>0</v>
      </c>
      <c r="M119" t="b">
        <f t="shared" si="76"/>
        <v>0</v>
      </c>
      <c r="N119" t="b">
        <f t="shared" si="77"/>
        <v>0</v>
      </c>
      <c r="O119" t="b">
        <f t="shared" si="78"/>
        <v>0</v>
      </c>
      <c r="P119" t="b">
        <f t="shared" si="79"/>
        <v>0</v>
      </c>
      <c r="Q119" t="b">
        <f t="shared" si="80"/>
        <v>0</v>
      </c>
      <c r="R119" t="b">
        <f t="shared" si="81"/>
        <v>0</v>
      </c>
      <c r="S119" t="b">
        <f t="shared" si="82"/>
        <v>1</v>
      </c>
      <c r="T119" t="b">
        <f t="shared" si="83"/>
        <v>0</v>
      </c>
      <c r="U119" t="b">
        <f t="shared" si="84"/>
        <v>0</v>
      </c>
      <c r="V119" t="b">
        <f t="shared" si="85"/>
        <v>0</v>
      </c>
      <c r="W119" t="b">
        <f t="shared" si="86"/>
        <v>0</v>
      </c>
      <c r="X119" t="b">
        <f t="shared" si="87"/>
        <v>0</v>
      </c>
      <c r="Y119" t="b">
        <f t="shared" si="88"/>
        <v>0</v>
      </c>
      <c r="Z119" t="b">
        <f t="shared" si="89"/>
        <v>0</v>
      </c>
      <c r="AA119" t="b">
        <f t="shared" si="90"/>
        <v>0</v>
      </c>
      <c r="AB119" t="b">
        <f t="shared" si="91"/>
        <v>0</v>
      </c>
      <c r="AC119" t="b">
        <f t="shared" si="92"/>
        <v>0</v>
      </c>
      <c r="AD119" t="b">
        <f t="shared" si="93"/>
        <v>0</v>
      </c>
      <c r="AE119" t="b">
        <f t="shared" si="94"/>
        <v>0</v>
      </c>
      <c r="AF119" t="b">
        <f t="shared" si="95"/>
        <v>0</v>
      </c>
    </row>
    <row r="120" spans="1:32" x14ac:dyDescent="0.25">
      <c r="A120" s="6" t="s">
        <v>0</v>
      </c>
      <c r="B120" s="35" t="s">
        <v>211</v>
      </c>
      <c r="G120" s="6" t="s">
        <v>22</v>
      </c>
      <c r="I120" s="6">
        <v>2</v>
      </c>
      <c r="J120" t="b">
        <f t="shared" si="96"/>
        <v>0</v>
      </c>
      <c r="K120" t="b">
        <f t="shared" si="74"/>
        <v>0</v>
      </c>
      <c r="L120" t="b">
        <f t="shared" si="75"/>
        <v>0</v>
      </c>
      <c r="M120" t="b">
        <f t="shared" si="76"/>
        <v>0</v>
      </c>
      <c r="N120" t="b">
        <f t="shared" si="77"/>
        <v>1</v>
      </c>
      <c r="O120" t="b">
        <f t="shared" si="78"/>
        <v>0</v>
      </c>
      <c r="P120" t="b">
        <f t="shared" si="79"/>
        <v>0</v>
      </c>
      <c r="Q120" t="b">
        <f t="shared" si="80"/>
        <v>0</v>
      </c>
      <c r="R120" t="b">
        <f t="shared" si="81"/>
        <v>0</v>
      </c>
      <c r="S120" t="b">
        <f t="shared" si="82"/>
        <v>0</v>
      </c>
      <c r="T120" t="b">
        <f t="shared" si="83"/>
        <v>0</v>
      </c>
      <c r="U120" t="b">
        <f t="shared" si="84"/>
        <v>0</v>
      </c>
      <c r="V120" t="b">
        <f t="shared" si="85"/>
        <v>0</v>
      </c>
      <c r="W120" t="b">
        <f t="shared" si="86"/>
        <v>0</v>
      </c>
      <c r="X120" t="b">
        <f t="shared" si="87"/>
        <v>0</v>
      </c>
      <c r="Y120" t="b">
        <f t="shared" si="88"/>
        <v>0</v>
      </c>
      <c r="Z120" t="b">
        <f t="shared" si="89"/>
        <v>0</v>
      </c>
      <c r="AA120" t="b">
        <f t="shared" si="90"/>
        <v>0</v>
      </c>
      <c r="AB120" t="b">
        <f t="shared" si="91"/>
        <v>0</v>
      </c>
      <c r="AC120" t="b">
        <f t="shared" si="92"/>
        <v>0</v>
      </c>
      <c r="AD120" t="b">
        <f t="shared" si="93"/>
        <v>0</v>
      </c>
      <c r="AE120" t="b">
        <f t="shared" si="94"/>
        <v>0</v>
      </c>
      <c r="AF120" t="b">
        <f t="shared" si="95"/>
        <v>0</v>
      </c>
    </row>
    <row r="121" spans="1:32" x14ac:dyDescent="0.25">
      <c r="A121" s="6" t="s">
        <v>0</v>
      </c>
      <c r="B121" s="32" t="s">
        <v>211</v>
      </c>
      <c r="G121" s="1" t="s">
        <v>22</v>
      </c>
      <c r="I121" s="1">
        <v>2</v>
      </c>
      <c r="J121" t="b">
        <f t="shared" si="96"/>
        <v>0</v>
      </c>
      <c r="K121" t="b">
        <f t="shared" si="74"/>
        <v>0</v>
      </c>
      <c r="L121" t="b">
        <f t="shared" si="75"/>
        <v>0</v>
      </c>
      <c r="M121" t="b">
        <f t="shared" si="76"/>
        <v>0</v>
      </c>
      <c r="N121" t="b">
        <f t="shared" si="77"/>
        <v>1</v>
      </c>
      <c r="O121" t="b">
        <f t="shared" si="78"/>
        <v>0</v>
      </c>
      <c r="P121" t="b">
        <f t="shared" si="79"/>
        <v>0</v>
      </c>
      <c r="Q121" t="b">
        <f t="shared" si="80"/>
        <v>0</v>
      </c>
      <c r="R121" t="b">
        <f t="shared" si="81"/>
        <v>0</v>
      </c>
      <c r="S121" t="b">
        <f t="shared" si="82"/>
        <v>0</v>
      </c>
      <c r="T121" t="b">
        <f t="shared" si="83"/>
        <v>0</v>
      </c>
      <c r="U121" t="b">
        <f t="shared" si="84"/>
        <v>0</v>
      </c>
      <c r="V121" t="b">
        <f t="shared" si="85"/>
        <v>0</v>
      </c>
      <c r="W121" t="b">
        <f t="shared" si="86"/>
        <v>0</v>
      </c>
      <c r="X121" t="b">
        <f t="shared" si="87"/>
        <v>0</v>
      </c>
      <c r="Y121" t="b">
        <f t="shared" si="88"/>
        <v>0</v>
      </c>
      <c r="Z121" t="b">
        <f t="shared" si="89"/>
        <v>0</v>
      </c>
      <c r="AA121" t="b">
        <f t="shared" si="90"/>
        <v>0</v>
      </c>
      <c r="AB121" t="b">
        <f t="shared" si="91"/>
        <v>0</v>
      </c>
      <c r="AC121" t="b">
        <f t="shared" si="92"/>
        <v>0</v>
      </c>
      <c r="AD121" t="b">
        <f t="shared" si="93"/>
        <v>0</v>
      </c>
      <c r="AE121" t="b">
        <f t="shared" si="94"/>
        <v>0</v>
      </c>
      <c r="AF121" t="b">
        <f t="shared" si="95"/>
        <v>0</v>
      </c>
    </row>
    <row r="122" spans="1:32" x14ac:dyDescent="0.25">
      <c r="A122" s="6" t="s">
        <v>0</v>
      </c>
      <c r="B122" s="69" t="s">
        <v>212</v>
      </c>
      <c r="G122" s="1" t="s">
        <v>8</v>
      </c>
      <c r="I122" s="1">
        <v>2.75</v>
      </c>
      <c r="J122" t="b">
        <f t="shared" si="96"/>
        <v>0</v>
      </c>
      <c r="K122" t="b">
        <f t="shared" si="74"/>
        <v>0</v>
      </c>
      <c r="L122" t="b">
        <f t="shared" si="75"/>
        <v>0</v>
      </c>
      <c r="M122" t="b">
        <f t="shared" si="76"/>
        <v>0</v>
      </c>
      <c r="N122" t="b">
        <f t="shared" si="77"/>
        <v>0</v>
      </c>
      <c r="O122" t="b">
        <f t="shared" si="78"/>
        <v>0</v>
      </c>
      <c r="P122" t="b">
        <f t="shared" si="79"/>
        <v>0</v>
      </c>
      <c r="Q122" t="b">
        <f t="shared" si="80"/>
        <v>0</v>
      </c>
      <c r="R122" t="b">
        <f t="shared" si="81"/>
        <v>0</v>
      </c>
      <c r="S122" t="b">
        <f t="shared" si="82"/>
        <v>0</v>
      </c>
      <c r="T122" t="b">
        <f t="shared" si="83"/>
        <v>0</v>
      </c>
      <c r="U122" t="b">
        <f t="shared" si="84"/>
        <v>0</v>
      </c>
      <c r="V122" t="b">
        <f t="shared" si="85"/>
        <v>0</v>
      </c>
      <c r="W122" t="b">
        <f t="shared" si="86"/>
        <v>0</v>
      </c>
      <c r="X122" t="b">
        <f t="shared" si="87"/>
        <v>1</v>
      </c>
      <c r="Y122" t="b">
        <f t="shared" si="88"/>
        <v>0</v>
      </c>
      <c r="Z122" t="b">
        <f t="shared" si="89"/>
        <v>0</v>
      </c>
      <c r="AA122" t="b">
        <f t="shared" si="90"/>
        <v>0</v>
      </c>
      <c r="AB122" t="b">
        <f t="shared" si="91"/>
        <v>0</v>
      </c>
      <c r="AC122" t="b">
        <f t="shared" si="92"/>
        <v>0</v>
      </c>
      <c r="AD122" t="b">
        <f t="shared" si="93"/>
        <v>0</v>
      </c>
      <c r="AE122" t="b">
        <f t="shared" si="94"/>
        <v>0</v>
      </c>
      <c r="AF122" t="b">
        <f t="shared" si="95"/>
        <v>0</v>
      </c>
    </row>
    <row r="123" spans="1:32" x14ac:dyDescent="0.25">
      <c r="A123" s="6" t="s">
        <v>0</v>
      </c>
      <c r="B123" s="79" t="s">
        <v>134</v>
      </c>
      <c r="G123" s="1" t="s">
        <v>17</v>
      </c>
      <c r="I123" s="1">
        <v>5</v>
      </c>
      <c r="J123" t="b">
        <f t="shared" si="96"/>
        <v>0</v>
      </c>
      <c r="K123" t="b">
        <f t="shared" si="74"/>
        <v>0</v>
      </c>
      <c r="L123" t="b">
        <f t="shared" si="75"/>
        <v>0</v>
      </c>
      <c r="M123" t="b">
        <f t="shared" si="76"/>
        <v>0</v>
      </c>
      <c r="N123" t="b">
        <f t="shared" si="77"/>
        <v>0</v>
      </c>
      <c r="O123" t="b">
        <f t="shared" si="78"/>
        <v>0</v>
      </c>
      <c r="P123" t="b">
        <f t="shared" si="79"/>
        <v>0</v>
      </c>
      <c r="Q123" t="b">
        <f t="shared" si="80"/>
        <v>0</v>
      </c>
      <c r="R123" t="b">
        <f t="shared" si="81"/>
        <v>0</v>
      </c>
      <c r="S123" t="b">
        <f t="shared" si="82"/>
        <v>0</v>
      </c>
      <c r="T123" t="b">
        <f t="shared" si="83"/>
        <v>0</v>
      </c>
      <c r="U123" t="b">
        <f t="shared" si="84"/>
        <v>0</v>
      </c>
      <c r="V123" t="b">
        <f t="shared" si="85"/>
        <v>0</v>
      </c>
      <c r="W123" t="b">
        <f t="shared" si="86"/>
        <v>0</v>
      </c>
      <c r="X123" t="b">
        <f t="shared" si="87"/>
        <v>0</v>
      </c>
      <c r="Y123" t="b">
        <f t="shared" si="88"/>
        <v>0</v>
      </c>
      <c r="Z123" t="b">
        <f t="shared" si="89"/>
        <v>0</v>
      </c>
      <c r="AA123" t="b">
        <f t="shared" si="90"/>
        <v>1</v>
      </c>
      <c r="AB123" t="b">
        <f t="shared" si="91"/>
        <v>0</v>
      </c>
      <c r="AC123" t="b">
        <f t="shared" si="92"/>
        <v>0</v>
      </c>
      <c r="AD123" t="b">
        <f t="shared" si="93"/>
        <v>0</v>
      </c>
      <c r="AE123" t="b">
        <f t="shared" si="94"/>
        <v>0</v>
      </c>
      <c r="AF123" t="b">
        <f t="shared" si="95"/>
        <v>0</v>
      </c>
    </row>
    <row r="124" spans="1:32" x14ac:dyDescent="0.25">
      <c r="A124" s="6" t="s">
        <v>0</v>
      </c>
      <c r="B124" s="79" t="s">
        <v>134</v>
      </c>
      <c r="G124" s="1" t="s">
        <v>17</v>
      </c>
      <c r="I124" s="1">
        <v>1</v>
      </c>
      <c r="J124" t="b">
        <f t="shared" si="96"/>
        <v>0</v>
      </c>
      <c r="K124" t="b">
        <f t="shared" si="74"/>
        <v>0</v>
      </c>
      <c r="L124" t="b">
        <f t="shared" si="75"/>
        <v>0</v>
      </c>
      <c r="M124" t="b">
        <f t="shared" si="76"/>
        <v>0</v>
      </c>
      <c r="N124" t="b">
        <f t="shared" si="77"/>
        <v>0</v>
      </c>
      <c r="O124" t="b">
        <f t="shared" si="78"/>
        <v>0</v>
      </c>
      <c r="P124" t="b">
        <f t="shared" si="79"/>
        <v>0</v>
      </c>
      <c r="Q124" t="b">
        <f t="shared" si="80"/>
        <v>0</v>
      </c>
      <c r="R124" t="b">
        <f t="shared" si="81"/>
        <v>0</v>
      </c>
      <c r="S124" t="b">
        <f t="shared" si="82"/>
        <v>0</v>
      </c>
      <c r="T124" t="b">
        <f t="shared" si="83"/>
        <v>0</v>
      </c>
      <c r="U124" t="b">
        <f t="shared" si="84"/>
        <v>0</v>
      </c>
      <c r="V124" t="b">
        <f t="shared" si="85"/>
        <v>0</v>
      </c>
      <c r="W124" t="b">
        <f t="shared" si="86"/>
        <v>0</v>
      </c>
      <c r="X124" t="b">
        <f t="shared" si="87"/>
        <v>0</v>
      </c>
      <c r="Y124" t="b">
        <f t="shared" si="88"/>
        <v>0</v>
      </c>
      <c r="Z124" t="b">
        <f t="shared" si="89"/>
        <v>0</v>
      </c>
      <c r="AA124" t="b">
        <f t="shared" si="90"/>
        <v>1</v>
      </c>
      <c r="AB124" t="b">
        <f t="shared" si="91"/>
        <v>0</v>
      </c>
      <c r="AC124" t="b">
        <f t="shared" si="92"/>
        <v>0</v>
      </c>
      <c r="AD124" t="b">
        <f t="shared" si="93"/>
        <v>0</v>
      </c>
      <c r="AE124" t="b">
        <f t="shared" si="94"/>
        <v>0</v>
      </c>
      <c r="AF124" t="b">
        <f t="shared" si="95"/>
        <v>0</v>
      </c>
    </row>
    <row r="125" spans="1:32" x14ac:dyDescent="0.25">
      <c r="A125" s="6" t="s">
        <v>0</v>
      </c>
      <c r="B125" s="92" t="s">
        <v>134</v>
      </c>
      <c r="G125" s="6" t="s">
        <v>17</v>
      </c>
      <c r="I125" s="6">
        <v>3</v>
      </c>
      <c r="J125" t="b">
        <f t="shared" si="96"/>
        <v>0</v>
      </c>
      <c r="K125" t="b">
        <f t="shared" si="74"/>
        <v>0</v>
      </c>
      <c r="L125" t="b">
        <f t="shared" si="75"/>
        <v>0</v>
      </c>
      <c r="M125" t="b">
        <f t="shared" si="76"/>
        <v>0</v>
      </c>
      <c r="N125" t="b">
        <f t="shared" si="77"/>
        <v>0</v>
      </c>
      <c r="O125" t="b">
        <f t="shared" si="78"/>
        <v>0</v>
      </c>
      <c r="P125" t="b">
        <f t="shared" si="79"/>
        <v>0</v>
      </c>
      <c r="Q125" t="b">
        <f t="shared" si="80"/>
        <v>0</v>
      </c>
      <c r="R125" t="b">
        <f t="shared" si="81"/>
        <v>0</v>
      </c>
      <c r="S125" t="b">
        <f t="shared" si="82"/>
        <v>0</v>
      </c>
      <c r="T125" t="b">
        <f t="shared" si="83"/>
        <v>0</v>
      </c>
      <c r="U125" t="b">
        <f t="shared" si="84"/>
        <v>0</v>
      </c>
      <c r="V125" t="b">
        <f t="shared" si="85"/>
        <v>0</v>
      </c>
      <c r="W125" t="b">
        <f t="shared" si="86"/>
        <v>0</v>
      </c>
      <c r="X125" t="b">
        <f t="shared" si="87"/>
        <v>0</v>
      </c>
      <c r="Y125" t="b">
        <f t="shared" si="88"/>
        <v>0</v>
      </c>
      <c r="Z125" t="b">
        <f t="shared" si="89"/>
        <v>0</v>
      </c>
      <c r="AA125" t="b">
        <f t="shared" si="90"/>
        <v>1</v>
      </c>
      <c r="AB125" t="b">
        <f t="shared" si="91"/>
        <v>0</v>
      </c>
      <c r="AC125" t="b">
        <f t="shared" si="92"/>
        <v>0</v>
      </c>
      <c r="AD125" t="b">
        <f t="shared" si="93"/>
        <v>0</v>
      </c>
      <c r="AE125" t="b">
        <f t="shared" si="94"/>
        <v>0</v>
      </c>
      <c r="AF125" t="b">
        <f t="shared" si="95"/>
        <v>0</v>
      </c>
    </row>
    <row r="126" spans="1:32" x14ac:dyDescent="0.25">
      <c r="A126" s="6" t="s">
        <v>0</v>
      </c>
      <c r="B126" s="84" t="s">
        <v>213</v>
      </c>
      <c r="G126" s="6" t="s">
        <v>22</v>
      </c>
      <c r="I126" s="6">
        <v>1</v>
      </c>
      <c r="J126" t="b">
        <f t="shared" si="96"/>
        <v>0</v>
      </c>
      <c r="K126" t="b">
        <f t="shared" si="74"/>
        <v>0</v>
      </c>
      <c r="L126" t="b">
        <f t="shared" si="75"/>
        <v>0</v>
      </c>
      <c r="M126" t="b">
        <f t="shared" si="76"/>
        <v>0</v>
      </c>
      <c r="N126" t="b">
        <f t="shared" si="77"/>
        <v>0</v>
      </c>
      <c r="O126" t="b">
        <f t="shared" si="78"/>
        <v>0</v>
      </c>
      <c r="P126" t="b">
        <f t="shared" si="79"/>
        <v>0</v>
      </c>
      <c r="Q126" t="b">
        <f t="shared" si="80"/>
        <v>0</v>
      </c>
      <c r="R126" t="b">
        <f t="shared" si="81"/>
        <v>0</v>
      </c>
      <c r="S126" t="b">
        <f t="shared" si="82"/>
        <v>0</v>
      </c>
      <c r="T126" t="b">
        <f t="shared" si="83"/>
        <v>0</v>
      </c>
      <c r="U126" t="b">
        <f t="shared" si="84"/>
        <v>0</v>
      </c>
      <c r="V126" t="b">
        <f t="shared" si="85"/>
        <v>0</v>
      </c>
      <c r="W126" t="b">
        <f t="shared" si="86"/>
        <v>0</v>
      </c>
      <c r="X126" t="b">
        <f t="shared" si="87"/>
        <v>0</v>
      </c>
      <c r="Y126" t="b">
        <f t="shared" si="88"/>
        <v>0</v>
      </c>
      <c r="Z126" t="b">
        <f t="shared" si="89"/>
        <v>0</v>
      </c>
      <c r="AA126" t="b">
        <f t="shared" si="90"/>
        <v>0</v>
      </c>
      <c r="AB126" t="b">
        <f t="shared" si="91"/>
        <v>0</v>
      </c>
      <c r="AC126" t="b">
        <f t="shared" si="92"/>
        <v>1</v>
      </c>
      <c r="AD126" t="b">
        <f t="shared" si="93"/>
        <v>0</v>
      </c>
      <c r="AE126" t="b">
        <f t="shared" si="94"/>
        <v>0</v>
      </c>
      <c r="AF126" t="b">
        <f t="shared" si="95"/>
        <v>0</v>
      </c>
    </row>
    <row r="127" spans="1:32" x14ac:dyDescent="0.25">
      <c r="A127" s="6" t="s">
        <v>0</v>
      </c>
      <c r="B127" s="85" t="s">
        <v>213</v>
      </c>
      <c r="G127" s="6" t="s">
        <v>22</v>
      </c>
      <c r="I127" s="1">
        <v>0.5</v>
      </c>
      <c r="J127" t="b">
        <f t="shared" si="96"/>
        <v>0</v>
      </c>
      <c r="K127" t="b">
        <f t="shared" si="74"/>
        <v>0</v>
      </c>
      <c r="L127" t="b">
        <f t="shared" si="75"/>
        <v>0</v>
      </c>
      <c r="M127" t="b">
        <f t="shared" si="76"/>
        <v>0</v>
      </c>
      <c r="N127" t="b">
        <f t="shared" si="77"/>
        <v>0</v>
      </c>
      <c r="O127" t="b">
        <f t="shared" si="78"/>
        <v>0</v>
      </c>
      <c r="P127" t="b">
        <f t="shared" si="79"/>
        <v>0</v>
      </c>
      <c r="Q127" t="b">
        <f t="shared" si="80"/>
        <v>0</v>
      </c>
      <c r="R127" t="b">
        <f t="shared" si="81"/>
        <v>0</v>
      </c>
      <c r="S127" t="b">
        <f t="shared" si="82"/>
        <v>0</v>
      </c>
      <c r="T127" t="b">
        <f t="shared" si="83"/>
        <v>0</v>
      </c>
      <c r="U127" t="b">
        <f t="shared" si="84"/>
        <v>0</v>
      </c>
      <c r="V127" t="b">
        <f t="shared" si="85"/>
        <v>0</v>
      </c>
      <c r="W127" t="b">
        <f t="shared" si="86"/>
        <v>0</v>
      </c>
      <c r="X127" t="b">
        <f t="shared" si="87"/>
        <v>0</v>
      </c>
      <c r="Y127" t="b">
        <f t="shared" si="88"/>
        <v>0</v>
      </c>
      <c r="Z127" t="b">
        <f t="shared" si="89"/>
        <v>0</v>
      </c>
      <c r="AA127" t="b">
        <f t="shared" si="90"/>
        <v>0</v>
      </c>
      <c r="AB127" t="b">
        <f t="shared" si="91"/>
        <v>0</v>
      </c>
      <c r="AC127" t="b">
        <f t="shared" si="92"/>
        <v>1</v>
      </c>
      <c r="AD127" t="b">
        <f t="shared" si="93"/>
        <v>0</v>
      </c>
      <c r="AE127" t="b">
        <f t="shared" si="94"/>
        <v>0</v>
      </c>
      <c r="AF127" t="b">
        <f t="shared" si="95"/>
        <v>0</v>
      </c>
    </row>
    <row r="128" spans="1:32" x14ac:dyDescent="0.25">
      <c r="A128" s="6" t="s">
        <v>0</v>
      </c>
      <c r="B128" s="85" t="s">
        <v>213</v>
      </c>
      <c r="G128" s="6" t="s">
        <v>22</v>
      </c>
      <c r="I128" s="1">
        <v>2</v>
      </c>
      <c r="J128" t="b">
        <f t="shared" si="96"/>
        <v>0</v>
      </c>
      <c r="K128" t="b">
        <f t="shared" si="74"/>
        <v>0</v>
      </c>
      <c r="L128" t="b">
        <f t="shared" si="75"/>
        <v>0</v>
      </c>
      <c r="M128" t="b">
        <f t="shared" si="76"/>
        <v>0</v>
      </c>
      <c r="N128" t="b">
        <f t="shared" si="77"/>
        <v>0</v>
      </c>
      <c r="O128" t="b">
        <f t="shared" si="78"/>
        <v>0</v>
      </c>
      <c r="P128" t="b">
        <f t="shared" si="79"/>
        <v>0</v>
      </c>
      <c r="Q128" t="b">
        <f t="shared" si="80"/>
        <v>0</v>
      </c>
      <c r="R128" t="b">
        <f t="shared" si="81"/>
        <v>0</v>
      </c>
      <c r="S128" t="b">
        <f t="shared" si="82"/>
        <v>0</v>
      </c>
      <c r="T128" t="b">
        <f t="shared" si="83"/>
        <v>0</v>
      </c>
      <c r="U128" t="b">
        <f t="shared" si="84"/>
        <v>0</v>
      </c>
      <c r="V128" t="b">
        <f t="shared" si="85"/>
        <v>0</v>
      </c>
      <c r="W128" t="b">
        <f t="shared" si="86"/>
        <v>0</v>
      </c>
      <c r="X128" t="b">
        <f t="shared" si="87"/>
        <v>0</v>
      </c>
      <c r="Y128" t="b">
        <f t="shared" si="88"/>
        <v>0</v>
      </c>
      <c r="Z128" t="b">
        <f t="shared" si="89"/>
        <v>0</v>
      </c>
      <c r="AA128" t="b">
        <f t="shared" si="90"/>
        <v>0</v>
      </c>
      <c r="AB128" t="b">
        <f t="shared" si="91"/>
        <v>0</v>
      </c>
      <c r="AC128" t="b">
        <f t="shared" si="92"/>
        <v>1</v>
      </c>
      <c r="AD128" t="b">
        <f t="shared" si="93"/>
        <v>0</v>
      </c>
      <c r="AE128" t="b">
        <f t="shared" si="94"/>
        <v>0</v>
      </c>
      <c r="AF128" t="b">
        <f t="shared" si="95"/>
        <v>0</v>
      </c>
    </row>
    <row r="129" spans="1:32" x14ac:dyDescent="0.25">
      <c r="A129" s="6" t="s">
        <v>0</v>
      </c>
      <c r="B129" s="85" t="s">
        <v>213</v>
      </c>
      <c r="G129" s="6" t="s">
        <v>8</v>
      </c>
      <c r="I129" s="1">
        <v>1</v>
      </c>
      <c r="J129" t="b">
        <f t="shared" si="96"/>
        <v>0</v>
      </c>
      <c r="K129" t="b">
        <f t="shared" si="74"/>
        <v>0</v>
      </c>
      <c r="L129" t="b">
        <f t="shared" si="75"/>
        <v>0</v>
      </c>
      <c r="M129" t="b">
        <f t="shared" si="76"/>
        <v>0</v>
      </c>
      <c r="N129" t="b">
        <f t="shared" si="77"/>
        <v>0</v>
      </c>
      <c r="O129" t="b">
        <f t="shared" si="78"/>
        <v>0</v>
      </c>
      <c r="P129" t="b">
        <f t="shared" si="79"/>
        <v>0</v>
      </c>
      <c r="Q129" t="b">
        <f t="shared" si="80"/>
        <v>0</v>
      </c>
      <c r="R129" t="b">
        <f t="shared" si="81"/>
        <v>0</v>
      </c>
      <c r="S129" t="b">
        <f t="shared" si="82"/>
        <v>0</v>
      </c>
      <c r="T129" t="b">
        <f t="shared" si="83"/>
        <v>0</v>
      </c>
      <c r="U129" t="b">
        <f t="shared" si="84"/>
        <v>0</v>
      </c>
      <c r="V129" t="b">
        <f t="shared" si="85"/>
        <v>0</v>
      </c>
      <c r="W129" t="b">
        <f t="shared" si="86"/>
        <v>0</v>
      </c>
      <c r="X129" t="b">
        <f t="shared" si="87"/>
        <v>0</v>
      </c>
      <c r="Y129" t="b">
        <f t="shared" si="88"/>
        <v>0</v>
      </c>
      <c r="Z129" t="b">
        <f t="shared" si="89"/>
        <v>0</v>
      </c>
      <c r="AA129" t="b">
        <f t="shared" si="90"/>
        <v>0</v>
      </c>
      <c r="AB129" t="b">
        <f t="shared" si="91"/>
        <v>0</v>
      </c>
      <c r="AC129" t="b">
        <f t="shared" si="92"/>
        <v>1</v>
      </c>
      <c r="AD129" t="b">
        <f t="shared" si="93"/>
        <v>0</v>
      </c>
      <c r="AE129" t="b">
        <f t="shared" si="94"/>
        <v>0</v>
      </c>
      <c r="AF129" t="b">
        <f t="shared" si="95"/>
        <v>0</v>
      </c>
    </row>
    <row r="130" spans="1:32" x14ac:dyDescent="0.25">
      <c r="A130" s="6" t="s">
        <v>0</v>
      </c>
      <c r="B130" s="85" t="s">
        <v>213</v>
      </c>
      <c r="G130" s="1" t="s">
        <v>8</v>
      </c>
      <c r="I130" s="1">
        <v>2.82</v>
      </c>
      <c r="J130" t="b">
        <f t="shared" si="96"/>
        <v>0</v>
      </c>
      <c r="K130" t="b">
        <f t="shared" ref="K130:K165" si="98">IF(ISERROR(SEARCH("CNMS Super Deuterium",$B130,1)),FALSE,TRUE)</f>
        <v>0</v>
      </c>
      <c r="L130" t="b">
        <f t="shared" ref="L130:L165" si="99">IF(ISERROR(SEARCH("221259_FAW_C105EV_L2_ESPhev",$B130,1)),FALSE,TRUE)</f>
        <v>0</v>
      </c>
      <c r="M130" t="b">
        <f t="shared" ref="M130:M165" si="100">IF(ISERROR(SEARCH("MC_232534_SGMW_CN202C",$B130,1)),FALSE,TRUE)</f>
        <v>0</v>
      </c>
      <c r="N130" t="b">
        <f t="shared" ref="N130:N165" si="101">IF(ISERROR(SEARCH("BYD_IPB_SW_Mainstream",$B130,1)),FALSE,TRUE)</f>
        <v>0</v>
      </c>
      <c r="O130" t="b">
        <f t="shared" ref="O130:O165" si="102">IF(ISERROR(SEARCH("BYD_Carbon_Mainstream",$B130,1)),FALSE,TRUE)</f>
        <v>0</v>
      </c>
      <c r="P130" t="b">
        <f t="shared" ref="P130:P165" si="103">IF(ISERROR(SEARCH("GWM_ESP9.3_CHB071_HP_RC2",$B130,1)),FALSE,TRUE)</f>
        <v>0</v>
      </c>
      <c r="Q130" t="b">
        <f t="shared" ref="Q130:Q165" si="104">IF(ISERROR(SEARCH("FAW_HQEV_2WD_MC",$B130,1)),FALSE,TRUE)</f>
        <v>0</v>
      </c>
      <c r="R130" t="b">
        <f t="shared" ref="R130:R165" si="105">IF(ISERROR(SEARCH("GAC_Carbon_RPA_iBooster_Mainpath",$B130,1)),FALSE,TRUE)</f>
        <v>0</v>
      </c>
      <c r="S130" t="b">
        <f t="shared" ref="S130:S165" si="106">IF(ISERROR(SEARCH("HHT_VX1_ESPHevX",$B130,1)),FALSE,TRUE)</f>
        <v>0</v>
      </c>
      <c r="T130" t="b">
        <f t="shared" ref="T130:T165" si="107">IF(ISERROR(SEARCH("239689_NIO_G1.3&amp;G1.F_ESPHevX",$B130,1)),FALSE,TRUE)</f>
        <v>0</v>
      </c>
      <c r="U130" t="b">
        <f t="shared" ref="U130:U165" si="108">IF(ISERROR(SEARCH("E111_ESPHevx",$B130,1)),FALSE,TRUE)</f>
        <v>0</v>
      </c>
      <c r="V130" t="b">
        <f t="shared" ref="V130:V165" si="109">IF(ISERROR(SEARCH("Geely_KC2A_ESP9.3_HB_225750_BB8033",$B130,1)),FALSE,TRUE)</f>
        <v>0</v>
      </c>
      <c r="W130" t="b">
        <f t="shared" ref="W130:W165" si="110">IF(ISERROR(SEARCH("240688_DFSK_F517\527\537_EVR_Carbon_ESP9.3",$B130,1)),FALSE,TRUE)</f>
        <v>0</v>
      </c>
      <c r="X130" t="b">
        <f t="shared" ref="X130:X165" si="111">IF(ISERROR(SEARCH("Adapt_236234_SMART_VDDM_ESPHevX",$B130,1)),FALSE,TRUE)</f>
        <v>0</v>
      </c>
      <c r="Y130" t="b">
        <f t="shared" ref="Y130:Y165" si="112">IF(ISERROR(SEARCH("235199_SAIC_EP21_MCE_ESP9.3HevX",$B130,1)),FALSE,TRUE)</f>
        <v>0</v>
      </c>
      <c r="Z130" t="b">
        <f t="shared" ref="Z130:Z165" si="113">IF(ISERROR(SEARCH("233878_GAC_A20_CarbonESP9.3CP",$B130,1)),FALSE,TRUE)</f>
        <v>0</v>
      </c>
      <c r="AA130" t="b">
        <f t="shared" ref="AA130:AA165" si="114">IF(ISERROR(SEARCH("225378_FAW_D357_High",$B130,1)),FALSE,TRUE)</f>
        <v>0</v>
      </c>
      <c r="AB130" t="b">
        <f t="shared" ref="AB130:AB165" si="115">IF(ISERROR(SEARCH("Adapt_218053_CA_CD569_ESP9.3CP",$B130,1)),FALSE,TRUE)</f>
        <v>0</v>
      </c>
      <c r="AC130" t="b">
        <f t="shared" ref="AC130:AC165" si="116">IF(ISERROR(SEARCH("216997_FAW_E115_L3_IB2",$B130,1)),FALSE,TRUE)</f>
        <v>1</v>
      </c>
      <c r="AD130" t="b">
        <f t="shared" ref="AD130:AD165" si="117">IF(ISERROR(SEARCH("216916_FAW_E115_L3_ESPhev_APB(CBi)",$B130,1)),FALSE,TRUE)</f>
        <v>0</v>
      </c>
      <c r="AE130" t="b">
        <f t="shared" ref="AE130:AE165" si="118">IF(ISERROR(SEARCH("SAIC SV51H iBooster",$B130,1)),FALSE,TRUE)</f>
        <v>0</v>
      </c>
      <c r="AF130" t="b">
        <f t="shared" ref="AF130:AF165" si="119">IF(ISERROR(SEARCH("MC_244837_SGMW_CN210M_RC_ABS9.3CBi",$B130,1)),FALSE,TRUE)</f>
        <v>0</v>
      </c>
    </row>
    <row r="131" spans="1:32" x14ac:dyDescent="0.25">
      <c r="A131" s="6" t="s">
        <v>0</v>
      </c>
      <c r="B131" s="85" t="s">
        <v>213</v>
      </c>
      <c r="G131" s="1" t="s">
        <v>5</v>
      </c>
      <c r="I131" s="1">
        <v>5</v>
      </c>
      <c r="J131" t="b">
        <f t="shared" si="96"/>
        <v>0</v>
      </c>
      <c r="K131" t="b">
        <f t="shared" si="98"/>
        <v>0</v>
      </c>
      <c r="L131" t="b">
        <f t="shared" si="99"/>
        <v>0</v>
      </c>
      <c r="M131" t="b">
        <f t="shared" si="100"/>
        <v>0</v>
      </c>
      <c r="N131" t="b">
        <f t="shared" si="101"/>
        <v>0</v>
      </c>
      <c r="O131" t="b">
        <f t="shared" si="102"/>
        <v>0</v>
      </c>
      <c r="P131" t="b">
        <f t="shared" si="103"/>
        <v>0</v>
      </c>
      <c r="Q131" t="b">
        <f t="shared" si="104"/>
        <v>0</v>
      </c>
      <c r="R131" t="b">
        <f t="shared" si="105"/>
        <v>0</v>
      </c>
      <c r="S131" t="b">
        <f t="shared" si="106"/>
        <v>0</v>
      </c>
      <c r="T131" t="b">
        <f t="shared" si="107"/>
        <v>0</v>
      </c>
      <c r="U131" t="b">
        <f t="shared" si="108"/>
        <v>0</v>
      </c>
      <c r="V131" t="b">
        <f t="shared" si="109"/>
        <v>0</v>
      </c>
      <c r="W131" t="b">
        <f t="shared" si="110"/>
        <v>0</v>
      </c>
      <c r="X131" t="b">
        <f t="shared" si="111"/>
        <v>0</v>
      </c>
      <c r="Y131" t="b">
        <f t="shared" si="112"/>
        <v>0</v>
      </c>
      <c r="Z131" t="b">
        <f t="shared" si="113"/>
        <v>0</v>
      </c>
      <c r="AA131" t="b">
        <f t="shared" si="114"/>
        <v>0</v>
      </c>
      <c r="AB131" t="b">
        <f t="shared" si="115"/>
        <v>0</v>
      </c>
      <c r="AC131" t="b">
        <f t="shared" si="116"/>
        <v>1</v>
      </c>
      <c r="AD131" t="b">
        <f t="shared" si="117"/>
        <v>0</v>
      </c>
      <c r="AE131" t="b">
        <f t="shared" si="118"/>
        <v>0</v>
      </c>
      <c r="AF131" t="b">
        <f t="shared" si="119"/>
        <v>0</v>
      </c>
    </row>
    <row r="132" spans="1:32" x14ac:dyDescent="0.25">
      <c r="A132" s="6" t="s">
        <v>0</v>
      </c>
      <c r="B132" s="85" t="s">
        <v>213</v>
      </c>
      <c r="G132" s="1" t="s">
        <v>17</v>
      </c>
      <c r="I132" s="1">
        <v>1</v>
      </c>
      <c r="J132" t="b">
        <f t="shared" si="96"/>
        <v>0</v>
      </c>
      <c r="K132" t="b">
        <f t="shared" si="98"/>
        <v>0</v>
      </c>
      <c r="L132" t="b">
        <f t="shared" si="99"/>
        <v>0</v>
      </c>
      <c r="M132" t="b">
        <f t="shared" si="100"/>
        <v>0</v>
      </c>
      <c r="N132" t="b">
        <f t="shared" si="101"/>
        <v>0</v>
      </c>
      <c r="O132" t="b">
        <f t="shared" si="102"/>
        <v>0</v>
      </c>
      <c r="P132" t="b">
        <f t="shared" si="103"/>
        <v>0</v>
      </c>
      <c r="Q132" t="b">
        <f t="shared" si="104"/>
        <v>0</v>
      </c>
      <c r="R132" t="b">
        <f t="shared" si="105"/>
        <v>0</v>
      </c>
      <c r="S132" t="b">
        <f t="shared" si="106"/>
        <v>0</v>
      </c>
      <c r="T132" t="b">
        <f t="shared" si="107"/>
        <v>0</v>
      </c>
      <c r="U132" t="b">
        <f t="shared" si="108"/>
        <v>0</v>
      </c>
      <c r="V132" t="b">
        <f t="shared" si="109"/>
        <v>0</v>
      </c>
      <c r="W132" t="b">
        <f t="shared" si="110"/>
        <v>0</v>
      </c>
      <c r="X132" t="b">
        <f t="shared" si="111"/>
        <v>0</v>
      </c>
      <c r="Y132" t="b">
        <f t="shared" si="112"/>
        <v>0</v>
      </c>
      <c r="Z132" t="b">
        <f t="shared" si="113"/>
        <v>0</v>
      </c>
      <c r="AA132" t="b">
        <f t="shared" si="114"/>
        <v>0</v>
      </c>
      <c r="AB132" t="b">
        <f t="shared" si="115"/>
        <v>0</v>
      </c>
      <c r="AC132" t="b">
        <f t="shared" si="116"/>
        <v>1</v>
      </c>
      <c r="AD132" t="b">
        <f t="shared" si="117"/>
        <v>0</v>
      </c>
      <c r="AE132" t="b">
        <f t="shared" si="118"/>
        <v>0</v>
      </c>
      <c r="AF132" t="b">
        <f t="shared" si="119"/>
        <v>0</v>
      </c>
    </row>
    <row r="133" spans="1:32" x14ac:dyDescent="0.25">
      <c r="A133" s="6" t="s">
        <v>0</v>
      </c>
      <c r="B133" s="85" t="s">
        <v>213</v>
      </c>
      <c r="G133" s="1" t="s">
        <v>8</v>
      </c>
      <c r="I133" s="1">
        <v>3.53</v>
      </c>
      <c r="J133" t="b">
        <f t="shared" si="96"/>
        <v>0</v>
      </c>
      <c r="K133" t="b">
        <f t="shared" si="98"/>
        <v>0</v>
      </c>
      <c r="L133" t="b">
        <f t="shared" si="99"/>
        <v>0</v>
      </c>
      <c r="M133" t="b">
        <f t="shared" si="100"/>
        <v>0</v>
      </c>
      <c r="N133" t="b">
        <f t="shared" si="101"/>
        <v>0</v>
      </c>
      <c r="O133" t="b">
        <f t="shared" si="102"/>
        <v>0</v>
      </c>
      <c r="P133" t="b">
        <f t="shared" si="103"/>
        <v>0</v>
      </c>
      <c r="Q133" t="b">
        <f t="shared" si="104"/>
        <v>0</v>
      </c>
      <c r="R133" t="b">
        <f t="shared" si="105"/>
        <v>0</v>
      </c>
      <c r="S133" t="b">
        <f t="shared" si="106"/>
        <v>0</v>
      </c>
      <c r="T133" t="b">
        <f t="shared" si="107"/>
        <v>0</v>
      </c>
      <c r="U133" t="b">
        <f t="shared" si="108"/>
        <v>0</v>
      </c>
      <c r="V133" t="b">
        <f t="shared" si="109"/>
        <v>0</v>
      </c>
      <c r="W133" t="b">
        <f t="shared" si="110"/>
        <v>0</v>
      </c>
      <c r="X133" t="b">
        <f t="shared" si="111"/>
        <v>0</v>
      </c>
      <c r="Y133" t="b">
        <f t="shared" si="112"/>
        <v>0</v>
      </c>
      <c r="Z133" t="b">
        <f t="shared" si="113"/>
        <v>0</v>
      </c>
      <c r="AA133" t="b">
        <f t="shared" si="114"/>
        <v>0</v>
      </c>
      <c r="AB133" t="b">
        <f t="shared" si="115"/>
        <v>0</v>
      </c>
      <c r="AC133" t="b">
        <f t="shared" si="116"/>
        <v>1</v>
      </c>
      <c r="AD133" t="b">
        <f t="shared" si="117"/>
        <v>0</v>
      </c>
      <c r="AE133" t="b">
        <f t="shared" si="118"/>
        <v>0</v>
      </c>
      <c r="AF133" t="b">
        <f t="shared" si="119"/>
        <v>0</v>
      </c>
    </row>
    <row r="134" spans="1:32" x14ac:dyDescent="0.25">
      <c r="A134" s="6" t="s">
        <v>0</v>
      </c>
      <c r="B134" s="85" t="s">
        <v>213</v>
      </c>
      <c r="G134" s="1" t="s">
        <v>8</v>
      </c>
      <c r="I134" s="1">
        <v>0.5</v>
      </c>
      <c r="J134" t="b">
        <f t="shared" si="96"/>
        <v>0</v>
      </c>
      <c r="K134" t="b">
        <f t="shared" si="98"/>
        <v>0</v>
      </c>
      <c r="L134" t="b">
        <f t="shared" si="99"/>
        <v>0</v>
      </c>
      <c r="M134" t="b">
        <f t="shared" si="100"/>
        <v>0</v>
      </c>
      <c r="N134" t="b">
        <f t="shared" si="101"/>
        <v>0</v>
      </c>
      <c r="O134" t="b">
        <f t="shared" si="102"/>
        <v>0</v>
      </c>
      <c r="P134" t="b">
        <f t="shared" si="103"/>
        <v>0</v>
      </c>
      <c r="Q134" t="b">
        <f t="shared" si="104"/>
        <v>0</v>
      </c>
      <c r="R134" t="b">
        <f t="shared" si="105"/>
        <v>0</v>
      </c>
      <c r="S134" t="b">
        <f t="shared" si="106"/>
        <v>0</v>
      </c>
      <c r="T134" t="b">
        <f t="shared" si="107"/>
        <v>0</v>
      </c>
      <c r="U134" t="b">
        <f t="shared" si="108"/>
        <v>0</v>
      </c>
      <c r="V134" t="b">
        <f t="shared" si="109"/>
        <v>0</v>
      </c>
      <c r="W134" t="b">
        <f t="shared" si="110"/>
        <v>0</v>
      </c>
      <c r="X134" t="b">
        <f t="shared" si="111"/>
        <v>0</v>
      </c>
      <c r="Y134" t="b">
        <f t="shared" si="112"/>
        <v>0</v>
      </c>
      <c r="Z134" t="b">
        <f t="shared" si="113"/>
        <v>0</v>
      </c>
      <c r="AA134" t="b">
        <f t="shared" si="114"/>
        <v>0</v>
      </c>
      <c r="AB134" t="b">
        <f t="shared" si="115"/>
        <v>0</v>
      </c>
      <c r="AC134" t="b">
        <f t="shared" si="116"/>
        <v>1</v>
      </c>
      <c r="AD134" t="b">
        <f t="shared" si="117"/>
        <v>0</v>
      </c>
      <c r="AE134" t="b">
        <f t="shared" si="118"/>
        <v>0</v>
      </c>
      <c r="AF134" t="b">
        <f t="shared" si="119"/>
        <v>0</v>
      </c>
    </row>
    <row r="135" spans="1:32" x14ac:dyDescent="0.25">
      <c r="A135" s="6" t="s">
        <v>0</v>
      </c>
      <c r="B135" s="85" t="s">
        <v>213</v>
      </c>
      <c r="G135" s="1" t="s">
        <v>8</v>
      </c>
      <c r="I135" s="1">
        <v>1.49</v>
      </c>
      <c r="J135" t="b">
        <f t="shared" si="96"/>
        <v>0</v>
      </c>
      <c r="K135" t="b">
        <f t="shared" si="98"/>
        <v>0</v>
      </c>
      <c r="L135" t="b">
        <f t="shared" si="99"/>
        <v>0</v>
      </c>
      <c r="M135" t="b">
        <f t="shared" si="100"/>
        <v>0</v>
      </c>
      <c r="N135" t="b">
        <f t="shared" si="101"/>
        <v>0</v>
      </c>
      <c r="O135" t="b">
        <f t="shared" si="102"/>
        <v>0</v>
      </c>
      <c r="P135" t="b">
        <f t="shared" si="103"/>
        <v>0</v>
      </c>
      <c r="Q135" t="b">
        <f t="shared" si="104"/>
        <v>0</v>
      </c>
      <c r="R135" t="b">
        <f t="shared" si="105"/>
        <v>0</v>
      </c>
      <c r="S135" t="b">
        <f t="shared" si="106"/>
        <v>0</v>
      </c>
      <c r="T135" t="b">
        <f t="shared" si="107"/>
        <v>0</v>
      </c>
      <c r="U135" t="b">
        <f t="shared" si="108"/>
        <v>0</v>
      </c>
      <c r="V135" t="b">
        <f t="shared" si="109"/>
        <v>0</v>
      </c>
      <c r="W135" t="b">
        <f t="shared" si="110"/>
        <v>0</v>
      </c>
      <c r="X135" t="b">
        <f t="shared" si="111"/>
        <v>0</v>
      </c>
      <c r="Y135" t="b">
        <f t="shared" si="112"/>
        <v>0</v>
      </c>
      <c r="Z135" t="b">
        <f t="shared" si="113"/>
        <v>0</v>
      </c>
      <c r="AA135" t="b">
        <f t="shared" si="114"/>
        <v>0</v>
      </c>
      <c r="AB135" t="b">
        <f t="shared" si="115"/>
        <v>0</v>
      </c>
      <c r="AC135" t="b">
        <f t="shared" si="116"/>
        <v>1</v>
      </c>
      <c r="AD135" t="b">
        <f t="shared" si="117"/>
        <v>0</v>
      </c>
      <c r="AE135" t="b">
        <f t="shared" si="118"/>
        <v>0</v>
      </c>
      <c r="AF135" t="b">
        <f t="shared" si="119"/>
        <v>0</v>
      </c>
    </row>
    <row r="136" spans="1:32" x14ac:dyDescent="0.25">
      <c r="A136" s="6" t="s">
        <v>0</v>
      </c>
      <c r="B136" s="85" t="s">
        <v>213</v>
      </c>
      <c r="G136" s="1" t="s">
        <v>5</v>
      </c>
      <c r="I136" s="1">
        <v>4.5</v>
      </c>
      <c r="J136" t="b">
        <f t="shared" si="96"/>
        <v>0</v>
      </c>
      <c r="K136" t="b">
        <f t="shared" si="98"/>
        <v>0</v>
      </c>
      <c r="L136" t="b">
        <f t="shared" si="99"/>
        <v>0</v>
      </c>
      <c r="M136" t="b">
        <f t="shared" si="100"/>
        <v>0</v>
      </c>
      <c r="N136" t="b">
        <f t="shared" si="101"/>
        <v>0</v>
      </c>
      <c r="O136" t="b">
        <f t="shared" si="102"/>
        <v>0</v>
      </c>
      <c r="P136" t="b">
        <f t="shared" si="103"/>
        <v>0</v>
      </c>
      <c r="Q136" t="b">
        <f t="shared" si="104"/>
        <v>0</v>
      </c>
      <c r="R136" t="b">
        <f t="shared" si="105"/>
        <v>0</v>
      </c>
      <c r="S136" t="b">
        <f t="shared" si="106"/>
        <v>0</v>
      </c>
      <c r="T136" t="b">
        <f t="shared" si="107"/>
        <v>0</v>
      </c>
      <c r="U136" t="b">
        <f t="shared" si="108"/>
        <v>0</v>
      </c>
      <c r="V136" t="b">
        <f t="shared" si="109"/>
        <v>0</v>
      </c>
      <c r="W136" t="b">
        <f t="shared" si="110"/>
        <v>0</v>
      </c>
      <c r="X136" t="b">
        <f t="shared" si="111"/>
        <v>0</v>
      </c>
      <c r="Y136" t="b">
        <f t="shared" si="112"/>
        <v>0</v>
      </c>
      <c r="Z136" t="b">
        <f t="shared" si="113"/>
        <v>0</v>
      </c>
      <c r="AA136" t="b">
        <f t="shared" si="114"/>
        <v>0</v>
      </c>
      <c r="AB136" t="b">
        <f t="shared" si="115"/>
        <v>0</v>
      </c>
      <c r="AC136" t="b">
        <f t="shared" si="116"/>
        <v>1</v>
      </c>
      <c r="AD136" t="b">
        <f t="shared" si="117"/>
        <v>0</v>
      </c>
      <c r="AE136" t="b">
        <f t="shared" si="118"/>
        <v>0</v>
      </c>
      <c r="AF136" t="b">
        <f t="shared" si="119"/>
        <v>0</v>
      </c>
    </row>
    <row r="137" spans="1:32" x14ac:dyDescent="0.25">
      <c r="A137" s="6" t="s">
        <v>0</v>
      </c>
      <c r="B137" s="87" t="s">
        <v>214</v>
      </c>
      <c r="G137" s="6" t="s">
        <v>22</v>
      </c>
      <c r="I137" s="1">
        <v>2</v>
      </c>
      <c r="J137" t="b">
        <f t="shared" si="96"/>
        <v>0</v>
      </c>
      <c r="K137" t="b">
        <f t="shared" si="98"/>
        <v>0</v>
      </c>
      <c r="L137" t="b">
        <f t="shared" si="99"/>
        <v>0</v>
      </c>
      <c r="M137" t="b">
        <f t="shared" si="100"/>
        <v>0</v>
      </c>
      <c r="N137" t="b">
        <f t="shared" si="101"/>
        <v>0</v>
      </c>
      <c r="O137" t="b">
        <f t="shared" si="102"/>
        <v>0</v>
      </c>
      <c r="P137" t="b">
        <f t="shared" si="103"/>
        <v>0</v>
      </c>
      <c r="Q137" t="b">
        <f t="shared" si="104"/>
        <v>0</v>
      </c>
      <c r="R137" t="b">
        <f t="shared" si="105"/>
        <v>0</v>
      </c>
      <c r="S137" t="b">
        <f t="shared" si="106"/>
        <v>0</v>
      </c>
      <c r="T137" t="b">
        <f t="shared" si="107"/>
        <v>0</v>
      </c>
      <c r="U137" t="b">
        <f t="shared" si="108"/>
        <v>0</v>
      </c>
      <c r="V137" t="b">
        <f t="shared" si="109"/>
        <v>0</v>
      </c>
      <c r="W137" t="b">
        <f t="shared" si="110"/>
        <v>0</v>
      </c>
      <c r="X137" t="b">
        <f t="shared" si="111"/>
        <v>0</v>
      </c>
      <c r="Y137" t="b">
        <f t="shared" si="112"/>
        <v>0</v>
      </c>
      <c r="Z137" t="b">
        <f t="shared" si="113"/>
        <v>0</v>
      </c>
      <c r="AA137" t="b">
        <f t="shared" si="114"/>
        <v>0</v>
      </c>
      <c r="AB137" t="b">
        <f t="shared" si="115"/>
        <v>0</v>
      </c>
      <c r="AC137" t="b">
        <f t="shared" si="116"/>
        <v>0</v>
      </c>
      <c r="AD137" t="b">
        <f t="shared" si="117"/>
        <v>1</v>
      </c>
      <c r="AE137" t="b">
        <f t="shared" si="118"/>
        <v>0</v>
      </c>
      <c r="AF137" t="b">
        <f t="shared" si="119"/>
        <v>0</v>
      </c>
    </row>
    <row r="138" spans="1:32" x14ac:dyDescent="0.25">
      <c r="A138" s="6" t="s">
        <v>0</v>
      </c>
      <c r="B138" s="87" t="s">
        <v>214</v>
      </c>
      <c r="G138" s="6" t="s">
        <v>22</v>
      </c>
      <c r="I138" s="1">
        <v>2</v>
      </c>
      <c r="J138" t="b">
        <f t="shared" si="96"/>
        <v>0</v>
      </c>
      <c r="K138" t="b">
        <f t="shared" si="98"/>
        <v>0</v>
      </c>
      <c r="L138" t="b">
        <f t="shared" si="99"/>
        <v>0</v>
      </c>
      <c r="M138" t="b">
        <f t="shared" si="100"/>
        <v>0</v>
      </c>
      <c r="N138" t="b">
        <f t="shared" si="101"/>
        <v>0</v>
      </c>
      <c r="O138" t="b">
        <f t="shared" si="102"/>
        <v>0</v>
      </c>
      <c r="P138" t="b">
        <f t="shared" si="103"/>
        <v>0</v>
      </c>
      <c r="Q138" t="b">
        <f t="shared" si="104"/>
        <v>0</v>
      </c>
      <c r="R138" t="b">
        <f t="shared" si="105"/>
        <v>0</v>
      </c>
      <c r="S138" t="b">
        <f t="shared" si="106"/>
        <v>0</v>
      </c>
      <c r="T138" t="b">
        <f t="shared" si="107"/>
        <v>0</v>
      </c>
      <c r="U138" t="b">
        <f t="shared" si="108"/>
        <v>0</v>
      </c>
      <c r="V138" t="b">
        <f t="shared" si="109"/>
        <v>0</v>
      </c>
      <c r="W138" t="b">
        <f t="shared" si="110"/>
        <v>0</v>
      </c>
      <c r="X138" t="b">
        <f t="shared" si="111"/>
        <v>0</v>
      </c>
      <c r="Y138" t="b">
        <f t="shared" si="112"/>
        <v>0</v>
      </c>
      <c r="Z138" t="b">
        <f t="shared" si="113"/>
        <v>0</v>
      </c>
      <c r="AA138" t="b">
        <f t="shared" si="114"/>
        <v>0</v>
      </c>
      <c r="AB138" t="b">
        <f t="shared" si="115"/>
        <v>0</v>
      </c>
      <c r="AC138" t="b">
        <f t="shared" si="116"/>
        <v>0</v>
      </c>
      <c r="AD138" t="b">
        <f t="shared" si="117"/>
        <v>1</v>
      </c>
      <c r="AE138" t="b">
        <f t="shared" si="118"/>
        <v>0</v>
      </c>
      <c r="AF138" t="b">
        <f t="shared" si="119"/>
        <v>0</v>
      </c>
    </row>
    <row r="139" spans="1:32" x14ac:dyDescent="0.25">
      <c r="A139" s="6" t="s">
        <v>0</v>
      </c>
      <c r="B139" s="87" t="s">
        <v>214</v>
      </c>
      <c r="G139" s="6" t="s">
        <v>22</v>
      </c>
      <c r="I139" s="1">
        <v>1</v>
      </c>
      <c r="J139" t="b">
        <f t="shared" si="96"/>
        <v>0</v>
      </c>
      <c r="K139" t="b">
        <f t="shared" si="98"/>
        <v>0</v>
      </c>
      <c r="L139" t="b">
        <f t="shared" si="99"/>
        <v>0</v>
      </c>
      <c r="M139" t="b">
        <f t="shared" si="100"/>
        <v>0</v>
      </c>
      <c r="N139" t="b">
        <f t="shared" si="101"/>
        <v>0</v>
      </c>
      <c r="O139" t="b">
        <f t="shared" si="102"/>
        <v>0</v>
      </c>
      <c r="P139" t="b">
        <f t="shared" si="103"/>
        <v>0</v>
      </c>
      <c r="Q139" t="b">
        <f t="shared" si="104"/>
        <v>0</v>
      </c>
      <c r="R139" t="b">
        <f t="shared" si="105"/>
        <v>0</v>
      </c>
      <c r="S139" t="b">
        <f t="shared" si="106"/>
        <v>0</v>
      </c>
      <c r="T139" t="b">
        <f t="shared" si="107"/>
        <v>0</v>
      </c>
      <c r="U139" t="b">
        <f t="shared" si="108"/>
        <v>0</v>
      </c>
      <c r="V139" t="b">
        <f t="shared" si="109"/>
        <v>0</v>
      </c>
      <c r="W139" t="b">
        <f t="shared" si="110"/>
        <v>0</v>
      </c>
      <c r="X139" t="b">
        <f t="shared" si="111"/>
        <v>0</v>
      </c>
      <c r="Y139" t="b">
        <f t="shared" si="112"/>
        <v>0</v>
      </c>
      <c r="Z139" t="b">
        <f t="shared" si="113"/>
        <v>0</v>
      </c>
      <c r="AA139" t="b">
        <f t="shared" si="114"/>
        <v>0</v>
      </c>
      <c r="AB139" t="b">
        <f t="shared" si="115"/>
        <v>0</v>
      </c>
      <c r="AC139" t="b">
        <f t="shared" si="116"/>
        <v>0</v>
      </c>
      <c r="AD139" t="b">
        <f t="shared" si="117"/>
        <v>1</v>
      </c>
      <c r="AE139" t="b">
        <f t="shared" si="118"/>
        <v>0</v>
      </c>
      <c r="AF139" t="b">
        <f t="shared" si="119"/>
        <v>0</v>
      </c>
    </row>
    <row r="140" spans="1:32" x14ac:dyDescent="0.25">
      <c r="A140" s="6" t="s">
        <v>0</v>
      </c>
      <c r="B140" s="87" t="s">
        <v>214</v>
      </c>
      <c r="G140" s="6" t="s">
        <v>8</v>
      </c>
      <c r="I140" s="1">
        <v>0.96</v>
      </c>
      <c r="J140" t="b">
        <f t="shared" ref="J140:J165" si="120">IF(ISERROR(SEARCH("GAC_Carbon_Stream_ESPCP",$B140,1)),FALSE,TRUE)</f>
        <v>0</v>
      </c>
      <c r="K140" t="b">
        <f t="shared" si="98"/>
        <v>0</v>
      </c>
      <c r="L140" t="b">
        <f t="shared" si="99"/>
        <v>0</v>
      </c>
      <c r="M140" t="b">
        <f t="shared" si="100"/>
        <v>0</v>
      </c>
      <c r="N140" t="b">
        <f t="shared" si="101"/>
        <v>0</v>
      </c>
      <c r="O140" t="b">
        <f t="shared" si="102"/>
        <v>0</v>
      </c>
      <c r="P140" t="b">
        <f t="shared" si="103"/>
        <v>0</v>
      </c>
      <c r="Q140" t="b">
        <f t="shared" si="104"/>
        <v>0</v>
      </c>
      <c r="R140" t="b">
        <f t="shared" si="105"/>
        <v>0</v>
      </c>
      <c r="S140" t="b">
        <f t="shared" si="106"/>
        <v>0</v>
      </c>
      <c r="T140" t="b">
        <f t="shared" si="107"/>
        <v>0</v>
      </c>
      <c r="U140" t="b">
        <f t="shared" si="108"/>
        <v>0</v>
      </c>
      <c r="V140" t="b">
        <f t="shared" si="109"/>
        <v>0</v>
      </c>
      <c r="W140" t="b">
        <f t="shared" si="110"/>
        <v>0</v>
      </c>
      <c r="X140" t="b">
        <f t="shared" si="111"/>
        <v>0</v>
      </c>
      <c r="Y140" t="b">
        <f t="shared" si="112"/>
        <v>0</v>
      </c>
      <c r="Z140" t="b">
        <f t="shared" si="113"/>
        <v>0</v>
      </c>
      <c r="AA140" t="b">
        <f t="shared" si="114"/>
        <v>0</v>
      </c>
      <c r="AB140" t="b">
        <f t="shared" si="115"/>
        <v>0</v>
      </c>
      <c r="AC140" t="b">
        <f t="shared" si="116"/>
        <v>0</v>
      </c>
      <c r="AD140" t="b">
        <f t="shared" si="117"/>
        <v>1</v>
      </c>
      <c r="AE140" t="b">
        <f t="shared" si="118"/>
        <v>0</v>
      </c>
      <c r="AF140" t="b">
        <f t="shared" si="119"/>
        <v>0</v>
      </c>
    </row>
    <row r="141" spans="1:32" x14ac:dyDescent="0.25">
      <c r="A141" s="6" t="s">
        <v>0</v>
      </c>
      <c r="B141" s="87" t="s">
        <v>214</v>
      </c>
      <c r="G141" s="1" t="s">
        <v>8</v>
      </c>
      <c r="I141" s="1">
        <v>2.2999999999999998</v>
      </c>
      <c r="J141" t="b">
        <f t="shared" si="120"/>
        <v>0</v>
      </c>
      <c r="K141" t="b">
        <f t="shared" si="98"/>
        <v>0</v>
      </c>
      <c r="L141" t="b">
        <f t="shared" si="99"/>
        <v>0</v>
      </c>
      <c r="M141" t="b">
        <f t="shared" si="100"/>
        <v>0</v>
      </c>
      <c r="N141" t="b">
        <f t="shared" si="101"/>
        <v>0</v>
      </c>
      <c r="O141" t="b">
        <f t="shared" si="102"/>
        <v>0</v>
      </c>
      <c r="P141" t="b">
        <f t="shared" si="103"/>
        <v>0</v>
      </c>
      <c r="Q141" t="b">
        <f t="shared" si="104"/>
        <v>0</v>
      </c>
      <c r="R141" t="b">
        <f t="shared" si="105"/>
        <v>0</v>
      </c>
      <c r="S141" t="b">
        <f t="shared" si="106"/>
        <v>0</v>
      </c>
      <c r="T141" t="b">
        <f t="shared" si="107"/>
        <v>0</v>
      </c>
      <c r="U141" t="b">
        <f t="shared" si="108"/>
        <v>0</v>
      </c>
      <c r="V141" t="b">
        <f t="shared" si="109"/>
        <v>0</v>
      </c>
      <c r="W141" t="b">
        <f t="shared" si="110"/>
        <v>0</v>
      </c>
      <c r="X141" t="b">
        <f t="shared" si="111"/>
        <v>0</v>
      </c>
      <c r="Y141" t="b">
        <f t="shared" si="112"/>
        <v>0</v>
      </c>
      <c r="Z141" t="b">
        <f t="shared" si="113"/>
        <v>0</v>
      </c>
      <c r="AA141" t="b">
        <f t="shared" si="114"/>
        <v>0</v>
      </c>
      <c r="AB141" t="b">
        <f t="shared" si="115"/>
        <v>0</v>
      </c>
      <c r="AC141" t="b">
        <f t="shared" si="116"/>
        <v>0</v>
      </c>
      <c r="AD141" t="b">
        <f t="shared" si="117"/>
        <v>1</v>
      </c>
      <c r="AE141" t="b">
        <f t="shared" si="118"/>
        <v>0</v>
      </c>
      <c r="AF141" t="b">
        <f t="shared" si="119"/>
        <v>0</v>
      </c>
    </row>
    <row r="142" spans="1:32" x14ac:dyDescent="0.25">
      <c r="A142" s="6" t="s">
        <v>0</v>
      </c>
      <c r="B142" s="87" t="s">
        <v>214</v>
      </c>
      <c r="G142" s="1" t="s">
        <v>17</v>
      </c>
      <c r="I142" s="1">
        <v>1</v>
      </c>
      <c r="J142" t="b">
        <f t="shared" si="120"/>
        <v>0</v>
      </c>
      <c r="K142" t="b">
        <f t="shared" si="98"/>
        <v>0</v>
      </c>
      <c r="L142" t="b">
        <f t="shared" si="99"/>
        <v>0</v>
      </c>
      <c r="M142" t="b">
        <f t="shared" si="100"/>
        <v>0</v>
      </c>
      <c r="N142" t="b">
        <f t="shared" si="101"/>
        <v>0</v>
      </c>
      <c r="O142" t="b">
        <f t="shared" si="102"/>
        <v>0</v>
      </c>
      <c r="P142" t="b">
        <f t="shared" si="103"/>
        <v>0</v>
      </c>
      <c r="Q142" t="b">
        <f t="shared" si="104"/>
        <v>0</v>
      </c>
      <c r="R142" t="b">
        <f t="shared" si="105"/>
        <v>0</v>
      </c>
      <c r="S142" t="b">
        <f t="shared" si="106"/>
        <v>0</v>
      </c>
      <c r="T142" t="b">
        <f t="shared" si="107"/>
        <v>0</v>
      </c>
      <c r="U142" t="b">
        <f t="shared" si="108"/>
        <v>0</v>
      </c>
      <c r="V142" t="b">
        <f t="shared" si="109"/>
        <v>0</v>
      </c>
      <c r="W142" t="b">
        <f t="shared" si="110"/>
        <v>0</v>
      </c>
      <c r="X142" t="b">
        <f t="shared" si="111"/>
        <v>0</v>
      </c>
      <c r="Y142" t="b">
        <f t="shared" si="112"/>
        <v>0</v>
      </c>
      <c r="Z142" t="b">
        <f t="shared" si="113"/>
        <v>0</v>
      </c>
      <c r="AA142" t="b">
        <f t="shared" si="114"/>
        <v>0</v>
      </c>
      <c r="AB142" t="b">
        <f t="shared" si="115"/>
        <v>0</v>
      </c>
      <c r="AC142" t="b">
        <f t="shared" si="116"/>
        <v>0</v>
      </c>
      <c r="AD142" t="b">
        <f t="shared" si="117"/>
        <v>1</v>
      </c>
      <c r="AE142" t="b">
        <f t="shared" si="118"/>
        <v>0</v>
      </c>
      <c r="AF142" t="b">
        <f t="shared" si="119"/>
        <v>0</v>
      </c>
    </row>
    <row r="143" spans="1:32" x14ac:dyDescent="0.25">
      <c r="A143" s="6" t="s">
        <v>0</v>
      </c>
      <c r="B143" s="87" t="s">
        <v>214</v>
      </c>
      <c r="G143" s="1" t="s">
        <v>8</v>
      </c>
      <c r="I143" s="1">
        <v>3.53</v>
      </c>
      <c r="J143" t="b">
        <f t="shared" si="120"/>
        <v>0</v>
      </c>
      <c r="K143" t="b">
        <f t="shared" si="98"/>
        <v>0</v>
      </c>
      <c r="L143" t="b">
        <f t="shared" si="99"/>
        <v>0</v>
      </c>
      <c r="M143" t="b">
        <f t="shared" si="100"/>
        <v>0</v>
      </c>
      <c r="N143" t="b">
        <f t="shared" si="101"/>
        <v>0</v>
      </c>
      <c r="O143" t="b">
        <f t="shared" si="102"/>
        <v>0</v>
      </c>
      <c r="P143" t="b">
        <f t="shared" si="103"/>
        <v>0</v>
      </c>
      <c r="Q143" t="b">
        <f t="shared" si="104"/>
        <v>0</v>
      </c>
      <c r="R143" t="b">
        <f t="shared" si="105"/>
        <v>0</v>
      </c>
      <c r="S143" t="b">
        <f t="shared" si="106"/>
        <v>0</v>
      </c>
      <c r="T143" t="b">
        <f t="shared" si="107"/>
        <v>0</v>
      </c>
      <c r="U143" t="b">
        <f t="shared" si="108"/>
        <v>0</v>
      </c>
      <c r="V143" t="b">
        <f t="shared" si="109"/>
        <v>0</v>
      </c>
      <c r="W143" t="b">
        <f t="shared" si="110"/>
        <v>0</v>
      </c>
      <c r="X143" t="b">
        <f t="shared" si="111"/>
        <v>0</v>
      </c>
      <c r="Y143" t="b">
        <f t="shared" si="112"/>
        <v>0</v>
      </c>
      <c r="Z143" t="b">
        <f t="shared" si="113"/>
        <v>0</v>
      </c>
      <c r="AA143" t="b">
        <f t="shared" si="114"/>
        <v>0</v>
      </c>
      <c r="AB143" t="b">
        <f t="shared" si="115"/>
        <v>0</v>
      </c>
      <c r="AC143" t="b">
        <f t="shared" si="116"/>
        <v>0</v>
      </c>
      <c r="AD143" t="b">
        <f t="shared" si="117"/>
        <v>1</v>
      </c>
      <c r="AE143" t="b">
        <f t="shared" si="118"/>
        <v>0</v>
      </c>
      <c r="AF143" t="b">
        <f t="shared" si="119"/>
        <v>0</v>
      </c>
    </row>
    <row r="144" spans="1:32" x14ac:dyDescent="0.25">
      <c r="A144" s="6" t="s">
        <v>0</v>
      </c>
      <c r="B144" s="87" t="s">
        <v>214</v>
      </c>
      <c r="G144" s="1" t="s">
        <v>8</v>
      </c>
      <c r="I144" s="1">
        <v>0.1</v>
      </c>
      <c r="J144" t="b">
        <f t="shared" si="120"/>
        <v>0</v>
      </c>
      <c r="K144" t="b">
        <f t="shared" si="98"/>
        <v>0</v>
      </c>
      <c r="L144" t="b">
        <f t="shared" si="99"/>
        <v>0</v>
      </c>
      <c r="M144" t="b">
        <f t="shared" si="100"/>
        <v>0</v>
      </c>
      <c r="N144" t="b">
        <f t="shared" si="101"/>
        <v>0</v>
      </c>
      <c r="O144" t="b">
        <f t="shared" si="102"/>
        <v>0</v>
      </c>
      <c r="P144" t="b">
        <f t="shared" si="103"/>
        <v>0</v>
      </c>
      <c r="Q144" t="b">
        <f t="shared" si="104"/>
        <v>0</v>
      </c>
      <c r="R144" t="b">
        <f t="shared" si="105"/>
        <v>0</v>
      </c>
      <c r="S144" t="b">
        <f t="shared" si="106"/>
        <v>0</v>
      </c>
      <c r="T144" t="b">
        <f t="shared" si="107"/>
        <v>0</v>
      </c>
      <c r="U144" t="b">
        <f t="shared" si="108"/>
        <v>0</v>
      </c>
      <c r="V144" t="b">
        <f t="shared" si="109"/>
        <v>0</v>
      </c>
      <c r="W144" t="b">
        <f t="shared" si="110"/>
        <v>0</v>
      </c>
      <c r="X144" t="b">
        <f t="shared" si="111"/>
        <v>0</v>
      </c>
      <c r="Y144" t="b">
        <f t="shared" si="112"/>
        <v>0</v>
      </c>
      <c r="Z144" t="b">
        <f t="shared" si="113"/>
        <v>0</v>
      </c>
      <c r="AA144" t="b">
        <f t="shared" si="114"/>
        <v>0</v>
      </c>
      <c r="AB144" t="b">
        <f t="shared" si="115"/>
        <v>0</v>
      </c>
      <c r="AC144" t="b">
        <f t="shared" si="116"/>
        <v>0</v>
      </c>
      <c r="AD144" t="b">
        <f t="shared" si="117"/>
        <v>1</v>
      </c>
      <c r="AE144" t="b">
        <f t="shared" si="118"/>
        <v>0</v>
      </c>
      <c r="AF144" t="b">
        <f t="shared" si="119"/>
        <v>0</v>
      </c>
    </row>
    <row r="145" spans="1:32" x14ac:dyDescent="0.25">
      <c r="A145" s="6" t="s">
        <v>0</v>
      </c>
      <c r="B145" s="87" t="s">
        <v>214</v>
      </c>
      <c r="G145" s="1" t="s">
        <v>8</v>
      </c>
      <c r="I145" s="1">
        <v>1.49</v>
      </c>
      <c r="J145" t="b">
        <f t="shared" si="120"/>
        <v>0</v>
      </c>
      <c r="K145" t="b">
        <f t="shared" si="98"/>
        <v>0</v>
      </c>
      <c r="L145" t="b">
        <f t="shared" si="99"/>
        <v>0</v>
      </c>
      <c r="M145" t="b">
        <f t="shared" si="100"/>
        <v>0</v>
      </c>
      <c r="N145" t="b">
        <f t="shared" si="101"/>
        <v>0</v>
      </c>
      <c r="O145" t="b">
        <f t="shared" si="102"/>
        <v>0</v>
      </c>
      <c r="P145" t="b">
        <f t="shared" si="103"/>
        <v>0</v>
      </c>
      <c r="Q145" t="b">
        <f t="shared" si="104"/>
        <v>0</v>
      </c>
      <c r="R145" t="b">
        <f t="shared" si="105"/>
        <v>0</v>
      </c>
      <c r="S145" t="b">
        <f t="shared" si="106"/>
        <v>0</v>
      </c>
      <c r="T145" t="b">
        <f t="shared" si="107"/>
        <v>0</v>
      </c>
      <c r="U145" t="b">
        <f t="shared" si="108"/>
        <v>0</v>
      </c>
      <c r="V145" t="b">
        <f t="shared" si="109"/>
        <v>0</v>
      </c>
      <c r="W145" t="b">
        <f t="shared" si="110"/>
        <v>0</v>
      </c>
      <c r="X145" t="b">
        <f t="shared" si="111"/>
        <v>0</v>
      </c>
      <c r="Y145" t="b">
        <f t="shared" si="112"/>
        <v>0</v>
      </c>
      <c r="Z145" t="b">
        <f t="shared" si="113"/>
        <v>0</v>
      </c>
      <c r="AA145" t="b">
        <f t="shared" si="114"/>
        <v>0</v>
      </c>
      <c r="AB145" t="b">
        <f t="shared" si="115"/>
        <v>0</v>
      </c>
      <c r="AC145" t="b">
        <f t="shared" si="116"/>
        <v>0</v>
      </c>
      <c r="AD145" t="b">
        <f t="shared" si="117"/>
        <v>1</v>
      </c>
      <c r="AE145" t="b">
        <f t="shared" si="118"/>
        <v>0</v>
      </c>
      <c r="AF145" t="b">
        <f t="shared" si="119"/>
        <v>0</v>
      </c>
    </row>
    <row r="146" spans="1:32" x14ac:dyDescent="0.25">
      <c r="A146" s="6" t="s">
        <v>0</v>
      </c>
      <c r="B146" s="1" t="s">
        <v>215</v>
      </c>
      <c r="C146" s="93"/>
      <c r="D146" s="93"/>
      <c r="E146" s="93"/>
      <c r="F146" s="93"/>
      <c r="G146" s="1" t="s">
        <v>22</v>
      </c>
      <c r="H146" s="93"/>
      <c r="I146" s="1">
        <v>1</v>
      </c>
      <c r="J146" t="b">
        <f t="shared" si="120"/>
        <v>0</v>
      </c>
      <c r="K146" t="b">
        <f t="shared" si="98"/>
        <v>0</v>
      </c>
      <c r="L146" t="b">
        <f t="shared" si="99"/>
        <v>0</v>
      </c>
      <c r="M146" t="b">
        <f t="shared" si="100"/>
        <v>0</v>
      </c>
      <c r="N146" t="b">
        <f t="shared" si="101"/>
        <v>0</v>
      </c>
      <c r="O146" t="b">
        <f t="shared" si="102"/>
        <v>0</v>
      </c>
      <c r="P146" t="b">
        <f t="shared" si="103"/>
        <v>0</v>
      </c>
      <c r="Q146" t="b">
        <f t="shared" si="104"/>
        <v>0</v>
      </c>
      <c r="R146" t="b">
        <f t="shared" si="105"/>
        <v>0</v>
      </c>
      <c r="S146" t="b">
        <f t="shared" si="106"/>
        <v>0</v>
      </c>
      <c r="T146" t="b">
        <f t="shared" si="107"/>
        <v>0</v>
      </c>
      <c r="U146" t="b">
        <f t="shared" si="108"/>
        <v>0</v>
      </c>
      <c r="V146" t="b">
        <f t="shared" si="109"/>
        <v>0</v>
      </c>
      <c r="W146" t="b">
        <f t="shared" si="110"/>
        <v>0</v>
      </c>
      <c r="X146" t="b">
        <f t="shared" si="111"/>
        <v>0</v>
      </c>
      <c r="Y146" t="b">
        <f t="shared" si="112"/>
        <v>0</v>
      </c>
      <c r="Z146" t="b">
        <f t="shared" si="113"/>
        <v>0</v>
      </c>
      <c r="AA146" t="b">
        <f t="shared" si="114"/>
        <v>0</v>
      </c>
      <c r="AB146" t="b">
        <f t="shared" si="115"/>
        <v>0</v>
      </c>
      <c r="AC146" t="b">
        <f t="shared" si="116"/>
        <v>0</v>
      </c>
      <c r="AD146" t="b">
        <f t="shared" si="117"/>
        <v>0</v>
      </c>
      <c r="AE146" t="b">
        <f t="shared" si="118"/>
        <v>0</v>
      </c>
      <c r="AF146" t="b">
        <f t="shared" si="119"/>
        <v>0</v>
      </c>
    </row>
    <row r="147" spans="1:32" x14ac:dyDescent="0.25">
      <c r="A147" s="6" t="s">
        <v>0</v>
      </c>
      <c r="B147" s="1" t="s">
        <v>215</v>
      </c>
      <c r="C147" s="93"/>
      <c r="D147" s="93"/>
      <c r="E147" s="93"/>
      <c r="F147" s="93"/>
      <c r="G147" s="1" t="s">
        <v>22</v>
      </c>
      <c r="H147" s="93"/>
      <c r="I147" s="1">
        <v>1</v>
      </c>
      <c r="J147" t="b">
        <f t="shared" si="120"/>
        <v>0</v>
      </c>
      <c r="K147" t="b">
        <f t="shared" si="98"/>
        <v>0</v>
      </c>
      <c r="L147" t="b">
        <f t="shared" si="99"/>
        <v>0</v>
      </c>
      <c r="M147" t="b">
        <f t="shared" si="100"/>
        <v>0</v>
      </c>
      <c r="N147" t="b">
        <f t="shared" si="101"/>
        <v>0</v>
      </c>
      <c r="O147" t="b">
        <f t="shared" si="102"/>
        <v>0</v>
      </c>
      <c r="P147" t="b">
        <f t="shared" si="103"/>
        <v>0</v>
      </c>
      <c r="Q147" t="b">
        <f t="shared" si="104"/>
        <v>0</v>
      </c>
      <c r="R147" t="b">
        <f t="shared" si="105"/>
        <v>0</v>
      </c>
      <c r="S147" t="b">
        <f t="shared" si="106"/>
        <v>0</v>
      </c>
      <c r="T147" t="b">
        <f t="shared" si="107"/>
        <v>0</v>
      </c>
      <c r="U147" t="b">
        <f t="shared" si="108"/>
        <v>0</v>
      </c>
      <c r="V147" t="b">
        <f t="shared" si="109"/>
        <v>0</v>
      </c>
      <c r="W147" t="b">
        <f t="shared" si="110"/>
        <v>0</v>
      </c>
      <c r="X147" t="b">
        <f t="shared" si="111"/>
        <v>0</v>
      </c>
      <c r="Y147" t="b">
        <f t="shared" si="112"/>
        <v>0</v>
      </c>
      <c r="Z147" t="b">
        <f t="shared" si="113"/>
        <v>0</v>
      </c>
      <c r="AA147" t="b">
        <f t="shared" si="114"/>
        <v>0</v>
      </c>
      <c r="AB147" t="b">
        <f t="shared" si="115"/>
        <v>0</v>
      </c>
      <c r="AC147" t="b">
        <f t="shared" si="116"/>
        <v>0</v>
      </c>
      <c r="AD147" t="b">
        <f t="shared" si="117"/>
        <v>0</v>
      </c>
      <c r="AE147" t="b">
        <f t="shared" si="118"/>
        <v>0</v>
      </c>
      <c r="AF147" t="b">
        <f t="shared" si="119"/>
        <v>0</v>
      </c>
    </row>
    <row r="148" spans="1:32" x14ac:dyDescent="0.25">
      <c r="A148" s="6" t="s">
        <v>0</v>
      </c>
      <c r="B148" s="1" t="s">
        <v>215</v>
      </c>
      <c r="C148" s="93"/>
      <c r="D148" s="93"/>
      <c r="E148" s="93"/>
      <c r="F148" s="93"/>
      <c r="G148" s="1" t="s">
        <v>22</v>
      </c>
      <c r="H148" s="93"/>
      <c r="I148" s="1">
        <v>1</v>
      </c>
      <c r="J148" t="b">
        <f t="shared" si="120"/>
        <v>0</v>
      </c>
      <c r="K148" t="b">
        <f t="shared" si="98"/>
        <v>0</v>
      </c>
      <c r="L148" t="b">
        <f t="shared" si="99"/>
        <v>0</v>
      </c>
      <c r="M148" t="b">
        <f t="shared" si="100"/>
        <v>0</v>
      </c>
      <c r="N148" t="b">
        <f t="shared" si="101"/>
        <v>0</v>
      </c>
      <c r="O148" t="b">
        <f t="shared" si="102"/>
        <v>0</v>
      </c>
      <c r="P148" t="b">
        <f t="shared" si="103"/>
        <v>0</v>
      </c>
      <c r="Q148" t="b">
        <f t="shared" si="104"/>
        <v>0</v>
      </c>
      <c r="R148" t="b">
        <f t="shared" si="105"/>
        <v>0</v>
      </c>
      <c r="S148" t="b">
        <f t="shared" si="106"/>
        <v>0</v>
      </c>
      <c r="T148" t="b">
        <f t="shared" si="107"/>
        <v>0</v>
      </c>
      <c r="U148" t="b">
        <f t="shared" si="108"/>
        <v>0</v>
      </c>
      <c r="V148" t="b">
        <f t="shared" si="109"/>
        <v>0</v>
      </c>
      <c r="W148" t="b">
        <f t="shared" si="110"/>
        <v>0</v>
      </c>
      <c r="X148" t="b">
        <f t="shared" si="111"/>
        <v>0</v>
      </c>
      <c r="Y148" t="b">
        <f t="shared" si="112"/>
        <v>0</v>
      </c>
      <c r="Z148" t="b">
        <f t="shared" si="113"/>
        <v>0</v>
      </c>
      <c r="AA148" t="b">
        <f t="shared" si="114"/>
        <v>0</v>
      </c>
      <c r="AB148" t="b">
        <f t="shared" si="115"/>
        <v>0</v>
      </c>
      <c r="AC148" t="b">
        <f t="shared" si="116"/>
        <v>0</v>
      </c>
      <c r="AD148" t="b">
        <f t="shared" si="117"/>
        <v>0</v>
      </c>
      <c r="AE148" t="b">
        <f t="shared" si="118"/>
        <v>0</v>
      </c>
      <c r="AF148" t="b">
        <f t="shared" si="119"/>
        <v>0</v>
      </c>
    </row>
    <row r="149" spans="1:32" x14ac:dyDescent="0.25">
      <c r="A149" s="6" t="s">
        <v>0</v>
      </c>
      <c r="B149" s="42" t="s">
        <v>216</v>
      </c>
      <c r="G149" s="1" t="s">
        <v>17</v>
      </c>
      <c r="I149" s="1">
        <v>1.5</v>
      </c>
      <c r="J149" t="b">
        <f t="shared" si="120"/>
        <v>0</v>
      </c>
      <c r="K149" t="b">
        <f t="shared" si="98"/>
        <v>0</v>
      </c>
      <c r="L149" t="b">
        <f t="shared" si="99"/>
        <v>0</v>
      </c>
      <c r="M149" t="b">
        <f t="shared" si="100"/>
        <v>0</v>
      </c>
      <c r="N149" t="b">
        <f t="shared" si="101"/>
        <v>0</v>
      </c>
      <c r="O149" t="b">
        <f t="shared" si="102"/>
        <v>0</v>
      </c>
      <c r="P149" t="b">
        <f t="shared" si="103"/>
        <v>0</v>
      </c>
      <c r="Q149" t="b">
        <f t="shared" si="104"/>
        <v>0</v>
      </c>
      <c r="R149" t="b">
        <f t="shared" si="105"/>
        <v>0</v>
      </c>
      <c r="S149" t="b">
        <f t="shared" si="106"/>
        <v>0</v>
      </c>
      <c r="T149" t="b">
        <f t="shared" si="107"/>
        <v>0</v>
      </c>
      <c r="U149" t="b">
        <f t="shared" si="108"/>
        <v>0</v>
      </c>
      <c r="V149" t="b">
        <f t="shared" si="109"/>
        <v>0</v>
      </c>
      <c r="W149" t="b">
        <f t="shared" si="110"/>
        <v>0</v>
      </c>
      <c r="X149" t="b">
        <f t="shared" si="111"/>
        <v>0</v>
      </c>
      <c r="Y149" t="b">
        <f t="shared" si="112"/>
        <v>0</v>
      </c>
      <c r="Z149" t="b">
        <f t="shared" si="113"/>
        <v>0</v>
      </c>
      <c r="AA149" t="b">
        <f t="shared" si="114"/>
        <v>0</v>
      </c>
      <c r="AB149" t="b">
        <f t="shared" si="115"/>
        <v>0</v>
      </c>
      <c r="AC149" t="b">
        <f t="shared" si="116"/>
        <v>0</v>
      </c>
      <c r="AD149" t="b">
        <f t="shared" si="117"/>
        <v>0</v>
      </c>
      <c r="AE149" t="b">
        <f t="shared" si="118"/>
        <v>1</v>
      </c>
      <c r="AF149" t="b">
        <f t="shared" si="119"/>
        <v>0</v>
      </c>
    </row>
    <row r="150" spans="1:32" x14ac:dyDescent="0.25">
      <c r="A150" s="6" t="s">
        <v>0</v>
      </c>
      <c r="B150" s="42" t="s">
        <v>216</v>
      </c>
      <c r="G150" s="1" t="s">
        <v>17</v>
      </c>
      <c r="I150" s="1">
        <v>1.5</v>
      </c>
      <c r="J150" t="b">
        <f t="shared" si="120"/>
        <v>0</v>
      </c>
      <c r="K150" t="b">
        <f t="shared" si="98"/>
        <v>0</v>
      </c>
      <c r="L150" t="b">
        <f t="shared" si="99"/>
        <v>0</v>
      </c>
      <c r="M150" t="b">
        <f t="shared" si="100"/>
        <v>0</v>
      </c>
      <c r="N150" t="b">
        <f t="shared" si="101"/>
        <v>0</v>
      </c>
      <c r="O150" t="b">
        <f t="shared" si="102"/>
        <v>0</v>
      </c>
      <c r="P150" t="b">
        <f t="shared" si="103"/>
        <v>0</v>
      </c>
      <c r="Q150" t="b">
        <f t="shared" si="104"/>
        <v>0</v>
      </c>
      <c r="R150" t="b">
        <f t="shared" si="105"/>
        <v>0</v>
      </c>
      <c r="S150" t="b">
        <f t="shared" si="106"/>
        <v>0</v>
      </c>
      <c r="T150" t="b">
        <f t="shared" si="107"/>
        <v>0</v>
      </c>
      <c r="U150" t="b">
        <f t="shared" si="108"/>
        <v>0</v>
      </c>
      <c r="V150" t="b">
        <f t="shared" si="109"/>
        <v>0</v>
      </c>
      <c r="W150" t="b">
        <f t="shared" si="110"/>
        <v>0</v>
      </c>
      <c r="X150" t="b">
        <f t="shared" si="111"/>
        <v>0</v>
      </c>
      <c r="Y150" t="b">
        <f t="shared" si="112"/>
        <v>0</v>
      </c>
      <c r="Z150" t="b">
        <f t="shared" si="113"/>
        <v>0</v>
      </c>
      <c r="AA150" t="b">
        <f t="shared" si="114"/>
        <v>0</v>
      </c>
      <c r="AB150" t="b">
        <f t="shared" si="115"/>
        <v>0</v>
      </c>
      <c r="AC150" t="b">
        <f t="shared" si="116"/>
        <v>0</v>
      </c>
      <c r="AD150" t="b">
        <f t="shared" si="117"/>
        <v>0</v>
      </c>
      <c r="AE150" t="b">
        <f t="shared" si="118"/>
        <v>1</v>
      </c>
      <c r="AF150" t="b">
        <f t="shared" si="119"/>
        <v>0</v>
      </c>
    </row>
    <row r="151" spans="1:32" x14ac:dyDescent="0.25">
      <c r="A151" s="6" t="s">
        <v>0</v>
      </c>
      <c r="B151" s="32" t="s">
        <v>217</v>
      </c>
      <c r="G151" s="1" t="s">
        <v>17</v>
      </c>
      <c r="I151" s="1">
        <v>0.5</v>
      </c>
      <c r="J151" t="b">
        <f t="shared" si="120"/>
        <v>0</v>
      </c>
      <c r="K151" t="b">
        <f t="shared" si="98"/>
        <v>0</v>
      </c>
      <c r="L151" t="b">
        <f t="shared" si="99"/>
        <v>0</v>
      </c>
      <c r="M151" t="b">
        <f t="shared" si="100"/>
        <v>0</v>
      </c>
      <c r="N151" t="b">
        <f t="shared" si="101"/>
        <v>1</v>
      </c>
      <c r="O151" t="b">
        <f t="shared" si="102"/>
        <v>0</v>
      </c>
      <c r="P151" t="b">
        <f t="shared" si="103"/>
        <v>0</v>
      </c>
      <c r="Q151" t="b">
        <f t="shared" si="104"/>
        <v>0</v>
      </c>
      <c r="R151" t="b">
        <f t="shared" si="105"/>
        <v>0</v>
      </c>
      <c r="S151" t="b">
        <f t="shared" si="106"/>
        <v>0</v>
      </c>
      <c r="T151" t="b">
        <f t="shared" si="107"/>
        <v>0</v>
      </c>
      <c r="U151" t="b">
        <f t="shared" si="108"/>
        <v>0</v>
      </c>
      <c r="V151" t="b">
        <f t="shared" si="109"/>
        <v>0</v>
      </c>
      <c r="W151" t="b">
        <f t="shared" si="110"/>
        <v>0</v>
      </c>
      <c r="X151" t="b">
        <f t="shared" si="111"/>
        <v>0</v>
      </c>
      <c r="Y151" t="b">
        <f t="shared" si="112"/>
        <v>0</v>
      </c>
      <c r="Z151" t="b">
        <f t="shared" si="113"/>
        <v>0</v>
      </c>
      <c r="AA151" t="b">
        <f t="shared" si="114"/>
        <v>0</v>
      </c>
      <c r="AB151" t="b">
        <f t="shared" si="115"/>
        <v>0</v>
      </c>
      <c r="AC151" t="b">
        <f t="shared" si="116"/>
        <v>0</v>
      </c>
      <c r="AD151" t="b">
        <f t="shared" si="117"/>
        <v>0</v>
      </c>
      <c r="AE151" t="b">
        <f t="shared" si="118"/>
        <v>0</v>
      </c>
      <c r="AF151" t="b">
        <f t="shared" si="119"/>
        <v>0</v>
      </c>
    </row>
    <row r="152" spans="1:32" x14ac:dyDescent="0.25">
      <c r="A152" s="6" t="s">
        <v>0</v>
      </c>
      <c r="B152" s="32" t="s">
        <v>217</v>
      </c>
      <c r="G152" s="1" t="s">
        <v>17</v>
      </c>
      <c r="I152" s="1">
        <v>0.5</v>
      </c>
      <c r="J152" t="b">
        <f t="shared" si="120"/>
        <v>0</v>
      </c>
      <c r="K152" t="b">
        <f t="shared" si="98"/>
        <v>0</v>
      </c>
      <c r="L152" t="b">
        <f t="shared" si="99"/>
        <v>0</v>
      </c>
      <c r="M152" t="b">
        <f t="shared" si="100"/>
        <v>0</v>
      </c>
      <c r="N152" t="b">
        <f t="shared" si="101"/>
        <v>1</v>
      </c>
      <c r="O152" t="b">
        <f t="shared" si="102"/>
        <v>0</v>
      </c>
      <c r="P152" t="b">
        <f t="shared" si="103"/>
        <v>0</v>
      </c>
      <c r="Q152" t="b">
        <f t="shared" si="104"/>
        <v>0</v>
      </c>
      <c r="R152" t="b">
        <f t="shared" si="105"/>
        <v>0</v>
      </c>
      <c r="S152" t="b">
        <f t="shared" si="106"/>
        <v>0</v>
      </c>
      <c r="T152" t="b">
        <f t="shared" si="107"/>
        <v>0</v>
      </c>
      <c r="U152" t="b">
        <f t="shared" si="108"/>
        <v>0</v>
      </c>
      <c r="V152" t="b">
        <f t="shared" si="109"/>
        <v>0</v>
      </c>
      <c r="W152" t="b">
        <f t="shared" si="110"/>
        <v>0</v>
      </c>
      <c r="X152" t="b">
        <f t="shared" si="111"/>
        <v>0</v>
      </c>
      <c r="Y152" t="b">
        <f t="shared" si="112"/>
        <v>0</v>
      </c>
      <c r="Z152" t="b">
        <f t="shared" si="113"/>
        <v>0</v>
      </c>
      <c r="AA152" t="b">
        <f t="shared" si="114"/>
        <v>0</v>
      </c>
      <c r="AB152" t="b">
        <f t="shared" si="115"/>
        <v>0</v>
      </c>
      <c r="AC152" t="b">
        <f t="shared" si="116"/>
        <v>0</v>
      </c>
      <c r="AD152" t="b">
        <f t="shared" si="117"/>
        <v>0</v>
      </c>
      <c r="AE152" t="b">
        <f t="shared" si="118"/>
        <v>0</v>
      </c>
      <c r="AF152" t="b">
        <f t="shared" si="119"/>
        <v>0</v>
      </c>
    </row>
    <row r="153" spans="1:32" x14ac:dyDescent="0.25">
      <c r="A153" s="6" t="s">
        <v>0</v>
      </c>
      <c r="B153" s="1" t="s">
        <v>218</v>
      </c>
      <c r="C153" s="93"/>
      <c r="D153" s="93"/>
      <c r="E153" s="93"/>
      <c r="F153" s="93"/>
      <c r="G153" s="1" t="s">
        <v>17</v>
      </c>
      <c r="H153" s="93"/>
      <c r="I153" s="1">
        <v>1</v>
      </c>
      <c r="J153" t="b">
        <f t="shared" si="120"/>
        <v>0</v>
      </c>
      <c r="K153" t="b">
        <f t="shared" si="98"/>
        <v>0</v>
      </c>
      <c r="L153" t="b">
        <f t="shared" si="99"/>
        <v>0</v>
      </c>
      <c r="M153" t="b">
        <f t="shared" si="100"/>
        <v>0</v>
      </c>
      <c r="N153" t="b">
        <f t="shared" si="101"/>
        <v>0</v>
      </c>
      <c r="O153" t="b">
        <f t="shared" si="102"/>
        <v>0</v>
      </c>
      <c r="P153" t="b">
        <f t="shared" si="103"/>
        <v>0</v>
      </c>
      <c r="Q153" t="b">
        <f t="shared" si="104"/>
        <v>0</v>
      </c>
      <c r="R153" t="b">
        <f t="shared" si="105"/>
        <v>0</v>
      </c>
      <c r="S153" t="b">
        <f t="shared" si="106"/>
        <v>0</v>
      </c>
      <c r="T153" t="b">
        <f t="shared" si="107"/>
        <v>0</v>
      </c>
      <c r="U153" t="b">
        <f t="shared" si="108"/>
        <v>0</v>
      </c>
      <c r="V153" t="b">
        <f t="shared" si="109"/>
        <v>0</v>
      </c>
      <c r="W153" t="b">
        <f t="shared" si="110"/>
        <v>0</v>
      </c>
      <c r="X153" t="b">
        <f t="shared" si="111"/>
        <v>0</v>
      </c>
      <c r="Y153" t="b">
        <f t="shared" si="112"/>
        <v>0</v>
      </c>
      <c r="Z153" t="b">
        <f t="shared" si="113"/>
        <v>0</v>
      </c>
      <c r="AA153" t="b">
        <f t="shared" si="114"/>
        <v>0</v>
      </c>
      <c r="AB153" t="b">
        <f t="shared" si="115"/>
        <v>0</v>
      </c>
      <c r="AC153" t="b">
        <f t="shared" si="116"/>
        <v>0</v>
      </c>
      <c r="AD153" t="b">
        <f t="shared" si="117"/>
        <v>0</v>
      </c>
      <c r="AE153" t="b">
        <f t="shared" si="118"/>
        <v>0</v>
      </c>
      <c r="AF153" t="b">
        <f t="shared" si="119"/>
        <v>0</v>
      </c>
    </row>
    <row r="154" spans="1:32" x14ac:dyDescent="0.25">
      <c r="A154" s="6" t="s">
        <v>0</v>
      </c>
      <c r="B154" s="91" t="s">
        <v>219</v>
      </c>
      <c r="G154" s="1" t="s">
        <v>22</v>
      </c>
      <c r="I154" s="1">
        <v>4</v>
      </c>
      <c r="J154" t="b">
        <f t="shared" si="120"/>
        <v>0</v>
      </c>
      <c r="K154" t="b">
        <f t="shared" si="98"/>
        <v>0</v>
      </c>
      <c r="L154" t="b">
        <f t="shared" si="99"/>
        <v>0</v>
      </c>
      <c r="M154" t="b">
        <f t="shared" si="100"/>
        <v>0</v>
      </c>
      <c r="N154" t="b">
        <f t="shared" si="101"/>
        <v>0</v>
      </c>
      <c r="O154" t="b">
        <f t="shared" si="102"/>
        <v>0</v>
      </c>
      <c r="P154" t="b">
        <f t="shared" si="103"/>
        <v>0</v>
      </c>
      <c r="Q154" t="b">
        <f t="shared" si="104"/>
        <v>0</v>
      </c>
      <c r="R154" t="b">
        <f t="shared" si="105"/>
        <v>0</v>
      </c>
      <c r="S154" t="b">
        <f t="shared" si="106"/>
        <v>0</v>
      </c>
      <c r="T154" t="b">
        <f t="shared" si="107"/>
        <v>0</v>
      </c>
      <c r="U154" t="b">
        <f t="shared" si="108"/>
        <v>0</v>
      </c>
      <c r="V154" t="b">
        <f t="shared" si="109"/>
        <v>0</v>
      </c>
      <c r="W154" t="b">
        <f t="shared" si="110"/>
        <v>0</v>
      </c>
      <c r="X154" t="b">
        <f t="shared" si="111"/>
        <v>0</v>
      </c>
      <c r="Y154" t="b">
        <f t="shared" si="112"/>
        <v>0</v>
      </c>
      <c r="Z154" t="b">
        <f t="shared" si="113"/>
        <v>0</v>
      </c>
      <c r="AA154" t="b">
        <f t="shared" si="114"/>
        <v>0</v>
      </c>
      <c r="AB154" t="b">
        <f t="shared" si="115"/>
        <v>0</v>
      </c>
      <c r="AC154" t="b">
        <f t="shared" si="116"/>
        <v>0</v>
      </c>
      <c r="AD154" t="b">
        <f t="shared" si="117"/>
        <v>0</v>
      </c>
      <c r="AE154" t="b">
        <f t="shared" si="118"/>
        <v>0</v>
      </c>
      <c r="AF154" t="b">
        <f t="shared" si="119"/>
        <v>1</v>
      </c>
    </row>
    <row r="155" spans="1:32" x14ac:dyDescent="0.25">
      <c r="A155" s="6" t="s">
        <v>0</v>
      </c>
      <c r="B155" s="91" t="s">
        <v>219</v>
      </c>
      <c r="G155" s="1" t="s">
        <v>5</v>
      </c>
      <c r="I155" s="1">
        <v>1</v>
      </c>
      <c r="J155" t="b">
        <f t="shared" si="120"/>
        <v>0</v>
      </c>
      <c r="K155" t="b">
        <f t="shared" si="98"/>
        <v>0</v>
      </c>
      <c r="L155" t="b">
        <f t="shared" si="99"/>
        <v>0</v>
      </c>
      <c r="M155" t="b">
        <f t="shared" si="100"/>
        <v>0</v>
      </c>
      <c r="N155" t="b">
        <f t="shared" si="101"/>
        <v>0</v>
      </c>
      <c r="O155" t="b">
        <f t="shared" si="102"/>
        <v>0</v>
      </c>
      <c r="P155" t="b">
        <f t="shared" si="103"/>
        <v>0</v>
      </c>
      <c r="Q155" t="b">
        <f t="shared" si="104"/>
        <v>0</v>
      </c>
      <c r="R155" t="b">
        <f t="shared" si="105"/>
        <v>0</v>
      </c>
      <c r="S155" t="b">
        <f t="shared" si="106"/>
        <v>0</v>
      </c>
      <c r="T155" t="b">
        <f t="shared" si="107"/>
        <v>0</v>
      </c>
      <c r="U155" t="b">
        <f t="shared" si="108"/>
        <v>0</v>
      </c>
      <c r="V155" t="b">
        <f t="shared" si="109"/>
        <v>0</v>
      </c>
      <c r="W155" t="b">
        <f t="shared" si="110"/>
        <v>0</v>
      </c>
      <c r="X155" t="b">
        <f t="shared" si="111"/>
        <v>0</v>
      </c>
      <c r="Y155" t="b">
        <f t="shared" si="112"/>
        <v>0</v>
      </c>
      <c r="Z155" t="b">
        <f t="shared" si="113"/>
        <v>0</v>
      </c>
      <c r="AA155" t="b">
        <f t="shared" si="114"/>
        <v>0</v>
      </c>
      <c r="AB155" t="b">
        <f t="shared" si="115"/>
        <v>0</v>
      </c>
      <c r="AC155" t="b">
        <f t="shared" si="116"/>
        <v>0</v>
      </c>
      <c r="AD155" t="b">
        <f t="shared" si="117"/>
        <v>0</v>
      </c>
      <c r="AE155" t="b">
        <f t="shared" si="118"/>
        <v>0</v>
      </c>
      <c r="AF155" t="b">
        <f t="shared" si="119"/>
        <v>1</v>
      </c>
    </row>
    <row r="156" spans="1:32" x14ac:dyDescent="0.25">
      <c r="A156" s="6" t="s">
        <v>0</v>
      </c>
      <c r="B156" s="91" t="s">
        <v>219</v>
      </c>
      <c r="G156" s="1" t="s">
        <v>17</v>
      </c>
      <c r="I156" s="1">
        <v>5</v>
      </c>
      <c r="J156" t="b">
        <f t="shared" si="120"/>
        <v>0</v>
      </c>
      <c r="K156" t="b">
        <f t="shared" si="98"/>
        <v>0</v>
      </c>
      <c r="L156" t="b">
        <f t="shared" si="99"/>
        <v>0</v>
      </c>
      <c r="M156" t="b">
        <f t="shared" si="100"/>
        <v>0</v>
      </c>
      <c r="N156" t="b">
        <f t="shared" si="101"/>
        <v>0</v>
      </c>
      <c r="O156" t="b">
        <f t="shared" si="102"/>
        <v>0</v>
      </c>
      <c r="P156" t="b">
        <f t="shared" si="103"/>
        <v>0</v>
      </c>
      <c r="Q156" t="b">
        <f t="shared" si="104"/>
        <v>0</v>
      </c>
      <c r="R156" t="b">
        <f t="shared" si="105"/>
        <v>0</v>
      </c>
      <c r="S156" t="b">
        <f t="shared" si="106"/>
        <v>0</v>
      </c>
      <c r="T156" t="b">
        <f t="shared" si="107"/>
        <v>0</v>
      </c>
      <c r="U156" t="b">
        <f t="shared" si="108"/>
        <v>0</v>
      </c>
      <c r="V156" t="b">
        <f t="shared" si="109"/>
        <v>0</v>
      </c>
      <c r="W156" t="b">
        <f t="shared" si="110"/>
        <v>0</v>
      </c>
      <c r="X156" t="b">
        <f t="shared" si="111"/>
        <v>0</v>
      </c>
      <c r="Y156" t="b">
        <f t="shared" si="112"/>
        <v>0</v>
      </c>
      <c r="Z156" t="b">
        <f t="shared" si="113"/>
        <v>0</v>
      </c>
      <c r="AA156" t="b">
        <f t="shared" si="114"/>
        <v>0</v>
      </c>
      <c r="AB156" t="b">
        <f t="shared" si="115"/>
        <v>0</v>
      </c>
      <c r="AC156" t="b">
        <f t="shared" si="116"/>
        <v>0</v>
      </c>
      <c r="AD156" t="b">
        <f t="shared" si="117"/>
        <v>0</v>
      </c>
      <c r="AE156" t="b">
        <f t="shared" si="118"/>
        <v>0</v>
      </c>
      <c r="AF156" t="b">
        <f t="shared" si="119"/>
        <v>1</v>
      </c>
    </row>
    <row r="157" spans="1:32" x14ac:dyDescent="0.25">
      <c r="A157" s="6" t="s">
        <v>0</v>
      </c>
      <c r="B157" s="91" t="s">
        <v>219</v>
      </c>
      <c r="G157" s="1" t="s">
        <v>17</v>
      </c>
      <c r="I157" s="1">
        <v>3</v>
      </c>
      <c r="J157" t="b">
        <f t="shared" si="120"/>
        <v>0</v>
      </c>
      <c r="K157" t="b">
        <f t="shared" si="98"/>
        <v>0</v>
      </c>
      <c r="L157" t="b">
        <f t="shared" si="99"/>
        <v>0</v>
      </c>
      <c r="M157" t="b">
        <f t="shared" si="100"/>
        <v>0</v>
      </c>
      <c r="N157" t="b">
        <f t="shared" si="101"/>
        <v>0</v>
      </c>
      <c r="O157" t="b">
        <f t="shared" si="102"/>
        <v>0</v>
      </c>
      <c r="P157" t="b">
        <f t="shared" si="103"/>
        <v>0</v>
      </c>
      <c r="Q157" t="b">
        <f t="shared" si="104"/>
        <v>0</v>
      </c>
      <c r="R157" t="b">
        <f t="shared" si="105"/>
        <v>0</v>
      </c>
      <c r="S157" t="b">
        <f t="shared" si="106"/>
        <v>0</v>
      </c>
      <c r="T157" t="b">
        <f t="shared" si="107"/>
        <v>0</v>
      </c>
      <c r="U157" t="b">
        <f t="shared" si="108"/>
        <v>0</v>
      </c>
      <c r="V157" t="b">
        <f t="shared" si="109"/>
        <v>0</v>
      </c>
      <c r="W157" t="b">
        <f t="shared" si="110"/>
        <v>0</v>
      </c>
      <c r="X157" t="b">
        <f t="shared" si="111"/>
        <v>0</v>
      </c>
      <c r="Y157" t="b">
        <f t="shared" si="112"/>
        <v>0</v>
      </c>
      <c r="Z157" t="b">
        <f t="shared" si="113"/>
        <v>0</v>
      </c>
      <c r="AA157" t="b">
        <f t="shared" si="114"/>
        <v>0</v>
      </c>
      <c r="AB157" t="b">
        <f t="shared" si="115"/>
        <v>0</v>
      </c>
      <c r="AC157" t="b">
        <f t="shared" si="116"/>
        <v>0</v>
      </c>
      <c r="AD157" t="b">
        <f t="shared" si="117"/>
        <v>0</v>
      </c>
      <c r="AE157" t="b">
        <f t="shared" si="118"/>
        <v>0</v>
      </c>
      <c r="AF157" t="b">
        <f t="shared" si="119"/>
        <v>1</v>
      </c>
    </row>
    <row r="158" spans="1:32" x14ac:dyDescent="0.25">
      <c r="A158" s="6" t="s">
        <v>0</v>
      </c>
      <c r="B158" s="91" t="s">
        <v>219</v>
      </c>
      <c r="G158" s="1" t="s">
        <v>5</v>
      </c>
      <c r="I158" s="1">
        <v>4</v>
      </c>
      <c r="J158" t="b">
        <f t="shared" si="120"/>
        <v>0</v>
      </c>
      <c r="K158" t="b">
        <f t="shared" si="98"/>
        <v>0</v>
      </c>
      <c r="L158" t="b">
        <f t="shared" si="99"/>
        <v>0</v>
      </c>
      <c r="M158" t="b">
        <f t="shared" si="100"/>
        <v>0</v>
      </c>
      <c r="N158" t="b">
        <f t="shared" si="101"/>
        <v>0</v>
      </c>
      <c r="O158" t="b">
        <f t="shared" si="102"/>
        <v>0</v>
      </c>
      <c r="P158" t="b">
        <f t="shared" si="103"/>
        <v>0</v>
      </c>
      <c r="Q158" t="b">
        <f t="shared" si="104"/>
        <v>0</v>
      </c>
      <c r="R158" t="b">
        <f t="shared" si="105"/>
        <v>0</v>
      </c>
      <c r="S158" t="b">
        <f t="shared" si="106"/>
        <v>0</v>
      </c>
      <c r="T158" t="b">
        <f t="shared" si="107"/>
        <v>0</v>
      </c>
      <c r="U158" t="b">
        <f t="shared" si="108"/>
        <v>0</v>
      </c>
      <c r="V158" t="b">
        <f t="shared" si="109"/>
        <v>0</v>
      </c>
      <c r="W158" t="b">
        <f t="shared" si="110"/>
        <v>0</v>
      </c>
      <c r="X158" t="b">
        <f t="shared" si="111"/>
        <v>0</v>
      </c>
      <c r="Y158" t="b">
        <f t="shared" si="112"/>
        <v>0</v>
      </c>
      <c r="Z158" t="b">
        <f t="shared" si="113"/>
        <v>0</v>
      </c>
      <c r="AA158" t="b">
        <f t="shared" si="114"/>
        <v>0</v>
      </c>
      <c r="AB158" t="b">
        <f t="shared" si="115"/>
        <v>0</v>
      </c>
      <c r="AC158" t="b">
        <f t="shared" si="116"/>
        <v>0</v>
      </c>
      <c r="AD158" t="b">
        <f t="shared" si="117"/>
        <v>0</v>
      </c>
      <c r="AE158" t="b">
        <f t="shared" si="118"/>
        <v>0</v>
      </c>
      <c r="AF158" t="b">
        <f t="shared" si="119"/>
        <v>1</v>
      </c>
    </row>
    <row r="159" spans="1:32" x14ac:dyDescent="0.25">
      <c r="A159" s="6" t="s">
        <v>0</v>
      </c>
      <c r="B159" s="91" t="s">
        <v>219</v>
      </c>
      <c r="G159" s="1" t="s">
        <v>22</v>
      </c>
      <c r="I159" s="1">
        <v>2</v>
      </c>
      <c r="J159" t="b">
        <f t="shared" si="120"/>
        <v>0</v>
      </c>
      <c r="K159" t="b">
        <f t="shared" si="98"/>
        <v>0</v>
      </c>
      <c r="L159" t="b">
        <f t="shared" si="99"/>
        <v>0</v>
      </c>
      <c r="M159" t="b">
        <f t="shared" si="100"/>
        <v>0</v>
      </c>
      <c r="N159" t="b">
        <f t="shared" si="101"/>
        <v>0</v>
      </c>
      <c r="O159" t="b">
        <f t="shared" si="102"/>
        <v>0</v>
      </c>
      <c r="P159" t="b">
        <f t="shared" si="103"/>
        <v>0</v>
      </c>
      <c r="Q159" t="b">
        <f t="shared" si="104"/>
        <v>0</v>
      </c>
      <c r="R159" t="b">
        <f t="shared" si="105"/>
        <v>0</v>
      </c>
      <c r="S159" t="b">
        <f t="shared" si="106"/>
        <v>0</v>
      </c>
      <c r="T159" t="b">
        <f t="shared" si="107"/>
        <v>0</v>
      </c>
      <c r="U159" t="b">
        <f t="shared" si="108"/>
        <v>0</v>
      </c>
      <c r="V159" t="b">
        <f t="shared" si="109"/>
        <v>0</v>
      </c>
      <c r="W159" t="b">
        <f t="shared" si="110"/>
        <v>0</v>
      </c>
      <c r="X159" t="b">
        <f t="shared" si="111"/>
        <v>0</v>
      </c>
      <c r="Y159" t="b">
        <f t="shared" si="112"/>
        <v>0</v>
      </c>
      <c r="Z159" t="b">
        <f t="shared" si="113"/>
        <v>0</v>
      </c>
      <c r="AA159" t="b">
        <f t="shared" si="114"/>
        <v>0</v>
      </c>
      <c r="AB159" t="b">
        <f t="shared" si="115"/>
        <v>0</v>
      </c>
      <c r="AC159" t="b">
        <f t="shared" si="116"/>
        <v>0</v>
      </c>
      <c r="AD159" t="b">
        <f t="shared" si="117"/>
        <v>0</v>
      </c>
      <c r="AE159" t="b">
        <f t="shared" si="118"/>
        <v>0</v>
      </c>
      <c r="AF159" t="b">
        <f t="shared" si="119"/>
        <v>1</v>
      </c>
    </row>
    <row r="160" spans="1:32" x14ac:dyDescent="0.25">
      <c r="A160" s="6" t="s">
        <v>0</v>
      </c>
      <c r="B160" s="1" t="s">
        <v>220</v>
      </c>
      <c r="C160" s="93"/>
      <c r="D160" s="93"/>
      <c r="E160" s="93"/>
      <c r="F160" s="93"/>
      <c r="G160" s="1" t="s">
        <v>5</v>
      </c>
      <c r="H160" s="93"/>
      <c r="I160" s="1">
        <v>3</v>
      </c>
      <c r="J160" t="b">
        <f t="shared" si="120"/>
        <v>0</v>
      </c>
      <c r="K160" t="b">
        <f t="shared" si="98"/>
        <v>0</v>
      </c>
      <c r="L160" t="b">
        <f t="shared" si="99"/>
        <v>0</v>
      </c>
      <c r="M160" t="b">
        <f t="shared" si="100"/>
        <v>0</v>
      </c>
      <c r="N160" t="b">
        <f t="shared" si="101"/>
        <v>0</v>
      </c>
      <c r="O160" t="b">
        <f t="shared" si="102"/>
        <v>0</v>
      </c>
      <c r="P160" t="b">
        <f t="shared" si="103"/>
        <v>0</v>
      </c>
      <c r="Q160" t="b">
        <f t="shared" si="104"/>
        <v>0</v>
      </c>
      <c r="R160" t="b">
        <f t="shared" si="105"/>
        <v>0</v>
      </c>
      <c r="S160" t="b">
        <f t="shared" si="106"/>
        <v>0</v>
      </c>
      <c r="T160" t="b">
        <f t="shared" si="107"/>
        <v>0</v>
      </c>
      <c r="U160" t="b">
        <f t="shared" si="108"/>
        <v>0</v>
      </c>
      <c r="V160" t="b">
        <f t="shared" si="109"/>
        <v>0</v>
      </c>
      <c r="W160" t="b">
        <f t="shared" si="110"/>
        <v>0</v>
      </c>
      <c r="X160" t="b">
        <f t="shared" si="111"/>
        <v>0</v>
      </c>
      <c r="Y160" t="b">
        <f t="shared" si="112"/>
        <v>0</v>
      </c>
      <c r="Z160" t="b">
        <f t="shared" si="113"/>
        <v>0</v>
      </c>
      <c r="AA160" t="b">
        <f t="shared" si="114"/>
        <v>0</v>
      </c>
      <c r="AB160" t="b">
        <f t="shared" si="115"/>
        <v>0</v>
      </c>
      <c r="AC160" t="b">
        <f t="shared" si="116"/>
        <v>0</v>
      </c>
      <c r="AD160" t="b">
        <f t="shared" si="117"/>
        <v>0</v>
      </c>
      <c r="AE160" t="b">
        <f t="shared" si="118"/>
        <v>0</v>
      </c>
      <c r="AF160" t="b">
        <f t="shared" si="119"/>
        <v>0</v>
      </c>
    </row>
    <row r="161" spans="1:32" x14ac:dyDescent="0.25">
      <c r="A161" s="6" t="s">
        <v>0</v>
      </c>
      <c r="B161" s="91" t="s">
        <v>219</v>
      </c>
      <c r="G161" s="1" t="s">
        <v>22</v>
      </c>
      <c r="I161" s="1">
        <v>2</v>
      </c>
      <c r="J161" t="b">
        <f t="shared" si="120"/>
        <v>0</v>
      </c>
      <c r="K161" t="b">
        <f t="shared" si="98"/>
        <v>0</v>
      </c>
      <c r="L161" t="b">
        <f t="shared" si="99"/>
        <v>0</v>
      </c>
      <c r="M161" t="b">
        <f t="shared" si="100"/>
        <v>0</v>
      </c>
      <c r="N161" t="b">
        <f t="shared" si="101"/>
        <v>0</v>
      </c>
      <c r="O161" t="b">
        <f t="shared" si="102"/>
        <v>0</v>
      </c>
      <c r="P161" t="b">
        <f t="shared" si="103"/>
        <v>0</v>
      </c>
      <c r="Q161" t="b">
        <f t="shared" si="104"/>
        <v>0</v>
      </c>
      <c r="R161" t="b">
        <f t="shared" si="105"/>
        <v>0</v>
      </c>
      <c r="S161" t="b">
        <f t="shared" si="106"/>
        <v>0</v>
      </c>
      <c r="T161" t="b">
        <f t="shared" si="107"/>
        <v>0</v>
      </c>
      <c r="U161" t="b">
        <f t="shared" si="108"/>
        <v>0</v>
      </c>
      <c r="V161" t="b">
        <f t="shared" si="109"/>
        <v>0</v>
      </c>
      <c r="W161" t="b">
        <f t="shared" si="110"/>
        <v>0</v>
      </c>
      <c r="X161" t="b">
        <f t="shared" si="111"/>
        <v>0</v>
      </c>
      <c r="Y161" t="b">
        <f t="shared" si="112"/>
        <v>0</v>
      </c>
      <c r="Z161" t="b">
        <f t="shared" si="113"/>
        <v>0</v>
      </c>
      <c r="AA161" t="b">
        <f t="shared" si="114"/>
        <v>0</v>
      </c>
      <c r="AB161" t="b">
        <f t="shared" si="115"/>
        <v>0</v>
      </c>
      <c r="AC161" t="b">
        <f t="shared" si="116"/>
        <v>0</v>
      </c>
      <c r="AD161" t="b">
        <f t="shared" si="117"/>
        <v>0</v>
      </c>
      <c r="AE161" t="b">
        <f t="shared" si="118"/>
        <v>0</v>
      </c>
      <c r="AF161" t="b">
        <f t="shared" si="119"/>
        <v>1</v>
      </c>
    </row>
    <row r="162" spans="1:32" x14ac:dyDescent="0.25">
      <c r="A162" s="6" t="s">
        <v>0</v>
      </c>
      <c r="B162" s="91" t="s">
        <v>219</v>
      </c>
      <c r="G162" s="1" t="s">
        <v>5</v>
      </c>
      <c r="I162" s="1">
        <v>4</v>
      </c>
      <c r="J162" t="b">
        <f t="shared" si="120"/>
        <v>0</v>
      </c>
      <c r="K162" t="b">
        <f t="shared" si="98"/>
        <v>0</v>
      </c>
      <c r="L162" t="b">
        <f t="shared" si="99"/>
        <v>0</v>
      </c>
      <c r="M162" t="b">
        <f t="shared" si="100"/>
        <v>0</v>
      </c>
      <c r="N162" t="b">
        <f t="shared" si="101"/>
        <v>0</v>
      </c>
      <c r="O162" t="b">
        <f t="shared" si="102"/>
        <v>0</v>
      </c>
      <c r="P162" t="b">
        <f t="shared" si="103"/>
        <v>0</v>
      </c>
      <c r="Q162" t="b">
        <f t="shared" si="104"/>
        <v>0</v>
      </c>
      <c r="R162" t="b">
        <f t="shared" si="105"/>
        <v>0</v>
      </c>
      <c r="S162" t="b">
        <f t="shared" si="106"/>
        <v>0</v>
      </c>
      <c r="T162" t="b">
        <f t="shared" si="107"/>
        <v>0</v>
      </c>
      <c r="U162" t="b">
        <f t="shared" si="108"/>
        <v>0</v>
      </c>
      <c r="V162" t="b">
        <f t="shared" si="109"/>
        <v>0</v>
      </c>
      <c r="W162" t="b">
        <f t="shared" si="110"/>
        <v>0</v>
      </c>
      <c r="X162" t="b">
        <f t="shared" si="111"/>
        <v>0</v>
      </c>
      <c r="Y162" t="b">
        <f t="shared" si="112"/>
        <v>0</v>
      </c>
      <c r="Z162" t="b">
        <f t="shared" si="113"/>
        <v>0</v>
      </c>
      <c r="AA162" t="b">
        <f t="shared" si="114"/>
        <v>0</v>
      </c>
      <c r="AB162" t="b">
        <f t="shared" si="115"/>
        <v>0</v>
      </c>
      <c r="AC162" t="b">
        <f t="shared" si="116"/>
        <v>0</v>
      </c>
      <c r="AD162" t="b">
        <f t="shared" si="117"/>
        <v>0</v>
      </c>
      <c r="AE162" t="b">
        <f t="shared" si="118"/>
        <v>0</v>
      </c>
      <c r="AF162" t="b">
        <f t="shared" si="119"/>
        <v>1</v>
      </c>
    </row>
    <row r="163" spans="1:32" x14ac:dyDescent="0.25">
      <c r="A163" s="6" t="s">
        <v>0</v>
      </c>
      <c r="B163" s="57" t="s">
        <v>221</v>
      </c>
      <c r="G163" s="1" t="s">
        <v>17</v>
      </c>
      <c r="I163" s="1">
        <v>8</v>
      </c>
      <c r="J163" t="b">
        <f t="shared" si="120"/>
        <v>0</v>
      </c>
      <c r="K163" t="b">
        <f t="shared" si="98"/>
        <v>0</v>
      </c>
      <c r="L163" t="b">
        <f t="shared" si="99"/>
        <v>0</v>
      </c>
      <c r="M163" t="b">
        <f t="shared" si="100"/>
        <v>0</v>
      </c>
      <c r="N163" t="b">
        <f t="shared" si="101"/>
        <v>0</v>
      </c>
      <c r="O163" t="b">
        <f t="shared" si="102"/>
        <v>0</v>
      </c>
      <c r="P163" t="b">
        <f t="shared" si="103"/>
        <v>0</v>
      </c>
      <c r="Q163" t="b">
        <f t="shared" si="104"/>
        <v>0</v>
      </c>
      <c r="R163" t="b">
        <f t="shared" si="105"/>
        <v>0</v>
      </c>
      <c r="S163" t="b">
        <f t="shared" si="106"/>
        <v>0</v>
      </c>
      <c r="T163" t="b">
        <f t="shared" si="107"/>
        <v>1</v>
      </c>
      <c r="U163" t="b">
        <f t="shared" si="108"/>
        <v>0</v>
      </c>
      <c r="V163" t="b">
        <f t="shared" si="109"/>
        <v>0</v>
      </c>
      <c r="W163" t="b">
        <f t="shared" si="110"/>
        <v>0</v>
      </c>
      <c r="X163" t="b">
        <f t="shared" si="111"/>
        <v>0</v>
      </c>
      <c r="Y163" t="b">
        <f t="shared" si="112"/>
        <v>0</v>
      </c>
      <c r="Z163" t="b">
        <f t="shared" si="113"/>
        <v>0</v>
      </c>
      <c r="AA163" t="b">
        <f t="shared" si="114"/>
        <v>0</v>
      </c>
      <c r="AB163" t="b">
        <f t="shared" si="115"/>
        <v>0</v>
      </c>
      <c r="AC163" t="b">
        <f t="shared" si="116"/>
        <v>0</v>
      </c>
      <c r="AD163" t="b">
        <f t="shared" si="117"/>
        <v>0</v>
      </c>
      <c r="AE163" t="b">
        <f t="shared" si="118"/>
        <v>0</v>
      </c>
      <c r="AF163" t="b">
        <f t="shared" si="119"/>
        <v>0</v>
      </c>
    </row>
    <row r="164" spans="1:32" x14ac:dyDescent="0.25">
      <c r="A164" s="6" t="s">
        <v>0</v>
      </c>
      <c r="B164" s="81" t="s">
        <v>150</v>
      </c>
      <c r="G164" s="1" t="s">
        <v>8</v>
      </c>
      <c r="I164" s="1">
        <v>1</v>
      </c>
      <c r="J164" t="b">
        <f t="shared" si="120"/>
        <v>0</v>
      </c>
      <c r="K164" t="b">
        <f t="shared" si="98"/>
        <v>0</v>
      </c>
      <c r="L164" t="b">
        <f t="shared" si="99"/>
        <v>0</v>
      </c>
      <c r="M164" t="b">
        <f t="shared" si="100"/>
        <v>0</v>
      </c>
      <c r="N164" t="b">
        <f t="shared" si="101"/>
        <v>0</v>
      </c>
      <c r="O164" t="b">
        <f t="shared" si="102"/>
        <v>0</v>
      </c>
      <c r="P164" t="b">
        <f t="shared" si="103"/>
        <v>0</v>
      </c>
      <c r="Q164" t="b">
        <f t="shared" si="104"/>
        <v>0</v>
      </c>
      <c r="R164" t="b">
        <f t="shared" si="105"/>
        <v>0</v>
      </c>
      <c r="S164" t="b">
        <f t="shared" si="106"/>
        <v>0</v>
      </c>
      <c r="T164" t="b">
        <f t="shared" si="107"/>
        <v>0</v>
      </c>
      <c r="U164" t="b">
        <f t="shared" si="108"/>
        <v>0</v>
      </c>
      <c r="V164" t="b">
        <f t="shared" si="109"/>
        <v>0</v>
      </c>
      <c r="W164" t="b">
        <f t="shared" si="110"/>
        <v>0</v>
      </c>
      <c r="X164" t="b">
        <f t="shared" si="111"/>
        <v>0</v>
      </c>
      <c r="Y164" t="b">
        <f t="shared" si="112"/>
        <v>0</v>
      </c>
      <c r="Z164" t="b">
        <f t="shared" si="113"/>
        <v>0</v>
      </c>
      <c r="AA164" t="b">
        <f t="shared" si="114"/>
        <v>0</v>
      </c>
      <c r="AB164" t="b">
        <f t="shared" si="115"/>
        <v>1</v>
      </c>
      <c r="AC164" t="b">
        <f t="shared" si="116"/>
        <v>0</v>
      </c>
      <c r="AD164" t="b">
        <f t="shared" si="117"/>
        <v>0</v>
      </c>
      <c r="AE164" t="b">
        <f t="shared" si="118"/>
        <v>0</v>
      </c>
      <c r="AF164" t="b">
        <f t="shared" si="119"/>
        <v>0</v>
      </c>
    </row>
    <row r="165" spans="1:32" x14ac:dyDescent="0.25">
      <c r="A165" s="6" t="s">
        <v>0</v>
      </c>
      <c r="B165" s="42" t="s">
        <v>216</v>
      </c>
      <c r="G165" s="1" t="s">
        <v>22</v>
      </c>
      <c r="I165" s="1">
        <v>8</v>
      </c>
      <c r="J165" t="b">
        <f t="shared" si="120"/>
        <v>0</v>
      </c>
      <c r="K165" t="b">
        <f t="shared" si="98"/>
        <v>0</v>
      </c>
      <c r="L165" t="b">
        <f t="shared" si="99"/>
        <v>0</v>
      </c>
      <c r="M165" t="b">
        <f t="shared" si="100"/>
        <v>0</v>
      </c>
      <c r="N165" t="b">
        <f t="shared" si="101"/>
        <v>0</v>
      </c>
      <c r="O165" t="b">
        <f t="shared" si="102"/>
        <v>0</v>
      </c>
      <c r="P165" t="b">
        <f t="shared" si="103"/>
        <v>0</v>
      </c>
      <c r="Q165" t="b">
        <f t="shared" si="104"/>
        <v>0</v>
      </c>
      <c r="R165" t="b">
        <f t="shared" si="105"/>
        <v>0</v>
      </c>
      <c r="S165" t="b">
        <f t="shared" si="106"/>
        <v>0</v>
      </c>
      <c r="T165" t="b">
        <f t="shared" si="107"/>
        <v>0</v>
      </c>
      <c r="U165" t="b">
        <f t="shared" si="108"/>
        <v>0</v>
      </c>
      <c r="V165" t="b">
        <f t="shared" si="109"/>
        <v>0</v>
      </c>
      <c r="W165" t="b">
        <f t="shared" si="110"/>
        <v>0</v>
      </c>
      <c r="X165" t="b">
        <f t="shared" si="111"/>
        <v>0</v>
      </c>
      <c r="Y165" t="b">
        <f t="shared" si="112"/>
        <v>0</v>
      </c>
      <c r="Z165" t="b">
        <f t="shared" si="113"/>
        <v>0</v>
      </c>
      <c r="AA165" t="b">
        <f t="shared" si="114"/>
        <v>0</v>
      </c>
      <c r="AB165" t="b">
        <f t="shared" si="115"/>
        <v>0</v>
      </c>
      <c r="AC165" t="b">
        <f t="shared" si="116"/>
        <v>0</v>
      </c>
      <c r="AD165" t="b">
        <f t="shared" si="117"/>
        <v>0</v>
      </c>
      <c r="AE165" t="b">
        <f t="shared" si="118"/>
        <v>1</v>
      </c>
      <c r="AF165" t="b">
        <f t="shared" si="119"/>
        <v>0</v>
      </c>
    </row>
  </sheetData>
  <conditionalFormatting sqref="A2:A118">
    <cfRule type="cellIs" dxfId="9" priority="5" operator="equal">
      <formula>"PSW"</formula>
    </cfRule>
    <cfRule type="cellIs" dxfId="8" priority="6" operator="equal">
      <formula>"ASW"</formula>
    </cfRule>
  </conditionalFormatting>
  <conditionalFormatting sqref="A119:A165">
    <cfRule type="cellIs" dxfId="7" priority="1" operator="equal">
      <formula>"PSW"</formula>
    </cfRule>
    <cfRule type="cellIs" dxfId="6" priority="2" operator="equal">
      <formula>"ASW"</formula>
    </cfRule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'C:\Users\Mr.TD\Desktop\git\[Summary_COEM.xlsx]Table'!#REF!</xm:f>
          </x14:formula1>
          <xm:sqref>A2:A118</xm:sqref>
        </x14:dataValidation>
        <x14:dataValidation type="list" allowBlank="1" showInputMessage="1" showErrorMessage="1">
          <x14:formula1>
            <xm:f>'C:\Users\Mr.TD\Desktop\git\[Summary_COEM.xlsx]Table'!#REF!</xm:f>
          </x14:formula1>
          <xm:sqref>G2:G28 G30:G165 A119:A165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U68"/>
  <sheetViews>
    <sheetView tabSelected="1" topLeftCell="A34" workbookViewId="0">
      <selection activeCell="G64" sqref="G64"/>
    </sheetView>
  </sheetViews>
  <sheetFormatPr defaultRowHeight="15" x14ac:dyDescent="0.25"/>
  <cols>
    <col min="2" max="2" width="21" bestFit="1" customWidth="1"/>
    <col min="4" max="4" width="21" bestFit="1" customWidth="1"/>
    <col min="6" max="6" width="13.7109375" bestFit="1" customWidth="1"/>
    <col min="7" max="7" width="21.5703125" bestFit="1" customWidth="1"/>
  </cols>
  <sheetData>
    <row r="6" spans="3:21" x14ac:dyDescent="0.25">
      <c r="C6" t="s">
        <v>247</v>
      </c>
      <c r="R6" t="s">
        <v>248</v>
      </c>
    </row>
    <row r="7" spans="3:21" x14ac:dyDescent="0.25">
      <c r="C7" t="s">
        <v>249</v>
      </c>
      <c r="D7" t="s">
        <v>207</v>
      </c>
      <c r="E7" t="s">
        <v>250</v>
      </c>
      <c r="F7" t="s">
        <v>251</v>
      </c>
      <c r="G7" t="s">
        <v>252</v>
      </c>
      <c r="H7" t="s">
        <v>253</v>
      </c>
      <c r="I7" t="s">
        <v>254</v>
      </c>
      <c r="J7" t="s">
        <v>255</v>
      </c>
      <c r="K7" t="s">
        <v>256</v>
      </c>
      <c r="R7" t="s">
        <v>257</v>
      </c>
      <c r="S7" t="s">
        <v>253</v>
      </c>
      <c r="T7" t="s">
        <v>258</v>
      </c>
      <c r="U7" t="s">
        <v>259</v>
      </c>
    </row>
    <row r="8" spans="3:21" x14ac:dyDescent="0.25">
      <c r="C8">
        <v>1</v>
      </c>
      <c r="D8" t="s">
        <v>260</v>
      </c>
      <c r="E8">
        <v>0</v>
      </c>
      <c r="F8">
        <v>0</v>
      </c>
      <c r="G8">
        <v>0</v>
      </c>
      <c r="H8" t="s">
        <v>261</v>
      </c>
      <c r="I8" t="s">
        <v>261</v>
      </c>
      <c r="J8">
        <v>0</v>
      </c>
      <c r="K8">
        <v>0</v>
      </c>
      <c r="Q8" t="s">
        <v>260</v>
      </c>
    </row>
    <row r="9" spans="3:21" x14ac:dyDescent="0.25">
      <c r="C9">
        <v>2</v>
      </c>
      <c r="D9" t="s">
        <v>262</v>
      </c>
      <c r="E9">
        <v>8533.125</v>
      </c>
      <c r="F9">
        <v>8533.125</v>
      </c>
      <c r="G9">
        <v>22</v>
      </c>
      <c r="H9">
        <v>387.86931818181819</v>
      </c>
      <c r="I9">
        <v>1</v>
      </c>
      <c r="J9">
        <v>0</v>
      </c>
      <c r="K9">
        <v>1</v>
      </c>
      <c r="Q9" t="s">
        <v>262</v>
      </c>
      <c r="R9">
        <v>7790.625</v>
      </c>
      <c r="S9">
        <v>354.11931818181819</v>
      </c>
      <c r="T9">
        <v>6</v>
      </c>
      <c r="U9">
        <v>6</v>
      </c>
    </row>
    <row r="10" spans="3:21" x14ac:dyDescent="0.25">
      <c r="C10">
        <v>3</v>
      </c>
      <c r="D10" t="s">
        <v>263</v>
      </c>
      <c r="E10">
        <v>0</v>
      </c>
      <c r="F10">
        <v>0</v>
      </c>
      <c r="G10">
        <v>0</v>
      </c>
      <c r="H10" t="s">
        <v>261</v>
      </c>
      <c r="I10" t="s">
        <v>261</v>
      </c>
      <c r="J10">
        <v>0</v>
      </c>
      <c r="K10">
        <v>0</v>
      </c>
      <c r="Q10" t="s">
        <v>263</v>
      </c>
      <c r="R10">
        <v>0</v>
      </c>
    </row>
    <row r="11" spans="3:21" x14ac:dyDescent="0.25">
      <c r="C11">
        <v>4</v>
      </c>
      <c r="D11" t="s">
        <v>264</v>
      </c>
      <c r="E11">
        <v>8773.4410000000007</v>
      </c>
      <c r="F11">
        <v>8773.4410000000007</v>
      </c>
      <c r="G11">
        <v>22</v>
      </c>
      <c r="H11">
        <v>398.79277272727273</v>
      </c>
      <c r="I11">
        <v>1</v>
      </c>
      <c r="J11">
        <v>1</v>
      </c>
      <c r="K11">
        <v>0</v>
      </c>
      <c r="Q11" t="s">
        <v>264</v>
      </c>
      <c r="R11">
        <v>7040.9410000000007</v>
      </c>
      <c r="S11">
        <v>320.04277272727273</v>
      </c>
      <c r="T11">
        <v>9</v>
      </c>
      <c r="U11">
        <v>10</v>
      </c>
    </row>
    <row r="12" spans="3:21" x14ac:dyDescent="0.25">
      <c r="C12">
        <v>5</v>
      </c>
      <c r="D12" t="s">
        <v>265</v>
      </c>
      <c r="E12">
        <v>7959.6153846153848</v>
      </c>
      <c r="F12">
        <v>7959.6153846153848</v>
      </c>
      <c r="G12">
        <v>22</v>
      </c>
      <c r="H12">
        <v>361.80069930069931</v>
      </c>
      <c r="I12">
        <v>1</v>
      </c>
      <c r="J12">
        <v>5</v>
      </c>
      <c r="K12">
        <v>1</v>
      </c>
      <c r="Q12" t="s">
        <v>265</v>
      </c>
      <c r="R12">
        <v>7959.6153846153848</v>
      </c>
      <c r="S12">
        <v>361.80069930069931</v>
      </c>
      <c r="T12">
        <v>5</v>
      </c>
      <c r="U12">
        <v>5</v>
      </c>
    </row>
    <row r="13" spans="3:21" x14ac:dyDescent="0.25">
      <c r="C13">
        <v>6</v>
      </c>
      <c r="D13" t="s">
        <v>22</v>
      </c>
      <c r="E13">
        <v>8517.1538461538457</v>
      </c>
      <c r="F13">
        <v>8517.1538461538457</v>
      </c>
      <c r="G13">
        <v>22</v>
      </c>
      <c r="H13">
        <v>387.14335664335664</v>
      </c>
      <c r="I13">
        <v>1</v>
      </c>
      <c r="J13">
        <v>4</v>
      </c>
      <c r="K13">
        <v>4</v>
      </c>
      <c r="Q13" t="s">
        <v>22</v>
      </c>
      <c r="R13">
        <v>8517.1538461538457</v>
      </c>
      <c r="S13">
        <v>387.14335664335664</v>
      </c>
      <c r="T13">
        <v>3</v>
      </c>
      <c r="U13">
        <v>3</v>
      </c>
    </row>
    <row r="14" spans="3:21" x14ac:dyDescent="0.25">
      <c r="C14">
        <v>7</v>
      </c>
      <c r="D14" t="s">
        <v>17</v>
      </c>
      <c r="E14">
        <v>0</v>
      </c>
      <c r="F14">
        <v>0</v>
      </c>
      <c r="G14">
        <v>0</v>
      </c>
      <c r="H14" t="s">
        <v>261</v>
      </c>
      <c r="I14" t="s">
        <v>261</v>
      </c>
      <c r="J14">
        <v>0</v>
      </c>
      <c r="K14">
        <v>0</v>
      </c>
      <c r="Q14" t="s">
        <v>17</v>
      </c>
    </row>
    <row r="15" spans="3:21" x14ac:dyDescent="0.25">
      <c r="C15">
        <v>8</v>
      </c>
      <c r="D15" t="s">
        <v>8</v>
      </c>
      <c r="E15">
        <v>8771.3534615384615</v>
      </c>
      <c r="F15">
        <v>8771.3534615384615</v>
      </c>
      <c r="G15">
        <v>22</v>
      </c>
      <c r="H15">
        <v>398.69788461538462</v>
      </c>
      <c r="I15">
        <v>1</v>
      </c>
      <c r="J15">
        <v>5</v>
      </c>
      <c r="K15">
        <v>0</v>
      </c>
      <c r="Q15" t="s">
        <v>8</v>
      </c>
      <c r="R15">
        <v>8046.8534615384615</v>
      </c>
      <c r="S15">
        <v>365.76606643356644</v>
      </c>
      <c r="T15">
        <v>4</v>
      </c>
      <c r="U15">
        <v>4</v>
      </c>
    </row>
    <row r="16" spans="3:21" x14ac:dyDescent="0.25">
      <c r="C16">
        <v>9</v>
      </c>
      <c r="D16" t="s">
        <v>266</v>
      </c>
      <c r="E16">
        <v>9686.5670000000009</v>
      </c>
      <c r="F16">
        <v>9686.5670000000009</v>
      </c>
      <c r="G16">
        <v>22</v>
      </c>
      <c r="H16">
        <v>440.29850000000005</v>
      </c>
      <c r="I16">
        <v>1</v>
      </c>
      <c r="J16">
        <v>1</v>
      </c>
      <c r="K16">
        <v>0</v>
      </c>
      <c r="Q16" t="s">
        <v>266</v>
      </c>
      <c r="R16">
        <v>8930.5670000000009</v>
      </c>
      <c r="S16">
        <v>405.93486363636367</v>
      </c>
      <c r="T16">
        <v>2</v>
      </c>
      <c r="U16">
        <v>2</v>
      </c>
    </row>
    <row r="17" spans="2:21" x14ac:dyDescent="0.25">
      <c r="C17">
        <v>10</v>
      </c>
      <c r="D17" t="s">
        <v>267</v>
      </c>
      <c r="E17">
        <v>4962.5670000000009</v>
      </c>
      <c r="F17">
        <v>4962.5670000000009</v>
      </c>
      <c r="G17">
        <v>11</v>
      </c>
      <c r="H17">
        <v>451.14245454545465</v>
      </c>
      <c r="I17">
        <v>1</v>
      </c>
      <c r="J17">
        <v>0</v>
      </c>
      <c r="K17">
        <v>0</v>
      </c>
      <c r="Q17" t="s">
        <v>267</v>
      </c>
      <c r="R17">
        <v>3653.0670000000009</v>
      </c>
      <c r="S17">
        <v>332.09700000000009</v>
      </c>
      <c r="T17">
        <v>11</v>
      </c>
      <c r="U17">
        <v>8</v>
      </c>
    </row>
    <row r="18" spans="2:21" x14ac:dyDescent="0.25">
      <c r="C18">
        <v>11</v>
      </c>
      <c r="D18" t="s">
        <v>268</v>
      </c>
      <c r="E18">
        <v>8267.6910000000007</v>
      </c>
      <c r="F18">
        <v>8267.6910000000007</v>
      </c>
      <c r="G18">
        <v>22</v>
      </c>
      <c r="H18">
        <v>375.80413636363642</v>
      </c>
      <c r="I18">
        <v>1</v>
      </c>
      <c r="J18">
        <v>0</v>
      </c>
      <c r="K18">
        <v>0</v>
      </c>
      <c r="Q18" t="s">
        <v>268</v>
      </c>
      <c r="R18">
        <v>7228.1910000000007</v>
      </c>
      <c r="S18">
        <v>328.55413636363642</v>
      </c>
      <c r="T18">
        <v>8</v>
      </c>
      <c r="U18">
        <v>9</v>
      </c>
    </row>
    <row r="19" spans="2:21" x14ac:dyDescent="0.25">
      <c r="C19">
        <v>12</v>
      </c>
      <c r="D19" t="s">
        <v>269</v>
      </c>
      <c r="E19">
        <v>10267.307692307691</v>
      </c>
      <c r="F19">
        <v>10267.307692307691</v>
      </c>
      <c r="G19">
        <v>22</v>
      </c>
      <c r="H19">
        <v>466.69580419580416</v>
      </c>
      <c r="I19">
        <v>1</v>
      </c>
      <c r="J19">
        <v>14</v>
      </c>
      <c r="K19">
        <v>1</v>
      </c>
      <c r="Q19" t="s">
        <v>269</v>
      </c>
      <c r="R19">
        <v>10267.307692307691</v>
      </c>
      <c r="S19">
        <v>466.69580419580416</v>
      </c>
      <c r="T19">
        <v>1</v>
      </c>
      <c r="U19">
        <v>1</v>
      </c>
    </row>
    <row r="20" spans="2:21" x14ac:dyDescent="0.25">
      <c r="C20">
        <v>13</v>
      </c>
      <c r="D20" t="s">
        <v>270</v>
      </c>
      <c r="E20">
        <v>7612.3846153846152</v>
      </c>
      <c r="F20">
        <v>7612.3846153846152</v>
      </c>
      <c r="G20">
        <v>22</v>
      </c>
      <c r="H20">
        <v>346.01748251748251</v>
      </c>
      <c r="I20">
        <v>1</v>
      </c>
      <c r="J20">
        <v>5</v>
      </c>
      <c r="K20">
        <v>2</v>
      </c>
      <c r="Q20" t="s">
        <v>270</v>
      </c>
      <c r="R20">
        <v>7612.3846153846152</v>
      </c>
      <c r="S20">
        <v>346.01748251748251</v>
      </c>
      <c r="T20">
        <v>7</v>
      </c>
      <c r="U20">
        <v>7</v>
      </c>
    </row>
    <row r="21" spans="2:21" x14ac:dyDescent="0.25">
      <c r="C21">
        <v>14</v>
      </c>
      <c r="D21" t="s">
        <v>271</v>
      </c>
      <c r="E21">
        <v>7017.3846153846152</v>
      </c>
      <c r="F21">
        <v>7017.3846153846152</v>
      </c>
      <c r="G21">
        <v>22</v>
      </c>
      <c r="H21">
        <v>318.97202797202794</v>
      </c>
      <c r="I21">
        <v>1</v>
      </c>
      <c r="J21">
        <v>6</v>
      </c>
      <c r="K21">
        <v>0</v>
      </c>
      <c r="M21" t="s">
        <v>272</v>
      </c>
      <c r="O21" t="s">
        <v>273</v>
      </c>
      <c r="Q21" t="s">
        <v>271</v>
      </c>
      <c r="R21">
        <v>7017.3846153846152</v>
      </c>
      <c r="S21">
        <v>318.97202797202794</v>
      </c>
      <c r="T21">
        <v>10</v>
      </c>
      <c r="U21">
        <v>11</v>
      </c>
    </row>
    <row r="25" spans="2:21" x14ac:dyDescent="0.25">
      <c r="B25" s="94" t="s">
        <v>274</v>
      </c>
      <c r="C25" s="94" t="s">
        <v>275</v>
      </c>
      <c r="D25" s="94" t="s">
        <v>278</v>
      </c>
      <c r="E25" s="94" t="s">
        <v>253</v>
      </c>
      <c r="F25" s="94" t="s">
        <v>279</v>
      </c>
    </row>
    <row r="26" spans="2:21" x14ac:dyDescent="0.25">
      <c r="B26" s="13" t="s">
        <v>262</v>
      </c>
      <c r="C26" s="96" t="s">
        <v>276</v>
      </c>
      <c r="D26" s="13">
        <v>8533.125</v>
      </c>
      <c r="E26" s="13">
        <v>387.86931818181819</v>
      </c>
      <c r="F26" s="95">
        <f>E26/450</f>
        <v>0.86193181818181819</v>
      </c>
    </row>
    <row r="27" spans="2:21" x14ac:dyDescent="0.25">
      <c r="B27" s="13" t="s">
        <v>264</v>
      </c>
      <c r="C27" s="96" t="s">
        <v>276</v>
      </c>
      <c r="D27" s="13">
        <v>8773.4410000000007</v>
      </c>
      <c r="E27" s="13">
        <v>398.79277272727273</v>
      </c>
      <c r="F27" s="95">
        <f t="shared" ref="F27:F36" si="0">E27/450</f>
        <v>0.88620616161616161</v>
      </c>
    </row>
    <row r="28" spans="2:21" x14ac:dyDescent="0.25">
      <c r="B28" s="13" t="s">
        <v>265</v>
      </c>
      <c r="C28" s="96" t="s">
        <v>277</v>
      </c>
      <c r="D28" s="13">
        <v>7959.6153846153848</v>
      </c>
      <c r="E28" s="13">
        <v>361.80069930069931</v>
      </c>
      <c r="F28" s="95">
        <f t="shared" si="0"/>
        <v>0.80400155400155404</v>
      </c>
    </row>
    <row r="29" spans="2:21" x14ac:dyDescent="0.25">
      <c r="B29" s="13" t="s">
        <v>22</v>
      </c>
      <c r="C29" s="96" t="s">
        <v>277</v>
      </c>
      <c r="D29" s="13">
        <v>8517.1538461538457</v>
      </c>
      <c r="E29" s="13">
        <v>387.14335664335664</v>
      </c>
      <c r="F29" s="95">
        <f t="shared" si="0"/>
        <v>0.86031857031857029</v>
      </c>
    </row>
    <row r="30" spans="2:21" x14ac:dyDescent="0.25">
      <c r="B30" s="13" t="s">
        <v>8</v>
      </c>
      <c r="C30" s="96" t="s">
        <v>276</v>
      </c>
      <c r="D30" s="13">
        <v>8771.3534615384615</v>
      </c>
      <c r="E30" s="13">
        <v>398.69788461538462</v>
      </c>
      <c r="F30" s="95">
        <f t="shared" si="0"/>
        <v>0.88599529914529918</v>
      </c>
    </row>
    <row r="31" spans="2:21" x14ac:dyDescent="0.25">
      <c r="B31" s="97" t="s">
        <v>266</v>
      </c>
      <c r="C31" s="97" t="s">
        <v>276</v>
      </c>
      <c r="D31" s="97">
        <v>9686.5670000000009</v>
      </c>
      <c r="E31" s="97">
        <v>440.29850000000005</v>
      </c>
      <c r="F31" s="95">
        <f t="shared" si="0"/>
        <v>0.97844111111111121</v>
      </c>
    </row>
    <row r="32" spans="2:21" x14ac:dyDescent="0.25">
      <c r="B32" s="13" t="s">
        <v>267</v>
      </c>
      <c r="C32" s="96" t="s">
        <v>276</v>
      </c>
      <c r="D32" s="13">
        <v>4962.5670000000009</v>
      </c>
      <c r="E32" s="13">
        <v>451.14245454545465</v>
      </c>
      <c r="F32" s="95">
        <f t="shared" si="0"/>
        <v>1.0025387878787881</v>
      </c>
    </row>
    <row r="33" spans="2:6" x14ac:dyDescent="0.25">
      <c r="B33" s="13" t="s">
        <v>268</v>
      </c>
      <c r="C33" s="96" t="s">
        <v>276</v>
      </c>
      <c r="D33" s="13">
        <v>8267.6910000000007</v>
      </c>
      <c r="E33" s="13">
        <v>375.80413636363642</v>
      </c>
      <c r="F33" s="95">
        <f t="shared" si="0"/>
        <v>0.83512030303030316</v>
      </c>
    </row>
    <row r="34" spans="2:6" x14ac:dyDescent="0.25">
      <c r="B34" s="98" t="s">
        <v>269</v>
      </c>
      <c r="C34" s="98" t="s">
        <v>277</v>
      </c>
      <c r="D34" s="98">
        <v>10267.307692307691</v>
      </c>
      <c r="E34" s="98">
        <v>466.69580419580416</v>
      </c>
      <c r="F34" s="95">
        <f t="shared" si="0"/>
        <v>1.0371017871017869</v>
      </c>
    </row>
    <row r="35" spans="2:6" x14ac:dyDescent="0.25">
      <c r="B35" s="13" t="s">
        <v>270</v>
      </c>
      <c r="C35" s="96" t="s">
        <v>277</v>
      </c>
      <c r="D35" s="13">
        <v>7612.3846153846152</v>
      </c>
      <c r="E35" s="13">
        <v>346.01748251748251</v>
      </c>
      <c r="F35" s="95">
        <f t="shared" si="0"/>
        <v>0.76892773892773891</v>
      </c>
    </row>
    <row r="36" spans="2:6" x14ac:dyDescent="0.25">
      <c r="B36" s="13" t="s">
        <v>271</v>
      </c>
      <c r="C36" s="96" t="s">
        <v>277</v>
      </c>
      <c r="D36" s="13">
        <v>7017.3846153846152</v>
      </c>
      <c r="E36" s="13">
        <v>318.97202797202794</v>
      </c>
      <c r="F36" s="95">
        <f t="shared" si="0"/>
        <v>0.70882672882672881</v>
      </c>
    </row>
    <row r="37" spans="2:6" x14ac:dyDescent="0.25">
      <c r="B37" s="96" t="s">
        <v>280</v>
      </c>
      <c r="C37" s="13"/>
      <c r="D37" s="13">
        <f>SUM(D26:D36)</f>
        <v>90368.590615384601</v>
      </c>
      <c r="E37" s="13"/>
      <c r="F37" s="13"/>
    </row>
    <row r="40" spans="2:6" x14ac:dyDescent="0.25">
      <c r="B40" s="94" t="s">
        <v>274</v>
      </c>
      <c r="C40" s="94" t="s">
        <v>275</v>
      </c>
      <c r="D40" s="94" t="s">
        <v>278</v>
      </c>
      <c r="E40" s="94" t="s">
        <v>253</v>
      </c>
      <c r="F40" s="94" t="s">
        <v>279</v>
      </c>
    </row>
    <row r="41" spans="2:6" x14ac:dyDescent="0.25">
      <c r="B41" s="13" t="s">
        <v>262</v>
      </c>
      <c r="C41" s="96" t="s">
        <v>276</v>
      </c>
      <c r="D41" s="13">
        <v>8533.125</v>
      </c>
      <c r="E41" s="13">
        <v>387.86931818181819</v>
      </c>
      <c r="F41" s="95">
        <f>E41/450</f>
        <v>0.86193181818181819</v>
      </c>
    </row>
    <row r="42" spans="2:6" x14ac:dyDescent="0.25">
      <c r="B42" s="13" t="s">
        <v>264</v>
      </c>
      <c r="C42" s="96" t="s">
        <v>276</v>
      </c>
      <c r="D42" s="13">
        <v>8773.4410000000007</v>
      </c>
      <c r="E42" s="13">
        <v>398.79277272727273</v>
      </c>
      <c r="F42" s="95">
        <f t="shared" ref="F42:F51" si="1">E42/450</f>
        <v>0.88620616161616161</v>
      </c>
    </row>
    <row r="43" spans="2:6" x14ac:dyDescent="0.25">
      <c r="B43" s="13" t="s">
        <v>265</v>
      </c>
      <c r="C43" s="96" t="s">
        <v>277</v>
      </c>
      <c r="D43" s="13">
        <v>7959.6153846153848</v>
      </c>
      <c r="E43" s="13">
        <v>361.80069930069931</v>
      </c>
      <c r="F43" s="95">
        <f t="shared" si="1"/>
        <v>0.80400155400155404</v>
      </c>
    </row>
    <row r="44" spans="2:6" x14ac:dyDescent="0.25">
      <c r="B44" s="13" t="s">
        <v>22</v>
      </c>
      <c r="C44" s="96" t="s">
        <v>277</v>
      </c>
      <c r="D44" s="13">
        <v>8517.1538461538457</v>
      </c>
      <c r="E44" s="13">
        <v>387.14335664335664</v>
      </c>
      <c r="F44" s="95">
        <f t="shared" si="1"/>
        <v>0.86031857031857029</v>
      </c>
    </row>
    <row r="45" spans="2:6" x14ac:dyDescent="0.25">
      <c r="B45" s="13" t="s">
        <v>8</v>
      </c>
      <c r="C45" s="96" t="s">
        <v>276</v>
      </c>
      <c r="D45" s="13">
        <v>8771.3534615384615</v>
      </c>
      <c r="E45" s="13">
        <v>398.69788461538462</v>
      </c>
      <c r="F45" s="95">
        <f t="shared" si="1"/>
        <v>0.88599529914529918</v>
      </c>
    </row>
    <row r="46" spans="2:6" x14ac:dyDescent="0.25">
      <c r="B46" s="97" t="s">
        <v>266</v>
      </c>
      <c r="C46" s="97" t="s">
        <v>276</v>
      </c>
      <c r="D46" s="97">
        <v>9686.5670000000009</v>
      </c>
      <c r="E46" s="97">
        <v>440.29850000000005</v>
      </c>
      <c r="F46" s="95">
        <f t="shared" si="1"/>
        <v>0.97844111111111121</v>
      </c>
    </row>
    <row r="47" spans="2:6" x14ac:dyDescent="0.25">
      <c r="B47" s="13" t="s">
        <v>267</v>
      </c>
      <c r="C47" s="96" t="s">
        <v>276</v>
      </c>
      <c r="D47" s="13">
        <v>4962.5670000000009</v>
      </c>
      <c r="E47" s="13">
        <v>451.14245454545465</v>
      </c>
      <c r="F47" s="95">
        <f t="shared" si="1"/>
        <v>1.0025387878787881</v>
      </c>
    </row>
    <row r="48" spans="2:6" x14ac:dyDescent="0.25">
      <c r="B48" s="13" t="s">
        <v>268</v>
      </c>
      <c r="C48" s="96" t="s">
        <v>276</v>
      </c>
      <c r="D48" s="13">
        <v>8267.6910000000007</v>
      </c>
      <c r="E48" s="13">
        <v>375.80413636363642</v>
      </c>
      <c r="F48" s="95">
        <f t="shared" si="1"/>
        <v>0.83512030303030316</v>
      </c>
    </row>
    <row r="49" spans="2:7" x14ac:dyDescent="0.25">
      <c r="B49" s="98" t="s">
        <v>269</v>
      </c>
      <c r="C49" s="98" t="s">
        <v>277</v>
      </c>
      <c r="D49" s="98">
        <v>10267.307692307691</v>
      </c>
      <c r="E49" s="98">
        <v>466.69580419580416</v>
      </c>
      <c r="F49" s="95">
        <f t="shared" si="1"/>
        <v>1.0371017871017869</v>
      </c>
    </row>
    <row r="50" spans="2:7" x14ac:dyDescent="0.25">
      <c r="B50" s="13" t="s">
        <v>270</v>
      </c>
      <c r="C50" s="96" t="s">
        <v>277</v>
      </c>
      <c r="D50" s="13">
        <v>7612.3846153846152</v>
      </c>
      <c r="E50" s="13">
        <v>346.01748251748251</v>
      </c>
      <c r="F50" s="95">
        <f t="shared" si="1"/>
        <v>0.76892773892773891</v>
      </c>
    </row>
    <row r="51" spans="2:7" x14ac:dyDescent="0.25">
      <c r="B51" s="13" t="s">
        <v>271</v>
      </c>
      <c r="C51" s="96" t="s">
        <v>277</v>
      </c>
      <c r="D51" s="13">
        <v>7017.3846153846152</v>
      </c>
      <c r="E51" s="13">
        <v>318.97202797202794</v>
      </c>
      <c r="F51" s="95">
        <f t="shared" si="1"/>
        <v>0.70882672882672881</v>
      </c>
    </row>
    <row r="52" spans="2:7" x14ac:dyDescent="0.25">
      <c r="B52" s="96" t="s">
        <v>280</v>
      </c>
      <c r="C52" s="13"/>
      <c r="D52" s="13">
        <f>SUM(D41:D51)</f>
        <v>90368.590615384601</v>
      </c>
      <c r="E52" s="13"/>
      <c r="F52" s="13"/>
    </row>
    <row r="57" spans="2:7" x14ac:dyDescent="0.25">
      <c r="B57" s="94" t="s">
        <v>274</v>
      </c>
      <c r="C57" s="94" t="s">
        <v>275</v>
      </c>
      <c r="D57" s="94" t="s">
        <v>278</v>
      </c>
      <c r="E57" s="94" t="s">
        <v>253</v>
      </c>
      <c r="F57" s="94" t="s">
        <v>279</v>
      </c>
      <c r="G57" s="94" t="s">
        <v>281</v>
      </c>
    </row>
    <row r="58" spans="2:7" x14ac:dyDescent="0.25">
      <c r="B58" s="13" t="s">
        <v>262</v>
      </c>
      <c r="C58" s="96" t="s">
        <v>276</v>
      </c>
      <c r="D58" s="102">
        <v>9435.375</v>
      </c>
      <c r="E58" s="102">
        <v>428.88068181818181</v>
      </c>
      <c r="F58" s="101">
        <f>E58/450</f>
        <v>0.95306818181818176</v>
      </c>
      <c r="G58" s="99">
        <v>3</v>
      </c>
    </row>
    <row r="59" spans="2:7" x14ac:dyDescent="0.25">
      <c r="B59" s="13" t="s">
        <v>264</v>
      </c>
      <c r="C59" s="96" t="s">
        <v>276</v>
      </c>
      <c r="D59" s="102">
        <v>9526.5</v>
      </c>
      <c r="E59" s="102">
        <v>433.02272727272725</v>
      </c>
      <c r="F59" s="101">
        <f t="shared" ref="F59:F68" si="2">E59/450</f>
        <v>0.96227272727272728</v>
      </c>
      <c r="G59" s="99">
        <v>1</v>
      </c>
    </row>
    <row r="60" spans="2:7" x14ac:dyDescent="0.25">
      <c r="B60" s="13" t="s">
        <v>265</v>
      </c>
      <c r="C60" s="96" t="s">
        <v>277</v>
      </c>
      <c r="D60" s="102">
        <v>10198.923076923078</v>
      </c>
      <c r="E60" s="102">
        <v>463.58741258741264</v>
      </c>
      <c r="F60" s="101">
        <f t="shared" si="2"/>
        <v>1.0301942501942503</v>
      </c>
      <c r="G60" s="99">
        <v>3</v>
      </c>
    </row>
    <row r="61" spans="2:7" x14ac:dyDescent="0.25">
      <c r="B61" s="98" t="s">
        <v>22</v>
      </c>
      <c r="C61" s="98" t="s">
        <v>277</v>
      </c>
      <c r="D61" s="104">
        <v>13061.307692307691</v>
      </c>
      <c r="E61" s="102">
        <v>593.69580419580416</v>
      </c>
      <c r="F61" s="101">
        <f t="shared" si="2"/>
        <v>1.3193240093240093</v>
      </c>
      <c r="G61" s="99">
        <v>3</v>
      </c>
    </row>
    <row r="62" spans="2:7" x14ac:dyDescent="0.25">
      <c r="B62" s="97" t="s">
        <v>8</v>
      </c>
      <c r="C62" s="97" t="s">
        <v>276</v>
      </c>
      <c r="D62" s="103">
        <v>10449.000000000002</v>
      </c>
      <c r="E62" s="102">
        <v>474.95454545454555</v>
      </c>
      <c r="F62" s="101">
        <f t="shared" si="2"/>
        <v>1.0554545454545456</v>
      </c>
      <c r="G62" s="99">
        <v>2</v>
      </c>
    </row>
    <row r="63" spans="2:7" x14ac:dyDescent="0.25">
      <c r="B63" s="13" t="s">
        <v>266</v>
      </c>
      <c r="C63" s="96" t="s">
        <v>276</v>
      </c>
      <c r="D63" s="102">
        <v>9671.85</v>
      </c>
      <c r="E63" s="102">
        <v>439.62954545454545</v>
      </c>
      <c r="F63" s="101">
        <f t="shared" si="2"/>
        <v>0.97695454545454541</v>
      </c>
      <c r="G63" s="99">
        <v>1</v>
      </c>
    </row>
    <row r="64" spans="2:7" x14ac:dyDescent="0.25">
      <c r="B64" s="13" t="s">
        <v>268</v>
      </c>
      <c r="C64" s="96" t="s">
        <v>276</v>
      </c>
      <c r="D64" s="102">
        <v>8742.6000000000022</v>
      </c>
      <c r="E64" s="102">
        <v>397.39090909090919</v>
      </c>
      <c r="F64" s="101">
        <f t="shared" si="2"/>
        <v>0.88309090909090926</v>
      </c>
      <c r="G64" s="100" t="s">
        <v>41</v>
      </c>
    </row>
    <row r="65" spans="2:7" x14ac:dyDescent="0.25">
      <c r="B65" s="13" t="s">
        <v>269</v>
      </c>
      <c r="C65" s="96" t="s">
        <v>276</v>
      </c>
      <c r="D65" s="102">
        <v>10441.23076923077</v>
      </c>
      <c r="E65" s="102">
        <v>474.60139860139861</v>
      </c>
      <c r="F65" s="101">
        <f t="shared" si="2"/>
        <v>1.0546697746697746</v>
      </c>
      <c r="G65" s="100" t="s">
        <v>41</v>
      </c>
    </row>
    <row r="66" spans="2:7" x14ac:dyDescent="0.25">
      <c r="B66" s="13" t="s">
        <v>270</v>
      </c>
      <c r="C66" s="96" t="s">
        <v>277</v>
      </c>
      <c r="D66" s="102">
        <v>8481.461538461539</v>
      </c>
      <c r="E66" s="102">
        <v>385.52097902097904</v>
      </c>
      <c r="F66" s="101">
        <f t="shared" si="2"/>
        <v>0.85671328671328673</v>
      </c>
      <c r="G66" s="99">
        <v>1</v>
      </c>
    </row>
    <row r="67" spans="2:7" x14ac:dyDescent="0.25">
      <c r="B67" s="13" t="s">
        <v>271</v>
      </c>
      <c r="C67" s="96" t="s">
        <v>277</v>
      </c>
      <c r="D67" s="102">
        <v>10355.653846153846</v>
      </c>
      <c r="E67" s="102">
        <v>470.71153846153845</v>
      </c>
      <c r="F67" s="101">
        <f t="shared" si="2"/>
        <v>1.046025641025641</v>
      </c>
      <c r="G67" s="100" t="s">
        <v>41</v>
      </c>
    </row>
    <row r="68" spans="2:7" x14ac:dyDescent="0.25">
      <c r="B68" s="96" t="s">
        <v>280</v>
      </c>
      <c r="C68" s="13"/>
      <c r="D68" s="102">
        <f>SUM(D57:D67)</f>
        <v>100363.90192307692</v>
      </c>
      <c r="E68" s="102">
        <v>456.19955419580418</v>
      </c>
      <c r="F68" s="101">
        <f t="shared" si="2"/>
        <v>1.0137767871017871</v>
      </c>
      <c r="G68" s="99">
        <v>14</v>
      </c>
    </row>
  </sheetData>
  <conditionalFormatting sqref="F26:F36">
    <cfRule type="cellIs" dxfId="5" priority="5" operator="lessThan">
      <formula>1</formula>
    </cfRule>
    <cfRule type="cellIs" dxfId="4" priority="6" operator="greaterThanOrEqual">
      <formula>1</formula>
    </cfRule>
  </conditionalFormatting>
  <conditionalFormatting sqref="F41:F51">
    <cfRule type="cellIs" dxfId="3" priority="3" operator="lessThan">
      <formula>1</formula>
    </cfRule>
    <cfRule type="cellIs" dxfId="2" priority="4" operator="greaterThanOrEqual">
      <formula>1</formula>
    </cfRule>
  </conditionalFormatting>
  <conditionalFormatting sqref="F58:F68">
    <cfRule type="cellIs" dxfId="1" priority="1" operator="lessThan">
      <formula>1</formula>
    </cfRule>
    <cfRule type="cellIs" dxfId="0" priority="2" operator="greaterThanOr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Tuấn Dương</dc:creator>
  <cp:lastModifiedBy>EXTERNAL Nguyen Tuan Duong (Ban Vien, RBVH/EPS45)</cp:lastModifiedBy>
  <dcterms:created xsi:type="dcterms:W3CDTF">2020-04-07T15:53:54Z</dcterms:created>
  <dcterms:modified xsi:type="dcterms:W3CDTF">2020-11-30T01:08:01Z</dcterms:modified>
</cp:coreProperties>
</file>