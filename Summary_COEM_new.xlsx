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7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0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c-ut40346c\NHI5HC\hieunguyen\0000_Project\001_Prj\01_COEM\"/>
    </mc:Choice>
  </mc:AlternateContent>
  <bookViews>
    <workbookView xWindow="240" yWindow="105" windowWidth="14805" windowHeight="6540" activeTab="4"/>
  </bookViews>
  <sheets>
    <sheet name="COEM_Package_20200302" sheetId="1" r:id="rId1"/>
    <sheet name="|-&gt;" sheetId="2" r:id="rId2"/>
    <sheet name="Template" sheetId="3" r:id="rId3"/>
    <sheet name="Table" sheetId="4" r:id="rId4"/>
    <sheet name="Template_Weekly_Report" sheetId="5" r:id="rId5"/>
    <sheet name="Check_List" sheetId="6" r:id="rId6"/>
  </sheets>
  <definedNames>
    <definedName name="_xlnm._FilterDatabase" localSheetId="0" hidden="1">COEM_Package_20200302!$B$2:$AH$66</definedName>
    <definedName name="_xlnm._FilterDatabase" localSheetId="2" hidden="1">Template!$B$2:$R$14</definedName>
    <definedName name="Z_17568297_DE94_42DB_A62D_8B9302C2B85A_.wvu.FilterData" localSheetId="0" hidden="1">COEM_Package_20200302!$B$2:$AG$78</definedName>
    <definedName name="Z_250915DF_0B97_45D7_B29D_7EED4C89C1C1_.wvu.FilterData" localSheetId="0" hidden="1">COEM_Package_20200302!$Q$2:$Q$105</definedName>
    <definedName name="Z_250915DF_0B97_45D7_B29D_7EED4C89C1C1_.wvu.FilterData" localSheetId="2" hidden="1">Template!$B$2:$R$14</definedName>
    <definedName name="Z_2796A872_74B9_41A6_AD05_2D7FFBF27D76_.wvu.FilterData" localSheetId="0" hidden="1">COEM_Package_20200302!$B$2:$AG$78</definedName>
    <definedName name="Z_2DAA5E76_B8FF_4CD7_93D9_37F81863218D_.wvu.FilterData" localSheetId="0" hidden="1">COEM_Package_20200302!$Q$2:$Q$105</definedName>
    <definedName name="Z_35B0B6AE_086F_4F08_9CA9_A72BF8F13B9D_.wvu.FilterData" localSheetId="0" hidden="1">COEM_Package_20200302!$B$2:$AH$60</definedName>
    <definedName name="Z_382D887A_F8D5_4E00_A4D1_AE3B77523470_.wvu.FilterData" localSheetId="0" hidden="1">COEM_Package_20200302!$B$2:$AH$60</definedName>
    <definedName name="Z_3EE173E3_F30C_4123_BA68_472D213EF7CF_.wvu.FilterData" localSheetId="0" hidden="1">COEM_Package_20200302!$B$2:$AH$60</definedName>
    <definedName name="Z_4E06BDBF_2CED_473B_850B_2A6C7311FF41_.wvu.Cols" localSheetId="0" hidden="1">COEM_Package_20200302!$M:$N</definedName>
    <definedName name="Z_4E06BDBF_2CED_473B_850B_2A6C7311FF41_.wvu.FilterData" localSheetId="0" hidden="1">COEM_Package_20200302!$Q$2:$Q$105</definedName>
    <definedName name="Z_4E06BDBF_2CED_473B_850B_2A6C7311FF41_.wvu.FilterData" localSheetId="2" hidden="1">Template!$B$2:$R$14</definedName>
    <definedName name="Z_594856DB_1796_41BA_9D27_B22FF73A30E5_.wvu.FilterData" localSheetId="0" hidden="1">COEM_Package_20200302!$B$2:$AH$60</definedName>
    <definedName name="Z_60D2C030_4E31_4E07_8E1C_44D2EE84B177_.wvu.Cols" localSheetId="0" hidden="1">COEM_Package_20200302!$M:$N</definedName>
    <definedName name="Z_60D2C030_4E31_4E07_8E1C_44D2EE84B177_.wvu.FilterData" localSheetId="0" hidden="1">COEM_Package_20200302!$B$2:$AH$66</definedName>
    <definedName name="Z_60D2C030_4E31_4E07_8E1C_44D2EE84B177_.wvu.FilterData" localSheetId="2" hidden="1">Template!$B$2:$R$14</definedName>
    <definedName name="Z_6B1BA5A9_E057_4F4A_9C65_C6B9C02CC00C_.wvu.FilterData" localSheetId="0" hidden="1">COEM_Package_20200302!$Q$2:$Q$105</definedName>
    <definedName name="Z_72A6EB0A_84D5_4B8A_AC51_54CCD061630B_.wvu.Cols" localSheetId="0" hidden="1">COEM_Package_20200302!$M:$N</definedName>
    <definedName name="Z_72A6EB0A_84D5_4B8A_AC51_54CCD061630B_.wvu.FilterData" localSheetId="0" hidden="1">COEM_Package_20200302!$B$2:$AH$66</definedName>
    <definedName name="Z_72A6EB0A_84D5_4B8A_AC51_54CCD061630B_.wvu.FilterData" localSheetId="2" hidden="1">Template!$B$2:$R$14</definedName>
    <definedName name="Z_740DC6B1_F8A3_42A4_9DBA_B7F4B4302024_.wvu.FilterData" localSheetId="0" hidden="1">COEM_Package_20200302!$B$2:$AG$10</definedName>
    <definedName name="Z_75EBBE3D_6BBB_4DA6_9D69_395330ADF817_.wvu.FilterData" localSheetId="0" hidden="1">COEM_Package_20200302!$B$2:$AH$60</definedName>
    <definedName name="Z_7E0EA425_A420_4443_B9E0_CDF0AA9E5D09_.wvu.FilterData" localSheetId="0" hidden="1">COEM_Package_20200302!$B$2:$AH$66</definedName>
    <definedName name="Z_7E0EA425_A420_4443_B9E0_CDF0AA9E5D09_.wvu.FilterData" localSheetId="2" hidden="1">Template!$B$2:$R$14</definedName>
    <definedName name="Z_7ECC2B8E_6A82_42F5_8AB0_4A51C54EA5EC_.wvu.Cols" localSheetId="0" hidden="1">COEM_Package_20200302!$M:$N</definedName>
    <definedName name="Z_7ECC2B8E_6A82_42F5_8AB0_4A51C54EA5EC_.wvu.FilterData" localSheetId="0" hidden="1">COEM_Package_20200302!$Q$2:$Q$105</definedName>
    <definedName name="Z_7ECC2B8E_6A82_42F5_8AB0_4A51C54EA5EC_.wvu.FilterData" localSheetId="2" hidden="1">Template!$B$2:$R$14</definedName>
    <definedName name="Z_839DFCBD_B2E4_4623_A615_58494692EC74_.wvu.FilterData" localSheetId="0" hidden="1">COEM_Package_20200302!$Q$2:$Q$105</definedName>
    <definedName name="Z_9BBC5FBB_CEC7_4B7E_8FC1_DC9F240B7B1A_.wvu.FilterData" localSheetId="0" hidden="1">COEM_Package_20200302!$B$2:$AG$78</definedName>
    <definedName name="Z_9ED4B296_E9A0_43D8_A56B_F4D7CC736352_.wvu.FilterData" localSheetId="0" hidden="1">COEM_Package_20200302!$B$2:$AG$10</definedName>
    <definedName name="Z_A239C479_B2DC_4DCA_A930_634A835634B0_.wvu.FilterData" localSheetId="0" hidden="1">COEM_Package_20200302!$B$2:$AG$78</definedName>
    <definedName name="Z_A51EBE84_CBC8_46F9_AE0C_B070690415D4_.wvu.FilterData" localSheetId="0" hidden="1">COEM_Package_20200302!$Q$2:$Q$105</definedName>
    <definedName name="Z_B156AFFA_16DF_4425_86DA_8148471DAEFC_.wvu.FilterData" localSheetId="0" hidden="1">COEM_Package_20200302!$B$2:$AH$66</definedName>
    <definedName name="Z_B560FB13_43A5_422F_8DD9_4EB47150B249_.wvu.FilterData" localSheetId="0" hidden="1">COEM_Package_20200302!$B$2:$AH$66</definedName>
    <definedName name="Z_BBAE6BD0_8958_494E_83AF_3471AF879750_.wvu.FilterData" localSheetId="0" hidden="1">COEM_Package_20200302!$B$2:$AG$60</definedName>
    <definedName name="Z_D5F9A537_3EF6_4FA9_94D8_ABB431F3ED7F_.wvu.FilterData" localSheetId="0" hidden="1">COEM_Package_20200302!$Q$2:$Q$105</definedName>
    <definedName name="Z_E8991E61_6D05_4C3B_B928_FD787FF86F58_.wvu.FilterData" localSheetId="0" hidden="1">COEM_Package_20200302!$Q$2:$Q$105</definedName>
  </definedNames>
  <calcPr calcId="162913"/>
  <customWorkbookViews>
    <customWorkbookView name="EXTERNAL Nguyen Tuan Duong (Ban Vien, RBVH/EPS45) - Personal View" guid="{7E0EA425-A420-4443-B9E0-CDF0AA9E5D09}" mergeInterval="0" personalView="1" maximized="1" xWindow="-8" yWindow="-8" windowWidth="1936" windowHeight="1135" activeSheetId="1"/>
    <customWorkbookView name="EXTERNAL Nguyen Kim Thanh (Ban Vien, RBVH/EPS45) - Personal View" guid="{4E06BDBF-2CED-473B-850B-2A6C7311FF41}" mergeInterval="0" personalView="1" maximized="1" xWindow="-8" yWindow="-8" windowWidth="1936" windowHeight="1176" activeSheetId="1"/>
    <customWorkbookView name="EXTERNAL Ly Chung (Ban Vien, RBVH/EPS45) - Personal View" guid="{60D2C030-4E31-4E07-8E1C-44D2EE84B177}" mergeInterval="0" personalView="1" maximized="1" xWindow="-8" yWindow="-8" windowWidth="1936" windowHeight="1186" tabRatio="428" activeSheetId="1"/>
    <customWorkbookView name="EXTERNAL Nguyen Trung Hieu (Ban Vien, RBVH/EPS45) - Personal View" guid="{250915DF-0B97-45D7-B29D-7EED4C89C1C1}" mergeInterval="0" personalView="1" maximized="1" xWindow="-8" yWindow="-8" windowWidth="1936" windowHeight="1176" activeSheetId="1"/>
    <customWorkbookView name="EXTERNAL Nguyen Tai Hau (Ban Vien, RBVH/EPS45) - Personal View" guid="{7ECC2B8E-6A82-42F5-8AB0-4A51C54EA5EC}" mergeInterval="0" personalView="1" maximized="1" xWindow="-8" yWindow="-8" windowWidth="1936" windowHeight="1176" tabRatio="428" activeSheetId="1"/>
    <customWorkbookView name="EXTERNAL Do Phu Loc (Ban Vien, RBVH/EPS45) - Personal View" guid="{72A6EB0A-84D5-4B8A-AC51-54CCD061630B}" mergeInterval="0" personalView="1" maximized="1" xWindow="-8" yWindow="-8" windowWidth="1936" windowHeight="1176" tabRatio="428" activeSheetId="1"/>
  </customWorkbookViews>
</workbook>
</file>

<file path=xl/calcChain.xml><?xml version="1.0" encoding="utf-8"?>
<calcChain xmlns="http://schemas.openxmlformats.org/spreadsheetml/2006/main">
  <c r="E102" i="1" l="1"/>
  <c r="E90" i="1" l="1"/>
  <c r="V63" i="1" l="1"/>
  <c r="V64" i="1"/>
  <c r="V65" i="1"/>
  <c r="V66" i="1"/>
  <c r="V61" i="1" l="1"/>
  <c r="V62" i="1"/>
  <c r="F105" i="1" l="1"/>
  <c r="F104" i="1"/>
  <c r="L61" i="1" l="1"/>
  <c r="L62" i="1"/>
  <c r="L63" i="1"/>
  <c r="L64" i="1"/>
  <c r="L65" i="1"/>
  <c r="L66" i="1"/>
  <c r="F103" i="1" l="1"/>
  <c r="F92" i="1"/>
  <c r="E105" i="1"/>
  <c r="G105" i="1" s="1"/>
  <c r="E104" i="1"/>
  <c r="L60" i="1" l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19" i="1"/>
  <c r="L18" i="1"/>
  <c r="L17" i="1"/>
  <c r="L16" i="1"/>
  <c r="L15" i="1"/>
  <c r="L14" i="1"/>
  <c r="L13" i="1"/>
  <c r="L12" i="1"/>
  <c r="L11" i="1"/>
  <c r="L10" i="1"/>
  <c r="L9" i="1"/>
  <c r="L8" i="1"/>
  <c r="L6" i="1"/>
  <c r="L5" i="1"/>
  <c r="L4" i="1"/>
  <c r="L3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O3" i="3"/>
  <c r="O4" i="3"/>
  <c r="O5" i="3"/>
  <c r="O6" i="3"/>
  <c r="O7" i="3"/>
  <c r="O8" i="3"/>
  <c r="O9" i="3"/>
  <c r="O10" i="3"/>
  <c r="D19" i="3"/>
  <c r="E19" i="3"/>
  <c r="H19" i="3" s="1"/>
  <c r="F19" i="3"/>
  <c r="G19" i="3"/>
  <c r="D20" i="3"/>
  <c r="E20" i="3"/>
  <c r="F20" i="3"/>
  <c r="D21" i="3"/>
  <c r="E21" i="3"/>
  <c r="F21" i="3"/>
  <c r="D22" i="3"/>
  <c r="E22" i="3"/>
  <c r="G22" i="3" s="1"/>
  <c r="F22" i="3"/>
  <c r="D23" i="3"/>
  <c r="E23" i="3"/>
  <c r="H23" i="3" s="1"/>
  <c r="F23" i="3"/>
  <c r="D24" i="3"/>
  <c r="E24" i="3"/>
  <c r="F24" i="3"/>
  <c r="D25" i="3"/>
  <c r="E25" i="3"/>
  <c r="F25" i="3"/>
  <c r="D26" i="3"/>
  <c r="H26" i="3" s="1"/>
  <c r="E26" i="3"/>
  <c r="F26" i="3"/>
  <c r="D27" i="3"/>
  <c r="E27" i="3"/>
  <c r="H27" i="3" s="1"/>
  <c r="F27" i="3"/>
  <c r="D28" i="3"/>
  <c r="E28" i="3"/>
  <c r="G28" i="3" s="1"/>
  <c r="F28" i="3"/>
  <c r="D29" i="3"/>
  <c r="E29" i="3"/>
  <c r="F29" i="3"/>
  <c r="D30" i="3"/>
  <c r="E30" i="3"/>
  <c r="G30" i="3" s="1"/>
  <c r="F30" i="3"/>
  <c r="D36" i="3"/>
  <c r="E36" i="3"/>
  <c r="H36" i="3" s="1"/>
  <c r="F36" i="3"/>
  <c r="D37" i="3"/>
  <c r="E37" i="3"/>
  <c r="G37" i="3" s="1"/>
  <c r="F37" i="3"/>
  <c r="G29" i="3" l="1"/>
  <c r="G24" i="3"/>
  <c r="H22" i="3"/>
  <c r="G36" i="3"/>
  <c r="H30" i="3"/>
  <c r="G27" i="3"/>
  <c r="G25" i="3"/>
  <c r="G20" i="3"/>
  <c r="H29" i="3"/>
  <c r="G26" i="3"/>
  <c r="G23" i="3"/>
  <c r="G21" i="3"/>
  <c r="H25" i="3"/>
  <c r="H21" i="3"/>
  <c r="H37" i="3"/>
  <c r="H28" i="3"/>
  <c r="H24" i="3"/>
  <c r="H20" i="3"/>
  <c r="E103" i="1"/>
  <c r="G103" i="1" s="1"/>
  <c r="D105" i="1" l="1"/>
  <c r="G104" i="1"/>
  <c r="D104" i="1"/>
  <c r="H104" i="1" s="1"/>
  <c r="D103" i="1"/>
  <c r="H103" i="1" s="1"/>
  <c r="F102" i="1"/>
  <c r="D102" i="1"/>
  <c r="F101" i="1"/>
  <c r="E101" i="1"/>
  <c r="D101" i="1"/>
  <c r="F100" i="1"/>
  <c r="E100" i="1"/>
  <c r="D100" i="1"/>
  <c r="F99" i="1"/>
  <c r="E99" i="1"/>
  <c r="D99" i="1"/>
  <c r="F98" i="1"/>
  <c r="E98" i="1"/>
  <c r="D98" i="1"/>
  <c r="F93" i="1"/>
  <c r="E93" i="1"/>
  <c r="D93" i="1"/>
  <c r="E92" i="1"/>
  <c r="D92" i="1"/>
  <c r="F91" i="1"/>
  <c r="E91" i="1"/>
  <c r="D91" i="1"/>
  <c r="F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H91" i="1" l="1"/>
  <c r="G91" i="1"/>
  <c r="H90" i="1"/>
  <c r="G90" i="1"/>
  <c r="H93" i="1"/>
  <c r="G93" i="1"/>
  <c r="H101" i="1"/>
  <c r="G101" i="1"/>
  <c r="H87" i="1"/>
  <c r="G87" i="1"/>
  <c r="H99" i="1"/>
  <c r="G99" i="1"/>
  <c r="H105" i="1"/>
  <c r="H86" i="1"/>
  <c r="H98" i="1"/>
  <c r="G98" i="1"/>
  <c r="H102" i="1"/>
  <c r="G102" i="1"/>
  <c r="H89" i="1"/>
  <c r="G89" i="1"/>
  <c r="H88" i="1"/>
  <c r="G88" i="1"/>
  <c r="H92" i="1"/>
  <c r="G92" i="1"/>
  <c r="H100" i="1"/>
  <c r="G100" i="1"/>
  <c r="G86" i="1"/>
</calcChain>
</file>

<file path=xl/comments1.xml><?xml version="1.0" encoding="utf-8"?>
<comments xmlns="http://schemas.openxmlformats.org/spreadsheetml/2006/main">
  <authors>
    <author>EXTERNAL Nguyen Tuan Duong (Ban Vien, RBVH/EPS45)</author>
  </authors>
  <commentList>
    <comment ref="I21" authorId="0" guid="{7EE9DC19-1016-46DE-8BE2-3130D62EDD67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run Tool Auto Comment to generate header and add cmt in section "Test Goal"
</t>
        </r>
      </text>
    </comment>
  </commentList>
</comments>
</file>

<file path=xl/sharedStrings.xml><?xml version="1.0" encoding="utf-8"?>
<sst xmlns="http://schemas.openxmlformats.org/spreadsheetml/2006/main" count="1019" uniqueCount="259">
  <si>
    <t>No</t>
  </si>
  <si>
    <t>Type</t>
  </si>
  <si>
    <t>ASW</t>
  </si>
  <si>
    <t>PSW</t>
  </si>
  <si>
    <t>No\Type</t>
  </si>
  <si>
    <t>Member</t>
  </si>
  <si>
    <t>hieu.nguyen-trung</t>
  </si>
  <si>
    <t>duong.nguyen-tuan</t>
  </si>
  <si>
    <t>TaskGroup</t>
  </si>
  <si>
    <t>Tester</t>
  </si>
  <si>
    <t>1. Test Design (.xls)
2. Plot File (.plt)
3. ATT project
4. Coverage Log</t>
  </si>
  <si>
    <t>1. TPA file (.tpa)
2. test report (.html)
3. test report (.xml)
4. test summary (.html)
5. File Coverage Fail Reason (.xls)</t>
  </si>
  <si>
    <t>KPI Table</t>
  </si>
  <si>
    <t>Start</t>
  </si>
  <si>
    <t>End</t>
  </si>
  <si>
    <t>LOC</t>
  </si>
  <si>
    <t>C0</t>
  </si>
  <si>
    <t>C1</t>
  </si>
  <si>
    <t>MCDC</t>
  </si>
  <si>
    <t>Reason</t>
  </si>
  <si>
    <t>Status</t>
  </si>
  <si>
    <t>Ready for review</t>
  </si>
  <si>
    <t>Status Table</t>
  </si>
  <si>
    <t>N/A</t>
  </si>
  <si>
    <t>Ready for PLC</t>
  </si>
  <si>
    <t>KPI/days</t>
  </si>
  <si>
    <t>Total Day</t>
  </si>
  <si>
    <t>Ongoing</t>
  </si>
  <si>
    <t>Total Loc Assigned</t>
  </si>
  <si>
    <t>Total LOC Complete</t>
  </si>
  <si>
    <t>Status (%)</t>
  </si>
  <si>
    <t>#</t>
  </si>
  <si>
    <t>Types</t>
  </si>
  <si>
    <t>Assigned ELOCs</t>
  </si>
  <si>
    <t>Completed ELOCs</t>
  </si>
  <si>
    <t>Status (%)
(Completed/Assigned)</t>
  </si>
  <si>
    <t>Total Days</t>
  </si>
  <si>
    <t>???</t>
  </si>
  <si>
    <t>External Name</t>
  </si>
  <si>
    <t>PSW
ELOCs</t>
  </si>
  <si>
    <t>ASW
ELOCs</t>
  </si>
  <si>
    <t>1. Completed ELOCs of the team from the beginning of Month (Mar) till Now:</t>
  </si>
  <si>
    <t>2. Completed ELOCs of each member from the beginning of Month (Mar) till Now:</t>
  </si>
  <si>
    <t>3. Risks/ Pending Issues:</t>
  </si>
  <si>
    <t>Risks/ Issues</t>
  </si>
  <si>
    <t>4. Found Defects/ OPLs in Month (Mar):</t>
  </si>
  <si>
    <t>5. Leave Plan (Mar):</t>
  </si>
  <si>
    <t>Defects / OPLs</t>
  </si>
  <si>
    <t>Num of Day</t>
  </si>
  <si>
    <t>Detail</t>
  </si>
  <si>
    <t>Date</t>
  </si>
  <si>
    <t>Note:</t>
  </si>
  <si>
    <t>PSW: 450 ELOCs</t>
  </si>
  <si>
    <t>ASW: 150 ELOCs</t>
  </si>
  <si>
    <t>Productivity of each Member per Day</t>
  </si>
  <si>
    <t>Total Productivity per Month</t>
  </si>
  <si>
    <t>PSW: 450x4x20 = 36,000 ELOCs</t>
  </si>
  <si>
    <t>ASW: 130x4x20 = 10,400 ELOCs</t>
  </si>
  <si>
    <t>Table Type of Testing</t>
  </si>
  <si>
    <t>Table Tester</t>
  </si>
  <si>
    <t>Detail Output</t>
  </si>
  <si>
    <t>ATT</t>
  </si>
  <si>
    <t>Cantata</t>
  </si>
  <si>
    <t>Tool</t>
  </si>
  <si>
    <t>Table KPI ASW</t>
  </si>
  <si>
    <t>Table KPI PSW</t>
  </si>
  <si>
    <t>LOC Complete</t>
  </si>
  <si>
    <t>Actual hour</t>
  </si>
  <si>
    <t>Estimation hour</t>
  </si>
  <si>
    <t>Task Jira</t>
  </si>
  <si>
    <t>PAP_Odometry</t>
  </si>
  <si>
    <t>Project</t>
  </si>
  <si>
    <t>ComponentName</t>
  </si>
  <si>
    <t>TaskID</t>
  </si>
  <si>
    <t>ItemName</t>
  </si>
  <si>
    <t>GAC_220680_Carbon_A18_ESPHevx_FPA/RPA_BL03</t>
  </si>
  <si>
    <t>MC_227282_SGMW_E200_Plus_ESPCPiGen9.3_BSS04_SP02</t>
  </si>
  <si>
    <t>241595_GAC_A27_ESP9.3CP_BL04</t>
  </si>
  <si>
    <t>223331_GAC_A39_Carbon_ESP9.3HD_OBD_BL07</t>
  </si>
  <si>
    <t>rb\as\gaig\prj\dsmpr\src\RBVoltageHandler\src\</t>
  </si>
  <si>
    <t>rb\as\sgmw\CN210S\app\net\RBScl\RBScl_SGMW\src\</t>
  </si>
  <si>
    <t>rb\as\gaig\A10\dsmpr\src\RBHMI\src\</t>
  </si>
  <si>
    <t>rb\as\cnms_core\app\obd\ObdCyclesHandler\src\</t>
  </si>
  <si>
    <t>RBVoltageHandler_Suppression.c</t>
  </si>
  <si>
    <t>SGMW_RBA_NDS_HBCRequest_Callout.c</t>
  </si>
  <si>
    <t>RBHMI_LDMLamp_CNMS.c</t>
  </si>
  <si>
    <t>ObdCyclesHandler.c</t>
  </si>
  <si>
    <t>DFN_ESP_Gen9.3_532EC_244112_BSS01</t>
  </si>
  <si>
    <t>Planned Start</t>
  </si>
  <si>
    <t>Planned End</t>
  </si>
  <si>
    <t>-</t>
  </si>
  <si>
    <t>ItemRevision</t>
  </si>
  <si>
    <t>4.2.104.1</t>
  </si>
  <si>
    <t>MC_232534_SGMW_CN202C_ESP9.3CPi_ACC_BSS04_SP02</t>
  </si>
  <si>
    <t xml:space="preserve">RBAPLCust\src\ESP\        </t>
  </si>
  <si>
    <t>RBAPLCUST_EOLDelayCtrlOrAPBMi.c</t>
  </si>
  <si>
    <t>RBAPLCUST_RDBI_TPMS.c</t>
  </si>
  <si>
    <t xml:space="preserve">RBAPLCust\src\ESP\ </t>
  </si>
  <si>
    <t>RBAPLCUST_RoutineControl_TPMSReset.c</t>
  </si>
  <si>
    <t>Package</t>
  </si>
  <si>
    <t>hau.nguyen-tai</t>
  </si>
  <si>
    <t>bang.nguyen-duy</t>
  </si>
  <si>
    <t>dac.luu-cong</t>
  </si>
  <si>
    <t>duong.nguyen</t>
  </si>
  <si>
    <t>loc.do-phu</t>
  </si>
  <si>
    <t>thanh.nguyen-kim</t>
  </si>
  <si>
    <t>chung.ly</t>
  </si>
  <si>
    <t>GAC_Beryllium_GEN93_ESP_Mainpath_BL05</t>
  </si>
  <si>
    <t>NET_SCL_Tx_APAInformSts.c</t>
  </si>
  <si>
    <t>Database</t>
  </si>
  <si>
    <t>GAC_ESPHevX_HADHAP_Int</t>
  </si>
  <si>
    <t>SGMW_ESP93_Carbon_Int</t>
  </si>
  <si>
    <t>Gac_ESP93CP_A26HD_Int</t>
  </si>
  <si>
    <t>GAC_ESP93CP_Carbon_Int</t>
  </si>
  <si>
    <t>Tool collect 286 ELOC, but the real is 59</t>
  </si>
  <si>
    <t>GAC_ESP93CP_Int</t>
  </si>
  <si>
    <t>BB</t>
  </si>
  <si>
    <t>bb99885</t>
  </si>
  <si>
    <t>BB81650 &amp; BB81651</t>
  </si>
  <si>
    <t>bb99735</t>
  </si>
  <si>
    <t>BB81261</t>
  </si>
  <si>
    <t>BYD_IPB_SW_Mainstream_BL05</t>
  </si>
  <si>
    <t>RBA_NDS_Complex_Callout.c</t>
  </si>
  <si>
    <t>GWM_ESP9.3CP_RBVH_Stream_BSS04</t>
  </si>
  <si>
    <t>RBAPLCUST_RBDI_NVMData.c</t>
  </si>
  <si>
    <t>RBAPLCUST_RDBI_PBCData.c</t>
  </si>
  <si>
    <t>NET_ATM_Callout_GWM.c</t>
  </si>
  <si>
    <t>V3.3.147305.2</t>
  </si>
  <si>
    <t>none</t>
  </si>
  <si>
    <t>BYD_IPB_BL05_Int</t>
  </si>
  <si>
    <t>GWM_CP_RBVH_Stream_Int</t>
  </si>
  <si>
    <t>Ready for delivery</t>
  </si>
  <si>
    <t>Complete &amp; Closed</t>
  </si>
  <si>
    <t>V4.2.104.1</t>
  </si>
  <si>
    <t>Actually ELOC = 294</t>
  </si>
  <si>
    <t>Actually ELOC = 183</t>
  </si>
  <si>
    <t>CNMS Super Deuterium BSS01</t>
  </si>
  <si>
    <t>RBAPLCUST_RDBI_AnalogData.c</t>
  </si>
  <si>
    <t>RBAPLCUST_RDBI_StatusInformation.c</t>
  </si>
  <si>
    <t>RBAPLCUST_RoutineControl_iBoosterActuatorTest.c</t>
  </si>
  <si>
    <t>RBAPLCUST_InputOutputControl.c</t>
  </si>
  <si>
    <t>RBAPLCUST_InputOutputControl_GeneralFunctions.c</t>
  </si>
  <si>
    <t>RBAPLCUST_RDBI_ActuationState.c</t>
  </si>
  <si>
    <t>RBAPLCUST_RDBI_CBDS.c</t>
  </si>
  <si>
    <t>RBAPLCUST_RDBI_IOCtrlState.c</t>
  </si>
  <si>
    <t>RBAPLCUST_RDBI_IPBAssemblyMode.c</t>
  </si>
  <si>
    <t>RBAPLCUST_RDBI_PBC.c</t>
  </si>
  <si>
    <t>RBAPLCUST_RDBI_SystemData.c</t>
  </si>
  <si>
    <t>RBAPLCUST_RDBI_SystemSensor.c</t>
  </si>
  <si>
    <t>RBAPLCUST_RoutineControl_INSCalibration.c</t>
  </si>
  <si>
    <t>RBAPLCUST_RoutineControl_IPBAirMonitoring.c</t>
  </si>
  <si>
    <t>RBAPLCUST_RoutineControl_IPBBrakeFluidChange.c</t>
  </si>
  <si>
    <t>RBAPLCUST_RoutineControl_IPBComfortPulseCalibration.c</t>
  </si>
  <si>
    <t>RBAPLCUST_RoutineControl_IPBDynamicTest.c</t>
  </si>
  <si>
    <t>RBAPLCUST_RoutineControl_IPBEvacAndFill.c</t>
  </si>
  <si>
    <t>RBAPLCUST_RoutineControl_IPBLeakageAndAirTest.c</t>
  </si>
  <si>
    <t>RBAPLCUST_RoutineControl_IPBRepairBleed.c</t>
  </si>
  <si>
    <t>RBAPLCUST_RoutineControl_IPBRPSCalibration.c</t>
  </si>
  <si>
    <t>RBAPLCUST_RoutineControl_IPBTandemMasterCylinderTest.c</t>
  </si>
  <si>
    <t>RBAPLCUST_RoutineControl_SteeringAngleSensorCalibration.c</t>
  </si>
  <si>
    <t>RBAPLCUST_RoutineControl_WheelSpeedSensorTest.c</t>
  </si>
  <si>
    <t>RBAPLCUST_WDBI_IPBAssemblyMode.c</t>
  </si>
  <si>
    <t>RBAPLCUST_RBDI_NVMData_Common.c</t>
  </si>
  <si>
    <t>RBAPLCUST_EcuReset.c</t>
  </si>
  <si>
    <t>RBAPLCUST_GeneralFunctions.c</t>
  </si>
  <si>
    <t>RBAPLCUST_NVMGeneric.c</t>
  </si>
  <si>
    <t>RBAPLCUST_RDBI_VehicleSpeed.c</t>
  </si>
  <si>
    <t>RBAPLCUST_RDBI_WheelSpeed.c</t>
  </si>
  <si>
    <t>RBAPLCUST_RoutineControl_EOLTable.c</t>
  </si>
  <si>
    <t>RBAPLCUST_RoutineControl_SpeedLimit.c</t>
  </si>
  <si>
    <t>RBAPLCUST_RoutineControl_VRShutdown.c</t>
  </si>
  <si>
    <t>RBAPLCUST_WDBI_NVMData_ESP.c</t>
  </si>
  <si>
    <t>RBAPLCUST_RBDI_NVMData_ESP.c</t>
  </si>
  <si>
    <t>rb\as\cnms_core\app\dcom\RBAPLCust\src\IPB</t>
  </si>
  <si>
    <t>rb\as\gaig\prj\dsmpr\src\RBVoltageHandler\src</t>
  </si>
  <si>
    <t>rb\as\sgmw\CN210S\app\net\RBScl\RBScl_SGMW\src</t>
  </si>
  <si>
    <t>rb\as\gaig\A10\dsmpr\src\RBHMI\src</t>
  </si>
  <si>
    <t>rb\as\cnms_core\app\obd\ObdCyclesHandler\src</t>
  </si>
  <si>
    <t>rb\as\cnms_core\app\net\scl\LDMFunctions\APA\src</t>
  </si>
  <si>
    <t>ELOC Assigned</t>
  </si>
  <si>
    <t>ELOC Recheck With Tool</t>
  </si>
  <si>
    <r>
      <t>Wrong extension C "RBHMI_LDMLamp_CNMS</t>
    </r>
    <r>
      <rPr>
        <sz val="11"/>
        <color rgb="FFFF0000"/>
        <rFont val="Calibri"/>
        <family val="2"/>
        <scheme val="minor"/>
      </rPr>
      <t>.C</t>
    </r>
    <r>
      <rPr>
        <sz val="11"/>
        <color theme="1"/>
        <rFont val="Calibri"/>
        <family val="2"/>
        <scheme val="minor"/>
      </rPr>
      <t>"</t>
    </r>
  </si>
  <si>
    <t>Bug (Condition is always TRUE)</t>
  </si>
  <si>
    <t>Status Result</t>
  </si>
  <si>
    <t>NG</t>
  </si>
  <si>
    <t>OK</t>
  </si>
  <si>
    <t>Bug (Condition is always TRUE) so can not cover MCDC.</t>
  </si>
  <si>
    <t>CNMS_Deuterium_Int</t>
  </si>
  <si>
    <t>Yes</t>
  </si>
  <si>
    <t>PeerReviewer</t>
  </si>
  <si>
    <t>Estimation base TOOL</t>
  </si>
  <si>
    <t>T01</t>
  </si>
  <si>
    <t>T02</t>
  </si>
  <si>
    <t>T03</t>
  </si>
  <si>
    <t>T04</t>
  </si>
  <si>
    <t>T05</t>
  </si>
  <si>
    <t>T06</t>
  </si>
  <si>
    <t>Owner Contact</t>
  </si>
  <si>
    <t>Remark</t>
  </si>
  <si>
    <t>Got 1 defect
Reason:  not send to internal team</t>
  </si>
  <si>
    <t>CHEN Xiaomin (CC-AS/EVA-SW31-CN)</t>
  </si>
  <si>
    <t>WANG Yang (CC-AS/EVA-SW32-CN)</t>
  </si>
  <si>
    <t>MIAO Huafeng (CC-AS/EVA-SW32-CN)</t>
  </si>
  <si>
    <t>QIAN Li (CC-AS/EVA-SW2-CN)</t>
  </si>
  <si>
    <t>SUN Yun (CC-AS/EVA-SW31-CN)</t>
  </si>
  <si>
    <t>ZHANG Yu (CC-AS/EVA-SW31-CN)</t>
  </si>
  <si>
    <t>GUO Sasa (CC-AS/EVA-SW3-CN)</t>
  </si>
  <si>
    <t>Ngo Nhat Tan (RBVH/EAS12)</t>
  </si>
  <si>
    <t>Nguyen Quang Vinh (RBVH/EAS15)</t>
  </si>
  <si>
    <t>LU Martin (CC-AS/ESW2-CN)</t>
  </si>
  <si>
    <t>Please ensure your push correct the Package name with the TaskGroup</t>
  </si>
  <si>
    <t xml:space="preserve">+ Location for delivery to internal team: </t>
  </si>
  <si>
    <t>Location</t>
  </si>
  <si>
    <t>\\hc-ut40745c\Ban_Vien_external\Release\Gen_9.3</t>
  </si>
  <si>
    <t>+ Location Internal Project:</t>
  </si>
  <si>
    <t>\\hc-ut40346c\NHI5HC\hieunguyen\0000_Project</t>
  </si>
  <si>
    <t>\\hc-ut40346c\NHI5HC\hieunguyen\0000_Project\001_Prj\01_COEM\01_Output_Package</t>
  </si>
  <si>
    <t>+ Location Internal Your Output:</t>
  </si>
  <si>
    <t>+ Location Internal Your Release Output:</t>
  </si>
  <si>
    <t>\\hc-ut40346c\NHI5HC\hieunguyen\0000_Project\001_Prj\01_COEM\02_Release_Package</t>
  </si>
  <si>
    <t>Status Review</t>
  </si>
  <si>
    <t>Tool collect 148 ELOC, but the real is 357</t>
  </si>
  <si>
    <t>Got 1 findings</t>
  </si>
  <si>
    <t>rb\as\gwm\core\app\dcom\RBAPLCust\src</t>
  </si>
  <si>
    <t>rb\as\gwm\core\app\net\scl\Callout\src\ATMwithoutSportPlus</t>
  </si>
  <si>
    <t>rb\as\gwm\core\app\net\scl\Callout\src\ATMwithSportPlus</t>
  </si>
  <si>
    <t>RB_SCL_GAC_RX.c</t>
  </si>
  <si>
    <t>RB_SCL_GAC_TX.c</t>
  </si>
  <si>
    <t>NET_SCL_Tx_AEB.c</t>
  </si>
  <si>
    <t>rb\as\sgmw\core\app\dcom\RBAPLCust\src\ESP</t>
  </si>
  <si>
    <t>rb\as\gaig\A10\app\net\RBScl\RBSclGAC\src</t>
  </si>
  <si>
    <t>rb\as\cnms_core\app\net\scl\LDMFunctions\ACC\src</t>
  </si>
  <si>
    <t>Bug (Condition not occur)</t>
  </si>
  <si>
    <t>COEM process: test--&gt;review test----(feedback no finding)--&gt;generate WT----(review WT no finding)---&gt; done task
Tức là bên anh gửi UT output cho internal =&gt; Có OPL có bug =&gt; Internal review OK =&gt; Làm walkthrough =&gt; Sau đó internal review Walkthrough =&gt; Send email cho External confirm OK =&gt; Mark Done</t>
  </si>
  <si>
    <t>Pending for OPL</t>
  </si>
  <si>
    <t>rb\as\cnms_core\app\dcom\RBAPLCust\src\ESP</t>
  </si>
  <si>
    <t>Type of Comment</t>
  </si>
  <si>
    <t>Auto</t>
  </si>
  <si>
    <t>Manual</t>
  </si>
  <si>
    <t>rb\as\rbcn\core\app\dcom\RBAPLCust\src\IPB</t>
  </si>
  <si>
    <t>HDC_InvalidThrPos</t>
  </si>
  <si>
    <t>rb\as\rbcn\core\app\dcom\RBAPLCust\src\iBooster</t>
  </si>
  <si>
    <t>rb\as\cnms_core\app\dcom\RBAPLCust\src\common</t>
  </si>
  <si>
    <t>FAW_C105EV_ESPhev</t>
  </si>
  <si>
    <t>rb\as\cnms_core\app\net\scl_callout\</t>
  </si>
  <si>
    <t>RBA_NDS_ABS_3_Callout.c</t>
  </si>
  <si>
    <t>RBA_NDS_APC_1_Callout.c</t>
  </si>
  <si>
    <t>RBA_NDS_ESP_3_Callout.c</t>
  </si>
  <si>
    <t>RBA_NDS_HCU_PT_10_Callout.c</t>
  </si>
  <si>
    <t>RBA_NDS_HCU_PT_2_Callout.c</t>
  </si>
  <si>
    <t>RBA_NDS_SystemInfo.c</t>
  </si>
  <si>
    <t>FAW_Carbon_TypeF_HevX_Int</t>
  </si>
  <si>
    <t>HU Evan (CC-AS/EVA-SW33-CN)</t>
  </si>
  <si>
    <t>OPL It does not impact to SW functionality.</t>
  </si>
  <si>
    <t>rb\as\BYD\ipb\app\net\RBScl\Scl_Callout\src</t>
  </si>
  <si>
    <t>Waiting for OPL answer.</t>
  </si>
  <si>
    <t>Have issues with database, complexity of code</t>
  </si>
  <si>
    <t>OPL is already feedback, confirm it can be ignore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</si>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</sst>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9C6500"/>
      <name val="Arial"/>
      <family val="2"/>
    </font>
    <font>
      <sz val="10"/>
      <color rgb="FF0061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14" fontId="0" fillId="0" borderId="1" xfId="0" applyNumberFormat="1" applyBorder="1"/>
    <xf numFmtId="0" fontId="0" fillId="0" borderId="0" xfId="0" applyBorder="1"/>
    <xf numFmtId="10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14" fontId="0" fillId="0" borderId="0" xfId="0" applyNumberFormat="1"/>
    <xf numFmtId="0" fontId="0" fillId="0" borderId="0" xfId="0" applyNumberFormat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/>
    <xf numFmtId="0" fontId="0" fillId="2" borderId="1" xfId="0" applyFill="1" applyBorder="1"/>
    <xf numFmtId="0" fontId="0" fillId="0" borderId="1" xfId="0" quotePrefix="1" applyBorder="1"/>
    <xf numFmtId="0" fontId="5" fillId="0" borderId="0" xfId="0" applyNumberFormat="1" applyFont="1" applyFill="1" applyBorder="1" applyAlignment="1" applyProtection="1"/>
    <xf numFmtId="0" fontId="4" fillId="0" borderId="0" xfId="0" applyFont="1" applyFill="1"/>
    <xf numFmtId="0" fontId="6" fillId="0" borderId="1" xfId="0" applyFont="1" applyFill="1" applyBorder="1" applyAlignment="1">
      <alignment horizontal="left" vertical="top"/>
    </xf>
    <xf numFmtId="164" fontId="6" fillId="0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6" fillId="3" borderId="1" xfId="0" applyNumberFormat="1" applyFont="1" applyFill="1" applyBorder="1" applyAlignment="1" applyProtection="1">
      <alignment horizontal="left" vertical="top"/>
    </xf>
    <xf numFmtId="0" fontId="6" fillId="3" borderId="1" xfId="0" applyFont="1" applyFill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6" fillId="0" borderId="1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6" fillId="0" borderId="1" xfId="0" quotePrefix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6" fillId="0" borderId="1" xfId="0" quotePrefix="1" applyNumberFormat="1" applyFont="1" applyFill="1" applyBorder="1" applyAlignment="1" applyProtection="1">
      <alignment horizontal="left" vertical="top"/>
    </xf>
    <xf numFmtId="164" fontId="8" fillId="4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vertical="top"/>
    </xf>
    <xf numFmtId="0" fontId="7" fillId="0" borderId="1" xfId="0" applyFont="1" applyBorder="1"/>
    <xf numFmtId="0" fontId="6" fillId="2" borderId="1" xfId="0" applyNumberFormat="1" applyFont="1" applyFill="1" applyBorder="1" applyAlignment="1" applyProtection="1">
      <alignment horizontal="left" vertical="top"/>
    </xf>
    <xf numFmtId="0" fontId="0" fillId="2" borderId="1" xfId="0" quotePrefix="1" applyFont="1" applyFill="1" applyBorder="1" applyAlignment="1">
      <alignment horizontal="left" vertical="top"/>
    </xf>
    <xf numFmtId="0" fontId="0" fillId="0" borderId="0" xfId="0" applyFont="1" applyBorder="1" applyAlignment="1"/>
    <xf numFmtId="14" fontId="6" fillId="0" borderId="1" xfId="0" applyNumberFormat="1" applyFont="1" applyFill="1" applyBorder="1" applyAlignment="1" applyProtection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0" fillId="0" borderId="0" xfId="0" applyFill="1" applyBorder="1"/>
    <xf numFmtId="0" fontId="0" fillId="0" borderId="0" xfId="0" applyFill="1"/>
    <xf numFmtId="0" fontId="0" fillId="0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revisionHeaders" Target="revisions/revisionHeader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63" Type="http://schemas.openxmlformats.org/officeDocument/2006/relationships/revisionLog" Target="revisionLog63.xml"/><Relationship Id="rId68" Type="http://schemas.openxmlformats.org/officeDocument/2006/relationships/revisionLog" Target="revisionLog68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66" Type="http://schemas.openxmlformats.org/officeDocument/2006/relationships/revisionLog" Target="revisionLog66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Relationship Id="rId57" Type="http://schemas.openxmlformats.org/officeDocument/2006/relationships/revisionLog" Target="revisionLog57.xml"/><Relationship Id="rId61" Type="http://schemas.openxmlformats.org/officeDocument/2006/relationships/revisionLog" Target="revisionLog61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56" Type="http://schemas.openxmlformats.org/officeDocument/2006/relationships/revisionLog" Target="revisionLog56.xml"/><Relationship Id="rId64" Type="http://schemas.openxmlformats.org/officeDocument/2006/relationships/revisionLog" Target="revisionLog64.xml"/><Relationship Id="rId69" Type="http://schemas.openxmlformats.org/officeDocument/2006/relationships/revisionLog" Target="revisionLog69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3" Type="http://schemas.openxmlformats.org/officeDocument/2006/relationships/revisionLog" Target="revisionLog3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59" Type="http://schemas.openxmlformats.org/officeDocument/2006/relationships/revisionLog" Target="revisionLog59.xml"/><Relationship Id="rId67" Type="http://schemas.openxmlformats.org/officeDocument/2006/relationships/revisionLog" Target="revisionLog67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62" Type="http://schemas.openxmlformats.org/officeDocument/2006/relationships/revisionLog" Target="revisionLog62.xml"/><Relationship Id="rId70" Type="http://schemas.openxmlformats.org/officeDocument/2006/relationships/revisionLog" Target="revisionLog70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8AE426A-A46C-48F8-9761-531C1294E111}" diskRevisions="1" revisionId="505" version="72">
  <header guid="{74431293-53F3-49CE-ABFF-73DC8F6F7793}" dateTime="2020-03-05T10:22:27" maxSheetId="7" userName="EXTERNAL Nguyen Tuan Duong (Ban Vien, RBVH/EPS45)" r:id="rId1">
    <sheetIdMap count="6">
      <sheetId val="1"/>
      <sheetId val="2"/>
      <sheetId val="3"/>
      <sheetId val="4"/>
      <sheetId val="5"/>
      <sheetId val="6"/>
    </sheetIdMap>
  </header>
  <header guid="{787E104E-50D2-4281-B45D-59ECD890272A}" dateTime="2020-03-05T10:23:35" maxSheetId="7" userName="EXTERNAL Nguyen Tuan Duong (Ban Vien, RBVH/EPS45)" r:id="rId2">
    <sheetIdMap count="6">
      <sheetId val="1"/>
      <sheetId val="2"/>
      <sheetId val="3"/>
      <sheetId val="4"/>
      <sheetId val="5"/>
      <sheetId val="6"/>
    </sheetIdMap>
  </header>
  <header guid="{D19C0442-885F-44AE-BCE8-ACB9974A7204}" dateTime="2020-03-05T10:53:27" maxSheetId="7" userName="EXTERNAL Nguyen Trung Hieu (Ban Vien, RBVH/EPS45)" r:id="rId3" minRId="4" maxRId="8">
    <sheetIdMap count="6">
      <sheetId val="1"/>
      <sheetId val="2"/>
      <sheetId val="3"/>
      <sheetId val="4"/>
      <sheetId val="5"/>
      <sheetId val="6"/>
    </sheetIdMap>
  </header>
  <header guid="{39750E3E-BF69-4115-85E6-BA23E7E162B2}" dateTime="2020-03-05T10:56:17" maxSheetId="7" userName="EXTERNAL Nguyen Trung Hieu (Ban Vien, RBVH/EPS45)" r:id="rId4" minRId="11">
    <sheetIdMap count="6">
      <sheetId val="1"/>
      <sheetId val="2"/>
      <sheetId val="3"/>
      <sheetId val="4"/>
      <sheetId val="5"/>
      <sheetId val="6"/>
    </sheetIdMap>
  </header>
  <header guid="{A318881E-23E7-428A-A513-000CEC7C398E}" dateTime="2020-03-05T10:56:30" maxSheetId="7" userName="EXTERNAL Nguyen Trung Hieu (Ban Vien, RBVH/EPS45)" r:id="rId5" minRId="14">
    <sheetIdMap count="6">
      <sheetId val="1"/>
      <sheetId val="2"/>
      <sheetId val="3"/>
      <sheetId val="4"/>
      <sheetId val="5"/>
      <sheetId val="6"/>
    </sheetIdMap>
  </header>
  <header guid="{F92278BF-0B54-4F44-913D-0A88A0CDCA0C}" dateTime="2020-03-05T10:57:17" maxSheetId="7" userName="EXTERNAL Do Phu Loc (Ban Vien, RBVH/EPS45)" r:id="rId6" minRId="15" maxRId="22">
    <sheetIdMap count="6">
      <sheetId val="1"/>
      <sheetId val="2"/>
      <sheetId val="3"/>
      <sheetId val="4"/>
      <sheetId val="5"/>
      <sheetId val="6"/>
    </sheetIdMap>
  </header>
  <header guid="{56A4280C-A9B2-4D94-9808-96540308EC9C}" dateTime="2020-03-05T10:57:38" maxSheetId="7" userName="EXTERNAL Nguyen Trung Hieu (Ban Vien, RBVH/EPS45)" r:id="rId7" minRId="26" maxRId="27">
    <sheetIdMap count="6">
      <sheetId val="1"/>
      <sheetId val="2"/>
      <sheetId val="3"/>
      <sheetId val="4"/>
      <sheetId val="5"/>
      <sheetId val="6"/>
    </sheetIdMap>
  </header>
  <header guid="{F3A4C507-453C-4413-A48F-6A1C13EC87A1}" dateTime="2020-03-05T11:02:37" maxSheetId="7" userName="EXTERNAL Do Phu Loc (Ban Vien, RBVH/EPS45)" r:id="rId8" minRId="28" maxRId="30">
    <sheetIdMap count="6">
      <sheetId val="1"/>
      <sheetId val="2"/>
      <sheetId val="3"/>
      <sheetId val="4"/>
      <sheetId val="5"/>
      <sheetId val="6"/>
    </sheetIdMap>
  </header>
  <header guid="{6628388D-D323-4244-A899-F71A32B11672}" dateTime="2020-03-05T11:31:15" maxSheetId="7" userName="EXTERNAL Nguyen Trung Hieu (Ban Vien, RBVH/EPS45)" r:id="rId9" minRId="34" maxRId="36">
    <sheetIdMap count="6">
      <sheetId val="1"/>
      <sheetId val="2"/>
      <sheetId val="3"/>
      <sheetId val="4"/>
      <sheetId val="5"/>
      <sheetId val="6"/>
    </sheetIdMap>
  </header>
  <header guid="{BD504273-E626-47D6-8FE3-24A5A9545363}" dateTime="2020-03-05T11:33:51" maxSheetId="7" userName="EXTERNAL Nguyen Trung Hieu (Ban Vien, RBVH/EPS45)" r:id="rId10" minRId="39" maxRId="43">
    <sheetIdMap count="6">
      <sheetId val="1"/>
      <sheetId val="2"/>
      <sheetId val="3"/>
      <sheetId val="4"/>
      <sheetId val="5"/>
      <sheetId val="6"/>
    </sheetIdMap>
  </header>
  <header guid="{C78B693B-36C8-41BE-A772-366E634F2278}" dateTime="2020-03-05T11:44:22" maxSheetId="7" userName="EXTERNAL Do Phu Loc (Ban Vien, RBVH/EPS45)" r:id="rId11" minRId="44" maxRId="48">
    <sheetIdMap count="6">
      <sheetId val="1"/>
      <sheetId val="2"/>
      <sheetId val="3"/>
      <sheetId val="4"/>
      <sheetId val="5"/>
      <sheetId val="6"/>
    </sheetIdMap>
  </header>
  <header guid="{E967EB54-C11C-4DF8-98D6-8B664B8CCBE5}" dateTime="2020-03-05T11:45:42" maxSheetId="7" userName="EXTERNAL Do Phu Loc (Ban Vien, RBVH/EPS45)" r:id="rId12" minRId="52" maxRId="53">
    <sheetIdMap count="6">
      <sheetId val="1"/>
      <sheetId val="2"/>
      <sheetId val="3"/>
      <sheetId val="4"/>
      <sheetId val="5"/>
      <sheetId val="6"/>
    </sheetIdMap>
  </header>
  <header guid="{FDCF01E7-8F1F-4ACA-8B6E-6098CA3DD0D3}" dateTime="2020-03-05T13:08:49" maxSheetId="7" userName="EXTERNAL Nguyen Kim Thanh (Ban Vien, RBVH/EPS45)" r:id="rId13" minRId="57" maxRId="66">
    <sheetIdMap count="6">
      <sheetId val="1"/>
      <sheetId val="2"/>
      <sheetId val="3"/>
      <sheetId val="4"/>
      <sheetId val="5"/>
      <sheetId val="6"/>
    </sheetIdMap>
  </header>
  <header guid="{CB4F6AA4-DB91-48CB-B7DC-75AE96698C7D}" dateTime="2020-03-05T13:24:34" maxSheetId="7" userName="EXTERNAL Do Phu Loc (Ban Vien, RBVH/EPS45)" r:id="rId14" minRId="70">
    <sheetIdMap count="6">
      <sheetId val="1"/>
      <sheetId val="2"/>
      <sheetId val="3"/>
      <sheetId val="4"/>
      <sheetId val="5"/>
      <sheetId val="6"/>
    </sheetIdMap>
  </header>
  <header guid="{9C2A4EE2-4759-46C4-B791-C79DB58A6FFC}" dateTime="2020-03-05T13:44:41" maxSheetId="7" userName="EXTERNAL Nguyen Tai Hau (Ban Vien, RBVH/EPS45)" r:id="rId15" minRId="74" maxRId="81">
    <sheetIdMap count="6">
      <sheetId val="1"/>
      <sheetId val="2"/>
      <sheetId val="3"/>
      <sheetId val="4"/>
      <sheetId val="5"/>
      <sheetId val="6"/>
    </sheetIdMap>
  </header>
  <header guid="{CF1C6362-5644-449E-986C-8291A2838E67}" dateTime="2020-03-05T13:45:21" maxSheetId="7" userName="EXTERNAL Nguyen Tai Hau (Ban Vien, RBVH/EPS45)" r:id="rId16">
    <sheetIdMap count="6">
      <sheetId val="1"/>
      <sheetId val="2"/>
      <sheetId val="3"/>
      <sheetId val="4"/>
      <sheetId val="5"/>
      <sheetId val="6"/>
    </sheetIdMap>
  </header>
  <header guid="{FB33A9F0-952E-49F0-AF89-EC157DF70D1B}" dateTime="2020-03-05T13:45:52" maxSheetId="7" userName="EXTERNAL Nguyen Tai Hau (Ban Vien, RBVH/EPS45)" r:id="rId17" minRId="88" maxRId="89">
    <sheetIdMap count="6">
      <sheetId val="1"/>
      <sheetId val="2"/>
      <sheetId val="3"/>
      <sheetId val="4"/>
      <sheetId val="5"/>
      <sheetId val="6"/>
    </sheetIdMap>
  </header>
  <header guid="{6EBA35DD-5DAA-4247-83BE-146EBC958DD9}" dateTime="2020-03-05T13:46:11" maxSheetId="7" userName="EXTERNAL Nguyen Tai Hau (Ban Vien, RBVH/EPS45)" r:id="rId18" minRId="90">
    <sheetIdMap count="6">
      <sheetId val="1"/>
      <sheetId val="2"/>
      <sheetId val="3"/>
      <sheetId val="4"/>
      <sheetId val="5"/>
      <sheetId val="6"/>
    </sheetIdMap>
  </header>
  <header guid="{861837A5-9501-437D-9ECA-E28B191C7DF9}" dateTime="2020-03-05T14:03:42" maxSheetId="7" userName="EXTERNAL Nguyen Tai Hau (Ban Vien, RBVH/EPS45)" r:id="rId19" minRId="91" maxRId="93">
    <sheetIdMap count="6">
      <sheetId val="1"/>
      <sheetId val="2"/>
      <sheetId val="3"/>
      <sheetId val="4"/>
      <sheetId val="5"/>
      <sheetId val="6"/>
    </sheetIdMap>
  </header>
  <header guid="{519D7FB4-E00B-44C1-8892-70AB274FFEA2}" dateTime="2020-03-05T14:03:56" maxSheetId="7" userName="EXTERNAL Nguyen Trung Hieu (Ban Vien, RBVH/EPS45)" r:id="rId20" minRId="97">
    <sheetIdMap count="6">
      <sheetId val="1"/>
      <sheetId val="2"/>
      <sheetId val="3"/>
      <sheetId val="4"/>
      <sheetId val="5"/>
      <sheetId val="6"/>
    </sheetIdMap>
  </header>
  <header guid="{4711499D-1D3F-4264-8AF8-02E96382EBF4}" dateTime="2020-03-05T14:10:24" maxSheetId="7" userName="EXTERNAL Nguyen Trung Hieu (Ban Vien, RBVH/EPS45)" r:id="rId21" minRId="100">
    <sheetIdMap count="6">
      <sheetId val="1"/>
      <sheetId val="2"/>
      <sheetId val="3"/>
      <sheetId val="4"/>
      <sheetId val="5"/>
      <sheetId val="6"/>
    </sheetIdMap>
  </header>
  <header guid="{86765A73-13F9-4F06-AE75-35AD412DD5D5}" dateTime="2020-03-05T14:22:18" maxSheetId="7" userName="EXTERNAL Do Phu Loc (Ban Vien, RBVH/EPS45)" r:id="rId22" minRId="103" maxRId="111">
    <sheetIdMap count="6">
      <sheetId val="1"/>
      <sheetId val="2"/>
      <sheetId val="3"/>
      <sheetId val="4"/>
      <sheetId val="5"/>
      <sheetId val="6"/>
    </sheetIdMap>
  </header>
  <header guid="{E9587295-4F81-4CB8-93B1-723DCB931BD6}" dateTime="2020-03-05T14:50:49" maxSheetId="7" userName="EXTERNAL Nguyen Trung Hieu (Ban Vien, RBVH/EPS45)" r:id="rId23" minRId="115" maxRId="116">
    <sheetIdMap count="6">
      <sheetId val="1"/>
      <sheetId val="2"/>
      <sheetId val="3"/>
      <sheetId val="4"/>
      <sheetId val="5"/>
      <sheetId val="6"/>
    </sheetIdMap>
  </header>
  <header guid="{A15101F5-964E-47CE-88E3-956132EBA606}" dateTime="2020-03-05T14:51:19" maxSheetId="7" userName="EXTERNAL Nguyen Tai Hau (Ban Vien, RBVH/EPS45)" r:id="rId24">
    <sheetIdMap count="6">
      <sheetId val="1"/>
      <sheetId val="2"/>
      <sheetId val="3"/>
      <sheetId val="4"/>
      <sheetId val="5"/>
      <sheetId val="6"/>
    </sheetIdMap>
  </header>
  <header guid="{D7DB0C6A-B51A-49ED-BC76-9D3864DB150D}" dateTime="2020-03-05T14:57:17" maxSheetId="7" userName="EXTERNAL Nguyen Kim Thanh (Ban Vien, RBVH/EPS45)" r:id="rId25" minRId="122" maxRId="129">
    <sheetIdMap count="6">
      <sheetId val="1"/>
      <sheetId val="2"/>
      <sheetId val="3"/>
      <sheetId val="4"/>
      <sheetId val="5"/>
      <sheetId val="6"/>
    </sheetIdMap>
  </header>
  <header guid="{E2751506-0EB7-48EC-9B7D-DAAB524708E2}" dateTime="2020-03-05T16:22:04" maxSheetId="7" userName="EXTERNAL Nguyen Kim Thanh (Ban Vien, RBVH/EPS45)" r:id="rId26" minRId="133" maxRId="134">
    <sheetIdMap count="6">
      <sheetId val="1"/>
      <sheetId val="2"/>
      <sheetId val="3"/>
      <sheetId val="4"/>
      <sheetId val="5"/>
      <sheetId val="6"/>
    </sheetIdMap>
  </header>
  <header guid="{40348369-CCB6-40BF-99C0-32ADBE322A17}" dateTime="2020-03-05T17:37:52" maxSheetId="7" userName="EXTERNAL Do Phu Loc (Ban Vien, RBVH/EPS45)" r:id="rId27" minRId="138" maxRId="147">
    <sheetIdMap count="6">
      <sheetId val="1"/>
      <sheetId val="2"/>
      <sheetId val="3"/>
      <sheetId val="4"/>
      <sheetId val="5"/>
      <sheetId val="6"/>
    </sheetIdMap>
  </header>
  <header guid="{96837A37-CE6B-4EC7-80D6-32B34CDE5C24}" dateTime="2020-03-05T17:59:50" maxSheetId="7" userName="EXTERNAL Nguyen Tai Hau (Ban Vien, RBVH/EPS45)" r:id="rId28" minRId="151" maxRId="158">
    <sheetIdMap count="6">
      <sheetId val="1"/>
      <sheetId val="2"/>
      <sheetId val="3"/>
      <sheetId val="4"/>
      <sheetId val="5"/>
      <sheetId val="6"/>
    </sheetIdMap>
  </header>
  <header guid="{65BCAE60-96FE-446E-A6DE-27ACD4AEF84D}" dateTime="2020-03-05T18:09:23" maxSheetId="7" userName="EXTERNAL Nguyen Kim Thanh (Ban Vien, RBVH/EPS45)" r:id="rId29" minRId="162" maxRId="171">
    <sheetIdMap count="6">
      <sheetId val="1"/>
      <sheetId val="2"/>
      <sheetId val="3"/>
      <sheetId val="4"/>
      <sheetId val="5"/>
      <sheetId val="6"/>
    </sheetIdMap>
  </header>
  <header guid="{BBE417F2-78A3-4324-9B7A-72FB5C75990C}" dateTime="2020-03-05T18:23:15" maxSheetId="7" userName="EXTERNAL Nguyen Trung Hieu (Ban Vien, RBVH/EPS45)" r:id="rId30" minRId="175">
    <sheetIdMap count="6">
      <sheetId val="1"/>
      <sheetId val="2"/>
      <sheetId val="3"/>
      <sheetId val="4"/>
      <sheetId val="5"/>
      <sheetId val="6"/>
    </sheetIdMap>
  </header>
  <header guid="{CCF9B754-3209-45B2-8BD6-08F714629461}" dateTime="2020-03-05T19:02:58" maxSheetId="7" userName="EXTERNAL Do Phu Loc (Ban Vien, RBVH/EPS45)" r:id="rId31" minRId="178">
    <sheetIdMap count="6">
      <sheetId val="1"/>
      <sheetId val="2"/>
      <sheetId val="3"/>
      <sheetId val="4"/>
      <sheetId val="5"/>
      <sheetId val="6"/>
    </sheetIdMap>
  </header>
  <header guid="{B6029012-458C-425A-BF11-29D9A4715E1B}" dateTime="2020-03-05T19:03:34" maxSheetId="7" userName="EXTERNAL Do Phu Loc (Ban Vien, RBVH/EPS45)" r:id="rId32" minRId="182" maxRId="183">
    <sheetIdMap count="6">
      <sheetId val="1"/>
      <sheetId val="2"/>
      <sheetId val="3"/>
      <sheetId val="4"/>
      <sheetId val="5"/>
      <sheetId val="6"/>
    </sheetIdMap>
  </header>
  <header guid="{64B6FA7F-A241-4D36-8225-B528987403A2}" dateTime="2020-03-05T19:04:20" maxSheetId="7" userName="EXTERNAL Do Phu Loc (Ban Vien, RBVH/EPS45)" r:id="rId33" minRId="187">
    <sheetIdMap count="6">
      <sheetId val="1"/>
      <sheetId val="2"/>
      <sheetId val="3"/>
      <sheetId val="4"/>
      <sheetId val="5"/>
      <sheetId val="6"/>
    </sheetIdMap>
  </header>
  <header guid="{984ABBBE-FA44-422D-9205-B71206698167}" dateTime="2020-03-06T10:06:56" maxSheetId="7" userName="EXTERNAL Nguyen Kim Thanh (Ban Vien, RBVH/EPS45)" r:id="rId34" minRId="188">
    <sheetIdMap count="6">
      <sheetId val="1"/>
      <sheetId val="2"/>
      <sheetId val="3"/>
      <sheetId val="4"/>
      <sheetId val="5"/>
      <sheetId val="6"/>
    </sheetIdMap>
  </header>
  <header guid="{706FB40D-3FBE-416A-9785-E0ACA2980BCC}" dateTime="2020-03-06T10:25:13" maxSheetId="7" userName="EXTERNAL Nguyen Tuan Duong (Ban Vien, RBVH/EPS45)" r:id="rId35" minRId="192" maxRId="269">
    <sheetIdMap count="6">
      <sheetId val="1"/>
      <sheetId val="2"/>
      <sheetId val="3"/>
      <sheetId val="4"/>
      <sheetId val="5"/>
      <sheetId val="6"/>
    </sheetIdMap>
  </header>
  <header guid="{8D8FFA8F-8703-497B-822C-98171326736A}" dateTime="2020-03-06T10:25:47" maxSheetId="7" userName="EXTERNAL Nguyen Tuan Duong (Ban Vien, RBVH/EPS45)" r:id="rId36">
    <sheetIdMap count="6">
      <sheetId val="1"/>
      <sheetId val="2"/>
      <sheetId val="3"/>
      <sheetId val="4"/>
      <sheetId val="5"/>
      <sheetId val="6"/>
    </sheetIdMap>
  </header>
  <header guid="{6CE2E99C-734B-4DDB-AE2D-B2FE927F8CB8}" dateTime="2020-03-06T10:26:41" maxSheetId="7" userName="EXTERNAL Nguyen Tuan Duong (Ban Vien, RBVH/EPS45)" r:id="rId37">
    <sheetIdMap count="6">
      <sheetId val="1"/>
      <sheetId val="2"/>
      <sheetId val="3"/>
      <sheetId val="4"/>
      <sheetId val="5"/>
      <sheetId val="6"/>
    </sheetIdMap>
  </header>
  <header guid="{BB84DE77-1E7D-4D72-AB7E-6050D8D01439}" dateTime="2020-03-06T10:27:11" maxSheetId="7" userName="EXTERNAL Nguyen Tuan Duong (Ban Vien, RBVH/EPS45)" r:id="rId38">
    <sheetIdMap count="6">
      <sheetId val="1"/>
      <sheetId val="2"/>
      <sheetId val="3"/>
      <sheetId val="4"/>
      <sheetId val="5"/>
      <sheetId val="6"/>
    </sheetIdMap>
  </header>
  <header guid="{2CB0CFC9-EE4D-45C4-AEE9-AAD50AD126FA}" dateTime="2020-03-06T10:27:27" maxSheetId="7" userName="EXTERNAL Nguyen Tuan Duong (Ban Vien, RBVH/EPS45)" r:id="rId39" minRId="281" maxRId="286">
    <sheetIdMap count="6">
      <sheetId val="1"/>
      <sheetId val="2"/>
      <sheetId val="3"/>
      <sheetId val="4"/>
      <sheetId val="5"/>
      <sheetId val="6"/>
    </sheetIdMap>
  </header>
  <header guid="{BAD79D39-9ECC-42A5-B5DC-2E4E8C8F9273}" dateTime="2020-03-06T10:28:42" maxSheetId="7" userName="EXTERNAL Nguyen Tuan Duong (Ban Vien, RBVH/EPS45)" r:id="rId40">
    <sheetIdMap count="6">
      <sheetId val="1"/>
      <sheetId val="2"/>
      <sheetId val="3"/>
      <sheetId val="4"/>
      <sheetId val="5"/>
      <sheetId val="6"/>
    </sheetIdMap>
  </header>
  <header guid="{55354658-4569-4605-80AF-39D412207C49}" dateTime="2020-03-06T10:30:41" maxSheetId="7" userName="EXTERNAL Nguyen Tuan Duong (Ban Vien, RBVH/EPS45)" r:id="rId41">
    <sheetIdMap count="6">
      <sheetId val="1"/>
      <sheetId val="2"/>
      <sheetId val="3"/>
      <sheetId val="4"/>
      <sheetId val="5"/>
      <sheetId val="6"/>
    </sheetIdMap>
  </header>
  <header guid="{85B95F6F-27E3-4E04-BF42-159EF7EFE426}" dateTime="2020-03-06T10:31:37" maxSheetId="7" userName="EXTERNAL Nguyen Kim Thanh (Ban Vien, RBVH/EPS45)" r:id="rId42">
    <sheetIdMap count="6">
      <sheetId val="1"/>
      <sheetId val="2"/>
      <sheetId val="3"/>
      <sheetId val="4"/>
      <sheetId val="5"/>
      <sheetId val="6"/>
    </sheetIdMap>
  </header>
  <header guid="{408679EC-9FF6-4E7A-A053-1EAD6C72EB5F}" dateTime="2020-03-06T11:57:53" maxSheetId="7" userName="EXTERNAL Do Phu Loc (Ban Vien, RBVH/EPS45)" r:id="rId43" minRId="294" maxRId="304">
    <sheetIdMap count="6">
      <sheetId val="1"/>
      <sheetId val="2"/>
      <sheetId val="3"/>
      <sheetId val="4"/>
      <sheetId val="5"/>
      <sheetId val="6"/>
    </sheetIdMap>
  </header>
  <header guid="{AF0FDDC9-FC96-4F35-A5D7-E30976780497}" dateTime="2020-03-06T11:58:57" maxSheetId="7" userName="EXTERNAL Do Phu Loc (Ban Vien, RBVH/EPS45)" r:id="rId44" minRId="308" maxRId="312">
    <sheetIdMap count="6">
      <sheetId val="1"/>
      <sheetId val="2"/>
      <sheetId val="3"/>
      <sheetId val="4"/>
      <sheetId val="5"/>
      <sheetId val="6"/>
    </sheetIdMap>
  </header>
  <header guid="{2B0D8466-B7F3-41C3-B718-5F7A2E0D742E}" dateTime="2020-03-06T13:15:11" maxSheetId="7" userName="EXTERNAL Ly Chung (Ban Vien, RBVH/EPS45)" r:id="rId45" minRId="313" maxRId="316">
    <sheetIdMap count="6">
      <sheetId val="1"/>
      <sheetId val="2"/>
      <sheetId val="3"/>
      <sheetId val="4"/>
      <sheetId val="5"/>
      <sheetId val="6"/>
    </sheetIdMap>
  </header>
  <header guid="{2280D4B6-E84B-4FB6-92CD-CDEC721C229E}" dateTime="2020-03-06T13:16:52" maxSheetId="7" userName="EXTERNAL Ly Chung (Ban Vien, RBVH/EPS45)" r:id="rId46" minRId="317" maxRId="321">
    <sheetIdMap count="6">
      <sheetId val="1"/>
      <sheetId val="2"/>
      <sheetId val="3"/>
      <sheetId val="4"/>
      <sheetId val="5"/>
      <sheetId val="6"/>
    </sheetIdMap>
  </header>
  <header guid="{C19F49A5-FAB4-4FDB-95B8-D5D10E8C191A}" dateTime="2020-03-06T13:23:13" maxSheetId="7" userName="EXTERNAL Ly Chung (Ban Vien, RBVH/EPS45)" r:id="rId47" minRId="325" maxRId="331">
    <sheetIdMap count="6">
      <sheetId val="1"/>
      <sheetId val="2"/>
      <sheetId val="3"/>
      <sheetId val="4"/>
      <sheetId val="5"/>
      <sheetId val="6"/>
    </sheetIdMap>
  </header>
  <header guid="{26E88307-E18F-4FED-A584-124DF48BE7FA}" dateTime="2020-03-06T13:27:58" maxSheetId="7" userName="EXTERNAL Ly Chung (Ban Vien, RBVH/EPS45)" r:id="rId48">
    <sheetIdMap count="6">
      <sheetId val="1"/>
      <sheetId val="2"/>
      <sheetId val="3"/>
      <sheetId val="4"/>
      <sheetId val="5"/>
      <sheetId val="6"/>
    </sheetIdMap>
  </header>
  <header guid="{B843741C-3C34-42DA-9DFC-0BE90F5442B1}" dateTime="2020-03-06T13:38:00" maxSheetId="7" userName="EXTERNAL Do Phu Loc (Ban Vien, RBVH/EPS45)" r:id="rId49" minRId="338" maxRId="344">
    <sheetIdMap count="6">
      <sheetId val="1"/>
      <sheetId val="2"/>
      <sheetId val="3"/>
      <sheetId val="4"/>
      <sheetId val="5"/>
      <sheetId val="6"/>
    </sheetIdMap>
  </header>
  <header guid="{A29360C0-AB16-4888-A55B-7D7CBA79A95E}" dateTime="2020-03-06T13:56:46" maxSheetId="7" userName="EXTERNAL Do Phu Loc (Ban Vien, RBVH/EPS45)" r:id="rId50" minRId="348" maxRId="356">
    <sheetIdMap count="6">
      <sheetId val="1"/>
      <sheetId val="2"/>
      <sheetId val="3"/>
      <sheetId val="4"/>
      <sheetId val="5"/>
      <sheetId val="6"/>
    </sheetIdMap>
  </header>
  <header guid="{CD3CCFB0-7405-4EA0-8EC3-8C83B787B14A}" dateTime="2020-03-06T14:26:32" maxSheetId="7" userName="EXTERNAL Do Phu Loc (Ban Vien, RBVH/EPS45)" r:id="rId51" minRId="360" maxRId="373">
    <sheetIdMap count="6">
      <sheetId val="1"/>
      <sheetId val="2"/>
      <sheetId val="3"/>
      <sheetId val="4"/>
      <sheetId val="5"/>
      <sheetId val="6"/>
    </sheetIdMap>
  </header>
  <header guid="{0CD86D17-A6AD-469F-A8CA-9B8FCFC2AE5D}" dateTime="2020-03-06T14:27:19" maxSheetId="7" userName="EXTERNAL Do Phu Loc (Ban Vien, RBVH/EPS45)" r:id="rId52" minRId="377">
    <sheetIdMap count="6">
      <sheetId val="1"/>
      <sheetId val="2"/>
      <sheetId val="3"/>
      <sheetId val="4"/>
      <sheetId val="5"/>
      <sheetId val="6"/>
    </sheetIdMap>
  </header>
  <header guid="{8FAE03CD-9B63-4D93-A9FC-B11D5285FF2B}" dateTime="2020-03-06T15:56:48" maxSheetId="7" userName="EXTERNAL Nguyen Tuan Duong (Ban Vien, RBVH/EPS45)" r:id="rId53" minRId="381" maxRId="383">
    <sheetIdMap count="6">
      <sheetId val="1"/>
      <sheetId val="2"/>
      <sheetId val="3"/>
      <sheetId val="4"/>
      <sheetId val="5"/>
      <sheetId val="6"/>
    </sheetIdMap>
  </header>
  <header guid="{06FE1A5F-3ED8-41E1-8248-3EC42C5A0D12}" dateTime="2020-03-06T15:58:33" maxSheetId="7" userName="EXTERNAL Nguyen Tuan Duong (Ban Vien, RBVH/EPS45)" r:id="rId54" minRId="386" maxRId="394">
    <sheetIdMap count="6">
      <sheetId val="1"/>
      <sheetId val="2"/>
      <sheetId val="3"/>
      <sheetId val="4"/>
      <sheetId val="5"/>
      <sheetId val="6"/>
    </sheetIdMap>
  </header>
  <header guid="{D25D2BE9-270F-42C5-BD05-102EF2907945}" dateTime="2020-03-06T16:06:15" maxSheetId="7" userName="EXTERNAL Do Phu Loc (Ban Vien, RBVH/EPS45)" r:id="rId55" minRId="395" maxRId="398">
    <sheetIdMap count="6">
      <sheetId val="1"/>
      <sheetId val="2"/>
      <sheetId val="3"/>
      <sheetId val="4"/>
      <sheetId val="5"/>
      <sheetId val="6"/>
    </sheetIdMap>
  </header>
  <header guid="{357DBD89-073E-4F4C-936F-5D1265567B56}" dateTime="2020-03-06T16:12:22" maxSheetId="7" userName="EXTERNAL Nguyen Tuan Duong (Ban Vien, RBVH/EPS45)" r:id="rId56" minRId="402" maxRId="408">
    <sheetIdMap count="6">
      <sheetId val="1"/>
      <sheetId val="2"/>
      <sheetId val="3"/>
      <sheetId val="4"/>
      <sheetId val="5"/>
      <sheetId val="6"/>
    </sheetIdMap>
  </header>
  <header guid="{67C5F219-2722-4240-97DD-7617045C26BE}" dateTime="2020-03-06T16:14:47" maxSheetId="7" userName="EXTERNAL Nguyen Tuan Duong (Ban Vien, RBVH/EPS45)" r:id="rId57" minRId="411" maxRId="412">
    <sheetIdMap count="6">
      <sheetId val="1"/>
      <sheetId val="2"/>
      <sheetId val="3"/>
      <sheetId val="4"/>
      <sheetId val="5"/>
      <sheetId val="6"/>
    </sheetIdMap>
  </header>
  <header guid="{6AE09932-3FF5-4A8A-AE97-5D415B2C0F3A}" dateTime="2020-03-06T16:23:59" maxSheetId="7" userName="EXTERNAL Nguyen Tuan Duong (Ban Vien, RBVH/EPS45)" r:id="rId58" minRId="415">
    <sheetIdMap count="6">
      <sheetId val="1"/>
      <sheetId val="2"/>
      <sheetId val="3"/>
      <sheetId val="4"/>
      <sheetId val="5"/>
      <sheetId val="6"/>
    </sheetIdMap>
  </header>
  <header guid="{9872C9B5-7822-4FAD-B7F9-C7AB9886C5E8}" dateTime="2020-03-06T16:59:47" maxSheetId="7" userName="EXTERNAL Nguyen Kim Thanh (Ban Vien, RBVH/EPS45)" r:id="rId59" minRId="418" maxRId="427">
    <sheetIdMap count="6">
      <sheetId val="1"/>
      <sheetId val="2"/>
      <sheetId val="3"/>
      <sheetId val="4"/>
      <sheetId val="5"/>
      <sheetId val="6"/>
    </sheetIdMap>
  </header>
  <header guid="{7B8E9503-C09D-4D0F-8079-F707C7496681}" dateTime="2020-03-06T17:00:27" maxSheetId="7" userName="EXTERNAL Nguyen Kim Thanh (Ban Vien, RBVH/EPS45)" r:id="rId60" minRId="431" maxRId="432">
    <sheetIdMap count="6">
      <sheetId val="1"/>
      <sheetId val="2"/>
      <sheetId val="3"/>
      <sheetId val="4"/>
      <sheetId val="5"/>
      <sheetId val="6"/>
    </sheetIdMap>
  </header>
  <header guid="{F0CA112A-40AC-4D1F-AD2F-0AB7044C90BF}" dateTime="2020-03-06T17:12:07" maxSheetId="7" userName="EXTERNAL Nguyen Kim Thanh (Ban Vien, RBVH/EPS45)" r:id="rId61">
    <sheetIdMap count="6">
      <sheetId val="1"/>
      <sheetId val="2"/>
      <sheetId val="3"/>
      <sheetId val="4"/>
      <sheetId val="5"/>
      <sheetId val="6"/>
    </sheetIdMap>
  </header>
  <header guid="{E2B7483F-C289-4FF3-91BC-BD2197DE3EBF}" dateTime="2020-03-06T17:46:14" maxSheetId="7" userName="EXTERNAL Nguyen Tuan Duong (Ban Vien, RBVH/EPS45)" r:id="rId62" minRId="436" maxRId="439">
    <sheetIdMap count="6">
      <sheetId val="1"/>
      <sheetId val="2"/>
      <sheetId val="3"/>
      <sheetId val="4"/>
      <sheetId val="5"/>
      <sheetId val="6"/>
    </sheetIdMap>
  </header>
  <header guid="{5D9AF33D-6AE3-4ED2-A3EF-2CCD3B15D1E0}" dateTime="2020-03-06T17:47:00" maxSheetId="7" userName="EXTERNAL Nguyen Tuan Duong (Ban Vien, RBVH/EPS45)" r:id="rId63">
    <sheetIdMap count="6">
      <sheetId val="1"/>
      <sheetId val="2"/>
      <sheetId val="3"/>
      <sheetId val="4"/>
      <sheetId val="5"/>
      <sheetId val="6"/>
    </sheetIdMap>
  </header>
  <header guid="{522080A1-EDE5-4763-BE88-8D6147941692}" dateTime="2020-03-06T17:49:03" maxSheetId="7" userName="EXTERNAL Nguyen Tuan Duong (Ban Vien, RBVH/EPS45)" r:id="rId64" minRId="444" maxRId="447">
    <sheetIdMap count="6">
      <sheetId val="1"/>
      <sheetId val="2"/>
      <sheetId val="3"/>
      <sheetId val="4"/>
      <sheetId val="5"/>
      <sheetId val="6"/>
    </sheetIdMap>
  </header>
  <header guid="{9BADD6DB-151E-4DE9-B9CB-A76C04D1EEBD}" dateTime="2020-03-06T19:18:55" maxSheetId="7" userName="EXTERNAL Nguyen Tuan Duong (Ban Vien, RBVH/EPS45)" r:id="rId65">
    <sheetIdMap count="6">
      <sheetId val="1"/>
      <sheetId val="2"/>
      <sheetId val="3"/>
      <sheetId val="4"/>
      <sheetId val="5"/>
      <sheetId val="6"/>
    </sheetIdMap>
  </header>
  <header guid="{34E1FDA5-0675-4A01-8DEF-95145FCE5773}" dateTime="2020-03-06T19:26:08" maxSheetId="7" userName="EXTERNAL Nguyen Tuan Duong (Ban Vien, RBVH/EPS45)" r:id="rId66" minRId="452" maxRId="463">
    <sheetIdMap count="6">
      <sheetId val="1"/>
      <sheetId val="2"/>
      <sheetId val="3"/>
      <sheetId val="4"/>
      <sheetId val="5"/>
      <sheetId val="6"/>
    </sheetIdMap>
  </header>
  <header guid="{EFA9EBB7-5430-43A5-BC45-116785A10369}" dateTime="2020-03-06T19:26:39" maxSheetId="7" userName="EXTERNAL Nguyen Tuan Duong (Ban Vien, RBVH/EPS45)" r:id="rId67" minRId="466" maxRId="473">
    <sheetIdMap count="6">
      <sheetId val="1"/>
      <sheetId val="2"/>
      <sheetId val="3"/>
      <sheetId val="4"/>
      <sheetId val="5"/>
      <sheetId val="6"/>
    </sheetIdMap>
  </header>
  <header guid="{3EDB113B-23A3-44B5-8EDA-0C5C49F97467}" dateTime="2020-03-06T19:27:41" maxSheetId="7" userName="EXTERNAL Nguyen Tuan Duong (Ban Vien, RBVH/EPS45)" r:id="rId68" minRId="476" maxRId="481">
    <sheetIdMap count="6">
      <sheetId val="1"/>
      <sheetId val="2"/>
      <sheetId val="3"/>
      <sheetId val="4"/>
      <sheetId val="5"/>
      <sheetId val="6"/>
    </sheetIdMap>
  </header>
  <header guid="{2CAFA8AE-C930-4FCF-9690-C8AF5BE2A909}" dateTime="2020-03-06T19:28:51" maxSheetId="7" userName="EXTERNAL Nguyen Tuan Duong (Ban Vien, RBVH/EPS45)" r:id="rId69" minRId="482" maxRId="489">
    <sheetIdMap count="6">
      <sheetId val="1"/>
      <sheetId val="2"/>
      <sheetId val="3"/>
      <sheetId val="4"/>
      <sheetId val="5"/>
      <sheetId val="6"/>
    </sheetIdMap>
  </header>
  <header guid="{1DF04CED-B5DF-40C8-B7A7-C8006AFA5564}" dateTime="2020-03-06T19:30:34" maxSheetId="7" userName="EXTERNAL Nguyen Tuan Duong (Ban Vien, RBVH/EPS45)" r:id="rId70" minRId="492" maxRId="497">
    <sheetIdMap count="6">
      <sheetId val="1"/>
      <sheetId val="2"/>
      <sheetId val="3"/>
      <sheetId val="4"/>
      <sheetId val="5"/>
      <sheetId val="6"/>
    </sheetIdMap>
  </header>
  <header guid="{E926492A-4753-4BD4-BF95-EF2A3105798E}" dateTime="2020-03-06T19:34:32" maxSheetId="7" userName="EXTERNAL Nguyen Tuan Duong (Ban Vien, RBVH/EPS45)" r:id="rId71" minRId="500">
    <sheetIdMap count="6">
      <sheetId val="1"/>
      <sheetId val="2"/>
      <sheetId val="3"/>
      <sheetId val="4"/>
      <sheetId val="5"/>
      <sheetId val="6"/>
    </sheetIdMap>
  </header>
  <header guid="{A8AE426A-A46C-48F8-9761-531C1294E111}" dateTime="2020-03-06T20:03:33" maxSheetId="7" userName="EXTERNAL Nguyen Tuan Duong (Ban Vien, RBVH/EPS45)" r:id="rId72" minRId="503" maxRId="505">
    <sheetIdMap count="6">
      <sheetId val="1"/>
      <sheetId val="2"/>
      <sheetId val="3"/>
      <sheetId val="4"/>
      <sheetId val="5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COEM_Package_20200302!$M:$N</formula>
    <oldFormula>COEM_Package_20200302!$M:$N</oldFormula>
  </rdn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" sId="1" quotePrefix="1">
    <oc r="F51" t="inlineStr">
      <is>
        <t xml:space="preserve">rb\as\cnms_core\app\dcom\RBAPLCust\src\ESP </t>
      </is>
    </oc>
    <nc r="F51" t="inlineStr">
      <is>
        <t>rb\as\cnms_core\app\dcom\RBAPLCust\src\ESP</t>
      </is>
    </nc>
  </rcc>
  <rcc rId="5" sId="1" quotePrefix="1">
    <oc r="F52" t="inlineStr">
      <is>
        <t xml:space="preserve">rb\as\cnms_core\app\dcom\RBAPLCust\src\ESP </t>
      </is>
    </oc>
    <nc r="F52" t="inlineStr">
      <is>
        <t>rb\as\cnms_core\app\dcom\RBAPLCust\src\ESP</t>
      </is>
    </nc>
  </rcc>
  <rcc rId="6" sId="1" quotePrefix="1">
    <oc r="F53" t="inlineStr">
      <is>
        <t xml:space="preserve">rb\as\cnms_core\app\dcom\RBAPLCust\src\ESP </t>
      </is>
    </oc>
    <nc r="F53" t="inlineStr">
      <is>
        <t>rb\as\cnms_core\app\dcom\RBAPLCust\src\ESP</t>
      </is>
    </nc>
  </rcc>
  <rcc rId="7" sId="1" quotePrefix="1">
    <oc r="F54" t="inlineStr">
      <is>
        <t xml:space="preserve">rb\as\cnms_core\app\dcom\RBAPLCust\src\ESP </t>
      </is>
    </oc>
    <nc r="F54" t="inlineStr">
      <is>
        <t>rb\as\cnms_core\app\dcom\RBAPLCust\src\ESP</t>
      </is>
    </nc>
  </rcc>
  <rcc rId="8" sId="1" quotePrefix="1">
    <oc r="F55" t="inlineStr">
      <is>
        <t xml:space="preserve">rb\as\cnms_core\app\dcom\RBAPLCust\src\ESP </t>
      </is>
    </oc>
    <nc r="F55" t="inlineStr">
      <is>
        <t>rb\as\cnms_core\app\dcom\RBAPLCust\src\ESP</t>
      </is>
    </nc>
  </rcc>
  <rcv guid="{250915DF-0B97-45D7-B29D-7EED4C89C1C1}" action="delete"/>
  <rdn rId="0" localSheetId="1" customView="1" name="Z_250915DF_0B97_45D7_B29D_7EED4C89C1C1_.wvu.FilterData" hidden="1" oldHidden="1">
    <formula>COEM_Package_20200302!$Q$2:$Q$105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" sId="1">
    <oc r="H20" t="inlineStr">
      <is>
        <t xml:space="preserve">HDC_InvalidThrPos  </t>
      </is>
    </oc>
    <nc r="H20" t="inlineStr">
      <is>
        <t>HDC_InvalidThrPos </t>
      </is>
    </nc>
  </rcc>
  <rcv guid="{250915DF-0B97-45D7-B29D-7EED4C89C1C1}" action="delete"/>
  <rdn rId="0" localSheetId="1" customView="1" name="Z_250915DF_0B97_45D7_B29D_7EED4C89C1C1_.wvu.FilterData" hidden="1" oldHidden="1">
    <formula>COEM_Package_20200302!$Q$2:$Q$105</formula>
    <oldFormula>COEM_Package_20200302!$Q$2:$Q$105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" sId="1">
    <oc r="H20" t="inlineStr">
      <is>
        <t>HDC_InvalidThrPos </t>
      </is>
    </oc>
    <nc r="H20" t="inlineStr">
      <is>
        <t>HDC_InvalidThrPos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" sId="1">
    <oc r="X17" t="inlineStr">
      <is>
        <t>N/A</t>
      </is>
    </oc>
    <nc r="X17" t="inlineStr">
      <is>
        <t>Ready for review</t>
      </is>
    </nc>
  </rcc>
  <rcc rId="16" sId="1">
    <nc r="U17">
      <v>254</v>
    </nc>
  </rcc>
  <rcc rId="17" sId="1">
    <nc r="W17">
      <v>2</v>
    </nc>
  </rcc>
  <rcc rId="18" sId="1" numFmtId="19">
    <nc r="AA17">
      <v>43895</v>
    </nc>
  </rcc>
  <rcc rId="19" sId="1">
    <nc r="AC17" t="inlineStr">
      <is>
        <t>OK</t>
      </is>
    </nc>
  </rcc>
  <rcc rId="20" sId="1">
    <nc r="AD17">
      <v>100</v>
    </nc>
  </rcc>
  <rcc rId="21" sId="1">
    <nc r="AE17">
      <v>100</v>
    </nc>
  </rcc>
  <rcc rId="22" sId="1">
    <nc r="AF17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" sId="1">
    <oc r="K7" t="inlineStr">
      <is>
        <t>1352219.zip</t>
      </is>
    </oc>
    <nc r="K7">
      <v>1352219</v>
    </nc>
  </rcc>
  <rcc rId="27" sId="1">
    <oc r="K20" t="inlineStr">
      <is>
        <t>1353762.zip</t>
      </is>
    </oc>
    <nc r="K20">
      <v>1353762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" sId="1">
    <oc r="AH11" t="inlineStr">
      <is>
        <t>Wrong path Component Name</t>
      </is>
    </oc>
    <nc r="AH11"/>
  </rcc>
  <rcc rId="29" sId="1">
    <oc r="AH12" t="inlineStr">
      <is>
        <t>Wrong path Component Name</t>
      </is>
    </oc>
    <nc r="AH12"/>
  </rcc>
  <rcc rId="30" sId="1">
    <oc r="AH13" t="inlineStr">
      <is>
        <t>Wrong path Component Name</t>
      </is>
    </oc>
    <nc r="AH13"/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F2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" sId="1" quotePrefix="1">
    <oc r="F21" t="inlineStr">
      <is>
        <t>rb\as\rbcn\core\app\dcom\RBAPLCust\src\ibooster</t>
      </is>
    </oc>
    <nc r="F21" t="inlineStr">
      <is>
        <t>rb\as\rbcn\core\app\dcom\RBAPLCust\src\iBooster</t>
      </is>
    </nc>
  </rcc>
  <rcc rId="35" sId="1" quotePrefix="1">
    <oc r="F22" t="inlineStr">
      <is>
        <t>rb\as\rbcn\core\app\dcom\RBAPLCust\src\ibooster</t>
      </is>
    </oc>
    <nc r="F22" t="inlineStr">
      <is>
        <t>rb\as\rbcn\core\app\dcom\RBAPLCust\src\iBooster</t>
      </is>
    </nc>
  </rcc>
  <rcc rId="36" sId="1" quotePrefix="1">
    <oc r="F23" t="inlineStr">
      <is>
        <t>rb\as\rbcn\core\app\dcom\RBAPLCust\src\ibooster</t>
      </is>
    </oc>
    <nc r="F23" t="inlineStr">
      <is>
        <t>rb\as\rbcn\core\app\dcom\RBAPLCust\src\iBooster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COEM_Package_20200302!$Q$2:$Q$105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" sId="1" quotePrefix="1">
    <oc r="F46" t="inlineStr">
      <is>
        <t>rb\as\cnms_core\app\dcom\RBAPLCust\src\Common</t>
      </is>
    </oc>
    <nc r="F46" t="inlineStr">
      <is>
        <t>rb\as\cnms_core\app\dcom\RBAPLCust\src\common</t>
      </is>
    </nc>
  </rcc>
  <rcc rId="40" sId="1" quotePrefix="1">
    <oc r="F47" t="inlineStr">
      <is>
        <t>rb\as\cnms_core\app\dcom\RBAPLCust\src\Common</t>
      </is>
    </oc>
    <nc r="F47" t="inlineStr">
      <is>
        <t>rb\as\cnms_core\app\dcom\RBAPLCust\src\common</t>
      </is>
    </nc>
  </rcc>
  <rcc rId="41" sId="1" quotePrefix="1">
    <oc r="F48" t="inlineStr">
      <is>
        <t>rb\as\cnms_core\app\dcom\RBAPLCust\src\Common</t>
      </is>
    </oc>
    <nc r="F48" t="inlineStr">
      <is>
        <t>rb\as\cnms_core\app\dcom\RBAPLCust\src\common</t>
      </is>
    </nc>
  </rcc>
  <rcc rId="42" sId="1" quotePrefix="1">
    <oc r="F49" t="inlineStr">
      <is>
        <t>rb\as\cnms_core\app\dcom\RBAPLCust\src\Common</t>
      </is>
    </oc>
    <nc r="F49" t="inlineStr">
      <is>
        <t>rb\as\cnms_core\app\dcom\RBAPLCust\src\common</t>
      </is>
    </nc>
  </rcc>
  <rcc rId="43" sId="1" quotePrefix="1">
    <oc r="F50" t="inlineStr">
      <is>
        <t>rb\as\cnms_core\app\dcom\RBAPLCust\src\Common</t>
      </is>
    </oc>
    <nc r="F50" t="inlineStr">
      <is>
        <t>rb\as\cnms_core\app\dcom\RBAPLCust\src\common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1">
    <nc r="P31" t="inlineStr">
      <is>
        <t>loc.do-phu</t>
      </is>
    </nc>
  </rcc>
  <rcc rId="45" sId="1">
    <nc r="P32" t="inlineStr">
      <is>
        <t>loc.do-phu</t>
      </is>
    </nc>
  </rcc>
  <rcc rId="46" sId="1">
    <nc r="P33" t="inlineStr">
      <is>
        <t>loc.do-phu</t>
      </is>
    </nc>
  </rcc>
  <rcc rId="47" sId="1">
    <nc r="P34" t="inlineStr">
      <is>
        <t>loc.do-phu</t>
      </is>
    </nc>
  </rcc>
  <rcc rId="48" sId="1">
    <nc r="P35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" sId="1">
    <nc r="P36" t="inlineStr">
      <is>
        <t>loc.do-phu</t>
      </is>
    </nc>
  </rcc>
  <rcc rId="53" sId="1">
    <nc r="P37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" sId="1">
    <nc r="U19">
      <v>395</v>
    </nc>
  </rcc>
  <rcc rId="58" sId="1">
    <nc r="W19">
      <v>3</v>
    </nc>
  </rcc>
  <rcc rId="59" sId="1">
    <oc r="X19" t="inlineStr">
      <is>
        <t>N/A</t>
      </is>
    </oc>
    <nc r="X19" t="inlineStr">
      <is>
        <t>Ready for review</t>
      </is>
    </nc>
  </rcc>
  <rcc rId="60" sId="1" numFmtId="19">
    <nc r="AA19">
      <v>43895</v>
    </nc>
  </rcc>
  <rcc rId="61" sId="1" numFmtId="19">
    <nc r="AB19">
      <v>43895</v>
    </nc>
  </rcc>
  <rcc rId="62" sId="1">
    <nc r="AC19" t="inlineStr">
      <is>
        <t>OK</t>
      </is>
    </nc>
  </rcc>
  <rcc rId="63" sId="1">
    <nc r="AD19">
      <v>100</v>
    </nc>
  </rcc>
  <rcc rId="64" sId="1">
    <nc r="AE19">
      <v>100</v>
    </nc>
  </rcc>
  <rcc rId="65" sId="1">
    <nc r="AF19">
      <v>100</v>
    </nc>
  </rcc>
  <rcc rId="66" sId="1" numFmtId="19">
    <nc r="AA18">
      <v>43895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T31" start="0" length="0">
    <dxf>
      <font>
        <sz val="11"/>
        <color rgb="FFFF0000"/>
        <name val="Calibri"/>
        <scheme val="minor"/>
      </font>
      <alignment horizontal="general" vertical="bottom" readingOrder="0"/>
    </dxf>
  </rfmt>
  <rcc rId="70" sId="1" odxf="1" dxf="1">
    <oc r="T32">
      <v>164</v>
    </oc>
    <nc r="T32">
      <v>196</v>
    </nc>
    <odxf>
      <alignment horizontal="left" vertical="top" readingOrder="0"/>
    </odxf>
    <ndxf>
      <alignment horizontal="general" vertical="bottom" readingOrder="0"/>
    </ndxf>
  </rcc>
  <rfmt sheetId="1" sqref="T33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34" start="0" length="0">
    <dxf>
      <alignment horizontal="general" vertical="bottom" readingOrder="0"/>
    </dxf>
  </rfmt>
  <rfmt sheetId="1" sqref="T35" start="0" length="0">
    <dxf>
      <alignment horizontal="general" vertical="bottom" readingOrder="0"/>
    </dxf>
  </rfmt>
  <rfmt sheetId="1" sqref="T36" start="0" length="0">
    <dxf>
      <alignment horizontal="general" vertical="bottom" readingOrder="0"/>
    </dxf>
  </rfmt>
  <rfmt sheetId="1" sqref="T37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38" start="0" length="0">
    <dxf>
      <alignment horizontal="general" vertical="bottom" readingOrder="0"/>
    </dxf>
  </rfmt>
  <rfmt sheetId="1" sqref="T39" start="0" length="0">
    <dxf>
      <alignment horizontal="general" vertical="bottom" readingOrder="0"/>
    </dxf>
  </rfmt>
  <rfmt sheetId="1" sqref="T40" start="0" length="0">
    <dxf>
      <alignment horizontal="general" vertical="bottom" readingOrder="0"/>
    </dxf>
  </rfmt>
  <rfmt sheetId="1" sqref="T41" start="0" length="0">
    <dxf>
      <alignment horizontal="general" vertical="bottom" readingOrder="0"/>
    </dxf>
  </rfmt>
  <rfmt sheetId="1" sqref="T42" start="0" length="0">
    <dxf>
      <alignment horizontal="general" vertical="bottom" readingOrder="0"/>
    </dxf>
  </rfmt>
  <rfmt sheetId="1" sqref="T43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44" start="0" length="0">
    <dxf>
      <alignment horizontal="general" vertical="bottom" readingOrder="0"/>
    </dxf>
  </rfmt>
  <rfmt sheetId="1" sqref="T45" start="0" length="0">
    <dxf>
      <alignment horizontal="general" vertical="bottom" readingOrder="0"/>
    </dxf>
  </rfmt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" sId="1">
    <oc r="X46" t="inlineStr">
      <is>
        <t>N/A</t>
      </is>
    </oc>
    <nc r="X46" t="inlineStr">
      <is>
        <t>Ready for review</t>
      </is>
    </nc>
  </rcc>
  <rcc rId="75" sId="1" numFmtId="19">
    <nc r="Y46">
      <v>43895</v>
    </nc>
  </rcc>
  <rcc rId="76" sId="1" numFmtId="19">
    <nc r="AA46">
      <v>43895</v>
    </nc>
  </rcc>
  <rcc rId="77" sId="1">
    <nc r="P46" t="inlineStr">
      <is>
        <t>thanh.nguyen-kim</t>
      </is>
    </nc>
  </rcc>
  <rcc rId="78" sId="1" numFmtId="19">
    <nc r="AB46">
      <v>43895</v>
    </nc>
  </rcc>
  <rcc rId="79" sId="1">
    <nc r="AD46">
      <v>100</v>
    </nc>
  </rcc>
  <rcc rId="80" sId="1">
    <nc r="AE46">
      <v>100</v>
    </nc>
  </rcc>
  <rcc rId="81" sId="1">
    <nc r="AF46">
      <v>100</v>
    </nc>
  </rcc>
  <rdn rId="0" localSheetId="1" customView="1" name="Z_7ECC2B8E_6A82_42F5_8AB0_4A51C54EA5EC_.wvu.Cols" hidden="1" oldHidden="1">
    <formula>COEM_Package_20200302!$M:$N</formula>
  </rdn>
  <rdn rId="0" localSheetId="1" customView="1" name="Z_7ECC2B8E_6A82_42F5_8AB0_4A51C54EA5EC_.wvu.FilterData" hidden="1" oldHidden="1">
    <formula>COEM_Package_20200302!$B$2:$AH$60</formula>
  </rdn>
  <rdn rId="0" localSheetId="3" customView="1" name="Z_7ECC2B8E_6A82_42F5_8AB0_4A51C54EA5EC_.wvu.FilterData" hidden="1" oldHidden="1">
    <formula>Template!$B$2:$R$14</formula>
  </rdn>
  <rcv guid="{7ECC2B8E-6A82-42F5-8AB0-4A51C54EA5EC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" sId="1">
    <nc r="U46">
      <v>204</v>
    </nc>
  </rcc>
  <rcc rId="89" sId="1">
    <nc r="W46">
      <v>2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1">
    <oc r="W46">
      <v>2</v>
    </oc>
    <nc r="W46">
      <v>3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" sId="1">
    <oc r="X47" t="inlineStr">
      <is>
        <t>N/A</t>
      </is>
    </oc>
    <nc r="X47" t="inlineStr">
      <is>
        <t>Ongoing</t>
      </is>
    </nc>
  </rcc>
  <rcc rId="92" sId="1" numFmtId="19">
    <nc r="Y47">
      <v>43895</v>
    </nc>
  </rcc>
  <rcc rId="93" sId="1" numFmtId="19">
    <nc r="AA47">
      <v>43895</v>
    </nc>
  </rcc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1">
    <nc r="P20" t="inlineStr">
      <is>
        <t>duong.nguyen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" sId="1">
    <nc r="P39" t="inlineStr">
      <is>
        <t>hieu.nguyen-trung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" sId="1">
    <nc r="W16">
      <v>3</v>
    </nc>
  </rcc>
  <rcc rId="104" sId="1">
    <oc r="X16" t="inlineStr">
      <is>
        <t>N/A</t>
      </is>
    </oc>
    <nc r="X16" t="inlineStr">
      <is>
        <t>Ready for review</t>
      </is>
    </nc>
  </rcc>
  <rcc rId="105" sId="1">
    <oc r="X31" t="inlineStr">
      <is>
        <t>N/A</t>
      </is>
    </oc>
    <nc r="X31" t="inlineStr">
      <is>
        <t>Ongoing</t>
      </is>
    </nc>
  </rcc>
  <rcc rId="106" sId="1" numFmtId="19">
    <nc r="AA16">
      <v>43895</v>
    </nc>
  </rcc>
  <rcc rId="107" sId="1" numFmtId="19">
    <nc r="AB16">
      <v>43895</v>
    </nc>
  </rcc>
  <rcc rId="108" sId="1">
    <nc r="AC16" t="inlineStr">
      <is>
        <t>OK</t>
      </is>
    </nc>
  </rcc>
  <rcc rId="109" sId="1">
    <nc r="AD16">
      <v>100</v>
    </nc>
  </rcc>
  <rcc rId="110" sId="1">
    <nc r="AE16">
      <v>100</v>
    </nc>
  </rcc>
  <rcc rId="111" sId="1">
    <nc r="AF16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" sId="1">
    <nc r="P43" t="inlineStr">
      <is>
        <t>hieu.nguyen-trung</t>
      </is>
    </nc>
  </rcc>
  <rcc rId="116" sId="1">
    <oc r="P39" t="inlineStr">
      <is>
        <t>hieu.nguyen-trung</t>
      </is>
    </oc>
    <nc r="P39"/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" sId="1" numFmtId="19">
    <nc r="AB18">
      <v>43895</v>
    </nc>
  </rcc>
  <rcc rId="123" sId="1">
    <nc r="AC18" t="inlineStr">
      <is>
        <t>OK</t>
      </is>
    </nc>
  </rcc>
  <rcc rId="124" sId="1">
    <nc r="AD18">
      <v>100</v>
    </nc>
  </rcc>
  <rcc rId="125" sId="1">
    <nc r="AE18">
      <v>100</v>
    </nc>
  </rcc>
  <rcc rId="126" sId="1">
    <nc r="AF18">
      <v>100</v>
    </nc>
  </rcc>
  <rcc rId="127" sId="1">
    <oc r="X18" t="inlineStr">
      <is>
        <t>Ongoing</t>
      </is>
    </oc>
    <nc r="X18" t="inlineStr">
      <is>
        <t>Ready for review</t>
      </is>
    </nc>
  </rcc>
  <rcc rId="128" sId="1">
    <nc r="W18">
      <v>2</v>
    </nc>
  </rcc>
  <rcc rId="129" sId="1">
    <nc r="U18">
      <v>395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" sId="1">
    <nc r="P52" t="inlineStr">
      <is>
        <t>thanh.nguyen-kim</t>
      </is>
    </nc>
  </rcc>
  <rcc rId="134" sId="1">
    <oc r="X52" t="inlineStr">
      <is>
        <t>N/A</t>
      </is>
    </oc>
    <nc r="X52" t="inlineStr">
      <is>
        <t>Ongoing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" sId="1">
    <nc r="U31">
      <v>129</v>
    </nc>
  </rcc>
  <rcc rId="139" sId="1">
    <nc r="W31">
      <v>2</v>
    </nc>
  </rcc>
  <rcc rId="140" sId="1">
    <oc r="X31" t="inlineStr">
      <is>
        <t>Ongoing</t>
      </is>
    </oc>
    <nc r="X31" t="inlineStr">
      <is>
        <t>Ready for review</t>
      </is>
    </nc>
  </rcc>
  <rcc rId="141" sId="1" numFmtId="19">
    <nc r="AA31">
      <v>43895</v>
    </nc>
  </rcc>
  <rcc rId="142" sId="1" numFmtId="19">
    <nc r="AB17">
      <v>43895</v>
    </nc>
  </rcc>
  <rcc rId="143" sId="1" numFmtId="19">
    <nc r="AB31">
      <v>43895</v>
    </nc>
  </rcc>
  <rcc rId="144" sId="1">
    <nc r="AC31" t="inlineStr">
      <is>
        <t>OK</t>
      </is>
    </nc>
  </rcc>
  <rcc rId="145" sId="1" odxf="1" dxf="1">
    <nc r="AD31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46" sId="1" odxf="1" dxf="1">
    <nc r="AE31">
      <v>100</v>
    </nc>
    <ndxf>
      <font>
        <sz val="11"/>
        <color auto="1"/>
        <name val="Calibri"/>
        <scheme val="minor"/>
      </font>
    </ndxf>
  </rcc>
  <rcc rId="147" sId="1" odxf="1" dxf="1">
    <nc r="AF31">
      <v>100</v>
    </nc>
    <ndxf>
      <font>
        <sz val="11"/>
        <color auto="1"/>
        <name val="Calibri"/>
        <scheme val="minor"/>
      </font>
    </ndxf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" sId="1">
    <nc r="P47" t="inlineStr">
      <is>
        <t>thanh.nguyen-kim</t>
      </is>
    </nc>
  </rcc>
  <rcc rId="152" sId="1">
    <nc r="U47">
      <v>185</v>
    </nc>
  </rcc>
  <rcc rId="153" sId="1">
    <nc r="W47">
      <v>3</v>
    </nc>
  </rcc>
  <rcc rId="154" sId="1">
    <oc r="X47" t="inlineStr">
      <is>
        <t>Ongoing</t>
      </is>
    </oc>
    <nc r="X47" t="inlineStr">
      <is>
        <t>Ready for review</t>
      </is>
    </nc>
  </rcc>
  <rcc rId="155" sId="1" numFmtId="19">
    <nc r="AB47">
      <v>43895</v>
    </nc>
  </rcc>
  <rcc rId="156" sId="1">
    <nc r="AD47">
      <v>100</v>
    </nc>
  </rcc>
  <rcc rId="157" sId="1">
    <nc r="AE47">
      <v>100</v>
    </nc>
  </rcc>
  <rcc rId="158" sId="1">
    <nc r="AF47">
      <v>100</v>
    </nc>
  </rcc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COEM_Package_20200302!$Q$2:$Q$105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" sId="1">
    <nc r="U52">
      <v>110</v>
    </nc>
  </rcc>
  <rcc rId="163" sId="1">
    <oc r="X52" t="inlineStr">
      <is>
        <t>Ongoing</t>
      </is>
    </oc>
    <nc r="X52" t="inlineStr">
      <is>
        <t>Ready for review</t>
      </is>
    </nc>
  </rcc>
  <rcc rId="164" sId="1">
    <nc r="W52">
      <v>2</v>
    </nc>
  </rcc>
  <rcc rId="165" sId="1" numFmtId="19">
    <nc r="Y52">
      <v>43895</v>
    </nc>
  </rcc>
  <rcc rId="166" sId="1" numFmtId="19">
    <nc r="AA52">
      <v>43895</v>
    </nc>
  </rcc>
  <rcc rId="167" sId="1" numFmtId="19">
    <nc r="AB52">
      <v>43895</v>
    </nc>
  </rcc>
  <rcc rId="168" sId="1">
    <nc r="AD52">
      <v>100</v>
    </nc>
  </rcc>
  <rcc rId="169" sId="1">
    <nc r="AE52">
      <v>100</v>
    </nc>
  </rcc>
  <rcc rId="170" sId="1">
    <nc r="AF52">
      <v>100</v>
    </nc>
  </rcc>
  <rcc rId="171" sId="1">
    <nc r="AC52" t="inlineStr">
      <is>
        <t>OK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" sId="1">
    <oc r="P43" t="inlineStr">
      <is>
        <t>hieu.nguyen-trung</t>
      </is>
    </oc>
    <nc r="P43"/>
  </rcc>
  <rcv guid="{250915DF-0B97-45D7-B29D-7EED4C89C1C1}" action="delete"/>
  <rdn rId="0" localSheetId="1" customView="1" name="Z_250915DF_0B97_45D7_B29D_7EED4C89C1C1_.wvu.FilterData" hidden="1" oldHidden="1">
    <formula>COEM_Package_20200302!$Q$2:$Q$105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" sId="1">
    <oc r="X32" t="inlineStr">
      <is>
        <t>N/A</t>
      </is>
    </oc>
    <nc r="X32" t="inlineStr">
      <is>
        <t>Ongoing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" sId="1">
    <oc r="AC16" t="inlineStr">
      <is>
        <t>OK</t>
      </is>
    </oc>
    <nc r="AC16" t="inlineStr">
      <is>
        <t>NG</t>
      </is>
    </nc>
  </rcc>
  <rcc rId="183" sId="1">
    <nc r="AG16" t="inlineStr">
      <is>
        <t>Waiting for OPL Answer.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" sId="1">
    <oc r="W31">
      <v>2</v>
    </oc>
    <nc r="W31">
      <v>3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" sId="1">
    <nc r="P42" t="inlineStr">
      <is>
        <t>thanh.nguyen-kim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" sId="1" odxf="1" dxf="1">
    <nc r="B61">
      <f>B60+1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3" sId="1" odxf="1" dxf="1">
    <nc r="B62">
      <f>B61+1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4" sId="1" odxf="1" dxf="1">
    <nc r="B63">
      <f>B62+1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5" sId="1" odxf="1" dxf="1">
    <nc r="B64">
      <f>B63+1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6" sId="1" odxf="1" dxf="1">
    <nc r="B65">
      <f>B64+1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97" sId="1" odxf="1" dxf="1">
    <nc r="B66">
      <f>B65+1</f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fmt sheetId="1" sqref="E61" start="0" length="0">
    <dxf>
      <alignment horizontal="general" vertical="bottom" readingOrder="0"/>
      <border outline="0">
        <left/>
        <right/>
        <top/>
        <bottom/>
      </border>
    </dxf>
  </rfmt>
  <rfmt sheetId="1" xfDxf="1" sqref="E61" start="0" length="0">
    <dxf>
      <font>
        <sz val="10"/>
        <color rgb="FF000000"/>
        <name val="Arial"/>
        <scheme val="none"/>
      </font>
    </dxf>
  </rfmt>
  <rcc rId="198" sId="1" odxf="1" dxf="1">
    <nc r="E61" t="inlineStr">
      <is>
        <t>FAW_C105EV_ESPhev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9" sId="1">
    <nc r="E62" t="inlineStr">
      <is>
        <t>FAW_C105EV_ESPhev</t>
      </is>
    </nc>
  </rcc>
  <rcc rId="200" sId="1">
    <nc r="E63" t="inlineStr">
      <is>
        <t>FAW_C105EV_ESPhev</t>
      </is>
    </nc>
  </rcc>
  <rcc rId="201" sId="1">
    <nc r="E64" t="inlineStr">
      <is>
        <t>FAW_C105EV_ESPhev</t>
      </is>
    </nc>
  </rcc>
  <rcc rId="202" sId="1">
    <nc r="E65" t="inlineStr">
      <is>
        <t>FAW_C105EV_ESPhev</t>
      </is>
    </nc>
  </rcc>
  <rcc rId="203" sId="1">
    <nc r="E66" t="inlineStr">
      <is>
        <t>FAW_C105EV_ESPhev</t>
      </is>
    </nc>
  </rcc>
  <rcc rId="204" sId="1">
    <nc r="D61" t="inlineStr">
      <is>
        <t>PSW</t>
      </is>
    </nc>
  </rcc>
  <rcc rId="205" sId="1">
    <nc r="D62" t="inlineStr">
      <is>
        <t>PSW</t>
      </is>
    </nc>
  </rcc>
  <rcc rId="206" sId="1">
    <nc r="D63" t="inlineStr">
      <is>
        <t>PSW</t>
      </is>
    </nc>
  </rcc>
  <rcc rId="207" sId="1">
    <nc r="D64" t="inlineStr">
      <is>
        <t>PSW</t>
      </is>
    </nc>
  </rcc>
  <rcc rId="208" sId="1">
    <nc r="D65" t="inlineStr">
      <is>
        <t>PSW</t>
      </is>
    </nc>
  </rcc>
  <rcc rId="209" sId="1">
    <nc r="D66" t="inlineStr">
      <is>
        <t>PSW</t>
      </is>
    </nc>
  </rcc>
  <rcc rId="210" sId="1">
    <nc r="C61">
      <v>20200306</v>
    </nc>
  </rcc>
  <rcc rId="211" sId="1">
    <nc r="C62">
      <v>20200306</v>
    </nc>
  </rcc>
  <rcc rId="212" sId="1">
    <nc r="C63">
      <v>20200306</v>
    </nc>
  </rcc>
  <rcc rId="213" sId="1">
    <nc r="C64">
      <v>20200306</v>
    </nc>
  </rcc>
  <rcc rId="214" sId="1">
    <nc r="C65">
      <v>20200306</v>
    </nc>
  </rcc>
  <rcc rId="215" sId="1">
    <nc r="C66">
      <v>20200306</v>
    </nc>
  </rcc>
  <rfmt sheetId="1" sqref="F61" start="0" length="0">
    <dxf>
      <alignment horizontal="general" vertical="bottom" readingOrder="0"/>
      <border outline="0">
        <left/>
        <right/>
        <top/>
        <bottom/>
      </border>
    </dxf>
  </rfmt>
  <rfmt sheetId="1" xfDxf="1" sqref="F61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sqref="F62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F63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F64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F65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fmt sheetId="1" sqref="F66" start="0" length="0">
    <dxf>
      <font>
        <sz val="10"/>
        <color rgb="FF000000"/>
        <name val="Arial"/>
        <scheme val="none"/>
      </font>
      <alignment horizontal="general" vertical="center" readingOrder="0"/>
      <border outline="0">
        <left/>
        <right style="medium">
          <color indexed="64"/>
        </right>
        <top/>
        <bottom style="medium">
          <color indexed="64"/>
        </bottom>
      </border>
    </dxf>
  </rfmt>
  <rcc rId="216" sId="1" odxf="1" dxf="1" quotePrefix="1">
    <nc r="F61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7" sId="1" odxf="1" dxf="1" quotePrefix="1">
    <nc r="F62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8" sId="1" odxf="1" dxf="1" quotePrefix="1">
    <nc r="F63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9" sId="1" odxf="1" dxf="1" quotePrefix="1">
    <nc r="F64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0" sId="1" odxf="1" dxf="1" quotePrefix="1">
    <nc r="F65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1" sId="1" odxf="1" dxf="1" quotePrefix="1">
    <nc r="F66" t="inlineStr">
      <is>
        <t>rb\as\cnms_core\app\net\scl_callout\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G61" start="0" length="0">
    <dxf>
      <alignment horizontal="general" vertical="bottom" readingOrder="0"/>
      <border outline="0">
        <left/>
        <right/>
        <top/>
        <bottom/>
      </border>
    </dxf>
  </rfmt>
  <rfmt sheetId="1" sqref="G62" start="0" length="0">
    <dxf>
      <alignment horizontal="general" vertical="bottom" readingOrder="0"/>
      <border outline="0">
        <left/>
        <right/>
        <top/>
        <bottom/>
      </border>
    </dxf>
  </rfmt>
  <rfmt sheetId="1" sqref="G63" start="0" length="0">
    <dxf>
      <alignment horizontal="general" vertical="bottom" readingOrder="0"/>
      <border outline="0">
        <left/>
        <right/>
        <top/>
        <bottom/>
      </border>
    </dxf>
  </rfmt>
  <rfmt sheetId="1" sqref="G64" start="0" length="0">
    <dxf>
      <alignment horizontal="general" vertical="bottom" readingOrder="0"/>
      <border outline="0">
        <left/>
        <right/>
        <top/>
        <bottom/>
      </border>
    </dxf>
  </rfmt>
  <rfmt sheetId="1" sqref="G65" start="0" length="0">
    <dxf>
      <alignment horizontal="general" vertical="bottom" readingOrder="0"/>
      <border outline="0">
        <left/>
        <right/>
        <top/>
        <bottom/>
      </border>
    </dxf>
  </rfmt>
  <rfmt sheetId="1" sqref="G66" start="0" length="0">
    <dxf>
      <alignment horizontal="general" vertical="bottom" readingOrder="0"/>
      <border outline="0">
        <left/>
        <right/>
        <top/>
        <bottom/>
      </border>
    </dxf>
  </rfmt>
  <rfmt sheetId="1" xfDxf="1" sqref="G61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2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3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4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5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G66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cc rId="222" sId="1" odxf="1" dxf="1">
    <nc r="G61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3" sId="1" odxf="1" dxf="1">
    <nc r="G62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4" sId="1" odxf="1" dxf="1">
    <nc r="G63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5" sId="1" odxf="1" dxf="1">
    <nc r="G64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6" sId="1" odxf="1" dxf="1">
    <nc r="G65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7" sId="1" odxf="1" dxf="1">
    <nc r="G66">
      <v>1360296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H61" start="0" length="0">
    <dxf>
      <alignment horizontal="general" vertical="bottom" readingOrder="0"/>
      <border outline="0">
        <left/>
        <right/>
        <top/>
        <bottom/>
      </border>
    </dxf>
  </rfmt>
  <rfmt sheetId="1" sqref="H62" start="0" length="0">
    <dxf>
      <alignment horizontal="general" vertical="bottom" readingOrder="0"/>
      <border outline="0">
        <left/>
        <right/>
        <top/>
        <bottom/>
      </border>
    </dxf>
  </rfmt>
  <rfmt sheetId="1" sqref="H63" start="0" length="0">
    <dxf>
      <alignment horizontal="general" vertical="bottom" readingOrder="0"/>
      <border outline="0">
        <left/>
        <right/>
        <top/>
        <bottom/>
      </border>
    </dxf>
  </rfmt>
  <rfmt sheetId="1" sqref="H64" start="0" length="0">
    <dxf>
      <alignment horizontal="general" vertical="bottom" readingOrder="0"/>
      <border outline="0">
        <left/>
        <right/>
        <top/>
        <bottom/>
      </border>
    </dxf>
  </rfmt>
  <rfmt sheetId="1" sqref="H65" start="0" length="0">
    <dxf>
      <alignment horizontal="general" vertical="bottom" readingOrder="0"/>
      <border outline="0">
        <left/>
        <right/>
        <top/>
        <bottom/>
      </border>
    </dxf>
  </rfmt>
  <rfmt sheetId="1" sqref="H66" start="0" length="0">
    <dxf>
      <alignment horizontal="general" vertical="bottom" readingOrder="0"/>
      <border outline="0">
        <left/>
        <right/>
        <top/>
        <bottom/>
      </border>
    </dxf>
  </rfmt>
  <rfmt sheetId="1" xfDxf="1" sqref="H61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2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3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4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5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H66" start="0" length="0">
    <dxf>
      <font>
        <sz val="10"/>
        <color rgb="FF000000"/>
        <name val="Arial"/>
        <scheme val="none"/>
      </font>
      <alignment vertical="center" readingOrder="0"/>
      <border outline="0">
        <right style="medium">
          <color indexed="64"/>
        </right>
        <bottom style="medium">
          <color indexed="64"/>
        </bottom>
      </border>
    </dxf>
  </rfmt>
  <rcc rId="228" sId="1" odxf="1" dxf="1">
    <nc r="H61" t="inlineStr">
      <is>
        <t>RBA_NDS_ABS_3_Callout.c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9" sId="1" odxf="1" dxf="1">
    <nc r="H62" t="inlineStr">
      <is>
        <t>RBA_NDS_APC_1_Callout.c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0" sId="1" odxf="1" dxf="1">
    <nc r="H63" t="inlineStr">
      <is>
        <t>RBA_NDS_ESP_3_Callout.c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1" sId="1" odxf="1" dxf="1">
    <nc r="H64" t="inlineStr">
      <is>
        <t>RBA_NDS_HCU_PT_10_Callout.c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2" sId="1" odxf="1" dxf="1">
    <nc r="H65" t="inlineStr">
      <is>
        <t>RBA_NDS_HCU_PT_2_Callout.c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3" sId="1" odxf="1" dxf="1">
    <nc r="H66" t="inlineStr">
      <is>
        <t>RBA_NDS_SystemInfo.c</t>
      </is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4" sId="1" odxf="1" dxf="1">
    <nc r="I61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5" sId="1" odxf="1" dxf="1">
    <nc r="I62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6" sId="1" odxf="1" dxf="1">
    <nc r="I63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7" sId="1" odxf="1" dxf="1">
    <nc r="I64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8" sId="1" odxf="1" dxf="1">
    <nc r="I65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cc rId="239" sId="1" odxf="1" dxf="1">
    <nc r="I66" t="inlineStr">
      <is>
        <t>Manual</t>
      </is>
    </nc>
    <odxf>
      <fill>
        <patternFill patternType="none">
          <bgColor indexed="65"/>
        </patternFill>
      </fill>
    </odxf>
    <ndxf>
      <fill>
        <patternFill patternType="solid">
          <bgColor rgb="FFFF0000"/>
        </patternFill>
      </fill>
    </ndxf>
  </rcc>
  <rfmt sheetId="1" sqref="B61:H66">
    <dxf>
      <fill>
        <patternFill patternType="solid">
          <bgColor rgb="FFFFFF00"/>
        </patternFill>
      </fill>
    </dxf>
  </rfmt>
  <rfmt sheetId="1" sqref="J61" start="0" length="0">
    <dxf>
      <alignment horizontal="general" vertical="bottom" readingOrder="0"/>
      <border outline="0">
        <left/>
        <right/>
        <top/>
        <bottom/>
      </border>
    </dxf>
  </rfmt>
  <rcc rId="240" sId="1" xfDxf="1" dxf="1">
    <nc r="J61">
      <v>99478</v>
    </nc>
  </rcc>
  <rcc rId="241" sId="1" odxf="1" dxf="1">
    <nc r="J62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42" sId="1" odxf="1" dxf="1">
    <nc r="J63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43" sId="1" odxf="1" dxf="1">
    <nc r="J64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44" sId="1" odxf="1" dxf="1">
    <nc r="J65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45" sId="1" odxf="1" dxf="1">
    <nc r="J66">
      <v>99478</v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fmt sheetId="1" sqref="J61:J6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46" sId="1">
    <nc r="K61" t="inlineStr">
      <is>
        <t>FAW_Carbon_TypeF_HevX_Int</t>
      </is>
    </nc>
  </rcc>
  <rcc rId="247" sId="1">
    <nc r="K62" t="inlineStr">
      <is>
        <t>FAW_Carbon_TypeF_HevX_Int</t>
      </is>
    </nc>
  </rcc>
  <rcc rId="248" sId="1">
    <nc r="K63" t="inlineStr">
      <is>
        <t>FAW_Carbon_TypeF_HevX_Int</t>
      </is>
    </nc>
  </rcc>
  <rcc rId="249" sId="1">
    <nc r="K64" t="inlineStr">
      <is>
        <t>FAW_Carbon_TypeF_HevX_Int</t>
      </is>
    </nc>
  </rcc>
  <rcc rId="250" sId="1">
    <nc r="K65" t="inlineStr">
      <is>
        <t>FAW_Carbon_TypeF_HevX_Int</t>
      </is>
    </nc>
  </rcc>
  <rcc rId="251" sId="1">
    <nc r="K66" t="inlineStr">
      <is>
        <t>FAW_Carbon_TypeF_HevX_Int</t>
      </is>
    </nc>
  </rcc>
  <rcc rId="252" sId="1" odxf="1" dxf="1">
    <nc r="L61">
      <f>IF(D61="ASW","PUT_VERSION","-")</f>
    </nc>
    <odxf/>
    <ndxf/>
  </rcc>
  <rcc rId="253" sId="1" odxf="1" dxf="1">
    <nc r="L62">
      <f>IF(D62="ASW","PUT_VERSION","-")</f>
    </nc>
    <odxf/>
    <ndxf/>
  </rcc>
  <rcc rId="254" sId="1" odxf="1" dxf="1">
    <nc r="L63">
      <f>IF(D63="ASW","PUT_VERSION","-")</f>
    </nc>
    <odxf/>
    <ndxf/>
  </rcc>
  <rcc rId="255" sId="1" odxf="1" dxf="1">
    <nc r="L64">
      <f>IF(D64="ASW","PUT_VERSION","-")</f>
    </nc>
    <odxf/>
    <ndxf/>
  </rcc>
  <rcc rId="256" sId="1" odxf="1" dxf="1">
    <nc r="L65">
      <f>IF(D65="ASW","PUT_VERSION","-")</f>
    </nc>
    <odxf/>
    <ndxf/>
  </rcc>
  <rcc rId="257" sId="1" odxf="1" dxf="1">
    <nc r="L66">
      <f>IF(D66="ASW","PUT_VERSION","-")</f>
    </nc>
    <odxf/>
    <ndxf/>
  </rcc>
  <rfmt sheetId="1" sqref="S61" start="0" length="0">
    <dxf>
      <alignment horizontal="general" vertical="bottom" readingOrder="0"/>
      <border outline="0">
        <left/>
        <right/>
        <top/>
        <bottom/>
      </border>
    </dxf>
  </rfmt>
  <rfmt sheetId="1" sqref="S62" start="0" length="0">
    <dxf>
      <alignment horizontal="general" vertical="bottom" readingOrder="0"/>
      <border outline="0">
        <left/>
        <right/>
        <top/>
        <bottom/>
      </border>
    </dxf>
  </rfmt>
  <rfmt sheetId="1" sqref="S63" start="0" length="0">
    <dxf>
      <alignment horizontal="general" vertical="bottom" readingOrder="0"/>
      <border outline="0">
        <left/>
        <right/>
        <top/>
        <bottom/>
      </border>
    </dxf>
  </rfmt>
  <rfmt sheetId="1" sqref="S64" start="0" length="0">
    <dxf>
      <alignment horizontal="general" vertical="bottom" readingOrder="0"/>
      <border outline="0">
        <left/>
        <right/>
        <top/>
        <bottom/>
      </border>
    </dxf>
  </rfmt>
  <rfmt sheetId="1" sqref="S65" start="0" length="0">
    <dxf>
      <alignment horizontal="general" vertical="bottom" readingOrder="0"/>
      <border outline="0">
        <left/>
        <right/>
        <top/>
        <bottom/>
      </border>
    </dxf>
  </rfmt>
  <rfmt sheetId="1" sqref="S66" start="0" length="0">
    <dxf>
      <alignment horizontal="general" vertical="bottom" readingOrder="0"/>
      <border outline="0">
        <left/>
        <right/>
        <top/>
        <bottom/>
      </border>
    </dxf>
  </rfmt>
  <rfmt sheetId="1" xfDxf="1" sqref="S61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2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3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4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5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fmt sheetId="1" xfDxf="1" sqref="S66" start="0" length="0">
    <dxf>
      <font>
        <sz val="10"/>
        <color rgb="FF000000"/>
        <name val="Arial"/>
        <scheme val="none"/>
      </font>
      <alignment horizontal="right" vertical="center" readingOrder="0"/>
      <border outline="0">
        <right style="medium">
          <color indexed="64"/>
        </right>
        <bottom style="medium">
          <color indexed="64"/>
        </bottom>
      </border>
    </dxf>
  </rfmt>
  <rcc rId="258" sId="1" odxf="1" dxf="1">
    <nc r="S61">
      <v>96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9" sId="1" odxf="1" dxf="1">
    <nc r="S62">
      <v>28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0" sId="1" odxf="1" dxf="1">
    <nc r="S63">
      <v>36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1" sId="1" odxf="1" dxf="1">
    <nc r="S64">
      <v>80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2" sId="1" odxf="1" dxf="1">
    <nc r="S65">
      <v>33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3" sId="1" odxf="1" dxf="1">
    <nc r="S66">
      <v>212</v>
    </nc>
    <ndxf>
      <font>
        <sz val="11"/>
        <color theme="1"/>
        <name val="Calibri"/>
        <scheme val="minor"/>
      </font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4" sId="1">
    <nc r="P66" t="inlineStr">
      <is>
        <t>thanh.nguyen-kim</t>
      </is>
    </nc>
  </rcc>
  <rcc rId="265" sId="1">
    <nc r="P61" t="inlineStr">
      <is>
        <t>duong.nguyen</t>
      </is>
    </nc>
  </rcc>
  <rcc rId="266" sId="1">
    <nc r="P62" t="inlineStr">
      <is>
        <t>loc.do-phu</t>
      </is>
    </nc>
  </rcc>
  <rcc rId="267" sId="1">
    <nc r="P63" t="inlineStr">
      <is>
        <t>loc.do-phu</t>
      </is>
    </nc>
  </rcc>
  <rcc rId="268" sId="1">
    <nc r="P64" t="inlineStr">
      <is>
        <t>chung.ly</t>
      </is>
    </nc>
  </rcc>
  <rcc rId="269" sId="1">
    <nc r="P65" t="inlineStr">
      <is>
        <t>loc.do-phu</t>
      </is>
    </nc>
  </rcc>
  <rcv guid="{7E0EA425-A420-4443-B9E0-CDF0AA9E5D09}" action="delete"/>
  <rdn rId="0" localSheetId="1" customView="1" name="Z_7E0EA425_A420_4443_B9E0_CDF0AA9E5D09_.wvu.Cols" hidden="1" oldHidden="1">
    <formula>COEM_Package_20200302!$M:$N</formula>
    <oldFormula>COEM_Package_20200302!$M:$N</oldFormula>
  </rdn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COEM_Package_20200302!$M:$N</formula>
    <oldFormula>COEM_Package_20200302!$M:$N</oldFormula>
  </rdn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7E0EA425_A420_4443_B9E0_CDF0AA9E5D09_.wvu.Cols" hidden="1" oldHidden="1">
    <oldFormula>COEM_Package_20200302!$M:$N</oldFormula>
  </rdn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M61" start="0" length="0">
    <dxf>
      <alignment horizontal="general" vertical="bottom" readingOrder="0"/>
      <border outline="0">
        <left/>
        <right/>
        <top/>
        <bottom/>
      </border>
    </dxf>
  </rfmt>
  <rcc rId="281" sId="1" xfDxf="1" dxf="1">
    <nc r="M61" t="inlineStr">
      <is>
        <t>HU Evan (CC-AS/EVA-SW33-CN)</t>
      </is>
    </nc>
  </rcc>
  <rcc rId="282" sId="1" odxf="1" dxf="1">
    <nc r="M62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83" sId="1" odxf="1" dxf="1">
    <nc r="M63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84" sId="1" odxf="1" dxf="1">
    <nc r="M64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85" sId="1" odxf="1" dxf="1">
    <nc r="M65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  <rcc rId="286" sId="1" odxf="1" dxf="1">
    <nc r="M66" t="inlineStr">
      <is>
        <t>HU Evan (CC-AS/EVA-SW33-CN)</t>
      </is>
    </nc>
    <o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alignment horizontal="general" vertical="bottom" readingOrder="0"/>
      <border outline="0">
        <left/>
        <right/>
        <top/>
        <bottom/>
      </border>
    </ndxf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Q9" start="0" length="0">
    <dxf>
      <font>
        <sz val="11"/>
        <color theme="1"/>
        <name val="Calibri"/>
        <scheme val="minor"/>
      </font>
    </dxf>
  </rfmt>
  <rfmt sheetId="1" sqref="Q10" start="0" length="0">
    <dxf>
      <font>
        <sz val="11"/>
        <color theme="1"/>
        <name val="Calibri"/>
        <scheme val="minor"/>
      </font>
    </dxf>
  </rfmt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4" sId="1">
    <oc r="X32" t="inlineStr">
      <is>
        <t>Ongoing</t>
      </is>
    </oc>
    <nc r="X32" t="inlineStr">
      <is>
        <t>Ready for review</t>
      </is>
    </nc>
  </rcc>
  <rcc rId="295" sId="1" numFmtId="19">
    <nc r="AA32">
      <v>43896</v>
    </nc>
  </rcc>
  <rcc rId="296" sId="1" numFmtId="19">
    <nc r="AB32">
      <v>43896</v>
    </nc>
  </rcc>
  <rcc rId="297" sId="1">
    <nc r="U32">
      <v>196</v>
    </nc>
  </rcc>
  <rcc rId="298" sId="1">
    <nc r="W32">
      <v>4</v>
    </nc>
  </rcc>
  <rcc rId="299" sId="1">
    <nc r="AC32" t="inlineStr">
      <is>
        <t>OK</t>
      </is>
    </nc>
  </rcc>
  <rcc rId="300" sId="1" odxf="1" dxf="1">
    <nc r="AD3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01" sId="1" odxf="1" dxf="1">
    <nc r="AE3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02" sId="1" odxf="1" dxf="1">
    <nc r="AF3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03" sId="1">
    <oc r="AC16" t="inlineStr">
      <is>
        <t>NG</t>
      </is>
    </oc>
    <nc r="AC16" t="inlineStr">
      <is>
        <t>OK</t>
      </is>
    </nc>
  </rcc>
  <rcc rId="304" sId="1">
    <oc r="AG16" t="inlineStr">
      <is>
        <t>Waiting for OPL Answer.</t>
      </is>
    </oc>
    <nc r="AG16" t="inlineStr">
      <is>
        <t>OPL It does not impact to SW functionality.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B4" start="0" length="0">
    <dxf>
      <numFmt numFmtId="19" formatCode="m/d/yyyy"/>
    </dxf>
  </rfmt>
  <rcc rId="308" sId="1" numFmtId="19">
    <nc r="AB4">
      <v>43892</v>
    </nc>
  </rcc>
  <rcc rId="309" sId="1" numFmtId="19">
    <nc r="AB9">
      <v>43892</v>
    </nc>
  </rcc>
  <rcc rId="310" sId="1" numFmtId="19">
    <nc r="AB11">
      <v>43893</v>
    </nc>
  </rcc>
  <rcc rId="311" sId="1" numFmtId="19">
    <nc r="AB12">
      <v>43894</v>
    </nc>
  </rcc>
  <rcc rId="312" sId="1" numFmtId="19">
    <nc r="AB14">
      <v>43894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" sId="1">
    <oc r="X15" t="inlineStr">
      <is>
        <t>N/A</t>
      </is>
    </oc>
    <nc r="X15" t="inlineStr">
      <is>
        <t>Ready for review</t>
      </is>
    </nc>
  </rcc>
  <rcc rId="314" sId="1" numFmtId="19">
    <nc r="AA15">
      <v>43894</v>
    </nc>
  </rcc>
  <rcc rId="315" sId="1" numFmtId="19">
    <nc r="AB15">
      <v>43896</v>
    </nc>
  </rcc>
  <rcc rId="316" sId="1">
    <nc r="AC15" t="inlineStr">
      <is>
        <t>NG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" sId="1" xfDxf="1" dxf="1" quotePrefix="1">
    <oc r="F15" t="inlineStr">
      <is>
        <t>-</t>
      </is>
    </oc>
    <nc r="F15" t="inlineStr">
      <is>
        <t>rb\as\BYD\ipb\app\net\RBScl\Scl_Callout\src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" sId="1">
    <nc r="AD15">
      <v>100</v>
    </nc>
  </rcc>
  <rcc rId="319" sId="1">
    <nc r="AE15">
      <v>100</v>
    </nc>
  </rcc>
  <rcc rId="320" sId="1">
    <nc r="AF15">
      <v>98</v>
    </nc>
  </rcc>
  <rcc rId="321" sId="1" xfDxf="1" dxf="1">
    <nc r="AG15" t="inlineStr">
      <is>
        <t>Bug (Condition is always TRUE)</t>
      </is>
    </nc>
    <n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COEM_Package_20200302!$Q$2:$Q$105</formula>
    <oldFormula>COEM_Package_20200302!$B$2:$AG$78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5" sId="1">
    <oc r="F104">
      <f>1/8*(SUMIFS($W$3:$W$82,$D$3:$D$82,Table!$D$3,$P$3:$P$82,C104)-SUM(SUMIFS($W$3:$W$82,$D$3:$D$82,Table!$D$3,$P$3:$P$82,C104,$X$3:$X$82,{"Ongoing","N/A"})))</f>
    </oc>
    <nc r="F104">
      <f>1/8*(SUMIFS($W$3:$W$82,$D$3:$D$82,Table!$D$3,$P$3:$P$82,C104)-SUM(SUMIFS($W$3:$W$82,$D$3:$D$82,Table!$D$3,$P$3:$P$82,C104,$X$3:$X$82,{"Ongoing","N/A"})))</f>
    </nc>
  </rcc>
  <rcc rId="326" sId="1">
    <oc r="G105">
      <f>IF(ISERROR(E105/(F105)),"N/A",E105/F105)</f>
    </oc>
    <nc r="G105">
      <f>IF(ISERROR(E105/(F105)),"N/A",E105/F105)</f>
    </nc>
  </rcc>
  <rcc rId="327" sId="1">
    <oc r="F105">
      <v>1</v>
    </oc>
    <nc r="F105">
      <f>1/8*(SUMIFS($W$3:$W$82,$D$3:$D$82,Table!$D$3,$P$3:$P$82,C105)-SUM(SUMIFS($W$3:$W$82,$D$3:$D$82,Table!$D$3,$P$3:$P$82,C105,$X$3:$X$82,{"Ongoing","N/A"})))</f>
    </nc>
  </rcc>
  <rfmt sheetId="1" sqref="W10" start="0" length="0">
    <dxf>
      <font>
        <sz val="11"/>
        <color theme="1"/>
        <name val="Calibri"/>
        <scheme val="minor"/>
      </font>
    </dxf>
  </rfmt>
  <rcc rId="328" sId="1" numFmtId="19">
    <oc r="AA10">
      <v>43893</v>
    </oc>
    <nc r="AA10">
      <v>43894</v>
    </nc>
  </rcc>
  <rcc rId="329" sId="1">
    <nc r="W10">
      <v>1.9</v>
    </nc>
  </rcc>
  <rcc rId="330" sId="1">
    <nc r="W6">
      <v>4</v>
    </nc>
  </rcc>
  <rcc rId="331" sId="1">
    <nc r="W15">
      <v>14</v>
    </nc>
  </rcc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COEM_Package_20200302!$Q$2:$Q$105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D2C030-4E31-4E07-8E1C-44D2EE84B177}" action="delete"/>
  <rdn rId="0" localSheetId="1" customView="1" name="Z_60D2C030_4E31_4E07_8E1C_44D2EE84B177_.wvu.Cols" hidden="1" oldHidden="1">
    <formula>COEM_Package_20200302!$M:$N</formula>
    <oldFormula>COEM_Package_20200302!$M:$N</oldFormula>
  </rdn>
  <rdn rId="0" localSheetId="1" customView="1" name="Z_60D2C030_4E31_4E07_8E1C_44D2EE84B177_.wvu.FilterData" hidden="1" oldHidden="1">
    <formula>COEM_Package_20200302!$B$2:$AH$66</formula>
    <oldFormula>COEM_Package_20200302!$B$2:$AH$66</oldFormula>
  </rdn>
  <rdn rId="0" localSheetId="3" customView="1" name="Z_60D2C030_4E31_4E07_8E1C_44D2EE84B177_.wvu.FilterData" hidden="1" oldHidden="1">
    <formula>Template!$B$2:$R$14</formula>
    <oldFormula>Template!$B$2:$R$14</oldFormula>
  </rdn>
  <rcv guid="{60D2C030-4E31-4E07-8E1C-44D2EE84B177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" sId="1">
    <nc r="X62" t="inlineStr">
      <is>
        <t>Ready for review</t>
      </is>
    </nc>
  </rcc>
  <rcc rId="339" sId="1" numFmtId="19">
    <nc r="AA62">
      <v>43896</v>
    </nc>
  </rcc>
  <rcc rId="340" sId="1" numFmtId="19">
    <nc r="AB62">
      <v>43896</v>
    </nc>
  </rcc>
  <rcc rId="341" sId="1">
    <nc r="AC62" t="inlineStr">
      <is>
        <t>OK</t>
      </is>
    </nc>
  </rcc>
  <rcc rId="342" sId="1" odxf="1" dxf="1">
    <nc r="AD6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43" sId="1" odxf="1" dxf="1">
    <nc r="AE6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44" sId="1" odxf="1" dxf="1">
    <nc r="AF62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" sId="1">
    <nc r="X63" t="inlineStr">
      <is>
        <t>Ready for review</t>
      </is>
    </nc>
  </rcc>
  <rcc rId="349" sId="1" numFmtId="19">
    <nc r="AA63">
      <v>43896</v>
    </nc>
  </rcc>
  <rcc rId="350" sId="1" numFmtId="19">
    <nc r="AB63">
      <v>43896</v>
    </nc>
  </rcc>
  <rcc rId="351" sId="1">
    <nc r="AC63" t="inlineStr">
      <is>
        <t>OK</t>
      </is>
    </nc>
  </rcc>
  <rcc rId="352" sId="1" odxf="1" dxf="1">
    <nc r="AD6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53" sId="1" odxf="1" dxf="1">
    <nc r="AE6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54" sId="1" odxf="1" dxf="1">
    <nc r="AF63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55" sId="1">
    <nc r="W62">
      <v>1</v>
    </nc>
  </rcc>
  <rcc rId="356" sId="1">
    <nc r="W63">
      <v>1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0" sId="1">
    <nc r="X65" t="inlineStr">
      <is>
        <t>Ready for review</t>
      </is>
    </nc>
  </rcc>
  <rcc rId="361" sId="1" numFmtId="19">
    <nc r="AA65">
      <v>43896</v>
    </nc>
  </rcc>
  <rcc rId="362" sId="1" numFmtId="19">
    <nc r="AB65">
      <v>43896</v>
    </nc>
  </rcc>
  <rcc rId="363" sId="1">
    <nc r="AC65" t="inlineStr">
      <is>
        <t>OK</t>
      </is>
    </nc>
  </rcc>
  <rcc rId="364" sId="1" odxf="1" dxf="1">
    <nc r="AD6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65" sId="1" odxf="1" dxf="1">
    <nc r="AE6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66" sId="1" odxf="1" dxf="1">
    <nc r="AF65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367" sId="1">
    <nc r="W65">
      <v>1</v>
    </nc>
  </rcc>
  <rcc rId="368" sId="1">
    <nc r="T62">
      <v>28</v>
    </nc>
  </rcc>
  <rcc rId="369" sId="1">
    <nc r="U62">
      <v>28</v>
    </nc>
  </rcc>
  <rcc rId="370" sId="1">
    <nc r="T63">
      <v>36</v>
    </nc>
  </rcc>
  <rcc rId="371" sId="1">
    <nc r="U63">
      <v>36</v>
    </nc>
  </rcc>
  <rcc rId="372" sId="1">
    <nc r="T65">
      <v>33</v>
    </nc>
  </rcc>
  <rcc rId="373" sId="1">
    <nc r="U65">
      <v>33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7" sId="1">
    <oc r="X33" t="inlineStr">
      <is>
        <t>N/A</t>
      </is>
    </oc>
    <nc r="X33" t="inlineStr">
      <is>
        <t>Ongoing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" sId="1">
    <nc r="T61">
      <v>96</v>
    </nc>
  </rcc>
  <rcc rId="382" sId="1">
    <nc r="X61" t="inlineStr">
      <is>
        <t>Ready for review</t>
      </is>
    </nc>
  </rcc>
  <rcc rId="383" sId="1">
    <nc r="V61">
      <v>1.5</v>
    </nc>
  </rcc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6" sId="1">
    <oc r="V61">
      <v>1.5</v>
    </oc>
    <nc r="V61">
      <f>ROUNDDOWN(T61/HLOOKUP(D61,Table!$C$3:$D$4,2,0)*8,2)</f>
    </nc>
  </rcc>
  <rcc rId="387" sId="1">
    <nc r="V62">
      <f>ROUNDDOWN(T62/HLOOKUP(D62,Table!$C$3:$D$4,2,0)*8,2)</f>
    </nc>
  </rcc>
  <rcc rId="388" sId="1">
    <nc r="V63">
      <f>ROUNDDOWN(T63/HLOOKUP(D63,Table!$C$3:$D$4,2,0)*8,2)</f>
    </nc>
  </rcc>
  <rcc rId="389" sId="1">
    <nc r="V64">
      <f>ROUNDDOWN(T64/HLOOKUP(D64,Table!$C$3:$D$4,2,0)*8,2)</f>
    </nc>
  </rcc>
  <rcc rId="390" sId="1">
    <nc r="V65">
      <f>ROUNDDOWN(T65/HLOOKUP(D65,Table!$C$3:$D$4,2,0)*8,2)</f>
    </nc>
  </rcc>
  <rcc rId="391" sId="1">
    <nc r="V66">
      <f>ROUNDDOWN(T66/HLOOKUP(D66,Table!$C$3:$D$4,2,0)*8,2)</f>
    </nc>
  </rcc>
  <rcc rId="392" sId="1">
    <nc r="W61">
      <v>1.5</v>
    </nc>
  </rcc>
  <rcc rId="393" sId="1" numFmtId="19">
    <nc r="AA61">
      <v>43896</v>
    </nc>
  </rcc>
  <rcc rId="394" sId="1" numFmtId="19">
    <nc r="AB61">
      <v>43896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5" sId="1">
    <nc r="AC33" t="inlineStr">
      <is>
        <t>NG</t>
      </is>
    </nc>
  </rcc>
  <rcc rId="396" sId="1">
    <nc r="AG33" t="inlineStr">
      <is>
        <t>Waiting for OPL answer.</t>
      </is>
    </nc>
  </rcc>
  <rcc rId="397" sId="1" numFmtId="19">
    <nc r="AA33">
      <v>43896</v>
    </nc>
  </rcc>
  <rcc rId="398" sId="1">
    <nc r="W33">
      <v>1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COEM_Package_20200302!$B$2:$AH$66</formula>
    <oldFormula>COEM_Package_20200302!$B$2:$AH$66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2" sId="1">
    <nc r="AD61">
      <v>97</v>
    </nc>
  </rcc>
  <rcc rId="403" sId="1">
    <nc r="AE61">
      <v>95</v>
    </nc>
  </rcc>
  <rcc rId="404" sId="1">
    <nc r="AF61">
      <v>92</v>
    </nc>
  </rcc>
  <rcc rId="405" sId="1">
    <nc r="AC61" t="inlineStr">
      <is>
        <t>NG</t>
      </is>
    </nc>
  </rcc>
  <rcc rId="406" sId="1">
    <nc r="U20">
      <v>40</v>
    </nc>
  </rcc>
  <rcc rId="407" sId="1">
    <nc r="W20">
      <v>3</v>
    </nc>
  </rcc>
  <rcc rId="408" sId="1" numFmtId="19">
    <nc r="AA20">
      <v>43895</v>
    </nc>
  </rcc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1" sId="1">
    <nc r="AG19" t="inlineStr">
      <is>
        <t>Have issues with database, complexity of code</t>
      </is>
    </nc>
  </rcc>
  <rcc rId="412" sId="1">
    <nc r="AG61" t="inlineStr">
      <is>
        <t>OPL is already feedback, confirm it can be ignore</t>
      </is>
    </nc>
  </rcc>
  <rcv guid="{7E0EA425-A420-4443-B9E0-CDF0AA9E5D09}" action="delete"/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5" sId="1" numFmtId="19">
    <nc r="AB13">
      <v>43894</v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8" sId="1">
    <nc r="T66">
      <v>212</v>
    </nc>
  </rcc>
  <rcc rId="419" sId="1">
    <nc r="U66">
      <v>212</v>
    </nc>
  </rcc>
  <rcc rId="420" sId="1">
    <nc r="W66">
      <v>2</v>
    </nc>
  </rcc>
  <rcc rId="421" sId="1">
    <nc r="X66" t="inlineStr">
      <is>
        <t>Ready for review</t>
      </is>
    </nc>
  </rcc>
  <rcc rId="422" sId="1" numFmtId="19">
    <nc r="AA66">
      <v>43896</v>
    </nc>
  </rcc>
  <rcc rId="423" sId="1" numFmtId="19">
    <nc r="AB66">
      <v>43896</v>
    </nc>
  </rcc>
  <rcc rId="424" sId="1">
    <nc r="AC66" t="inlineStr">
      <is>
        <t>OK</t>
      </is>
    </nc>
  </rcc>
  <rcc rId="425" sId="1">
    <nc r="AD66">
      <v>100</v>
    </nc>
  </rcc>
  <rcc rId="426" sId="1">
    <nc r="AE66">
      <v>100</v>
    </nc>
  </rcc>
  <rcc rId="427" sId="1">
    <nc r="AF66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1" sId="1" odxf="1" dxf="1" numFmtId="19">
    <oc r="AB46">
      <v>43895</v>
    </oc>
    <nc r="AB46">
      <v>43896</v>
    </nc>
    <odxf>
      <numFmt numFmtId="164" formatCode="[$-409]d\-mmm\-yyyy;@"/>
    </odxf>
    <ndxf>
      <numFmt numFmtId="19" formatCode="m/d/yyyy"/>
    </ndxf>
  </rcc>
  <rcc rId="432" sId="1" odxf="1" dxf="1" numFmtId="19">
    <oc r="AB47">
      <v>43895</v>
    </oc>
    <nc r="AB47">
      <v>43896</v>
    </nc>
    <odxf>
      <numFmt numFmtId="164" formatCode="[$-409]d\-mmm\-yyyy;@"/>
    </odxf>
    <ndxf>
      <numFmt numFmtId="19" formatCode="m/d/yyyy"/>
    </ndxf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B46" start="0" length="0">
    <dxf>
      <numFmt numFmtId="164" formatCode="[$-409]d\-mmm\-yyyy;@"/>
    </dxf>
  </rfmt>
  <rfmt sheetId="1" sqref="AB47" start="0" length="0">
    <dxf>
      <numFmt numFmtId="164" formatCode="[$-409]d\-mmm\-yyyy;@"/>
    </dxf>
  </rfmt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6" sId="1">
    <oc r="V63">
      <f>ROUNDDOWN(T63/HLOOKUP(D63,Table!$C$3:$D$4,2,0)*8,2)</f>
    </oc>
    <nc r="V63">
      <f>ROUNDDOWN(T63/HLOOKUP(D63,Table!$C$3:$D$4,2,0)*8,2)</f>
    </nc>
  </rcc>
  <rcc rId="437" sId="1">
    <oc r="V64">
      <f>ROUNDDOWN(T64/HLOOKUP(D64,Table!$C$3:$D$4,2,0)*8,2)</f>
    </oc>
    <nc r="V64">
      <f>ROUNDDOWN(T64/HLOOKUP(D64,Table!$C$3:$D$4,2,0)*8,2)</f>
    </nc>
  </rcc>
  <rcc rId="438" sId="1">
    <oc r="V65">
      <f>ROUNDDOWN(T65/HLOOKUP(D65,Table!$C$3:$D$4,2,0)*8,2)</f>
    </oc>
    <nc r="V65">
      <f>ROUNDDOWN(T65/HLOOKUP(D65,Table!$C$3:$D$4,2,0)*8,2)</f>
    </nc>
  </rcc>
  <rcc rId="439" sId="1">
    <oc r="V66">
      <f>ROUNDDOWN(T66/HLOOKUP(D66,Table!$C$3:$D$4,2,0)*8,2)</f>
    </oc>
    <nc r="V66">
      <f>ROUNDDOWN(T66/HLOOKUP(D66,Table!$C$3:$D$4,2,0)*8,2)</f>
    </nc>
  </rcc>
  <rfmt sheetId="1" sqref="N1:N1048576">
    <dxf>
      <fill>
        <patternFill patternType="none">
          <bgColor auto="1"/>
        </patternFill>
      </fill>
    </dxf>
  </rfmt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1">
    <oc r="E90">
      <f>SUMIFS($U$3:$U$82,$D$3:$D$82,Table!$C$3,$P$3:$P$82,C90)-SUM(SUMIFS($U$3:$U$82,$D$3:$D$82,Table!$C$3,$P$3:$P$82,C90,$X$3:$X$82,{"Ongoing","N/A"}))</f>
    </oc>
    <nc r="E90">
      <f>SUMIFS($U$3:$U$82,$D$3:$D$82,Table!$C$3,$P$3:$P$82,C90)-SUM(SUMIFS($U$3:$U$82,$D$3:$D$82,Table!$C$3,$P$3:$P$82,C90,$X$3:$X$82,{"Ongoing","N/A"}))</f>
    </nc>
  </rcc>
  <rcc rId="445" sId="1">
    <oc r="U20">
      <v>40</v>
    </oc>
    <nc r="U20">
      <v>50</v>
    </nc>
  </rcc>
  <rcc rId="446" sId="1">
    <oc r="X20" t="inlineStr">
      <is>
        <t>N/A</t>
      </is>
    </oc>
    <nc r="X20" t="inlineStr">
      <is>
        <t>Ready for review</t>
      </is>
    </nc>
  </rcc>
  <rcc rId="447" sId="1" numFmtId="19">
    <nc r="AB20">
      <v>43896</v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2" sId="1">
    <nc r="Q61" t="inlineStr">
      <is>
        <t>duong.nguyen</t>
      </is>
    </nc>
  </rcc>
  <rcc rId="453" sId="1">
    <nc r="Q62" t="inlineStr">
      <is>
        <t>duong.nguyen</t>
      </is>
    </nc>
  </rcc>
  <rcc rId="454" sId="1">
    <nc r="Q63" t="inlineStr">
      <is>
        <t>duong.nguyen</t>
      </is>
    </nc>
  </rcc>
  <rcc rId="455" sId="1">
    <nc r="Q64" t="inlineStr">
      <is>
        <t>duong.nguyen</t>
      </is>
    </nc>
  </rcc>
  <rcc rId="456" sId="1">
    <nc r="Q65" t="inlineStr">
      <is>
        <t>duong.nguyen</t>
      </is>
    </nc>
  </rcc>
  <rcc rId="457" sId="1">
    <nc r="Q66" t="inlineStr">
      <is>
        <t>duong.nguyen</t>
      </is>
    </nc>
  </rcc>
  <rcc rId="458" sId="1">
    <nc r="R61" t="inlineStr">
      <is>
        <t>Yes</t>
      </is>
    </nc>
  </rcc>
  <rcc rId="459" sId="1">
    <nc r="R62" t="inlineStr">
      <is>
        <t>Yes</t>
      </is>
    </nc>
  </rcc>
  <rcc rId="460" sId="1">
    <nc r="R63" t="inlineStr">
      <is>
        <t>Yes</t>
      </is>
    </nc>
  </rcc>
  <rcc rId="461" sId="1">
    <nc r="R64" t="inlineStr">
      <is>
        <t>Yes</t>
      </is>
    </nc>
  </rcc>
  <rcc rId="462" sId="1">
    <nc r="R65" t="inlineStr">
      <is>
        <t>Yes</t>
      </is>
    </nc>
  </rcc>
  <rcc rId="463" sId="1">
    <nc r="R66" t="inlineStr">
      <is>
        <t>Yes</t>
      </is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6" sId="1">
    <oc r="X61" t="inlineStr">
      <is>
        <t>Ready for review</t>
      </is>
    </oc>
    <nc r="X61" t="inlineStr">
      <is>
        <t>Ready for delivery</t>
      </is>
    </nc>
  </rcc>
  <rcc rId="467" sId="1">
    <oc r="X62" t="inlineStr">
      <is>
        <t>Ready for review</t>
      </is>
    </oc>
    <nc r="X62" t="inlineStr">
      <is>
        <t>Ready for delivery</t>
      </is>
    </nc>
  </rcc>
  <rcc rId="468" sId="1">
    <oc r="X63" t="inlineStr">
      <is>
        <t>Ready for review</t>
      </is>
    </oc>
    <nc r="X63" t="inlineStr">
      <is>
        <t>Ready for delivery</t>
      </is>
    </nc>
  </rcc>
  <rcc rId="469" sId="1">
    <nc r="X64" t="inlineStr">
      <is>
        <t>Ready for delivery</t>
      </is>
    </nc>
  </rcc>
  <rcc rId="470" sId="1">
    <oc r="X65" t="inlineStr">
      <is>
        <t>Ready for review</t>
      </is>
    </oc>
    <nc r="X65" t="inlineStr">
      <is>
        <t>Ready for delivery</t>
      </is>
    </nc>
  </rcc>
  <rcc rId="471" sId="1">
    <oc r="X66" t="inlineStr">
      <is>
        <t>Ready for review</t>
      </is>
    </oc>
    <nc r="X66" t="inlineStr">
      <is>
        <t>Ready for delivery</t>
      </is>
    </nc>
  </rcc>
  <rfmt sheetId="1" sqref="AA63" start="0" length="0">
    <dxf>
      <numFmt numFmtId="164" formatCode="[$-409]d\-mmm\-yyyy;@"/>
    </dxf>
  </rfmt>
  <rfmt sheetId="1" sqref="AB63" start="0" length="0">
    <dxf>
      <numFmt numFmtId="164" formatCode="[$-409]d\-mmm\-yyyy;@"/>
    </dxf>
  </rfmt>
  <rcc rId="472" sId="1" odxf="1" dxf="1" numFmtId="19">
    <nc r="AA64">
      <v>43896</v>
    </nc>
    <odxf>
      <numFmt numFmtId="19" formatCode="m/d/yyyy"/>
    </odxf>
    <ndxf>
      <numFmt numFmtId="164" formatCode="[$-409]d\-mmm\-yyyy;@"/>
    </ndxf>
  </rcc>
  <rcc rId="473" sId="1" odxf="1" dxf="1" numFmtId="19">
    <nc r="AB64">
      <v>43896</v>
    </nc>
    <odxf>
      <numFmt numFmtId="19" formatCode="m/d/yyyy"/>
    </odxf>
    <ndxf>
      <numFmt numFmtId="164" formatCode="[$-409]d\-mmm\-yyyy;@"/>
    </ndxf>
  </rcc>
  <rfmt sheetId="1" sqref="AA65" start="0" length="0">
    <dxf>
      <numFmt numFmtId="164" formatCode="[$-409]d\-mmm\-yyyy;@"/>
    </dxf>
  </rfmt>
  <rfmt sheetId="1" sqref="AB65" start="0" length="0">
    <dxf>
      <numFmt numFmtId="164" formatCode="[$-409]d\-mmm\-yyyy;@"/>
    </dxf>
  </rfmt>
  <rfmt sheetId="1" sqref="AA66" start="0" length="0">
    <dxf>
      <numFmt numFmtId="164" formatCode="[$-409]d\-mmm\-yyyy;@"/>
    </dxf>
  </rfmt>
  <rfmt sheetId="1" sqref="AB66" start="0" length="0">
    <dxf>
      <numFmt numFmtId="164" formatCode="[$-409]d\-mmm\-yyyy;@"/>
    </dxf>
  </rfmt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6" sId="1" numFmtId="19">
    <nc r="Z61">
      <v>43896</v>
    </nc>
  </rcc>
  <rcc rId="477" sId="1" numFmtId="19">
    <nc r="Z62">
      <v>43896</v>
    </nc>
  </rcc>
  <rcc rId="478" sId="1" numFmtId="19">
    <nc r="Z63">
      <v>43896</v>
    </nc>
  </rcc>
  <rcc rId="479" sId="1" numFmtId="19">
    <nc r="Z64">
      <v>43896</v>
    </nc>
  </rcc>
  <rcc rId="480" sId="1" numFmtId="19">
    <nc r="Z65">
      <v>43896</v>
    </nc>
  </rcc>
  <rcc rId="481" sId="1" numFmtId="19">
    <nc r="Z66">
      <v>43896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2" sId="1">
    <nc r="AC64" t="inlineStr">
      <is>
        <t>NG</t>
      </is>
    </nc>
  </rcc>
  <rcc rId="483" sId="1">
    <nc r="AD64" t="inlineStr">
      <is>
        <t>?</t>
      </is>
    </nc>
  </rcc>
  <rcc rId="484" sId="1">
    <nc r="AE64" t="inlineStr">
      <is>
        <t>?</t>
      </is>
    </nc>
  </rcc>
  <rcc rId="485" sId="1">
    <nc r="AF64" t="inlineStr">
      <is>
        <t>?</t>
      </is>
    </nc>
  </rcc>
  <rcc rId="486" sId="1">
    <nc r="U61">
      <v>96</v>
    </nc>
  </rcc>
  <rcc rId="487" sId="1">
    <nc r="U13">
      <v>90</v>
    </nc>
  </rcc>
  <rcc rId="488" sId="1">
    <nc r="W13">
      <v>2</v>
    </nc>
  </rcc>
  <rcc rId="489" sId="1">
    <nc r="AC13" t="inlineStr">
      <is>
        <t>NG</t>
      </is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2" sId="1" numFmtId="19">
    <oc r="Z15">
      <v>43896</v>
    </oc>
    <nc r="Z15">
      <v>43899</v>
    </nc>
  </rcc>
  <rcc rId="493" sId="1" numFmtId="19">
    <oc r="Z16">
      <v>43896</v>
    </oc>
    <nc r="Z16">
      <v>43899</v>
    </nc>
  </rcc>
  <rcc rId="494" sId="1" numFmtId="19">
    <oc r="Z17">
      <v>43896</v>
    </oc>
    <nc r="Z17">
      <v>43899</v>
    </nc>
  </rcc>
  <rcc rId="495" sId="1" numFmtId="19">
    <oc r="Z18">
      <v>43896</v>
    </oc>
    <nc r="Z18">
      <v>43899</v>
    </nc>
  </rcc>
  <rcc rId="496" sId="1" numFmtId="19">
    <oc r="Z19">
      <v>43896</v>
    </oc>
    <nc r="Z19">
      <v>43899</v>
    </nc>
  </rcc>
  <rcc rId="497" sId="1" numFmtId="19">
    <oc r="Z20">
      <v>43896</v>
    </oc>
    <nc r="Z20">
      <v>43899</v>
    </nc>
  </rcc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500" sheetId="1" source="AG19" destination="AG20" sourceSheetId="1">
    <rfmt sheetId="1" sqref="AG20" start="0" length="0">
      <dxf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v guid="{7E0EA425-A420-4443-B9E0-CDF0AA9E5D09}" action="delete"/>
  <rdn rId="0" localSheetId="1" customView="1" name="Z_7E0EA425_A420_4443_B9E0_CDF0AA9E5D09_.wvu.FilterData" hidden="1" oldHidden="1">
    <formula>COEM_Package_20200302!$B$2:$AH$66</formula>
    <oldFormula>COEM_Package_20200302!$B$2:$AH$66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3" sId="1">
    <nc r="T64">
      <v>80</v>
    </nc>
  </rcc>
  <rcc rId="504" sId="1">
    <nc r="U64">
      <v>80</v>
    </nc>
  </rcc>
  <rcc rId="505" sId="1">
    <oc r="E102">
      <f>SUMIFS($T$3:$T$82,$D$3:$D$82,Table!$D$3,$P$3:$P$82,C102)-SUM(SUMIFS($T$3:$T$82,$D$3:$D$82,Table!$D$3,$P$3:$P$82,C102,$X$3:$X$82,{"Ongoing","N/A"}))</f>
    </oc>
    <nc r="E102">
      <f>SUMIFS($T$3:$T$82,$D$3:$D$82,Table!$D$3,$P$3:$P$82,C102)-SUM(SUMIFS($T$3:$T$82,$D$3:$D$82,Table!$D$3,$P$3:$P$82,C102,$X$3:$X$82,{"Ongoing","N/A"}))</f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F0CA112A-40AC-4D1F-AD2F-0AB7044C90BF}" name="EXTERNAL Nguyen Kim Thanh (Ban Vien, RBVH/EPS45)" id="-41229748" dateTime="2020-03-06T17:15:3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7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printerSettings" Target="../printerSettings/printerSettings13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AH105"/>
  <sheetViews>
    <sheetView topLeftCell="R1" zoomScaleNormal="100" workbookViewId="0">
      <selection activeCell="AG19" sqref="AG19"/>
    </sheetView>
  </sheetViews>
  <sheetFormatPr defaultRowHeight="15" x14ac:dyDescent="0.25"/>
  <cols>
    <col min="3" max="3" width="17.85546875" bestFit="1" customWidth="1"/>
    <col min="4" max="4" width="17.42578125" bestFit="1" customWidth="1"/>
    <col min="5" max="5" width="53.28515625" bestFit="1" customWidth="1"/>
    <col min="6" max="6" width="59" bestFit="1" customWidth="1"/>
    <col min="7" max="7" width="12" bestFit="1" customWidth="1"/>
    <col min="8" max="8" width="59.140625" bestFit="1" customWidth="1"/>
    <col min="9" max="9" width="16.85546875" bestFit="1" customWidth="1"/>
    <col min="10" max="10" width="19.28515625" customWidth="1"/>
    <col min="11" max="11" width="28.28515625" bestFit="1" customWidth="1"/>
    <col min="12" max="12" width="26.28515625" bestFit="1" customWidth="1"/>
    <col min="13" max="13" width="35.140625" bestFit="1" customWidth="1"/>
    <col min="14" max="14" width="35.140625" style="59" customWidth="1"/>
    <col min="15" max="15" width="10.42578125" bestFit="1" customWidth="1"/>
    <col min="16" max="17" width="17.5703125" bestFit="1" customWidth="1"/>
    <col min="18" max="18" width="16" bestFit="1" customWidth="1"/>
    <col min="19" max="19" width="13.5703125" bestFit="1" customWidth="1"/>
    <col min="20" max="20" width="14.85546875" customWidth="1"/>
    <col min="21" max="21" width="12.85546875" bestFit="1" customWidth="1"/>
    <col min="22" max="22" width="14" customWidth="1"/>
    <col min="23" max="23" width="11.140625" bestFit="1" customWidth="1"/>
    <col min="24" max="24" width="17.42578125" bestFit="1" customWidth="1"/>
    <col min="25" max="25" width="12.85546875" bestFit="1" customWidth="1"/>
    <col min="26" max="27" width="12" bestFit="1" customWidth="1"/>
    <col min="28" max="28" width="10.85546875" bestFit="1" customWidth="1"/>
    <col min="29" max="29" width="12.42578125" bestFit="1" customWidth="1"/>
    <col min="30" max="30" width="5" bestFit="1" customWidth="1"/>
    <col min="31" max="31" width="4" bestFit="1" customWidth="1"/>
    <col min="32" max="32" width="6.42578125" bestFit="1" customWidth="1"/>
    <col min="33" max="34" width="44.42578125" bestFit="1" customWidth="1"/>
    <col min="35" max="35" width="39.85546875" customWidth="1"/>
  </cols>
  <sheetData>
    <row r="2" spans="2:34" x14ac:dyDescent="0.25">
      <c r="B2" s="2" t="s">
        <v>0</v>
      </c>
      <c r="C2" s="2" t="s">
        <v>99</v>
      </c>
      <c r="D2" s="2" t="s">
        <v>1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236</v>
      </c>
      <c r="J2" s="2" t="s">
        <v>116</v>
      </c>
      <c r="K2" s="2" t="s">
        <v>109</v>
      </c>
      <c r="L2" s="2" t="s">
        <v>91</v>
      </c>
      <c r="M2" s="2" t="s">
        <v>197</v>
      </c>
      <c r="N2" s="4" t="s">
        <v>69</v>
      </c>
      <c r="O2" s="4" t="s">
        <v>8</v>
      </c>
      <c r="P2" s="4" t="s">
        <v>9</v>
      </c>
      <c r="Q2" s="4" t="s">
        <v>189</v>
      </c>
      <c r="R2" s="4" t="s">
        <v>220</v>
      </c>
      <c r="S2" s="4" t="s">
        <v>179</v>
      </c>
      <c r="T2" s="4" t="s">
        <v>180</v>
      </c>
      <c r="U2" s="4" t="s">
        <v>66</v>
      </c>
      <c r="V2" s="4" t="s">
        <v>190</v>
      </c>
      <c r="W2" s="4" t="s">
        <v>67</v>
      </c>
      <c r="X2" s="4" t="s">
        <v>20</v>
      </c>
      <c r="Y2" s="4" t="s">
        <v>88</v>
      </c>
      <c r="Z2" s="4" t="s">
        <v>89</v>
      </c>
      <c r="AA2" s="2" t="s">
        <v>13</v>
      </c>
      <c r="AB2" s="2" t="s">
        <v>14</v>
      </c>
      <c r="AC2" s="2" t="s">
        <v>183</v>
      </c>
      <c r="AD2" s="2" t="s">
        <v>16</v>
      </c>
      <c r="AE2" s="2" t="s">
        <v>17</v>
      </c>
      <c r="AF2" s="4" t="s">
        <v>18</v>
      </c>
      <c r="AG2" s="4" t="s">
        <v>19</v>
      </c>
      <c r="AH2" s="4" t="s">
        <v>198</v>
      </c>
    </row>
    <row r="3" spans="2:34" x14ac:dyDescent="0.25">
      <c r="B3" s="30">
        <v>1</v>
      </c>
      <c r="C3" s="32">
        <v>20200302</v>
      </c>
      <c r="D3" s="30" t="s">
        <v>3</v>
      </c>
      <c r="E3" s="30" t="s">
        <v>75</v>
      </c>
      <c r="F3" s="30" t="s">
        <v>174</v>
      </c>
      <c r="G3" s="30">
        <v>1348323</v>
      </c>
      <c r="H3" s="30" t="s">
        <v>83</v>
      </c>
      <c r="I3" s="30" t="s">
        <v>237</v>
      </c>
      <c r="J3" s="33" t="s">
        <v>90</v>
      </c>
      <c r="K3" s="30" t="s">
        <v>110</v>
      </c>
      <c r="L3" s="33" t="str">
        <f>IF(D3="ASW","PUT_VERSION","-")</f>
        <v>-</v>
      </c>
      <c r="M3" s="33" t="s">
        <v>200</v>
      </c>
      <c r="N3" s="32"/>
      <c r="O3" s="32" t="s">
        <v>191</v>
      </c>
      <c r="P3" s="30" t="s">
        <v>103</v>
      </c>
      <c r="Q3" s="30" t="s">
        <v>6</v>
      </c>
      <c r="R3" s="30" t="s">
        <v>188</v>
      </c>
      <c r="S3" s="30">
        <v>113</v>
      </c>
      <c r="T3" s="30">
        <v>113</v>
      </c>
      <c r="U3" s="30">
        <v>113</v>
      </c>
      <c r="V3" s="30">
        <v>3</v>
      </c>
      <c r="W3" s="30">
        <v>4</v>
      </c>
      <c r="X3" s="30" t="s">
        <v>21</v>
      </c>
      <c r="Y3" s="35">
        <v>43892</v>
      </c>
      <c r="Z3" s="35">
        <v>43894</v>
      </c>
      <c r="AA3" s="35">
        <v>43892</v>
      </c>
      <c r="AB3" s="35">
        <v>43893</v>
      </c>
      <c r="AC3" s="39" t="s">
        <v>185</v>
      </c>
      <c r="AD3" s="39">
        <v>100</v>
      </c>
      <c r="AE3" s="39">
        <v>100</v>
      </c>
      <c r="AF3" s="39">
        <v>100</v>
      </c>
      <c r="AG3" s="30"/>
      <c r="AH3" s="30"/>
    </row>
    <row r="4" spans="2:34" s="25" customFormat="1" x14ac:dyDescent="0.2">
      <c r="B4" s="39">
        <f>B3+1</f>
        <v>2</v>
      </c>
      <c r="C4" s="27">
        <v>20200302</v>
      </c>
      <c r="D4" s="39" t="s">
        <v>3</v>
      </c>
      <c r="E4" s="39" t="s">
        <v>76</v>
      </c>
      <c r="F4" s="39" t="s">
        <v>175</v>
      </c>
      <c r="G4" s="30">
        <v>1345876</v>
      </c>
      <c r="H4" s="39" t="s">
        <v>84</v>
      </c>
      <c r="I4" s="30" t="s">
        <v>237</v>
      </c>
      <c r="J4" s="30" t="s">
        <v>117</v>
      </c>
      <c r="K4" s="30" t="s">
        <v>111</v>
      </c>
      <c r="L4" s="33" t="str">
        <f>IF(D4="ASW","PUT_VERSION","-")</f>
        <v>-</v>
      </c>
      <c r="M4" s="33" t="s">
        <v>201</v>
      </c>
      <c r="N4" s="32"/>
      <c r="O4" s="32" t="s">
        <v>191</v>
      </c>
      <c r="P4" s="39" t="s">
        <v>104</v>
      </c>
      <c r="Q4" s="39" t="s">
        <v>6</v>
      </c>
      <c r="R4" s="30" t="s">
        <v>188</v>
      </c>
      <c r="S4" s="30">
        <v>148</v>
      </c>
      <c r="T4" s="36">
        <v>357</v>
      </c>
      <c r="U4" s="39">
        <v>357</v>
      </c>
      <c r="V4" s="30">
        <v>10</v>
      </c>
      <c r="W4" s="39">
        <v>6</v>
      </c>
      <c r="X4" s="30" t="s">
        <v>21</v>
      </c>
      <c r="Y4" s="28">
        <v>43893</v>
      </c>
      <c r="Z4" s="28">
        <v>43894</v>
      </c>
      <c r="AA4" s="28">
        <v>43892</v>
      </c>
      <c r="AB4" s="54">
        <v>43892</v>
      </c>
      <c r="AC4" s="39" t="s">
        <v>185</v>
      </c>
      <c r="AD4" s="39">
        <v>100</v>
      </c>
      <c r="AE4" s="39">
        <v>100</v>
      </c>
      <c r="AF4" s="39">
        <v>100</v>
      </c>
      <c r="AG4" s="30" t="s">
        <v>221</v>
      </c>
      <c r="AH4" s="30"/>
    </row>
    <row r="5" spans="2:34" x14ac:dyDescent="0.25">
      <c r="B5" s="39">
        <f t="shared" ref="B5:B66" si="0">B4+1</f>
        <v>3</v>
      </c>
      <c r="C5" s="32">
        <v>20200302</v>
      </c>
      <c r="D5" s="30" t="s">
        <v>3</v>
      </c>
      <c r="E5" s="30" t="s">
        <v>77</v>
      </c>
      <c r="F5" s="30" t="s">
        <v>176</v>
      </c>
      <c r="G5" s="30">
        <v>1350941</v>
      </c>
      <c r="H5" s="30" t="s">
        <v>85</v>
      </c>
      <c r="I5" s="30" t="s">
        <v>237</v>
      </c>
      <c r="J5" s="30" t="s">
        <v>118</v>
      </c>
      <c r="K5" s="30" t="s">
        <v>112</v>
      </c>
      <c r="L5" s="33" t="str">
        <f>IF(D5="ASW","PUT_VERSION","-")</f>
        <v>-</v>
      </c>
      <c r="M5" s="33" t="s">
        <v>202</v>
      </c>
      <c r="N5" s="32"/>
      <c r="O5" s="32" t="s">
        <v>191</v>
      </c>
      <c r="P5" s="30" t="s">
        <v>103</v>
      </c>
      <c r="Q5" s="30" t="s">
        <v>6</v>
      </c>
      <c r="R5" s="30" t="s">
        <v>188</v>
      </c>
      <c r="S5" s="30">
        <v>291</v>
      </c>
      <c r="T5" s="30">
        <v>291</v>
      </c>
      <c r="U5" s="30">
        <v>291</v>
      </c>
      <c r="V5" s="30">
        <v>8</v>
      </c>
      <c r="W5" s="30">
        <v>10</v>
      </c>
      <c r="X5" s="30" t="s">
        <v>21</v>
      </c>
      <c r="Y5" s="35">
        <v>43892</v>
      </c>
      <c r="Z5" s="35">
        <v>43894</v>
      </c>
      <c r="AA5" s="35">
        <v>43892</v>
      </c>
      <c r="AB5" s="35">
        <v>43893</v>
      </c>
      <c r="AC5" s="35" t="s">
        <v>185</v>
      </c>
      <c r="AD5" s="39">
        <v>100</v>
      </c>
      <c r="AE5" s="39">
        <v>100</v>
      </c>
      <c r="AF5" s="39">
        <v>100</v>
      </c>
      <c r="AG5" s="30" t="s">
        <v>181</v>
      </c>
      <c r="AH5" s="30" t="s">
        <v>222</v>
      </c>
    </row>
    <row r="6" spans="2:34" ht="30" x14ac:dyDescent="0.25">
      <c r="B6" s="39">
        <f t="shared" si="0"/>
        <v>4</v>
      </c>
      <c r="C6" s="32">
        <v>20200302</v>
      </c>
      <c r="D6" s="30" t="s">
        <v>3</v>
      </c>
      <c r="E6" s="30" t="s">
        <v>78</v>
      </c>
      <c r="F6" s="30" t="s">
        <v>177</v>
      </c>
      <c r="G6" s="30">
        <v>1351929</v>
      </c>
      <c r="H6" s="30" t="s">
        <v>86</v>
      </c>
      <c r="I6" s="30" t="s">
        <v>237</v>
      </c>
      <c r="J6" s="30" t="s">
        <v>119</v>
      </c>
      <c r="K6" s="31" t="s">
        <v>113</v>
      </c>
      <c r="L6" s="33" t="str">
        <f>IF(D6="ASW","PUT_VERSION","-")</f>
        <v>-</v>
      </c>
      <c r="M6" s="33" t="s">
        <v>200</v>
      </c>
      <c r="N6" s="32"/>
      <c r="O6" s="32" t="s">
        <v>191</v>
      </c>
      <c r="P6" s="30" t="s">
        <v>106</v>
      </c>
      <c r="Q6" s="30" t="s">
        <v>6</v>
      </c>
      <c r="R6" s="30" t="s">
        <v>188</v>
      </c>
      <c r="S6" s="30">
        <v>254</v>
      </c>
      <c r="T6" s="30">
        <v>254</v>
      </c>
      <c r="U6" s="30">
        <v>254</v>
      </c>
      <c r="V6" s="30">
        <f>ROUNDDOWN(T6/HLOOKUP(D6,Table!$C$3:$D$4,2,0)*8,2)</f>
        <v>4.51</v>
      </c>
      <c r="W6" s="30">
        <v>4</v>
      </c>
      <c r="X6" s="30" t="s">
        <v>234</v>
      </c>
      <c r="Y6" s="35">
        <v>43892</v>
      </c>
      <c r="Z6" s="35">
        <v>43893</v>
      </c>
      <c r="AA6" s="35">
        <v>43892</v>
      </c>
      <c r="AB6" s="35">
        <v>43893</v>
      </c>
      <c r="AC6" s="35" t="s">
        <v>184</v>
      </c>
      <c r="AD6" s="39">
        <v>100</v>
      </c>
      <c r="AE6" s="39">
        <v>100</v>
      </c>
      <c r="AF6" s="39">
        <v>95</v>
      </c>
      <c r="AG6" s="42" t="s">
        <v>186</v>
      </c>
      <c r="AH6" s="42" t="s">
        <v>199</v>
      </c>
    </row>
    <row r="7" spans="2:34" x14ac:dyDescent="0.25">
      <c r="B7" s="39">
        <f t="shared" si="0"/>
        <v>5</v>
      </c>
      <c r="C7" s="32">
        <v>20200302</v>
      </c>
      <c r="D7" s="30" t="s">
        <v>2</v>
      </c>
      <c r="E7" s="31" t="s">
        <v>87</v>
      </c>
      <c r="F7" s="33" t="s">
        <v>90</v>
      </c>
      <c r="G7" s="30">
        <v>1352219</v>
      </c>
      <c r="H7" s="30" t="s">
        <v>70</v>
      </c>
      <c r="I7" s="30" t="s">
        <v>237</v>
      </c>
      <c r="J7" s="33" t="s">
        <v>90</v>
      </c>
      <c r="K7" s="30">
        <v>1352219</v>
      </c>
      <c r="L7" s="33" t="s">
        <v>133</v>
      </c>
      <c r="M7" s="33" t="s">
        <v>203</v>
      </c>
      <c r="N7" s="32"/>
      <c r="O7" s="32" t="s">
        <v>191</v>
      </c>
      <c r="P7" s="30" t="s">
        <v>105</v>
      </c>
      <c r="Q7" s="30" t="s">
        <v>6</v>
      </c>
      <c r="R7" s="30" t="s">
        <v>188</v>
      </c>
      <c r="S7" s="30">
        <v>19</v>
      </c>
      <c r="T7" s="30">
        <v>19</v>
      </c>
      <c r="U7" s="30">
        <v>19</v>
      </c>
      <c r="V7" s="30">
        <f>ROUNDDOWN(T7/HLOOKUP(D7,Table!$C$3:$D$4,2,0)*8,2)</f>
        <v>1.1599999999999999</v>
      </c>
      <c r="W7" s="30">
        <v>4</v>
      </c>
      <c r="X7" s="30" t="s">
        <v>234</v>
      </c>
      <c r="Y7" s="35">
        <v>43892</v>
      </c>
      <c r="Z7" s="35">
        <v>43893</v>
      </c>
      <c r="AA7" s="35">
        <v>43893</v>
      </c>
      <c r="AB7" s="35">
        <v>43893</v>
      </c>
      <c r="AC7" s="35" t="s">
        <v>184</v>
      </c>
      <c r="AD7" s="39">
        <v>95.6</v>
      </c>
      <c r="AE7" s="39">
        <v>96</v>
      </c>
      <c r="AF7" s="43" t="s">
        <v>90</v>
      </c>
      <c r="AG7" s="30" t="s">
        <v>182</v>
      </c>
      <c r="AH7" s="30" t="s">
        <v>222</v>
      </c>
    </row>
    <row r="8" spans="2:34" x14ac:dyDescent="0.25">
      <c r="B8" s="39">
        <f t="shared" si="0"/>
        <v>6</v>
      </c>
      <c r="C8" s="32">
        <v>20200302</v>
      </c>
      <c r="D8" s="30" t="s">
        <v>3</v>
      </c>
      <c r="E8" s="30" t="s">
        <v>93</v>
      </c>
      <c r="F8" s="33" t="s">
        <v>235</v>
      </c>
      <c r="G8" s="30">
        <v>1351848</v>
      </c>
      <c r="H8" s="30" t="s">
        <v>95</v>
      </c>
      <c r="I8" s="30" t="s">
        <v>237</v>
      </c>
      <c r="J8" s="30">
        <v>80504</v>
      </c>
      <c r="K8" s="30" t="s">
        <v>111</v>
      </c>
      <c r="L8" s="33" t="str">
        <f t="shared" ref="L8:L19" si="1">IF(D8="ASW","PUT_VERSION","-")</f>
        <v>-</v>
      </c>
      <c r="M8" s="33" t="s">
        <v>204</v>
      </c>
      <c r="N8" s="32"/>
      <c r="O8" s="32" t="s">
        <v>192</v>
      </c>
      <c r="P8" s="30" t="s">
        <v>105</v>
      </c>
      <c r="Q8" s="30" t="s">
        <v>6</v>
      </c>
      <c r="R8" s="30" t="s">
        <v>188</v>
      </c>
      <c r="S8" s="30">
        <v>478</v>
      </c>
      <c r="T8" s="30">
        <v>478</v>
      </c>
      <c r="U8" s="30">
        <v>478</v>
      </c>
      <c r="V8" s="30">
        <f>ROUNDDOWN(T8/HLOOKUP(D8,Table!$C$3:$D$4,2,0)*8,2)</f>
        <v>8.49</v>
      </c>
      <c r="W8" s="30">
        <v>14</v>
      </c>
      <c r="X8" s="30" t="s">
        <v>24</v>
      </c>
      <c r="Y8" s="35">
        <v>43892</v>
      </c>
      <c r="Z8" s="35">
        <v>43894</v>
      </c>
      <c r="AA8" s="35">
        <v>43892</v>
      </c>
      <c r="AB8" s="35">
        <v>43894</v>
      </c>
      <c r="AC8" s="35" t="s">
        <v>184</v>
      </c>
      <c r="AD8" s="39">
        <v>99</v>
      </c>
      <c r="AE8" s="39">
        <v>99</v>
      </c>
      <c r="AF8" s="39">
        <v>100</v>
      </c>
      <c r="AG8" s="30" t="s">
        <v>232</v>
      </c>
      <c r="AH8" s="30" t="s">
        <v>222</v>
      </c>
    </row>
    <row r="9" spans="2:34" s="25" customFormat="1" x14ac:dyDescent="0.2">
      <c r="B9" s="39">
        <f t="shared" si="0"/>
        <v>7</v>
      </c>
      <c r="C9" s="32">
        <v>20200302</v>
      </c>
      <c r="D9" s="40" t="s">
        <v>3</v>
      </c>
      <c r="E9" s="40" t="s">
        <v>93</v>
      </c>
      <c r="F9" s="33" t="s">
        <v>229</v>
      </c>
      <c r="G9" s="30">
        <v>1351848</v>
      </c>
      <c r="H9" s="27" t="s">
        <v>96</v>
      </c>
      <c r="I9" s="30" t="s">
        <v>237</v>
      </c>
      <c r="J9" s="30">
        <v>80504</v>
      </c>
      <c r="K9" s="30" t="s">
        <v>111</v>
      </c>
      <c r="L9" s="33" t="str">
        <f t="shared" si="1"/>
        <v>-</v>
      </c>
      <c r="M9" s="33" t="s">
        <v>204</v>
      </c>
      <c r="N9" s="32"/>
      <c r="O9" s="32" t="s">
        <v>192</v>
      </c>
      <c r="P9" s="27" t="s">
        <v>104</v>
      </c>
      <c r="Q9" s="32" t="s">
        <v>6</v>
      </c>
      <c r="R9" s="30" t="s">
        <v>188</v>
      </c>
      <c r="S9" s="30">
        <v>286</v>
      </c>
      <c r="T9" s="37">
        <v>59</v>
      </c>
      <c r="U9" s="27">
        <v>59</v>
      </c>
      <c r="V9" s="30">
        <f>ROUNDDOWN(T9/HLOOKUP(D9,Table!$C$3:$D$4,2,0)*8,2)</f>
        <v>1.04</v>
      </c>
      <c r="W9" s="27">
        <v>1</v>
      </c>
      <c r="X9" s="30" t="s">
        <v>21</v>
      </c>
      <c r="Y9" s="35">
        <v>43892</v>
      </c>
      <c r="Z9" s="35">
        <v>43894</v>
      </c>
      <c r="AA9" s="35">
        <v>43893</v>
      </c>
      <c r="AB9" s="35">
        <v>43892</v>
      </c>
      <c r="AC9" s="35" t="s">
        <v>185</v>
      </c>
      <c r="AD9" s="39">
        <v>100</v>
      </c>
      <c r="AE9" s="39">
        <v>100</v>
      </c>
      <c r="AF9" s="39">
        <v>100</v>
      </c>
      <c r="AG9" s="30" t="s">
        <v>114</v>
      </c>
      <c r="AH9" s="30"/>
    </row>
    <row r="10" spans="2:34" x14ac:dyDescent="0.25">
      <c r="B10" s="39">
        <f t="shared" si="0"/>
        <v>8</v>
      </c>
      <c r="C10" s="32">
        <v>20200302</v>
      </c>
      <c r="D10" s="29" t="s">
        <v>3</v>
      </c>
      <c r="E10" s="29" t="s">
        <v>93</v>
      </c>
      <c r="F10" s="33" t="s">
        <v>229</v>
      </c>
      <c r="G10" s="30">
        <v>1351848</v>
      </c>
      <c r="H10" s="29" t="s">
        <v>98</v>
      </c>
      <c r="I10" s="30" t="s">
        <v>237</v>
      </c>
      <c r="J10" s="30">
        <v>80504</v>
      </c>
      <c r="K10" s="30" t="s">
        <v>111</v>
      </c>
      <c r="L10" s="33" t="str">
        <f t="shared" si="1"/>
        <v>-</v>
      </c>
      <c r="M10" s="33" t="s">
        <v>204</v>
      </c>
      <c r="N10" s="32"/>
      <c r="O10" s="32" t="s">
        <v>192</v>
      </c>
      <c r="P10" s="29" t="s">
        <v>106</v>
      </c>
      <c r="Q10" s="30" t="s">
        <v>6</v>
      </c>
      <c r="R10" s="30" t="s">
        <v>188</v>
      </c>
      <c r="S10" s="30">
        <v>110</v>
      </c>
      <c r="T10" s="29">
        <v>110</v>
      </c>
      <c r="U10" s="29">
        <v>110</v>
      </c>
      <c r="V10" s="30">
        <f>ROUNDDOWN(T10/HLOOKUP(D10,Table!$C$3:$D$4,2,0)*8,2)</f>
        <v>1.95</v>
      </c>
      <c r="W10" s="57">
        <v>1.9</v>
      </c>
      <c r="X10" s="30" t="s">
        <v>21</v>
      </c>
      <c r="Y10" s="35">
        <v>43892</v>
      </c>
      <c r="Z10" s="35">
        <v>43894</v>
      </c>
      <c r="AA10" s="35">
        <v>43894</v>
      </c>
      <c r="AB10" s="35">
        <v>43894</v>
      </c>
      <c r="AC10" s="35" t="s">
        <v>185</v>
      </c>
      <c r="AD10" s="39">
        <v>100</v>
      </c>
      <c r="AE10" s="39">
        <v>100</v>
      </c>
      <c r="AF10" s="39">
        <v>100</v>
      </c>
      <c r="AG10" s="30"/>
      <c r="AH10" s="30"/>
    </row>
    <row r="11" spans="2:34" s="26" customFormat="1" x14ac:dyDescent="0.2">
      <c r="B11" s="39">
        <f t="shared" si="0"/>
        <v>9</v>
      </c>
      <c r="C11" s="32">
        <v>20200302</v>
      </c>
      <c r="D11" s="27" t="s">
        <v>3</v>
      </c>
      <c r="E11" s="27" t="s">
        <v>107</v>
      </c>
      <c r="F11" s="41" t="s">
        <v>230</v>
      </c>
      <c r="G11" s="30">
        <v>1278532</v>
      </c>
      <c r="H11" s="30" t="s">
        <v>226</v>
      </c>
      <c r="I11" s="30" t="s">
        <v>237</v>
      </c>
      <c r="J11" s="30" t="s">
        <v>120</v>
      </c>
      <c r="K11" s="30" t="s">
        <v>115</v>
      </c>
      <c r="L11" s="33" t="str">
        <f t="shared" si="1"/>
        <v>-</v>
      </c>
      <c r="M11" s="33" t="s">
        <v>205</v>
      </c>
      <c r="N11" s="32"/>
      <c r="O11" s="32" t="s">
        <v>193</v>
      </c>
      <c r="P11" s="27" t="s">
        <v>104</v>
      </c>
      <c r="Q11" s="27" t="s">
        <v>6</v>
      </c>
      <c r="R11" s="30" t="s">
        <v>188</v>
      </c>
      <c r="S11" s="30">
        <v>251</v>
      </c>
      <c r="T11" s="37">
        <v>294</v>
      </c>
      <c r="U11" s="27">
        <v>294</v>
      </c>
      <c r="V11" s="30">
        <f>ROUNDDOWN(T11/HLOOKUP(D11,Table!$C$3:$D$4,2,0)*8,2)</f>
        <v>5.22</v>
      </c>
      <c r="W11" s="27">
        <v>6.5</v>
      </c>
      <c r="X11" s="30" t="s">
        <v>21</v>
      </c>
      <c r="Y11" s="35">
        <v>43892</v>
      </c>
      <c r="Z11" s="35">
        <v>43894</v>
      </c>
      <c r="AA11" s="35">
        <v>43893</v>
      </c>
      <c r="AB11" s="35">
        <v>43893</v>
      </c>
      <c r="AC11" s="35" t="s">
        <v>185</v>
      </c>
      <c r="AD11" s="39">
        <v>100</v>
      </c>
      <c r="AE11" s="39">
        <v>100</v>
      </c>
      <c r="AF11" s="39">
        <v>100</v>
      </c>
      <c r="AG11" s="30" t="s">
        <v>134</v>
      </c>
      <c r="AH11" s="30"/>
    </row>
    <row r="12" spans="2:34" x14ac:dyDescent="0.25">
      <c r="B12" s="39">
        <f t="shared" si="0"/>
        <v>10</v>
      </c>
      <c r="C12" s="32">
        <v>20200302</v>
      </c>
      <c r="D12" s="30" t="s">
        <v>3</v>
      </c>
      <c r="E12" s="30" t="s">
        <v>107</v>
      </c>
      <c r="F12" s="33" t="s">
        <v>230</v>
      </c>
      <c r="G12" s="30">
        <v>1278532</v>
      </c>
      <c r="H12" s="30" t="s">
        <v>227</v>
      </c>
      <c r="I12" s="30" t="s">
        <v>237</v>
      </c>
      <c r="J12" s="30" t="s">
        <v>120</v>
      </c>
      <c r="K12" s="30" t="s">
        <v>115</v>
      </c>
      <c r="L12" s="33" t="str">
        <f t="shared" si="1"/>
        <v>-</v>
      </c>
      <c r="M12" s="33" t="s">
        <v>205</v>
      </c>
      <c r="N12" s="32"/>
      <c r="O12" s="32" t="s">
        <v>193</v>
      </c>
      <c r="P12" s="29" t="s">
        <v>104</v>
      </c>
      <c r="Q12" s="29" t="s">
        <v>6</v>
      </c>
      <c r="R12" s="30" t="s">
        <v>188</v>
      </c>
      <c r="S12" s="30">
        <v>101</v>
      </c>
      <c r="T12" s="30">
        <v>101</v>
      </c>
      <c r="U12" s="30">
        <v>101</v>
      </c>
      <c r="V12" s="30">
        <f>ROUNDDOWN(T12/HLOOKUP(D12,Table!$C$3:$D$4,2,0)*8,2)</f>
        <v>1.79</v>
      </c>
      <c r="W12" s="30">
        <v>1.5</v>
      </c>
      <c r="X12" s="30" t="s">
        <v>21</v>
      </c>
      <c r="Y12" s="35">
        <v>43892</v>
      </c>
      <c r="Z12" s="35">
        <v>43894</v>
      </c>
      <c r="AA12" s="35">
        <v>43894</v>
      </c>
      <c r="AB12" s="35">
        <v>43894</v>
      </c>
      <c r="AC12" s="44" t="s">
        <v>185</v>
      </c>
      <c r="AD12" s="39">
        <v>100</v>
      </c>
      <c r="AE12" s="39">
        <v>100</v>
      </c>
      <c r="AF12" s="39">
        <v>100</v>
      </c>
      <c r="AG12" s="30"/>
      <c r="AH12" s="30"/>
    </row>
    <row r="13" spans="2:34" x14ac:dyDescent="0.25">
      <c r="B13" s="39">
        <f t="shared" si="0"/>
        <v>11</v>
      </c>
      <c r="C13" s="32">
        <v>20200302</v>
      </c>
      <c r="D13" s="30" t="s">
        <v>3</v>
      </c>
      <c r="E13" s="30" t="s">
        <v>107</v>
      </c>
      <c r="F13" s="33" t="s">
        <v>231</v>
      </c>
      <c r="G13" s="30">
        <v>1278532</v>
      </c>
      <c r="H13" s="29" t="s">
        <v>228</v>
      </c>
      <c r="I13" s="30" t="s">
        <v>237</v>
      </c>
      <c r="J13" s="30" t="s">
        <v>120</v>
      </c>
      <c r="K13" s="30" t="s">
        <v>115</v>
      </c>
      <c r="L13" s="33" t="str">
        <f t="shared" si="1"/>
        <v>-</v>
      </c>
      <c r="M13" s="33" t="s">
        <v>205</v>
      </c>
      <c r="N13" s="32"/>
      <c r="O13" s="32" t="s">
        <v>193</v>
      </c>
      <c r="P13" s="29" t="s">
        <v>103</v>
      </c>
      <c r="Q13" s="29"/>
      <c r="R13" s="30"/>
      <c r="S13" s="30">
        <v>90</v>
      </c>
      <c r="T13" s="30">
        <v>90</v>
      </c>
      <c r="U13" s="30">
        <v>90</v>
      </c>
      <c r="V13" s="30">
        <f>ROUNDDOWN(T13/HLOOKUP(D13,Table!$C$3:$D$4,2,0)*8,2)</f>
        <v>1.6</v>
      </c>
      <c r="W13" s="30">
        <v>2</v>
      </c>
      <c r="X13" s="30" t="s">
        <v>21</v>
      </c>
      <c r="Y13" s="35">
        <v>43892</v>
      </c>
      <c r="Z13" s="35">
        <v>43894</v>
      </c>
      <c r="AA13" s="35">
        <v>43894</v>
      </c>
      <c r="AB13" s="35">
        <v>43894</v>
      </c>
      <c r="AC13" s="35" t="s">
        <v>184</v>
      </c>
      <c r="AD13" s="39">
        <v>86</v>
      </c>
      <c r="AE13" s="39">
        <v>83</v>
      </c>
      <c r="AF13" s="39">
        <v>100</v>
      </c>
      <c r="AG13" s="30"/>
      <c r="AH13" s="30"/>
    </row>
    <row r="14" spans="2:34" x14ac:dyDescent="0.25">
      <c r="B14" s="39">
        <f t="shared" si="0"/>
        <v>12</v>
      </c>
      <c r="C14" s="32">
        <v>20200302</v>
      </c>
      <c r="D14" s="30" t="s">
        <v>3</v>
      </c>
      <c r="E14" s="30" t="s">
        <v>107</v>
      </c>
      <c r="F14" s="33" t="s">
        <v>178</v>
      </c>
      <c r="G14" s="30">
        <v>1278532</v>
      </c>
      <c r="H14" s="30" t="s">
        <v>108</v>
      </c>
      <c r="I14" s="30" t="s">
        <v>237</v>
      </c>
      <c r="J14" s="30" t="s">
        <v>120</v>
      </c>
      <c r="K14" s="30" t="s">
        <v>115</v>
      </c>
      <c r="L14" s="33" t="str">
        <f t="shared" si="1"/>
        <v>-</v>
      </c>
      <c r="M14" s="33" t="s">
        <v>205</v>
      </c>
      <c r="N14" s="32"/>
      <c r="O14" s="32" t="s">
        <v>193</v>
      </c>
      <c r="P14" s="29" t="s">
        <v>104</v>
      </c>
      <c r="Q14" s="29" t="s">
        <v>6</v>
      </c>
      <c r="R14" s="30" t="s">
        <v>188</v>
      </c>
      <c r="S14" s="30">
        <v>101</v>
      </c>
      <c r="T14" s="31">
        <v>183</v>
      </c>
      <c r="U14" s="30">
        <v>183</v>
      </c>
      <c r="V14" s="30">
        <f>ROUNDDOWN(T14/HLOOKUP(D14,Table!$C$3:$D$4,2,0)*8,2)</f>
        <v>3.25</v>
      </c>
      <c r="W14" s="30">
        <v>3</v>
      </c>
      <c r="X14" s="30" t="s">
        <v>21</v>
      </c>
      <c r="Y14" s="35">
        <v>43892</v>
      </c>
      <c r="Z14" s="35">
        <v>43894</v>
      </c>
      <c r="AA14" s="35">
        <v>43894</v>
      </c>
      <c r="AB14" s="35">
        <v>43894</v>
      </c>
      <c r="AC14" s="35" t="s">
        <v>185</v>
      </c>
      <c r="AD14" s="39">
        <v>100</v>
      </c>
      <c r="AE14" s="39">
        <v>100</v>
      </c>
      <c r="AF14" s="39">
        <v>100</v>
      </c>
      <c r="AG14" s="30" t="s">
        <v>135</v>
      </c>
      <c r="AH14" s="30"/>
    </row>
    <row r="15" spans="2:34" x14ac:dyDescent="0.25">
      <c r="B15" s="39">
        <f t="shared" si="0"/>
        <v>13</v>
      </c>
      <c r="C15" s="32">
        <v>20200303</v>
      </c>
      <c r="D15" s="30" t="s">
        <v>3</v>
      </c>
      <c r="E15" s="30" t="s">
        <v>121</v>
      </c>
      <c r="F15" s="56" t="s">
        <v>254</v>
      </c>
      <c r="G15" s="30">
        <v>1352115</v>
      </c>
      <c r="H15" s="30" t="s">
        <v>122</v>
      </c>
      <c r="I15" s="30" t="s">
        <v>237</v>
      </c>
      <c r="J15" s="30" t="s">
        <v>128</v>
      </c>
      <c r="K15" s="30" t="s">
        <v>129</v>
      </c>
      <c r="L15" s="33" t="str">
        <f t="shared" si="1"/>
        <v>-</v>
      </c>
      <c r="M15" s="33" t="s">
        <v>206</v>
      </c>
      <c r="N15" s="32"/>
      <c r="O15" s="32" t="s">
        <v>191</v>
      </c>
      <c r="P15" s="30" t="s">
        <v>106</v>
      </c>
      <c r="Q15" s="30"/>
      <c r="R15" s="30"/>
      <c r="S15" s="30">
        <v>828</v>
      </c>
      <c r="T15" s="30">
        <v>828</v>
      </c>
      <c r="U15" s="30"/>
      <c r="V15" s="30">
        <f>ROUNDDOWN(T15/HLOOKUP(D15,Table!$C$3:$D$4,2,0)*8,2)</f>
        <v>14.72</v>
      </c>
      <c r="W15" s="30">
        <v>14</v>
      </c>
      <c r="X15" s="30" t="s">
        <v>21</v>
      </c>
      <c r="Y15" s="35">
        <v>43892</v>
      </c>
      <c r="Z15" s="35">
        <v>43899</v>
      </c>
      <c r="AA15" s="35">
        <v>43894</v>
      </c>
      <c r="AB15" s="35">
        <v>43896</v>
      </c>
      <c r="AC15" s="35" t="s">
        <v>184</v>
      </c>
      <c r="AD15" s="39">
        <v>100</v>
      </c>
      <c r="AE15" s="39">
        <v>100</v>
      </c>
      <c r="AF15" s="39">
        <v>98</v>
      </c>
      <c r="AG15" s="55" t="s">
        <v>182</v>
      </c>
      <c r="AH15" s="30"/>
    </row>
    <row r="16" spans="2:34" x14ac:dyDescent="0.25">
      <c r="B16" s="39">
        <f t="shared" si="0"/>
        <v>14</v>
      </c>
      <c r="C16" s="32">
        <v>20200303</v>
      </c>
      <c r="D16" s="30" t="s">
        <v>3</v>
      </c>
      <c r="E16" s="30" t="s">
        <v>123</v>
      </c>
      <c r="F16" s="33" t="s">
        <v>223</v>
      </c>
      <c r="G16" s="30">
        <v>1353313</v>
      </c>
      <c r="H16" s="30" t="s">
        <v>124</v>
      </c>
      <c r="I16" s="30" t="s">
        <v>237</v>
      </c>
      <c r="J16" s="30" t="s">
        <v>128</v>
      </c>
      <c r="K16" s="30" t="s">
        <v>130</v>
      </c>
      <c r="L16" s="33" t="str">
        <f t="shared" si="1"/>
        <v>-</v>
      </c>
      <c r="M16" s="33" t="s">
        <v>207</v>
      </c>
      <c r="N16" s="32"/>
      <c r="O16" s="32" t="s">
        <v>191</v>
      </c>
      <c r="P16" s="30" t="s">
        <v>104</v>
      </c>
      <c r="Q16" s="30"/>
      <c r="R16" s="30"/>
      <c r="S16" s="30">
        <v>371</v>
      </c>
      <c r="T16" s="30">
        <v>371</v>
      </c>
      <c r="U16" s="30"/>
      <c r="V16" s="30">
        <f>ROUNDDOWN(T16/HLOOKUP(D16,Table!$C$3:$D$4,2,0)*8,2)</f>
        <v>6.59</v>
      </c>
      <c r="W16" s="30">
        <v>3</v>
      </c>
      <c r="X16" s="30" t="s">
        <v>21</v>
      </c>
      <c r="Y16" s="35">
        <v>43892</v>
      </c>
      <c r="Z16" s="35">
        <v>43899</v>
      </c>
      <c r="AA16" s="35">
        <v>43895</v>
      </c>
      <c r="AB16" s="35">
        <v>43895</v>
      </c>
      <c r="AC16" s="35" t="s">
        <v>185</v>
      </c>
      <c r="AD16" s="39">
        <v>100</v>
      </c>
      <c r="AE16" s="39">
        <v>100</v>
      </c>
      <c r="AF16" s="39">
        <v>100</v>
      </c>
      <c r="AG16" s="30" t="s">
        <v>253</v>
      </c>
      <c r="AH16" s="30"/>
    </row>
    <row r="17" spans="2:34" x14ac:dyDescent="0.25">
      <c r="B17" s="39">
        <f t="shared" si="0"/>
        <v>15</v>
      </c>
      <c r="C17" s="32">
        <v>20200303</v>
      </c>
      <c r="D17" s="30" t="s">
        <v>3</v>
      </c>
      <c r="E17" s="30" t="s">
        <v>123</v>
      </c>
      <c r="F17" s="33" t="s">
        <v>223</v>
      </c>
      <c r="G17" s="30">
        <v>1353313</v>
      </c>
      <c r="H17" s="30" t="s">
        <v>125</v>
      </c>
      <c r="I17" s="30" t="s">
        <v>237</v>
      </c>
      <c r="J17" s="30" t="s">
        <v>128</v>
      </c>
      <c r="K17" s="30" t="s">
        <v>130</v>
      </c>
      <c r="L17" s="33" t="str">
        <f t="shared" si="1"/>
        <v>-</v>
      </c>
      <c r="M17" s="33" t="s">
        <v>207</v>
      </c>
      <c r="N17" s="32"/>
      <c r="O17" s="32" t="s">
        <v>191</v>
      </c>
      <c r="P17" s="30" t="s">
        <v>104</v>
      </c>
      <c r="Q17" s="30"/>
      <c r="R17" s="30"/>
      <c r="S17" s="30">
        <v>254</v>
      </c>
      <c r="T17" s="30">
        <v>254</v>
      </c>
      <c r="U17" s="30">
        <v>254</v>
      </c>
      <c r="V17" s="30">
        <f>ROUNDDOWN(T17/HLOOKUP(D17,Table!$C$3:$D$4,2,0)*8,2)</f>
        <v>4.51</v>
      </c>
      <c r="W17" s="30">
        <v>2</v>
      </c>
      <c r="X17" s="30" t="s">
        <v>21</v>
      </c>
      <c r="Y17" s="35">
        <v>43892</v>
      </c>
      <c r="Z17" s="35">
        <v>43899</v>
      </c>
      <c r="AA17" s="35">
        <v>43895</v>
      </c>
      <c r="AB17" s="35">
        <v>43895</v>
      </c>
      <c r="AC17" s="35" t="s">
        <v>185</v>
      </c>
      <c r="AD17" s="39">
        <v>100</v>
      </c>
      <c r="AE17" s="39">
        <v>100</v>
      </c>
      <c r="AF17" s="39">
        <v>100</v>
      </c>
      <c r="AG17" s="30"/>
      <c r="AH17" s="30"/>
    </row>
    <row r="18" spans="2:34" x14ac:dyDescent="0.25">
      <c r="B18" s="39">
        <f t="shared" si="0"/>
        <v>16</v>
      </c>
      <c r="C18" s="32">
        <v>20200303</v>
      </c>
      <c r="D18" s="30" t="s">
        <v>3</v>
      </c>
      <c r="E18" s="30" t="s">
        <v>123</v>
      </c>
      <c r="F18" s="33" t="s">
        <v>224</v>
      </c>
      <c r="G18" s="30">
        <v>1353313</v>
      </c>
      <c r="H18" s="30" t="s">
        <v>126</v>
      </c>
      <c r="I18" s="30" t="s">
        <v>237</v>
      </c>
      <c r="J18" s="30" t="s">
        <v>128</v>
      </c>
      <c r="K18" s="30" t="s">
        <v>130</v>
      </c>
      <c r="L18" s="33" t="str">
        <f t="shared" si="1"/>
        <v>-</v>
      </c>
      <c r="M18" s="33" t="s">
        <v>207</v>
      </c>
      <c r="N18" s="32"/>
      <c r="O18" s="32" t="s">
        <v>191</v>
      </c>
      <c r="P18" s="30" t="s">
        <v>105</v>
      </c>
      <c r="Q18" s="30"/>
      <c r="R18" s="30"/>
      <c r="S18" s="30">
        <v>395</v>
      </c>
      <c r="T18" s="30">
        <v>395</v>
      </c>
      <c r="U18" s="30">
        <v>395</v>
      </c>
      <c r="V18" s="30">
        <f>ROUNDDOWN(T18/HLOOKUP(D18,Table!$C$3:$D$4,2,0)*8,2)</f>
        <v>7.02</v>
      </c>
      <c r="W18" s="30">
        <v>2</v>
      </c>
      <c r="X18" s="30" t="s">
        <v>21</v>
      </c>
      <c r="Y18" s="35">
        <v>43892</v>
      </c>
      <c r="Z18" s="35">
        <v>43899</v>
      </c>
      <c r="AA18" s="35">
        <v>43895</v>
      </c>
      <c r="AB18" s="35">
        <v>43895</v>
      </c>
      <c r="AC18" s="35" t="s">
        <v>185</v>
      </c>
      <c r="AD18" s="30">
        <v>100</v>
      </c>
      <c r="AE18" s="30">
        <v>100</v>
      </c>
      <c r="AF18" s="30">
        <v>100</v>
      </c>
      <c r="AG18" s="30"/>
      <c r="AH18" s="30"/>
    </row>
    <row r="19" spans="2:34" x14ac:dyDescent="0.25">
      <c r="B19" s="39">
        <f t="shared" si="0"/>
        <v>17</v>
      </c>
      <c r="C19" s="32">
        <v>20200303</v>
      </c>
      <c r="D19" s="30" t="s">
        <v>3</v>
      </c>
      <c r="E19" s="30" t="s">
        <v>123</v>
      </c>
      <c r="F19" s="33" t="s">
        <v>225</v>
      </c>
      <c r="G19" s="30">
        <v>1353313</v>
      </c>
      <c r="H19" s="30" t="s">
        <v>126</v>
      </c>
      <c r="I19" s="30" t="s">
        <v>237</v>
      </c>
      <c r="J19" s="30" t="s">
        <v>128</v>
      </c>
      <c r="K19" s="30" t="s">
        <v>130</v>
      </c>
      <c r="L19" s="33" t="str">
        <f t="shared" si="1"/>
        <v>-</v>
      </c>
      <c r="M19" s="33" t="s">
        <v>207</v>
      </c>
      <c r="N19" s="32"/>
      <c r="O19" s="32" t="s">
        <v>191</v>
      </c>
      <c r="P19" s="30" t="s">
        <v>105</v>
      </c>
      <c r="Q19" s="30"/>
      <c r="R19" s="30"/>
      <c r="S19" s="30">
        <v>395</v>
      </c>
      <c r="T19" s="30">
        <v>395</v>
      </c>
      <c r="U19" s="30">
        <v>395</v>
      </c>
      <c r="V19" s="30">
        <f>ROUNDDOWN(T19/HLOOKUP(D19,Table!$C$3:$D$4,2,0)*8,2)</f>
        <v>7.02</v>
      </c>
      <c r="W19" s="30">
        <v>3</v>
      </c>
      <c r="X19" s="30" t="s">
        <v>21</v>
      </c>
      <c r="Y19" s="35">
        <v>43892</v>
      </c>
      <c r="Z19" s="35">
        <v>43899</v>
      </c>
      <c r="AA19" s="35">
        <v>43895</v>
      </c>
      <c r="AB19" s="35">
        <v>43895</v>
      </c>
      <c r="AC19" s="35" t="s">
        <v>185</v>
      </c>
      <c r="AD19" s="30">
        <v>100</v>
      </c>
      <c r="AE19" s="30">
        <v>100</v>
      </c>
      <c r="AF19" s="30">
        <v>100</v>
      </c>
      <c r="AH19" s="30"/>
    </row>
    <row r="20" spans="2:34" x14ac:dyDescent="0.25">
      <c r="B20" s="39">
        <f t="shared" si="0"/>
        <v>18</v>
      </c>
      <c r="C20" s="32">
        <v>20200303</v>
      </c>
      <c r="D20" s="30" t="s">
        <v>2</v>
      </c>
      <c r="E20" s="33" t="s">
        <v>90</v>
      </c>
      <c r="F20" s="33" t="s">
        <v>90</v>
      </c>
      <c r="G20" s="30">
        <v>1353762</v>
      </c>
      <c r="H20" s="30" t="s">
        <v>240</v>
      </c>
      <c r="I20" s="30" t="s">
        <v>237</v>
      </c>
      <c r="J20" s="30" t="s">
        <v>90</v>
      </c>
      <c r="K20" s="30">
        <v>1353762</v>
      </c>
      <c r="L20" s="33" t="s">
        <v>127</v>
      </c>
      <c r="M20" s="33" t="s">
        <v>208</v>
      </c>
      <c r="N20" s="32"/>
      <c r="O20" s="32" t="s">
        <v>191</v>
      </c>
      <c r="P20" s="30" t="s">
        <v>103</v>
      </c>
      <c r="Q20" s="30"/>
      <c r="R20" s="30"/>
      <c r="S20" s="30">
        <v>50</v>
      </c>
      <c r="T20" s="30">
        <v>50</v>
      </c>
      <c r="U20" s="30">
        <v>50</v>
      </c>
      <c r="V20" s="30">
        <f>ROUNDDOWN(T20/HLOOKUP(D20,Table!$C$3:$D$4,2,0)*8,2)</f>
        <v>3.07</v>
      </c>
      <c r="W20" s="30">
        <v>3</v>
      </c>
      <c r="X20" s="30" t="s">
        <v>21</v>
      </c>
      <c r="Y20" s="35">
        <v>43892</v>
      </c>
      <c r="Z20" s="35">
        <v>43899</v>
      </c>
      <c r="AA20" s="35">
        <v>43895</v>
      </c>
      <c r="AB20" s="35">
        <v>43896</v>
      </c>
      <c r="AC20" s="35"/>
      <c r="AD20" s="30"/>
      <c r="AE20" s="30"/>
      <c r="AF20" s="30"/>
      <c r="AG20" s="30" t="s">
        <v>256</v>
      </c>
      <c r="AH20" s="30"/>
    </row>
    <row r="21" spans="2:34" x14ac:dyDescent="0.25">
      <c r="B21" s="39">
        <f t="shared" si="0"/>
        <v>19</v>
      </c>
      <c r="C21" s="32">
        <v>20200303</v>
      </c>
      <c r="D21" s="30" t="s">
        <v>3</v>
      </c>
      <c r="E21" s="30" t="s">
        <v>136</v>
      </c>
      <c r="F21" s="33" t="s">
        <v>241</v>
      </c>
      <c r="G21" s="30">
        <v>1341660</v>
      </c>
      <c r="H21" s="30" t="s">
        <v>137</v>
      </c>
      <c r="I21" s="31" t="s">
        <v>238</v>
      </c>
      <c r="J21" s="30" t="s">
        <v>90</v>
      </c>
      <c r="K21" s="30" t="s">
        <v>187</v>
      </c>
      <c r="L21" s="33" t="str">
        <f t="shared" ref="L21:L66" si="2">IF(D21="ASW","PUT_VERSION","-")</f>
        <v>-</v>
      </c>
      <c r="M21" s="33" t="s">
        <v>209</v>
      </c>
      <c r="N21" s="32"/>
      <c r="O21" s="32" t="s">
        <v>192</v>
      </c>
      <c r="P21" s="30" t="s">
        <v>103</v>
      </c>
      <c r="Q21" s="30"/>
      <c r="R21" s="30"/>
      <c r="S21" s="30">
        <v>77</v>
      </c>
      <c r="T21" s="30">
        <v>77</v>
      </c>
      <c r="U21" s="30"/>
      <c r="V21" s="30">
        <f>ROUNDDOWN(T21/HLOOKUP(D21,Table!$C$3:$D$4,2,0)*8,2)</f>
        <v>1.36</v>
      </c>
      <c r="W21" s="30"/>
      <c r="X21" s="30" t="s">
        <v>23</v>
      </c>
      <c r="Y21" s="35"/>
      <c r="Z21" s="35">
        <v>43901</v>
      </c>
      <c r="AA21" s="35"/>
      <c r="AB21" s="35"/>
      <c r="AC21" s="35"/>
      <c r="AD21" s="30"/>
      <c r="AE21" s="30"/>
      <c r="AF21" s="30"/>
      <c r="AG21" s="30"/>
      <c r="AH21" s="30"/>
    </row>
    <row r="22" spans="2:34" x14ac:dyDescent="0.25">
      <c r="B22" s="39">
        <f t="shared" si="0"/>
        <v>20</v>
      </c>
      <c r="C22" s="32">
        <v>20200303</v>
      </c>
      <c r="D22" s="30" t="s">
        <v>3</v>
      </c>
      <c r="E22" s="30" t="s">
        <v>136</v>
      </c>
      <c r="F22" s="33" t="s">
        <v>241</v>
      </c>
      <c r="G22" s="30">
        <v>1341660</v>
      </c>
      <c r="H22" s="30" t="s">
        <v>138</v>
      </c>
      <c r="I22" s="31" t="s">
        <v>238</v>
      </c>
      <c r="J22" s="30" t="s">
        <v>90</v>
      </c>
      <c r="K22" s="30" t="s">
        <v>187</v>
      </c>
      <c r="L22" s="33" t="str">
        <f t="shared" si="2"/>
        <v>-</v>
      </c>
      <c r="M22" s="33" t="s">
        <v>209</v>
      </c>
      <c r="N22" s="32"/>
      <c r="O22" s="32" t="s">
        <v>192</v>
      </c>
      <c r="P22" s="30" t="s">
        <v>103</v>
      </c>
      <c r="Q22" s="30"/>
      <c r="R22" s="30"/>
      <c r="S22" s="30">
        <v>44</v>
      </c>
      <c r="T22" s="30">
        <v>44</v>
      </c>
      <c r="U22" s="30"/>
      <c r="V22" s="30">
        <f>ROUNDDOWN(T22/HLOOKUP(D22,Table!$C$3:$D$4,2,0)*8,2)</f>
        <v>0.78</v>
      </c>
      <c r="W22" s="30"/>
      <c r="X22" s="30" t="s">
        <v>23</v>
      </c>
      <c r="Y22" s="35"/>
      <c r="Z22" s="35">
        <v>43901</v>
      </c>
      <c r="AA22" s="35"/>
      <c r="AB22" s="35"/>
      <c r="AC22" s="35"/>
      <c r="AD22" s="30"/>
      <c r="AE22" s="30"/>
      <c r="AF22" s="30"/>
      <c r="AG22" s="30"/>
      <c r="AH22" s="30"/>
    </row>
    <row r="23" spans="2:34" x14ac:dyDescent="0.25">
      <c r="B23" s="39">
        <f t="shared" si="0"/>
        <v>21</v>
      </c>
      <c r="C23" s="32">
        <v>20200303</v>
      </c>
      <c r="D23" s="30" t="s">
        <v>3</v>
      </c>
      <c r="E23" s="30" t="s">
        <v>136</v>
      </c>
      <c r="F23" s="33" t="s">
        <v>241</v>
      </c>
      <c r="G23" s="30">
        <v>1341660</v>
      </c>
      <c r="H23" s="30" t="s">
        <v>139</v>
      </c>
      <c r="I23" s="31" t="s">
        <v>238</v>
      </c>
      <c r="J23" s="30" t="s">
        <v>90</v>
      </c>
      <c r="K23" s="30" t="s">
        <v>187</v>
      </c>
      <c r="L23" s="33" t="str">
        <f t="shared" si="2"/>
        <v>-</v>
      </c>
      <c r="M23" s="33" t="s">
        <v>209</v>
      </c>
      <c r="N23" s="32"/>
      <c r="O23" s="32" t="s">
        <v>192</v>
      </c>
      <c r="P23" s="30" t="s">
        <v>103</v>
      </c>
      <c r="Q23" s="30"/>
      <c r="R23" s="30"/>
      <c r="S23" s="30">
        <v>210</v>
      </c>
      <c r="T23" s="30">
        <v>210</v>
      </c>
      <c r="U23" s="30"/>
      <c r="V23" s="30">
        <f>ROUNDDOWN(T23/HLOOKUP(D23,Table!$C$3:$D$4,2,0)*8,2)</f>
        <v>3.73</v>
      </c>
      <c r="W23" s="30"/>
      <c r="X23" s="30" t="s">
        <v>23</v>
      </c>
      <c r="Y23" s="35"/>
      <c r="Z23" s="35">
        <v>43901</v>
      </c>
      <c r="AA23" s="35"/>
      <c r="AB23" s="35"/>
      <c r="AC23" s="35"/>
      <c r="AD23" s="30"/>
      <c r="AE23" s="30"/>
      <c r="AF23" s="30"/>
      <c r="AG23" s="30"/>
      <c r="AH23" s="30"/>
    </row>
    <row r="24" spans="2:34" x14ac:dyDescent="0.25">
      <c r="B24" s="39">
        <f t="shared" si="0"/>
        <v>22</v>
      </c>
      <c r="C24" s="32">
        <v>20200303</v>
      </c>
      <c r="D24" s="30" t="s">
        <v>3</v>
      </c>
      <c r="E24" s="30" t="s">
        <v>136</v>
      </c>
      <c r="F24" s="33" t="s">
        <v>239</v>
      </c>
      <c r="G24" s="30">
        <v>1341660</v>
      </c>
      <c r="H24" s="30" t="s">
        <v>140</v>
      </c>
      <c r="I24" s="31" t="s">
        <v>238</v>
      </c>
      <c r="J24" s="30" t="s">
        <v>90</v>
      </c>
      <c r="K24" s="30" t="s">
        <v>187</v>
      </c>
      <c r="L24" s="33" t="str">
        <f t="shared" si="2"/>
        <v>-</v>
      </c>
      <c r="M24" s="33" t="s">
        <v>209</v>
      </c>
      <c r="N24" s="32"/>
      <c r="O24" s="32" t="s">
        <v>193</v>
      </c>
      <c r="P24" s="30" t="s">
        <v>103</v>
      </c>
      <c r="Q24" s="30"/>
      <c r="R24" s="30"/>
      <c r="S24" s="30">
        <v>622</v>
      </c>
      <c r="T24" s="30">
        <v>622</v>
      </c>
      <c r="U24" s="30"/>
      <c r="V24" s="30">
        <f>ROUNDDOWN(T24/HLOOKUP(D24,Table!$C$3:$D$4,2,0)*8,2)</f>
        <v>11.05</v>
      </c>
      <c r="W24" s="30"/>
      <c r="X24" s="30" t="s">
        <v>23</v>
      </c>
      <c r="Y24" s="35"/>
      <c r="Z24" s="35">
        <v>43901</v>
      </c>
      <c r="AA24" s="35"/>
      <c r="AB24" s="35"/>
      <c r="AC24" s="35"/>
      <c r="AD24" s="30"/>
      <c r="AE24" s="30"/>
      <c r="AF24" s="30"/>
      <c r="AG24" s="30"/>
      <c r="AH24" s="30"/>
    </row>
    <row r="25" spans="2:34" x14ac:dyDescent="0.25">
      <c r="B25" s="39">
        <f t="shared" si="0"/>
        <v>23</v>
      </c>
      <c r="C25" s="32">
        <v>20200303</v>
      </c>
      <c r="D25" s="30" t="s">
        <v>3</v>
      </c>
      <c r="E25" s="30" t="s">
        <v>136</v>
      </c>
      <c r="F25" s="33" t="s">
        <v>239</v>
      </c>
      <c r="G25" s="30">
        <v>1341660</v>
      </c>
      <c r="H25" s="30" t="s">
        <v>141</v>
      </c>
      <c r="I25" s="31" t="s">
        <v>238</v>
      </c>
      <c r="J25" s="30" t="s">
        <v>90</v>
      </c>
      <c r="K25" s="30" t="s">
        <v>187</v>
      </c>
      <c r="L25" s="33" t="str">
        <f t="shared" si="2"/>
        <v>-</v>
      </c>
      <c r="M25" s="33" t="s">
        <v>209</v>
      </c>
      <c r="N25" s="32"/>
      <c r="O25" s="32" t="s">
        <v>193</v>
      </c>
      <c r="P25" s="30"/>
      <c r="Q25" s="30"/>
      <c r="R25" s="30"/>
      <c r="S25" s="30">
        <v>97</v>
      </c>
      <c r="T25" s="30">
        <v>97</v>
      </c>
      <c r="U25" s="30"/>
      <c r="V25" s="30">
        <f>ROUNDDOWN(T25/HLOOKUP(D25,Table!$C$3:$D$4,2,0)*8,2)</f>
        <v>1.72</v>
      </c>
      <c r="W25" s="30"/>
      <c r="X25" s="30" t="s">
        <v>23</v>
      </c>
      <c r="Y25" s="35"/>
      <c r="Z25" s="35">
        <v>43901</v>
      </c>
      <c r="AA25" s="35"/>
      <c r="AB25" s="35"/>
      <c r="AC25" s="35"/>
      <c r="AD25" s="30"/>
      <c r="AE25" s="30"/>
      <c r="AF25" s="30"/>
      <c r="AG25" s="30"/>
      <c r="AH25" s="30"/>
    </row>
    <row r="26" spans="2:34" x14ac:dyDescent="0.25">
      <c r="B26" s="39">
        <f t="shared" si="0"/>
        <v>24</v>
      </c>
      <c r="C26" s="32">
        <v>20200303</v>
      </c>
      <c r="D26" s="30" t="s">
        <v>3</v>
      </c>
      <c r="E26" s="30" t="s">
        <v>136</v>
      </c>
      <c r="F26" s="33" t="s">
        <v>239</v>
      </c>
      <c r="G26" s="30">
        <v>1341660</v>
      </c>
      <c r="H26" s="30" t="s">
        <v>142</v>
      </c>
      <c r="I26" s="31" t="s">
        <v>238</v>
      </c>
      <c r="J26" s="30" t="s">
        <v>90</v>
      </c>
      <c r="K26" s="30" t="s">
        <v>187</v>
      </c>
      <c r="L26" s="33" t="str">
        <f t="shared" si="2"/>
        <v>-</v>
      </c>
      <c r="M26" s="33" t="s">
        <v>209</v>
      </c>
      <c r="N26" s="32"/>
      <c r="O26" s="32" t="s">
        <v>193</v>
      </c>
      <c r="P26" s="30"/>
      <c r="Q26" s="30"/>
      <c r="R26" s="30"/>
      <c r="S26" s="30">
        <v>100</v>
      </c>
      <c r="T26" s="30">
        <v>100</v>
      </c>
      <c r="U26" s="30"/>
      <c r="V26" s="30">
        <f>ROUNDDOWN(T26/HLOOKUP(D26,Table!$C$3:$D$4,2,0)*8,2)</f>
        <v>1.77</v>
      </c>
      <c r="W26" s="30"/>
      <c r="X26" s="30" t="s">
        <v>23</v>
      </c>
      <c r="Y26" s="35"/>
      <c r="Z26" s="35">
        <v>43901</v>
      </c>
      <c r="AA26" s="35"/>
      <c r="AB26" s="35"/>
      <c r="AC26" s="35"/>
      <c r="AD26" s="30"/>
      <c r="AE26" s="30"/>
      <c r="AF26" s="30"/>
      <c r="AG26" s="30"/>
      <c r="AH26" s="30"/>
    </row>
    <row r="27" spans="2:34" x14ac:dyDescent="0.25">
      <c r="B27" s="39">
        <f t="shared" si="0"/>
        <v>25</v>
      </c>
      <c r="C27" s="32">
        <v>20200303</v>
      </c>
      <c r="D27" s="30" t="s">
        <v>3</v>
      </c>
      <c r="E27" s="30" t="s">
        <v>136</v>
      </c>
      <c r="F27" s="33" t="s">
        <v>239</v>
      </c>
      <c r="G27" s="30">
        <v>1341660</v>
      </c>
      <c r="H27" s="30" t="s">
        <v>143</v>
      </c>
      <c r="I27" s="31" t="s">
        <v>238</v>
      </c>
      <c r="J27" s="30" t="s">
        <v>90</v>
      </c>
      <c r="K27" s="30" t="s">
        <v>187</v>
      </c>
      <c r="L27" s="33" t="str">
        <f t="shared" si="2"/>
        <v>-</v>
      </c>
      <c r="M27" s="33" t="s">
        <v>209</v>
      </c>
      <c r="N27" s="32"/>
      <c r="O27" s="32" t="s">
        <v>193</v>
      </c>
      <c r="P27" s="30"/>
      <c r="Q27" s="30"/>
      <c r="R27" s="30"/>
      <c r="S27" s="30">
        <v>8</v>
      </c>
      <c r="T27" s="30">
        <v>8</v>
      </c>
      <c r="U27" s="30"/>
      <c r="V27" s="30">
        <f>ROUNDDOWN(T27/HLOOKUP(D27,Table!$C$3:$D$4,2,0)*8,2)</f>
        <v>0.14000000000000001</v>
      </c>
      <c r="W27" s="30"/>
      <c r="X27" s="30" t="s">
        <v>23</v>
      </c>
      <c r="Y27" s="35"/>
      <c r="Z27" s="35">
        <v>43901</v>
      </c>
      <c r="AA27" s="35"/>
      <c r="AB27" s="35"/>
      <c r="AC27" s="35"/>
      <c r="AD27" s="30"/>
      <c r="AE27" s="30"/>
      <c r="AF27" s="30"/>
      <c r="AG27" s="30"/>
      <c r="AH27" s="30"/>
    </row>
    <row r="28" spans="2:34" x14ac:dyDescent="0.25">
      <c r="B28" s="39">
        <f t="shared" si="0"/>
        <v>26</v>
      </c>
      <c r="C28" s="32">
        <v>20200303</v>
      </c>
      <c r="D28" s="30" t="s">
        <v>3</v>
      </c>
      <c r="E28" s="30" t="s">
        <v>136</v>
      </c>
      <c r="F28" s="33" t="s">
        <v>239</v>
      </c>
      <c r="G28" s="30">
        <v>1341660</v>
      </c>
      <c r="H28" s="30" t="s">
        <v>144</v>
      </c>
      <c r="I28" s="31" t="s">
        <v>238</v>
      </c>
      <c r="J28" s="30" t="s">
        <v>90</v>
      </c>
      <c r="K28" s="30" t="s">
        <v>187</v>
      </c>
      <c r="L28" s="33" t="str">
        <f t="shared" si="2"/>
        <v>-</v>
      </c>
      <c r="M28" s="33" t="s">
        <v>209</v>
      </c>
      <c r="N28" s="32"/>
      <c r="O28" s="32" t="s">
        <v>193</v>
      </c>
      <c r="P28" s="30"/>
      <c r="Q28" s="30"/>
      <c r="R28" s="30"/>
      <c r="S28" s="30">
        <v>148</v>
      </c>
      <c r="T28" s="30">
        <v>148</v>
      </c>
      <c r="U28" s="30"/>
      <c r="V28" s="30">
        <f>ROUNDDOWN(T28/HLOOKUP(D28,Table!$C$3:$D$4,2,0)*8,2)</f>
        <v>2.63</v>
      </c>
      <c r="W28" s="30"/>
      <c r="X28" s="30" t="s">
        <v>23</v>
      </c>
      <c r="Y28" s="35"/>
      <c r="Z28" s="35">
        <v>43901</v>
      </c>
      <c r="AA28" s="35"/>
      <c r="AB28" s="35"/>
      <c r="AC28" s="35"/>
      <c r="AD28" s="30"/>
      <c r="AE28" s="30"/>
      <c r="AF28" s="30"/>
      <c r="AG28" s="30"/>
      <c r="AH28" s="30"/>
    </row>
    <row r="29" spans="2:34" x14ac:dyDescent="0.25">
      <c r="B29" s="39">
        <f t="shared" si="0"/>
        <v>27</v>
      </c>
      <c r="C29" s="32">
        <v>20200303</v>
      </c>
      <c r="D29" s="30" t="s">
        <v>3</v>
      </c>
      <c r="E29" s="30" t="s">
        <v>136</v>
      </c>
      <c r="F29" s="33" t="s">
        <v>239</v>
      </c>
      <c r="G29" s="30">
        <v>1341660</v>
      </c>
      <c r="H29" s="30" t="s">
        <v>145</v>
      </c>
      <c r="I29" s="31" t="s">
        <v>238</v>
      </c>
      <c r="J29" s="30" t="s">
        <v>90</v>
      </c>
      <c r="K29" s="30" t="s">
        <v>187</v>
      </c>
      <c r="L29" s="33" t="str">
        <f t="shared" si="2"/>
        <v>-</v>
      </c>
      <c r="M29" s="33" t="s">
        <v>209</v>
      </c>
      <c r="N29" s="32"/>
      <c r="O29" s="32" t="s">
        <v>193</v>
      </c>
      <c r="P29" s="30"/>
      <c r="Q29" s="30"/>
      <c r="R29" s="30"/>
      <c r="S29" s="30">
        <v>17</v>
      </c>
      <c r="T29" s="30">
        <v>17</v>
      </c>
      <c r="U29" s="30"/>
      <c r="V29" s="30">
        <f>ROUNDDOWN(T29/HLOOKUP(D29,Table!$C$3:$D$4,2,0)*8,2)</f>
        <v>0.3</v>
      </c>
      <c r="W29" s="30"/>
      <c r="X29" s="30" t="s">
        <v>23</v>
      </c>
      <c r="Y29" s="35"/>
      <c r="Z29" s="35">
        <v>43901</v>
      </c>
      <c r="AA29" s="35"/>
      <c r="AB29" s="35"/>
      <c r="AC29" s="35"/>
      <c r="AD29" s="30"/>
      <c r="AE29" s="30"/>
      <c r="AF29" s="30"/>
      <c r="AG29" s="30"/>
      <c r="AH29" s="30"/>
    </row>
    <row r="30" spans="2:34" x14ac:dyDescent="0.25">
      <c r="B30" s="39">
        <f t="shared" si="0"/>
        <v>28</v>
      </c>
      <c r="C30" s="32">
        <v>20200303</v>
      </c>
      <c r="D30" s="30" t="s">
        <v>3</v>
      </c>
      <c r="E30" s="30" t="s">
        <v>136</v>
      </c>
      <c r="F30" s="33" t="s">
        <v>239</v>
      </c>
      <c r="G30" s="30">
        <v>1341660</v>
      </c>
      <c r="H30" s="30" t="s">
        <v>146</v>
      </c>
      <c r="I30" s="31" t="s">
        <v>238</v>
      </c>
      <c r="J30" s="30" t="s">
        <v>90</v>
      </c>
      <c r="K30" s="30" t="s">
        <v>187</v>
      </c>
      <c r="L30" s="33" t="str">
        <f t="shared" si="2"/>
        <v>-</v>
      </c>
      <c r="M30" s="33" t="s">
        <v>209</v>
      </c>
      <c r="N30" s="32"/>
      <c r="O30" s="32" t="s">
        <v>193</v>
      </c>
      <c r="P30" s="30"/>
      <c r="Q30" s="30"/>
      <c r="R30" s="30"/>
      <c r="S30" s="30">
        <v>18</v>
      </c>
      <c r="T30" s="30">
        <v>18</v>
      </c>
      <c r="U30" s="30"/>
      <c r="V30" s="30">
        <f>ROUNDDOWN(T30/HLOOKUP(D30,Table!$C$3:$D$4,2,0)*8,2)</f>
        <v>0.32</v>
      </c>
      <c r="W30" s="30"/>
      <c r="X30" s="30" t="s">
        <v>23</v>
      </c>
      <c r="Y30" s="35"/>
      <c r="Z30" s="35">
        <v>43901</v>
      </c>
      <c r="AA30" s="35"/>
      <c r="AB30" s="35"/>
      <c r="AC30" s="35"/>
      <c r="AD30" s="30"/>
      <c r="AE30" s="30"/>
      <c r="AF30" s="30"/>
      <c r="AG30" s="30"/>
      <c r="AH30" s="30"/>
    </row>
    <row r="31" spans="2:34" x14ac:dyDescent="0.25">
      <c r="B31" s="39">
        <f t="shared" si="0"/>
        <v>29</v>
      </c>
      <c r="C31" s="32">
        <v>20200303</v>
      </c>
      <c r="D31" s="30" t="s">
        <v>3</v>
      </c>
      <c r="E31" s="30" t="s">
        <v>136</v>
      </c>
      <c r="F31" s="33" t="s">
        <v>239</v>
      </c>
      <c r="G31" s="30">
        <v>1341660</v>
      </c>
      <c r="H31" s="30" t="s">
        <v>147</v>
      </c>
      <c r="I31" s="31" t="s">
        <v>238</v>
      </c>
      <c r="J31" s="30" t="s">
        <v>90</v>
      </c>
      <c r="K31" s="30" t="s">
        <v>187</v>
      </c>
      <c r="L31" s="33" t="str">
        <f t="shared" si="2"/>
        <v>-</v>
      </c>
      <c r="M31" s="33" t="s">
        <v>209</v>
      </c>
      <c r="N31" s="32"/>
      <c r="O31" s="32" t="s">
        <v>193</v>
      </c>
      <c r="P31" s="30" t="s">
        <v>104</v>
      </c>
      <c r="Q31" s="30"/>
      <c r="R31" s="30"/>
      <c r="S31" s="30">
        <v>129</v>
      </c>
      <c r="T31" s="50">
        <v>129</v>
      </c>
      <c r="U31" s="30">
        <v>129</v>
      </c>
      <c r="V31" s="30">
        <f>ROUNDDOWN(T31/HLOOKUP(D31,Table!$C$3:$D$4,2,0)*8,2)</f>
        <v>2.29</v>
      </c>
      <c r="W31" s="30">
        <v>3</v>
      </c>
      <c r="X31" s="30" t="s">
        <v>21</v>
      </c>
      <c r="Y31" s="35"/>
      <c r="Z31" s="35">
        <v>43901</v>
      </c>
      <c r="AA31" s="35">
        <v>43895</v>
      </c>
      <c r="AB31" s="35">
        <v>43895</v>
      </c>
      <c r="AC31" s="35" t="s">
        <v>185</v>
      </c>
      <c r="AD31" s="39">
        <v>100</v>
      </c>
      <c r="AE31" s="39">
        <v>100</v>
      </c>
      <c r="AF31" s="39">
        <v>100</v>
      </c>
      <c r="AG31" s="30"/>
      <c r="AH31" s="30"/>
    </row>
    <row r="32" spans="2:34" x14ac:dyDescent="0.25">
      <c r="B32" s="39">
        <f t="shared" si="0"/>
        <v>30</v>
      </c>
      <c r="C32" s="32">
        <v>20200303</v>
      </c>
      <c r="D32" s="30" t="s">
        <v>3</v>
      </c>
      <c r="E32" s="30" t="s">
        <v>136</v>
      </c>
      <c r="F32" s="33" t="s">
        <v>239</v>
      </c>
      <c r="G32" s="30">
        <v>1341660</v>
      </c>
      <c r="H32" s="30" t="s">
        <v>148</v>
      </c>
      <c r="I32" s="31" t="s">
        <v>238</v>
      </c>
      <c r="J32" s="30" t="s">
        <v>90</v>
      </c>
      <c r="K32" s="30" t="s">
        <v>187</v>
      </c>
      <c r="L32" s="33" t="str">
        <f t="shared" si="2"/>
        <v>-</v>
      </c>
      <c r="M32" s="33" t="s">
        <v>209</v>
      </c>
      <c r="N32" s="32"/>
      <c r="O32" s="32" t="s">
        <v>193</v>
      </c>
      <c r="P32" s="30" t="s">
        <v>104</v>
      </c>
      <c r="Q32" s="30"/>
      <c r="R32" s="30"/>
      <c r="S32" s="30">
        <v>164</v>
      </c>
      <c r="T32" s="3">
        <v>196</v>
      </c>
      <c r="U32" s="30">
        <v>196</v>
      </c>
      <c r="V32" s="30">
        <f>ROUNDDOWN(T32/HLOOKUP(D32,Table!$C$3:$D$4,2,0)*8,2)</f>
        <v>3.48</v>
      </c>
      <c r="W32" s="30">
        <v>4</v>
      </c>
      <c r="X32" s="30" t="s">
        <v>21</v>
      </c>
      <c r="Y32" s="35"/>
      <c r="Z32" s="35">
        <v>43901</v>
      </c>
      <c r="AA32" s="35">
        <v>43896</v>
      </c>
      <c r="AB32" s="35">
        <v>43896</v>
      </c>
      <c r="AC32" s="35" t="s">
        <v>185</v>
      </c>
      <c r="AD32" s="39">
        <v>100</v>
      </c>
      <c r="AE32" s="39">
        <v>100</v>
      </c>
      <c r="AF32" s="39">
        <v>100</v>
      </c>
      <c r="AG32" s="30"/>
      <c r="AH32" s="30"/>
    </row>
    <row r="33" spans="2:34" x14ac:dyDescent="0.25">
      <c r="B33" s="39">
        <f t="shared" si="0"/>
        <v>31</v>
      </c>
      <c r="C33" s="32">
        <v>20200303</v>
      </c>
      <c r="D33" s="30" t="s">
        <v>3</v>
      </c>
      <c r="E33" s="30" t="s">
        <v>136</v>
      </c>
      <c r="F33" s="33" t="s">
        <v>239</v>
      </c>
      <c r="G33" s="30">
        <v>1341660</v>
      </c>
      <c r="H33" s="30" t="s">
        <v>149</v>
      </c>
      <c r="I33" s="31" t="s">
        <v>238</v>
      </c>
      <c r="J33" s="30" t="s">
        <v>90</v>
      </c>
      <c r="K33" s="30" t="s">
        <v>187</v>
      </c>
      <c r="L33" s="33" t="str">
        <f t="shared" si="2"/>
        <v>-</v>
      </c>
      <c r="M33" s="33" t="s">
        <v>209</v>
      </c>
      <c r="N33" s="32"/>
      <c r="O33" s="32" t="s">
        <v>193</v>
      </c>
      <c r="P33" s="30" t="s">
        <v>104</v>
      </c>
      <c r="Q33" s="30"/>
      <c r="R33" s="30"/>
      <c r="S33" s="30">
        <v>104</v>
      </c>
      <c r="T33" s="50">
        <v>104</v>
      </c>
      <c r="U33" s="30"/>
      <c r="V33" s="30">
        <f>ROUNDDOWN(T33/HLOOKUP(D33,Table!$C$3:$D$4,2,0)*8,2)</f>
        <v>1.84</v>
      </c>
      <c r="W33" s="30">
        <v>1</v>
      </c>
      <c r="X33" s="30" t="s">
        <v>27</v>
      </c>
      <c r="Y33" s="35"/>
      <c r="Z33" s="35">
        <v>43901</v>
      </c>
      <c r="AA33" s="35">
        <v>43896</v>
      </c>
      <c r="AB33" s="35"/>
      <c r="AC33" s="35" t="s">
        <v>184</v>
      </c>
      <c r="AD33" s="30"/>
      <c r="AE33" s="30"/>
      <c r="AF33" s="30"/>
      <c r="AG33" s="30" t="s">
        <v>255</v>
      </c>
      <c r="AH33" s="30"/>
    </row>
    <row r="34" spans="2:34" x14ac:dyDescent="0.25">
      <c r="B34" s="39">
        <f t="shared" si="0"/>
        <v>32</v>
      </c>
      <c r="C34" s="32">
        <v>20200303</v>
      </c>
      <c r="D34" s="30" t="s">
        <v>3</v>
      </c>
      <c r="E34" s="30" t="s">
        <v>136</v>
      </c>
      <c r="F34" s="33" t="s">
        <v>239</v>
      </c>
      <c r="G34" s="30">
        <v>1341660</v>
      </c>
      <c r="H34" s="30" t="s">
        <v>150</v>
      </c>
      <c r="I34" s="31" t="s">
        <v>238</v>
      </c>
      <c r="J34" s="30" t="s">
        <v>90</v>
      </c>
      <c r="K34" s="30" t="s">
        <v>187</v>
      </c>
      <c r="L34" s="33" t="str">
        <f t="shared" si="2"/>
        <v>-</v>
      </c>
      <c r="M34" s="33" t="s">
        <v>209</v>
      </c>
      <c r="N34" s="32"/>
      <c r="O34" s="32" t="s">
        <v>193</v>
      </c>
      <c r="P34" s="30" t="s">
        <v>104</v>
      </c>
      <c r="Q34" s="30"/>
      <c r="R34" s="30"/>
      <c r="S34" s="30">
        <v>154</v>
      </c>
      <c r="T34" s="3">
        <v>154</v>
      </c>
      <c r="U34" s="30"/>
      <c r="V34" s="30">
        <f>ROUNDDOWN(T34/HLOOKUP(D34,Table!$C$3:$D$4,2,0)*8,2)</f>
        <v>2.73</v>
      </c>
      <c r="W34" s="30"/>
      <c r="X34" s="30" t="s">
        <v>23</v>
      </c>
      <c r="Y34" s="35"/>
      <c r="Z34" s="35">
        <v>43901</v>
      </c>
      <c r="AA34" s="35"/>
      <c r="AB34" s="35"/>
      <c r="AC34" s="35"/>
      <c r="AD34" s="30"/>
      <c r="AE34" s="30"/>
      <c r="AF34" s="30"/>
      <c r="AG34" s="30"/>
      <c r="AH34" s="30"/>
    </row>
    <row r="35" spans="2:34" x14ac:dyDescent="0.25">
      <c r="B35" s="39">
        <f t="shared" si="0"/>
        <v>33</v>
      </c>
      <c r="C35" s="32">
        <v>20200303</v>
      </c>
      <c r="D35" s="30" t="s">
        <v>3</v>
      </c>
      <c r="E35" s="30" t="s">
        <v>136</v>
      </c>
      <c r="F35" s="33" t="s">
        <v>239</v>
      </c>
      <c r="G35" s="30">
        <v>1341660</v>
      </c>
      <c r="H35" s="30" t="s">
        <v>151</v>
      </c>
      <c r="I35" s="31" t="s">
        <v>238</v>
      </c>
      <c r="J35" s="30" t="s">
        <v>90</v>
      </c>
      <c r="K35" s="30" t="s">
        <v>187</v>
      </c>
      <c r="L35" s="33" t="str">
        <f t="shared" si="2"/>
        <v>-</v>
      </c>
      <c r="M35" s="33" t="s">
        <v>209</v>
      </c>
      <c r="N35" s="32"/>
      <c r="O35" s="32" t="s">
        <v>193</v>
      </c>
      <c r="P35" s="30" t="s">
        <v>104</v>
      </c>
      <c r="Q35" s="30"/>
      <c r="R35" s="30"/>
      <c r="S35" s="30">
        <v>167</v>
      </c>
      <c r="T35" s="3">
        <v>167</v>
      </c>
      <c r="U35" s="30"/>
      <c r="V35" s="30">
        <f>ROUNDDOWN(T35/HLOOKUP(D35,Table!$C$3:$D$4,2,0)*8,2)</f>
        <v>2.96</v>
      </c>
      <c r="W35" s="30"/>
      <c r="X35" s="30" t="s">
        <v>23</v>
      </c>
      <c r="Y35" s="35"/>
      <c r="Z35" s="35">
        <v>43901</v>
      </c>
      <c r="AA35" s="35"/>
      <c r="AB35" s="35"/>
      <c r="AC35" s="35"/>
      <c r="AD35" s="30"/>
      <c r="AE35" s="30"/>
      <c r="AF35" s="30"/>
      <c r="AG35" s="30"/>
      <c r="AH35" s="30"/>
    </row>
    <row r="36" spans="2:34" x14ac:dyDescent="0.25">
      <c r="B36" s="39">
        <f t="shared" si="0"/>
        <v>34</v>
      </c>
      <c r="C36" s="32">
        <v>20200303</v>
      </c>
      <c r="D36" s="30" t="s">
        <v>3</v>
      </c>
      <c r="E36" s="30" t="s">
        <v>136</v>
      </c>
      <c r="F36" s="33" t="s">
        <v>239</v>
      </c>
      <c r="G36" s="30">
        <v>1341660</v>
      </c>
      <c r="H36" s="30" t="s">
        <v>152</v>
      </c>
      <c r="I36" s="31" t="s">
        <v>238</v>
      </c>
      <c r="J36" s="30" t="s">
        <v>90</v>
      </c>
      <c r="K36" s="30" t="s">
        <v>187</v>
      </c>
      <c r="L36" s="33" t="str">
        <f t="shared" si="2"/>
        <v>-</v>
      </c>
      <c r="M36" s="33" t="s">
        <v>209</v>
      </c>
      <c r="N36" s="32"/>
      <c r="O36" s="32" t="s">
        <v>193</v>
      </c>
      <c r="P36" s="30" t="s">
        <v>104</v>
      </c>
      <c r="Q36" s="30"/>
      <c r="R36" s="30"/>
      <c r="S36" s="30">
        <v>147</v>
      </c>
      <c r="T36" s="3">
        <v>147</v>
      </c>
      <c r="U36" s="30"/>
      <c r="V36" s="30">
        <f>ROUNDDOWN(T36/HLOOKUP(D36,Table!$C$3:$D$4,2,0)*8,2)</f>
        <v>2.61</v>
      </c>
      <c r="W36" s="30"/>
      <c r="X36" s="30" t="s">
        <v>23</v>
      </c>
      <c r="Y36" s="35"/>
      <c r="Z36" s="35">
        <v>43901</v>
      </c>
      <c r="AA36" s="35"/>
      <c r="AB36" s="35"/>
      <c r="AC36" s="35"/>
      <c r="AD36" s="30"/>
      <c r="AE36" s="30"/>
      <c r="AF36" s="30"/>
      <c r="AG36" s="30"/>
      <c r="AH36" s="30"/>
    </row>
    <row r="37" spans="2:34" x14ac:dyDescent="0.25">
      <c r="B37" s="39">
        <f t="shared" si="0"/>
        <v>35</v>
      </c>
      <c r="C37" s="32">
        <v>20200303</v>
      </c>
      <c r="D37" s="30" t="s">
        <v>3</v>
      </c>
      <c r="E37" s="30" t="s">
        <v>136</v>
      </c>
      <c r="F37" s="33" t="s">
        <v>239</v>
      </c>
      <c r="G37" s="30">
        <v>1341660</v>
      </c>
      <c r="H37" s="30" t="s">
        <v>153</v>
      </c>
      <c r="I37" s="31" t="s">
        <v>238</v>
      </c>
      <c r="J37" s="30" t="s">
        <v>90</v>
      </c>
      <c r="K37" s="30" t="s">
        <v>187</v>
      </c>
      <c r="L37" s="33" t="str">
        <f t="shared" si="2"/>
        <v>-</v>
      </c>
      <c r="M37" s="33" t="s">
        <v>209</v>
      </c>
      <c r="N37" s="32"/>
      <c r="O37" s="32" t="s">
        <v>193</v>
      </c>
      <c r="P37" s="30" t="s">
        <v>104</v>
      </c>
      <c r="Q37" s="30"/>
      <c r="R37" s="30"/>
      <c r="S37" s="30">
        <v>254</v>
      </c>
      <c r="T37" s="50">
        <v>254</v>
      </c>
      <c r="U37" s="30"/>
      <c r="V37" s="30">
        <f>ROUNDDOWN(T37/HLOOKUP(D37,Table!$C$3:$D$4,2,0)*8,2)</f>
        <v>4.51</v>
      </c>
      <c r="W37" s="30"/>
      <c r="X37" s="30" t="s">
        <v>23</v>
      </c>
      <c r="Y37" s="35"/>
      <c r="Z37" s="35">
        <v>43901</v>
      </c>
      <c r="AA37" s="35"/>
      <c r="AB37" s="35"/>
      <c r="AC37" s="35"/>
      <c r="AD37" s="30"/>
      <c r="AE37" s="30"/>
      <c r="AF37" s="30"/>
      <c r="AG37" s="30"/>
      <c r="AH37" s="30"/>
    </row>
    <row r="38" spans="2:34" x14ac:dyDescent="0.25">
      <c r="B38" s="39">
        <f t="shared" si="0"/>
        <v>36</v>
      </c>
      <c r="C38" s="32">
        <v>20200303</v>
      </c>
      <c r="D38" s="30" t="s">
        <v>3</v>
      </c>
      <c r="E38" s="30" t="s">
        <v>136</v>
      </c>
      <c r="F38" s="33" t="s">
        <v>239</v>
      </c>
      <c r="G38" s="30">
        <v>1341660</v>
      </c>
      <c r="H38" s="30" t="s">
        <v>154</v>
      </c>
      <c r="I38" s="31" t="s">
        <v>238</v>
      </c>
      <c r="J38" s="30" t="s">
        <v>90</v>
      </c>
      <c r="K38" s="30" t="s">
        <v>187</v>
      </c>
      <c r="L38" s="33" t="str">
        <f t="shared" si="2"/>
        <v>-</v>
      </c>
      <c r="M38" s="33" t="s">
        <v>209</v>
      </c>
      <c r="N38" s="32"/>
      <c r="O38" s="32" t="s">
        <v>193</v>
      </c>
      <c r="P38" s="30"/>
      <c r="Q38" s="30"/>
      <c r="R38" s="30"/>
      <c r="S38" s="30">
        <v>193</v>
      </c>
      <c r="T38" s="3">
        <v>193</v>
      </c>
      <c r="U38" s="30"/>
      <c r="V38" s="30">
        <f>ROUNDDOWN(T38/HLOOKUP(D38,Table!$C$3:$D$4,2,0)*8,2)</f>
        <v>3.43</v>
      </c>
      <c r="W38" s="30"/>
      <c r="X38" s="30" t="s">
        <v>23</v>
      </c>
      <c r="Y38" s="35"/>
      <c r="Z38" s="35">
        <v>43901</v>
      </c>
      <c r="AA38" s="35"/>
      <c r="AB38" s="35"/>
      <c r="AC38" s="35"/>
      <c r="AD38" s="30"/>
      <c r="AE38" s="30"/>
      <c r="AF38" s="30"/>
      <c r="AG38" s="30"/>
      <c r="AH38" s="30"/>
    </row>
    <row r="39" spans="2:34" x14ac:dyDescent="0.25">
      <c r="B39" s="39">
        <f t="shared" si="0"/>
        <v>37</v>
      </c>
      <c r="C39" s="32">
        <v>20200303</v>
      </c>
      <c r="D39" s="30" t="s">
        <v>3</v>
      </c>
      <c r="E39" s="30" t="s">
        <v>136</v>
      </c>
      <c r="F39" s="33" t="s">
        <v>239</v>
      </c>
      <c r="G39" s="30">
        <v>1341660</v>
      </c>
      <c r="H39" s="30" t="s">
        <v>155</v>
      </c>
      <c r="I39" s="31" t="s">
        <v>238</v>
      </c>
      <c r="J39" s="30" t="s">
        <v>90</v>
      </c>
      <c r="K39" s="30" t="s">
        <v>187</v>
      </c>
      <c r="L39" s="33" t="str">
        <f t="shared" si="2"/>
        <v>-</v>
      </c>
      <c r="M39" s="33" t="s">
        <v>209</v>
      </c>
      <c r="N39" s="32"/>
      <c r="O39" s="32" t="s">
        <v>193</v>
      </c>
      <c r="P39" s="30"/>
      <c r="Q39" s="30"/>
      <c r="R39" s="30"/>
      <c r="S39" s="30">
        <v>204</v>
      </c>
      <c r="T39" s="3">
        <v>204</v>
      </c>
      <c r="U39" s="30"/>
      <c r="V39" s="30">
        <f>ROUNDDOWN(T39/HLOOKUP(D39,Table!$C$3:$D$4,2,0)*8,2)</f>
        <v>3.62</v>
      </c>
      <c r="W39" s="30"/>
      <c r="X39" s="30" t="s">
        <v>23</v>
      </c>
      <c r="Y39" s="35"/>
      <c r="Z39" s="35">
        <v>43901</v>
      </c>
      <c r="AA39" s="35"/>
      <c r="AB39" s="35"/>
      <c r="AC39" s="35"/>
      <c r="AD39" s="30"/>
      <c r="AE39" s="30"/>
      <c r="AF39" s="30"/>
      <c r="AG39" s="30"/>
      <c r="AH39" s="30"/>
    </row>
    <row r="40" spans="2:34" x14ac:dyDescent="0.25">
      <c r="B40" s="39">
        <f t="shared" si="0"/>
        <v>38</v>
      </c>
      <c r="C40" s="32">
        <v>20200303</v>
      </c>
      <c r="D40" s="30" t="s">
        <v>3</v>
      </c>
      <c r="E40" s="30" t="s">
        <v>136</v>
      </c>
      <c r="F40" s="33" t="s">
        <v>239</v>
      </c>
      <c r="G40" s="30">
        <v>1341660</v>
      </c>
      <c r="H40" s="30" t="s">
        <v>156</v>
      </c>
      <c r="I40" s="31" t="s">
        <v>238</v>
      </c>
      <c r="J40" s="30" t="s">
        <v>90</v>
      </c>
      <c r="K40" s="30" t="s">
        <v>187</v>
      </c>
      <c r="L40" s="33" t="str">
        <f t="shared" si="2"/>
        <v>-</v>
      </c>
      <c r="M40" s="33" t="s">
        <v>209</v>
      </c>
      <c r="N40" s="32"/>
      <c r="O40" s="32" t="s">
        <v>193</v>
      </c>
      <c r="P40" s="30"/>
      <c r="Q40" s="30"/>
      <c r="R40" s="30"/>
      <c r="S40" s="30">
        <v>194</v>
      </c>
      <c r="T40" s="3">
        <v>194</v>
      </c>
      <c r="U40" s="30"/>
      <c r="V40" s="30">
        <f>ROUNDDOWN(T40/HLOOKUP(D40,Table!$C$3:$D$4,2,0)*8,2)</f>
        <v>3.44</v>
      </c>
      <c r="W40" s="30"/>
      <c r="X40" s="30" t="s">
        <v>23</v>
      </c>
      <c r="Y40" s="35"/>
      <c r="Z40" s="35">
        <v>43901</v>
      </c>
      <c r="AA40" s="35"/>
      <c r="AB40" s="35"/>
      <c r="AC40" s="35"/>
      <c r="AD40" s="30"/>
      <c r="AE40" s="30"/>
      <c r="AF40" s="30"/>
      <c r="AG40" s="30"/>
      <c r="AH40" s="30"/>
    </row>
    <row r="41" spans="2:34" x14ac:dyDescent="0.25">
      <c r="B41" s="39">
        <f t="shared" si="0"/>
        <v>39</v>
      </c>
      <c r="C41" s="32">
        <v>20200303</v>
      </c>
      <c r="D41" s="30" t="s">
        <v>3</v>
      </c>
      <c r="E41" s="30" t="s">
        <v>136</v>
      </c>
      <c r="F41" s="33" t="s">
        <v>239</v>
      </c>
      <c r="G41" s="30">
        <v>1341660</v>
      </c>
      <c r="H41" s="30" t="s">
        <v>157</v>
      </c>
      <c r="I41" s="31" t="s">
        <v>238</v>
      </c>
      <c r="J41" s="30" t="s">
        <v>90</v>
      </c>
      <c r="K41" s="30" t="s">
        <v>187</v>
      </c>
      <c r="L41" s="33" t="str">
        <f t="shared" si="2"/>
        <v>-</v>
      </c>
      <c r="M41" s="33" t="s">
        <v>209</v>
      </c>
      <c r="N41" s="32"/>
      <c r="O41" s="32" t="s">
        <v>193</v>
      </c>
      <c r="P41" s="30"/>
      <c r="Q41" s="30"/>
      <c r="R41" s="30"/>
      <c r="S41" s="30">
        <v>141</v>
      </c>
      <c r="T41" s="3">
        <v>141</v>
      </c>
      <c r="U41" s="30"/>
      <c r="V41" s="30">
        <f>ROUNDDOWN(T41/HLOOKUP(D41,Table!$C$3:$D$4,2,0)*8,2)</f>
        <v>2.5</v>
      </c>
      <c r="W41" s="30"/>
      <c r="X41" s="30" t="s">
        <v>23</v>
      </c>
      <c r="Y41" s="35"/>
      <c r="Z41" s="35">
        <v>43901</v>
      </c>
      <c r="AA41" s="35"/>
      <c r="AB41" s="35"/>
      <c r="AC41" s="35"/>
      <c r="AD41" s="30"/>
      <c r="AE41" s="30"/>
      <c r="AF41" s="30"/>
      <c r="AG41" s="30"/>
      <c r="AH41" s="30"/>
    </row>
    <row r="42" spans="2:34" x14ac:dyDescent="0.25">
      <c r="B42" s="39">
        <f t="shared" si="0"/>
        <v>40</v>
      </c>
      <c r="C42" s="32">
        <v>20200303</v>
      </c>
      <c r="D42" s="30" t="s">
        <v>3</v>
      </c>
      <c r="E42" s="30" t="s">
        <v>136</v>
      </c>
      <c r="F42" s="33" t="s">
        <v>239</v>
      </c>
      <c r="G42" s="30">
        <v>1341660</v>
      </c>
      <c r="H42" s="30" t="s">
        <v>158</v>
      </c>
      <c r="I42" s="31" t="s">
        <v>238</v>
      </c>
      <c r="J42" s="30" t="s">
        <v>90</v>
      </c>
      <c r="K42" s="30" t="s">
        <v>187</v>
      </c>
      <c r="L42" s="33" t="str">
        <f t="shared" si="2"/>
        <v>-</v>
      </c>
      <c r="M42" s="33" t="s">
        <v>209</v>
      </c>
      <c r="N42" s="32"/>
      <c r="O42" s="32" t="s">
        <v>193</v>
      </c>
      <c r="P42" s="30" t="s">
        <v>105</v>
      </c>
      <c r="Q42" s="30"/>
      <c r="R42" s="30"/>
      <c r="S42" s="30">
        <v>190</v>
      </c>
      <c r="T42" s="3">
        <v>190</v>
      </c>
      <c r="U42" s="30"/>
      <c r="V42" s="30">
        <f>ROUNDDOWN(T42/HLOOKUP(D42,Table!$C$3:$D$4,2,0)*8,2)</f>
        <v>3.37</v>
      </c>
      <c r="W42" s="30"/>
      <c r="X42" s="30" t="s">
        <v>23</v>
      </c>
      <c r="Y42" s="35"/>
      <c r="Z42" s="35">
        <v>43901</v>
      </c>
      <c r="AA42" s="35"/>
      <c r="AB42" s="35"/>
      <c r="AC42" s="35"/>
      <c r="AD42" s="30"/>
      <c r="AE42" s="30"/>
      <c r="AF42" s="30"/>
      <c r="AG42" s="30"/>
      <c r="AH42" s="30"/>
    </row>
    <row r="43" spans="2:34" x14ac:dyDescent="0.25">
      <c r="B43" s="39">
        <f t="shared" si="0"/>
        <v>41</v>
      </c>
      <c r="C43" s="32">
        <v>20200303</v>
      </c>
      <c r="D43" s="30" t="s">
        <v>3</v>
      </c>
      <c r="E43" s="30" t="s">
        <v>136</v>
      </c>
      <c r="F43" s="33" t="s">
        <v>239</v>
      </c>
      <c r="G43" s="30">
        <v>1341660</v>
      </c>
      <c r="H43" s="30" t="s">
        <v>159</v>
      </c>
      <c r="I43" s="31" t="s">
        <v>238</v>
      </c>
      <c r="J43" s="30" t="s">
        <v>90</v>
      </c>
      <c r="K43" s="30" t="s">
        <v>187</v>
      </c>
      <c r="L43" s="33" t="str">
        <f t="shared" si="2"/>
        <v>-</v>
      </c>
      <c r="M43" s="33" t="s">
        <v>209</v>
      </c>
      <c r="N43" s="32"/>
      <c r="O43" s="32" t="s">
        <v>193</v>
      </c>
      <c r="P43" s="30"/>
      <c r="Q43" s="30"/>
      <c r="R43" s="30"/>
      <c r="S43" s="30">
        <v>107</v>
      </c>
      <c r="T43" s="50">
        <v>107</v>
      </c>
      <c r="U43" s="30"/>
      <c r="V43" s="30">
        <f>ROUNDDOWN(T43/HLOOKUP(D43,Table!$C$3:$D$4,2,0)*8,2)</f>
        <v>1.9</v>
      </c>
      <c r="W43" s="30"/>
      <c r="X43" s="30" t="s">
        <v>23</v>
      </c>
      <c r="Y43" s="35"/>
      <c r="Z43" s="35">
        <v>43901</v>
      </c>
      <c r="AA43" s="35"/>
      <c r="AB43" s="35"/>
      <c r="AC43" s="35"/>
      <c r="AD43" s="30"/>
      <c r="AE43" s="30"/>
      <c r="AF43" s="30"/>
      <c r="AG43" s="30"/>
      <c r="AH43" s="30"/>
    </row>
    <row r="44" spans="2:34" x14ac:dyDescent="0.25">
      <c r="B44" s="39">
        <f t="shared" si="0"/>
        <v>42</v>
      </c>
      <c r="C44" s="32">
        <v>20200303</v>
      </c>
      <c r="D44" s="30" t="s">
        <v>3</v>
      </c>
      <c r="E44" s="30" t="s">
        <v>136</v>
      </c>
      <c r="F44" s="33" t="s">
        <v>239</v>
      </c>
      <c r="G44" s="30">
        <v>1341660</v>
      </c>
      <c r="H44" s="30" t="s">
        <v>160</v>
      </c>
      <c r="I44" s="31" t="s">
        <v>238</v>
      </c>
      <c r="J44" s="30" t="s">
        <v>90</v>
      </c>
      <c r="K44" s="30" t="s">
        <v>187</v>
      </c>
      <c r="L44" s="33" t="str">
        <f t="shared" si="2"/>
        <v>-</v>
      </c>
      <c r="M44" s="33" t="s">
        <v>209</v>
      </c>
      <c r="N44" s="32"/>
      <c r="O44" s="32" t="s">
        <v>193</v>
      </c>
      <c r="P44" s="30"/>
      <c r="Q44" s="30"/>
      <c r="R44" s="30"/>
      <c r="S44" s="30">
        <v>269</v>
      </c>
      <c r="T44" s="3">
        <v>269</v>
      </c>
      <c r="U44" s="30"/>
      <c r="V44" s="30">
        <f>ROUNDDOWN(T44/HLOOKUP(D44,Table!$C$3:$D$4,2,0)*8,2)</f>
        <v>4.78</v>
      </c>
      <c r="W44" s="30"/>
      <c r="X44" s="30" t="s">
        <v>23</v>
      </c>
      <c r="Y44" s="35"/>
      <c r="Z44" s="35">
        <v>43901</v>
      </c>
      <c r="AA44" s="35"/>
      <c r="AB44" s="35"/>
      <c r="AC44" s="35"/>
      <c r="AD44" s="30"/>
      <c r="AE44" s="30"/>
      <c r="AF44" s="30"/>
      <c r="AG44" s="30"/>
      <c r="AH44" s="30"/>
    </row>
    <row r="45" spans="2:34" x14ac:dyDescent="0.25">
      <c r="B45" s="39">
        <f t="shared" si="0"/>
        <v>43</v>
      </c>
      <c r="C45" s="32">
        <v>20200303</v>
      </c>
      <c r="D45" s="30" t="s">
        <v>3</v>
      </c>
      <c r="E45" s="30" t="s">
        <v>136</v>
      </c>
      <c r="F45" s="33" t="s">
        <v>239</v>
      </c>
      <c r="G45" s="30">
        <v>1341660</v>
      </c>
      <c r="H45" s="30" t="s">
        <v>161</v>
      </c>
      <c r="I45" s="31" t="s">
        <v>238</v>
      </c>
      <c r="J45" s="30" t="s">
        <v>90</v>
      </c>
      <c r="K45" s="30" t="s">
        <v>187</v>
      </c>
      <c r="L45" s="33" t="str">
        <f t="shared" si="2"/>
        <v>-</v>
      </c>
      <c r="M45" s="33" t="s">
        <v>209</v>
      </c>
      <c r="N45" s="32"/>
      <c r="O45" s="32" t="s">
        <v>193</v>
      </c>
      <c r="P45" s="30"/>
      <c r="Q45" s="30"/>
      <c r="R45" s="30"/>
      <c r="S45" s="30">
        <v>70</v>
      </c>
      <c r="T45" s="3">
        <v>70</v>
      </c>
      <c r="U45" s="30"/>
      <c r="V45" s="30">
        <f>ROUNDDOWN(T45/HLOOKUP(D45,Table!$C$3:$D$4,2,0)*8,2)</f>
        <v>1.24</v>
      </c>
      <c r="W45" s="30"/>
      <c r="X45" s="30" t="s">
        <v>23</v>
      </c>
      <c r="Y45" s="35"/>
      <c r="Z45" s="35">
        <v>43901</v>
      </c>
      <c r="AA45" s="35"/>
      <c r="AB45" s="35"/>
      <c r="AC45" s="35"/>
      <c r="AD45" s="30"/>
      <c r="AE45" s="30"/>
      <c r="AF45" s="30"/>
      <c r="AG45" s="30"/>
      <c r="AH45" s="30"/>
    </row>
    <row r="46" spans="2:34" x14ac:dyDescent="0.25">
      <c r="B46" s="39">
        <f t="shared" si="0"/>
        <v>44</v>
      </c>
      <c r="C46" s="32">
        <v>20200303</v>
      </c>
      <c r="D46" s="30" t="s">
        <v>3</v>
      </c>
      <c r="E46" s="30" t="s">
        <v>136</v>
      </c>
      <c r="F46" s="33" t="s">
        <v>242</v>
      </c>
      <c r="G46" s="30">
        <v>1341660</v>
      </c>
      <c r="H46" s="30" t="s">
        <v>162</v>
      </c>
      <c r="I46" s="31" t="s">
        <v>238</v>
      </c>
      <c r="J46" s="30" t="s">
        <v>90</v>
      </c>
      <c r="K46" s="30" t="s">
        <v>187</v>
      </c>
      <c r="L46" s="33" t="str">
        <f t="shared" si="2"/>
        <v>-</v>
      </c>
      <c r="M46" s="33" t="s">
        <v>209</v>
      </c>
      <c r="N46" s="32"/>
      <c r="O46" s="32" t="s">
        <v>194</v>
      </c>
      <c r="P46" s="30" t="s">
        <v>105</v>
      </c>
      <c r="Q46" s="30"/>
      <c r="R46" s="30"/>
      <c r="S46" s="30">
        <v>204</v>
      </c>
      <c r="T46" s="30">
        <v>204</v>
      </c>
      <c r="U46" s="30">
        <v>204</v>
      </c>
      <c r="V46" s="30">
        <f>ROUNDDOWN(T46/HLOOKUP(D46,Table!$C$3:$D$4,2,0)*8,2)</f>
        <v>3.62</v>
      </c>
      <c r="W46" s="30">
        <v>3</v>
      </c>
      <c r="X46" s="30" t="s">
        <v>21</v>
      </c>
      <c r="Y46" s="35">
        <v>43895</v>
      </c>
      <c r="Z46" s="35">
        <v>43901</v>
      </c>
      <c r="AA46" s="35">
        <v>43895</v>
      </c>
      <c r="AB46" s="35">
        <v>43896</v>
      </c>
      <c r="AC46" s="35"/>
      <c r="AD46" s="30">
        <v>100</v>
      </c>
      <c r="AE46" s="30">
        <v>100</v>
      </c>
      <c r="AF46" s="30">
        <v>100</v>
      </c>
      <c r="AG46" s="30"/>
      <c r="AH46" s="30"/>
    </row>
    <row r="47" spans="2:34" x14ac:dyDescent="0.25">
      <c r="B47" s="39">
        <f t="shared" si="0"/>
        <v>45</v>
      </c>
      <c r="C47" s="32">
        <v>20200303</v>
      </c>
      <c r="D47" s="30" t="s">
        <v>3</v>
      </c>
      <c r="E47" s="30" t="s">
        <v>136</v>
      </c>
      <c r="F47" s="33" t="s">
        <v>242</v>
      </c>
      <c r="G47" s="30">
        <v>1341660</v>
      </c>
      <c r="H47" s="30" t="s">
        <v>163</v>
      </c>
      <c r="I47" s="31" t="s">
        <v>238</v>
      </c>
      <c r="J47" s="30" t="s">
        <v>90</v>
      </c>
      <c r="K47" s="30" t="s">
        <v>187</v>
      </c>
      <c r="L47" s="33" t="str">
        <f t="shared" si="2"/>
        <v>-</v>
      </c>
      <c r="M47" s="33" t="s">
        <v>209</v>
      </c>
      <c r="N47" s="32"/>
      <c r="O47" s="32" t="s">
        <v>194</v>
      </c>
      <c r="P47" s="30" t="s">
        <v>105</v>
      </c>
      <c r="Q47" s="30"/>
      <c r="R47" s="30"/>
      <c r="S47" s="30">
        <v>185</v>
      </c>
      <c r="T47" s="30">
        <v>185</v>
      </c>
      <c r="U47" s="30">
        <v>185</v>
      </c>
      <c r="V47" s="30">
        <f>ROUNDDOWN(T47/HLOOKUP(D47,Table!$C$3:$D$4,2,0)*8,2)</f>
        <v>3.28</v>
      </c>
      <c r="W47" s="30">
        <v>3</v>
      </c>
      <c r="X47" s="30" t="s">
        <v>21</v>
      </c>
      <c r="Y47" s="35">
        <v>43895</v>
      </c>
      <c r="Z47" s="35">
        <v>43901</v>
      </c>
      <c r="AA47" s="35">
        <v>43895</v>
      </c>
      <c r="AB47" s="35">
        <v>43896</v>
      </c>
      <c r="AC47" s="35"/>
      <c r="AD47" s="30">
        <v>100</v>
      </c>
      <c r="AE47" s="30">
        <v>100</v>
      </c>
      <c r="AF47" s="30">
        <v>100</v>
      </c>
      <c r="AG47" s="30"/>
      <c r="AH47" s="30"/>
    </row>
    <row r="48" spans="2:34" x14ac:dyDescent="0.25">
      <c r="B48" s="39">
        <f t="shared" si="0"/>
        <v>46</v>
      </c>
      <c r="C48" s="32">
        <v>20200303</v>
      </c>
      <c r="D48" s="30" t="s">
        <v>3</v>
      </c>
      <c r="E48" s="30" t="s">
        <v>136</v>
      </c>
      <c r="F48" s="33" t="s">
        <v>242</v>
      </c>
      <c r="G48" s="30">
        <v>1341660</v>
      </c>
      <c r="H48" s="30" t="s">
        <v>164</v>
      </c>
      <c r="I48" s="31" t="s">
        <v>238</v>
      </c>
      <c r="J48" s="30" t="s">
        <v>90</v>
      </c>
      <c r="K48" s="30" t="s">
        <v>187</v>
      </c>
      <c r="L48" s="33" t="str">
        <f t="shared" si="2"/>
        <v>-</v>
      </c>
      <c r="M48" s="33" t="s">
        <v>209</v>
      </c>
      <c r="N48" s="32"/>
      <c r="O48" s="32" t="s">
        <v>194</v>
      </c>
      <c r="P48" s="30"/>
      <c r="Q48" s="30"/>
      <c r="R48" s="30"/>
      <c r="S48" s="30">
        <v>68</v>
      </c>
      <c r="T48" s="30">
        <v>68</v>
      </c>
      <c r="U48" s="30"/>
      <c r="V48" s="30">
        <f>ROUNDDOWN(T48/HLOOKUP(D48,Table!$C$3:$D$4,2,0)*8,2)</f>
        <v>1.2</v>
      </c>
      <c r="W48" s="30"/>
      <c r="X48" s="30" t="s">
        <v>23</v>
      </c>
      <c r="Y48" s="35"/>
      <c r="Z48" s="35">
        <v>43901</v>
      </c>
      <c r="AA48" s="35"/>
      <c r="AB48" s="35"/>
      <c r="AC48" s="35"/>
      <c r="AD48" s="30"/>
      <c r="AE48" s="30"/>
      <c r="AF48" s="30"/>
      <c r="AG48" s="30"/>
      <c r="AH48" s="30"/>
    </row>
    <row r="49" spans="2:34" x14ac:dyDescent="0.25">
      <c r="B49" s="39">
        <f t="shared" si="0"/>
        <v>47</v>
      </c>
      <c r="C49" s="32">
        <v>20200303</v>
      </c>
      <c r="D49" s="30" t="s">
        <v>3</v>
      </c>
      <c r="E49" s="30" t="s">
        <v>136</v>
      </c>
      <c r="F49" s="33" t="s">
        <v>242</v>
      </c>
      <c r="G49" s="30">
        <v>1341660</v>
      </c>
      <c r="H49" s="30" t="s">
        <v>165</v>
      </c>
      <c r="I49" s="31" t="s">
        <v>238</v>
      </c>
      <c r="J49" s="30" t="s">
        <v>90</v>
      </c>
      <c r="K49" s="30" t="s">
        <v>187</v>
      </c>
      <c r="L49" s="33" t="str">
        <f t="shared" si="2"/>
        <v>-</v>
      </c>
      <c r="M49" s="33" t="s">
        <v>209</v>
      </c>
      <c r="N49" s="32"/>
      <c r="O49" s="32" t="s">
        <v>194</v>
      </c>
      <c r="P49" s="30"/>
      <c r="Q49" s="30"/>
      <c r="R49" s="30"/>
      <c r="S49" s="30">
        <v>150</v>
      </c>
      <c r="T49" s="30">
        <v>150</v>
      </c>
      <c r="U49" s="30"/>
      <c r="V49" s="30">
        <f>ROUNDDOWN(T49/HLOOKUP(D49,Table!$C$3:$D$4,2,0)*8,2)</f>
        <v>2.66</v>
      </c>
      <c r="W49" s="30"/>
      <c r="X49" s="30" t="s">
        <v>23</v>
      </c>
      <c r="Y49" s="35"/>
      <c r="Z49" s="35">
        <v>43901</v>
      </c>
      <c r="AA49" s="35"/>
      <c r="AB49" s="35"/>
      <c r="AC49" s="35"/>
      <c r="AD49" s="30"/>
      <c r="AE49" s="30"/>
      <c r="AF49" s="30"/>
      <c r="AG49" s="30"/>
      <c r="AH49" s="30"/>
    </row>
    <row r="50" spans="2:34" x14ac:dyDescent="0.25">
      <c r="B50" s="39">
        <f t="shared" si="0"/>
        <v>48</v>
      </c>
      <c r="C50" s="32">
        <v>20200303</v>
      </c>
      <c r="D50" s="30" t="s">
        <v>3</v>
      </c>
      <c r="E50" s="30" t="s">
        <v>136</v>
      </c>
      <c r="F50" s="33" t="s">
        <v>242</v>
      </c>
      <c r="G50" s="30">
        <v>1341660</v>
      </c>
      <c r="H50" s="30" t="s">
        <v>166</v>
      </c>
      <c r="I50" s="31" t="s">
        <v>238</v>
      </c>
      <c r="J50" s="30" t="s">
        <v>90</v>
      </c>
      <c r="K50" s="30" t="s">
        <v>187</v>
      </c>
      <c r="L50" s="33" t="str">
        <f t="shared" si="2"/>
        <v>-</v>
      </c>
      <c r="M50" s="33" t="s">
        <v>209</v>
      </c>
      <c r="N50" s="32"/>
      <c r="O50" s="32" t="s">
        <v>194</v>
      </c>
      <c r="P50" s="30"/>
      <c r="Q50" s="30"/>
      <c r="R50" s="30"/>
      <c r="S50" s="30">
        <v>25</v>
      </c>
      <c r="T50" s="30">
        <v>25</v>
      </c>
      <c r="U50" s="30"/>
      <c r="V50" s="30">
        <f>ROUNDDOWN(T50/HLOOKUP(D50,Table!$C$3:$D$4,2,0)*8,2)</f>
        <v>0.44</v>
      </c>
      <c r="W50" s="30"/>
      <c r="X50" s="30" t="s">
        <v>23</v>
      </c>
      <c r="Y50" s="35"/>
      <c r="Z50" s="35">
        <v>43901</v>
      </c>
      <c r="AA50" s="35"/>
      <c r="AB50" s="35"/>
      <c r="AC50" s="35"/>
      <c r="AD50" s="30"/>
      <c r="AE50" s="30"/>
      <c r="AF50" s="30"/>
      <c r="AG50" s="30"/>
      <c r="AH50" s="30"/>
    </row>
    <row r="51" spans="2:34" x14ac:dyDescent="0.25">
      <c r="B51" s="39">
        <f t="shared" si="0"/>
        <v>49</v>
      </c>
      <c r="C51" s="32">
        <v>20200303</v>
      </c>
      <c r="D51" s="30" t="s">
        <v>3</v>
      </c>
      <c r="E51" s="30" t="s">
        <v>136</v>
      </c>
      <c r="F51" s="33" t="s">
        <v>235</v>
      </c>
      <c r="G51" s="30">
        <v>1341660</v>
      </c>
      <c r="H51" s="30" t="s">
        <v>95</v>
      </c>
      <c r="I51" s="31" t="s">
        <v>238</v>
      </c>
      <c r="J51" s="30" t="s">
        <v>90</v>
      </c>
      <c r="K51" s="30" t="s">
        <v>187</v>
      </c>
      <c r="L51" s="33" t="str">
        <f t="shared" si="2"/>
        <v>-</v>
      </c>
      <c r="M51" s="33" t="s">
        <v>209</v>
      </c>
      <c r="N51" s="32"/>
      <c r="O51" s="32" t="s">
        <v>195</v>
      </c>
      <c r="P51" s="30"/>
      <c r="Q51" s="30"/>
      <c r="R51" s="30"/>
      <c r="S51" s="30">
        <v>487</v>
      </c>
      <c r="T51" s="30">
        <v>487</v>
      </c>
      <c r="U51" s="30"/>
      <c r="V51" s="30">
        <f>ROUNDDOWN(T51/HLOOKUP(D51,Table!$C$3:$D$4,2,0)*8,2)</f>
        <v>8.65</v>
      </c>
      <c r="W51" s="30"/>
      <c r="X51" s="30" t="s">
        <v>23</v>
      </c>
      <c r="Y51" s="35"/>
      <c r="Z51" s="35">
        <v>43901</v>
      </c>
      <c r="AA51" s="35"/>
      <c r="AB51" s="35"/>
      <c r="AC51" s="35"/>
      <c r="AD51" s="30"/>
      <c r="AE51" s="30"/>
      <c r="AF51" s="30"/>
      <c r="AG51" s="30"/>
      <c r="AH51" s="30"/>
    </row>
    <row r="52" spans="2:34" x14ac:dyDescent="0.25">
      <c r="B52" s="39">
        <f t="shared" si="0"/>
        <v>50</v>
      </c>
      <c r="C52" s="32">
        <v>20200303</v>
      </c>
      <c r="D52" s="30" t="s">
        <v>3</v>
      </c>
      <c r="E52" s="30" t="s">
        <v>136</v>
      </c>
      <c r="F52" s="33" t="s">
        <v>235</v>
      </c>
      <c r="G52" s="30">
        <v>1341660</v>
      </c>
      <c r="H52" s="30" t="s">
        <v>167</v>
      </c>
      <c r="I52" s="31" t="s">
        <v>238</v>
      </c>
      <c r="J52" s="30" t="s">
        <v>90</v>
      </c>
      <c r="K52" s="30" t="s">
        <v>187</v>
      </c>
      <c r="L52" s="33" t="str">
        <f t="shared" si="2"/>
        <v>-</v>
      </c>
      <c r="M52" s="33" t="s">
        <v>209</v>
      </c>
      <c r="N52" s="32"/>
      <c r="O52" s="32" t="s">
        <v>195</v>
      </c>
      <c r="P52" s="30" t="s">
        <v>105</v>
      </c>
      <c r="Q52" s="30"/>
      <c r="R52" s="30"/>
      <c r="S52" s="30">
        <v>110</v>
      </c>
      <c r="T52" s="30">
        <v>110</v>
      </c>
      <c r="U52" s="30">
        <v>110</v>
      </c>
      <c r="V52" s="30">
        <f>ROUNDDOWN(T52/HLOOKUP(D52,Table!$C$3:$D$4,2,0)*8,2)</f>
        <v>1.95</v>
      </c>
      <c r="W52" s="30">
        <v>2</v>
      </c>
      <c r="X52" s="30" t="s">
        <v>21</v>
      </c>
      <c r="Y52" s="35">
        <v>43895</v>
      </c>
      <c r="Z52" s="35">
        <v>43901</v>
      </c>
      <c r="AA52" s="35">
        <v>43895</v>
      </c>
      <c r="AB52" s="35">
        <v>43895</v>
      </c>
      <c r="AC52" s="35" t="s">
        <v>185</v>
      </c>
      <c r="AD52" s="30">
        <v>100</v>
      </c>
      <c r="AE52" s="30">
        <v>100</v>
      </c>
      <c r="AF52" s="30">
        <v>100</v>
      </c>
      <c r="AG52" s="30"/>
      <c r="AH52" s="30"/>
    </row>
    <row r="53" spans="2:34" x14ac:dyDescent="0.25">
      <c r="B53" s="39">
        <f t="shared" si="0"/>
        <v>51</v>
      </c>
      <c r="C53" s="32">
        <v>20200303</v>
      </c>
      <c r="D53" s="30" t="s">
        <v>3</v>
      </c>
      <c r="E53" s="30" t="s">
        <v>136</v>
      </c>
      <c r="F53" s="33" t="s">
        <v>235</v>
      </c>
      <c r="G53" s="30">
        <v>1341660</v>
      </c>
      <c r="H53" s="30" t="s">
        <v>168</v>
      </c>
      <c r="I53" s="31" t="s">
        <v>238</v>
      </c>
      <c r="J53" s="30" t="s">
        <v>90</v>
      </c>
      <c r="K53" s="30" t="s">
        <v>187</v>
      </c>
      <c r="L53" s="33" t="str">
        <f t="shared" si="2"/>
        <v>-</v>
      </c>
      <c r="M53" s="33" t="s">
        <v>209</v>
      </c>
      <c r="N53" s="32"/>
      <c r="O53" s="32" t="s">
        <v>195</v>
      </c>
      <c r="P53" s="30"/>
      <c r="Q53" s="30"/>
      <c r="R53" s="30"/>
      <c r="S53" s="30">
        <v>167</v>
      </c>
      <c r="T53" s="30">
        <v>167</v>
      </c>
      <c r="U53" s="30"/>
      <c r="V53" s="30">
        <f>ROUNDDOWN(T53/HLOOKUP(D53,Table!$C$3:$D$4,2,0)*8,2)</f>
        <v>2.96</v>
      </c>
      <c r="W53" s="30"/>
      <c r="X53" s="30" t="s">
        <v>23</v>
      </c>
      <c r="Y53" s="35"/>
      <c r="Z53" s="35">
        <v>43901</v>
      </c>
      <c r="AA53" s="35"/>
      <c r="AB53" s="35"/>
      <c r="AC53" s="35"/>
      <c r="AD53" s="30"/>
      <c r="AE53" s="30"/>
      <c r="AF53" s="30"/>
      <c r="AG53" s="30"/>
      <c r="AH53" s="30"/>
    </row>
    <row r="54" spans="2:34" x14ac:dyDescent="0.25">
      <c r="B54" s="39">
        <f t="shared" si="0"/>
        <v>52</v>
      </c>
      <c r="C54" s="32">
        <v>20200303</v>
      </c>
      <c r="D54" s="30" t="s">
        <v>3</v>
      </c>
      <c r="E54" s="30" t="s">
        <v>136</v>
      </c>
      <c r="F54" s="33" t="s">
        <v>235</v>
      </c>
      <c r="G54" s="30">
        <v>1341660</v>
      </c>
      <c r="H54" s="30" t="s">
        <v>169</v>
      </c>
      <c r="I54" s="31" t="s">
        <v>238</v>
      </c>
      <c r="J54" s="30" t="s">
        <v>90</v>
      </c>
      <c r="K54" s="30" t="s">
        <v>187</v>
      </c>
      <c r="L54" s="33" t="str">
        <f t="shared" si="2"/>
        <v>-</v>
      </c>
      <c r="M54" s="33" t="s">
        <v>209</v>
      </c>
      <c r="N54" s="32"/>
      <c r="O54" s="32" t="s">
        <v>195</v>
      </c>
      <c r="P54" s="30"/>
      <c r="Q54" s="30"/>
      <c r="R54" s="30"/>
      <c r="S54" s="30">
        <v>42</v>
      </c>
      <c r="T54" s="30">
        <v>42</v>
      </c>
      <c r="U54" s="30"/>
      <c r="V54" s="30">
        <f>ROUNDDOWN(T54/HLOOKUP(D54,Table!$C$3:$D$4,2,0)*8,2)</f>
        <v>0.74</v>
      </c>
      <c r="W54" s="30"/>
      <c r="X54" s="30" t="s">
        <v>23</v>
      </c>
      <c r="Y54" s="35"/>
      <c r="Z54" s="35">
        <v>43901</v>
      </c>
      <c r="AA54" s="35"/>
      <c r="AB54" s="35"/>
      <c r="AC54" s="35"/>
      <c r="AD54" s="30"/>
      <c r="AE54" s="30"/>
      <c r="AF54" s="30"/>
      <c r="AG54" s="30"/>
      <c r="AH54" s="30"/>
    </row>
    <row r="55" spans="2:34" x14ac:dyDescent="0.25">
      <c r="B55" s="39">
        <f t="shared" si="0"/>
        <v>53</v>
      </c>
      <c r="C55" s="30">
        <v>20200303</v>
      </c>
      <c r="D55" s="30" t="s">
        <v>3</v>
      </c>
      <c r="E55" s="30" t="s">
        <v>136</v>
      </c>
      <c r="F55" s="33" t="s">
        <v>235</v>
      </c>
      <c r="G55" s="30">
        <v>1341660</v>
      </c>
      <c r="H55" s="30" t="s">
        <v>170</v>
      </c>
      <c r="I55" s="31" t="s">
        <v>238</v>
      </c>
      <c r="J55" s="30" t="s">
        <v>90</v>
      </c>
      <c r="K55" s="30" t="s">
        <v>187</v>
      </c>
      <c r="L55" s="33" t="str">
        <f t="shared" si="2"/>
        <v>-</v>
      </c>
      <c r="M55" s="33" t="s">
        <v>209</v>
      </c>
      <c r="N55" s="32"/>
      <c r="O55" s="32" t="s">
        <v>195</v>
      </c>
      <c r="P55" s="30"/>
      <c r="Q55" s="30"/>
      <c r="R55" s="30"/>
      <c r="S55" s="30">
        <v>40</v>
      </c>
      <c r="T55" s="30">
        <v>40</v>
      </c>
      <c r="U55" s="30"/>
      <c r="V55" s="30">
        <f>ROUNDDOWN(T55/HLOOKUP(D55,Table!$C$3:$D$4,2,0)*8,2)</f>
        <v>0.71</v>
      </c>
      <c r="W55" s="30"/>
      <c r="X55" s="30" t="s">
        <v>23</v>
      </c>
      <c r="Y55" s="35"/>
      <c r="Z55" s="35">
        <v>43901</v>
      </c>
      <c r="AA55" s="35"/>
      <c r="AB55" s="35"/>
      <c r="AC55" s="35"/>
      <c r="AD55" s="30"/>
      <c r="AE55" s="30"/>
      <c r="AF55" s="30"/>
      <c r="AG55" s="30"/>
      <c r="AH55" s="30"/>
    </row>
    <row r="56" spans="2:34" x14ac:dyDescent="0.25">
      <c r="B56" s="39">
        <f t="shared" si="0"/>
        <v>54</v>
      </c>
      <c r="C56" s="30">
        <v>20200303</v>
      </c>
      <c r="D56" s="30" t="s">
        <v>3</v>
      </c>
      <c r="E56" s="30" t="s">
        <v>136</v>
      </c>
      <c r="F56" s="33" t="s">
        <v>173</v>
      </c>
      <c r="G56" s="30">
        <v>1341660</v>
      </c>
      <c r="H56" s="30" t="s">
        <v>171</v>
      </c>
      <c r="I56" s="31" t="s">
        <v>238</v>
      </c>
      <c r="J56" s="30" t="s">
        <v>90</v>
      </c>
      <c r="K56" s="30" t="s">
        <v>187</v>
      </c>
      <c r="L56" s="33" t="str">
        <f t="shared" si="2"/>
        <v>-</v>
      </c>
      <c r="M56" s="33" t="s">
        <v>209</v>
      </c>
      <c r="N56" s="32"/>
      <c r="O56" s="32" t="s">
        <v>196</v>
      </c>
      <c r="P56" s="30"/>
      <c r="Q56" s="30"/>
      <c r="R56" s="30"/>
      <c r="S56" s="30">
        <v>44</v>
      </c>
      <c r="T56" s="30">
        <v>44</v>
      </c>
      <c r="U56" s="30"/>
      <c r="V56" s="30">
        <f>ROUNDDOWN(T56/HLOOKUP(D56,Table!$C$3:$D$4,2,0)*8,2)</f>
        <v>0.78</v>
      </c>
      <c r="W56" s="30"/>
      <c r="X56" s="30" t="s">
        <v>23</v>
      </c>
      <c r="Y56" s="35"/>
      <c r="Z56" s="35">
        <v>43901</v>
      </c>
      <c r="AA56" s="35"/>
      <c r="AB56" s="35"/>
      <c r="AC56" s="35"/>
      <c r="AD56" s="30"/>
      <c r="AE56" s="30"/>
      <c r="AF56" s="30"/>
      <c r="AG56" s="30"/>
      <c r="AH56" s="30"/>
    </row>
    <row r="57" spans="2:34" x14ac:dyDescent="0.25">
      <c r="B57" s="39">
        <f t="shared" si="0"/>
        <v>55</v>
      </c>
      <c r="C57" s="30">
        <v>20200303</v>
      </c>
      <c r="D57" s="30" t="s">
        <v>3</v>
      </c>
      <c r="E57" s="30" t="s">
        <v>136</v>
      </c>
      <c r="F57" s="33" t="s">
        <v>173</v>
      </c>
      <c r="G57" s="30">
        <v>1341660</v>
      </c>
      <c r="H57" s="30" t="s">
        <v>172</v>
      </c>
      <c r="I57" s="31" t="s">
        <v>238</v>
      </c>
      <c r="J57" s="30" t="s">
        <v>90</v>
      </c>
      <c r="K57" s="30" t="s">
        <v>187</v>
      </c>
      <c r="L57" s="33" t="str">
        <f t="shared" si="2"/>
        <v>-</v>
      </c>
      <c r="M57" s="33" t="s">
        <v>209</v>
      </c>
      <c r="N57" s="32"/>
      <c r="O57" s="32" t="s">
        <v>196</v>
      </c>
      <c r="P57" s="30"/>
      <c r="Q57" s="30"/>
      <c r="R57" s="30"/>
      <c r="S57" s="30">
        <v>29</v>
      </c>
      <c r="T57" s="30">
        <v>29</v>
      </c>
      <c r="U57" s="30"/>
      <c r="V57" s="30">
        <f>ROUNDDOWN(T57/HLOOKUP(D57,Table!$C$3:$D$4,2,0)*8,2)</f>
        <v>0.51</v>
      </c>
      <c r="W57" s="30"/>
      <c r="X57" s="30" t="s">
        <v>23</v>
      </c>
      <c r="Y57" s="35"/>
      <c r="Z57" s="35">
        <v>43901</v>
      </c>
      <c r="AA57" s="35"/>
      <c r="AB57" s="35"/>
      <c r="AC57" s="35"/>
      <c r="AD57" s="30"/>
      <c r="AE57" s="30"/>
      <c r="AF57" s="30"/>
      <c r="AG57" s="30"/>
      <c r="AH57" s="30"/>
    </row>
    <row r="58" spans="2:34" x14ac:dyDescent="0.25">
      <c r="B58" s="39">
        <f t="shared" si="0"/>
        <v>56</v>
      </c>
      <c r="C58" s="30">
        <v>20200303</v>
      </c>
      <c r="D58" s="30" t="s">
        <v>3</v>
      </c>
      <c r="E58" s="30" t="s">
        <v>136</v>
      </c>
      <c r="F58" s="33" t="s">
        <v>173</v>
      </c>
      <c r="G58" s="30">
        <v>1341660</v>
      </c>
      <c r="H58" s="30" t="s">
        <v>167</v>
      </c>
      <c r="I58" s="31" t="s">
        <v>238</v>
      </c>
      <c r="J58" s="30" t="s">
        <v>90</v>
      </c>
      <c r="K58" s="30" t="s">
        <v>187</v>
      </c>
      <c r="L58" s="33" t="str">
        <f t="shared" si="2"/>
        <v>-</v>
      </c>
      <c r="M58" s="33" t="s">
        <v>209</v>
      </c>
      <c r="N58" s="32"/>
      <c r="O58" s="32" t="s">
        <v>196</v>
      </c>
      <c r="P58" s="30"/>
      <c r="Q58" s="30"/>
      <c r="R58" s="30"/>
      <c r="S58" s="30">
        <v>110</v>
      </c>
      <c r="T58" s="30">
        <v>110</v>
      </c>
      <c r="U58" s="30"/>
      <c r="V58" s="30">
        <f>ROUNDDOWN(T58/HLOOKUP(D58,Table!$C$3:$D$4,2,0)*8,2)</f>
        <v>1.95</v>
      </c>
      <c r="W58" s="30"/>
      <c r="X58" s="30" t="s">
        <v>23</v>
      </c>
      <c r="Y58" s="35"/>
      <c r="Z58" s="35">
        <v>43901</v>
      </c>
      <c r="AA58" s="35"/>
      <c r="AB58" s="35"/>
      <c r="AC58" s="35"/>
      <c r="AD58" s="30"/>
      <c r="AE58" s="30"/>
      <c r="AF58" s="30"/>
      <c r="AG58" s="30"/>
      <c r="AH58" s="30"/>
    </row>
    <row r="59" spans="2:34" x14ac:dyDescent="0.25">
      <c r="B59" s="39">
        <f t="shared" si="0"/>
        <v>57</v>
      </c>
      <c r="C59" s="30">
        <v>20200303</v>
      </c>
      <c r="D59" s="30" t="s">
        <v>3</v>
      </c>
      <c r="E59" s="30" t="s">
        <v>136</v>
      </c>
      <c r="F59" s="33" t="s">
        <v>173</v>
      </c>
      <c r="G59" s="30">
        <v>1341660</v>
      </c>
      <c r="H59" s="30" t="s">
        <v>169</v>
      </c>
      <c r="I59" s="31" t="s">
        <v>238</v>
      </c>
      <c r="J59" s="30" t="s">
        <v>90</v>
      </c>
      <c r="K59" s="30" t="s">
        <v>187</v>
      </c>
      <c r="L59" s="33" t="str">
        <f t="shared" si="2"/>
        <v>-</v>
      </c>
      <c r="M59" s="33" t="s">
        <v>209</v>
      </c>
      <c r="N59" s="32"/>
      <c r="O59" s="32" t="s">
        <v>196</v>
      </c>
      <c r="P59" s="30"/>
      <c r="Q59" s="30"/>
      <c r="R59" s="30"/>
      <c r="S59" s="30">
        <v>42</v>
      </c>
      <c r="T59" s="30">
        <v>42</v>
      </c>
      <c r="U59" s="30"/>
      <c r="V59" s="30">
        <f>ROUNDDOWN(T59/HLOOKUP(D59,Table!$C$3:$D$4,2,0)*8,2)</f>
        <v>0.74</v>
      </c>
      <c r="W59" s="30"/>
      <c r="X59" s="30" t="s">
        <v>23</v>
      </c>
      <c r="Y59" s="35"/>
      <c r="Z59" s="35">
        <v>43901</v>
      </c>
      <c r="AA59" s="35"/>
      <c r="AB59" s="35"/>
      <c r="AC59" s="35"/>
      <c r="AD59" s="30"/>
      <c r="AE59" s="30"/>
      <c r="AF59" s="30"/>
      <c r="AG59" s="30"/>
      <c r="AH59" s="30"/>
    </row>
    <row r="60" spans="2:34" x14ac:dyDescent="0.25">
      <c r="B60" s="39">
        <f t="shared" si="0"/>
        <v>58</v>
      </c>
      <c r="C60" s="30">
        <v>20200303</v>
      </c>
      <c r="D60" s="30" t="s">
        <v>3</v>
      </c>
      <c r="E60" s="30" t="s">
        <v>136</v>
      </c>
      <c r="F60" s="33" t="s">
        <v>173</v>
      </c>
      <c r="G60" s="30">
        <v>1341660</v>
      </c>
      <c r="H60" s="30" t="s">
        <v>171</v>
      </c>
      <c r="I60" s="31" t="s">
        <v>238</v>
      </c>
      <c r="J60" s="30" t="s">
        <v>90</v>
      </c>
      <c r="K60" s="30" t="s">
        <v>187</v>
      </c>
      <c r="L60" s="33" t="str">
        <f t="shared" si="2"/>
        <v>-</v>
      </c>
      <c r="M60" s="33" t="s">
        <v>209</v>
      </c>
      <c r="N60" s="32"/>
      <c r="O60" s="32" t="s">
        <v>196</v>
      </c>
      <c r="P60" s="30"/>
      <c r="Q60" s="30"/>
      <c r="R60" s="30"/>
      <c r="S60" s="30">
        <v>44</v>
      </c>
      <c r="T60" s="30">
        <v>44</v>
      </c>
      <c r="U60" s="30"/>
      <c r="V60" s="30">
        <f>ROUNDDOWN(T60/HLOOKUP(D60,Table!$C$3:$D$4,2,0)*8,2)</f>
        <v>0.78</v>
      </c>
      <c r="W60" s="30"/>
      <c r="X60" s="30" t="s">
        <v>23</v>
      </c>
      <c r="Y60" s="35"/>
      <c r="Z60" s="35">
        <v>43901</v>
      </c>
      <c r="AA60" s="35"/>
      <c r="AB60" s="35"/>
      <c r="AC60" s="35"/>
      <c r="AD60" s="30"/>
      <c r="AE60" s="30"/>
      <c r="AF60" s="30"/>
      <c r="AG60" s="30"/>
      <c r="AH60" s="30"/>
    </row>
    <row r="61" spans="2:34" x14ac:dyDescent="0.25">
      <c r="B61" s="51">
        <f t="shared" si="0"/>
        <v>59</v>
      </c>
      <c r="C61" s="34">
        <v>20200306</v>
      </c>
      <c r="D61" s="34" t="s">
        <v>3</v>
      </c>
      <c r="E61" s="34" t="s">
        <v>243</v>
      </c>
      <c r="F61" s="52" t="s">
        <v>244</v>
      </c>
      <c r="G61" s="34">
        <v>1360296</v>
      </c>
      <c r="H61" s="34" t="s">
        <v>245</v>
      </c>
      <c r="I61" s="31" t="s">
        <v>238</v>
      </c>
      <c r="J61" s="3">
        <v>99478</v>
      </c>
      <c r="K61" s="30" t="s">
        <v>251</v>
      </c>
      <c r="L61" s="33" t="str">
        <f t="shared" si="2"/>
        <v>-</v>
      </c>
      <c r="M61" t="s">
        <v>252</v>
      </c>
      <c r="N61" s="32"/>
      <c r="O61" s="32"/>
      <c r="P61" s="30" t="s">
        <v>103</v>
      </c>
      <c r="Q61" s="30" t="s">
        <v>103</v>
      </c>
      <c r="R61" s="30" t="s">
        <v>188</v>
      </c>
      <c r="S61" s="30">
        <v>96</v>
      </c>
      <c r="T61" s="30">
        <v>96</v>
      </c>
      <c r="U61" s="30">
        <v>96</v>
      </c>
      <c r="V61" s="30">
        <f>ROUNDDOWN(T61/HLOOKUP(D61,Table!$C$3:$D$4,2,0)*8,2)</f>
        <v>1.7</v>
      </c>
      <c r="W61" s="30">
        <v>1.5</v>
      </c>
      <c r="X61" s="30" t="s">
        <v>131</v>
      </c>
      <c r="Y61" s="35"/>
      <c r="Z61" s="35">
        <v>43896</v>
      </c>
      <c r="AA61" s="35">
        <v>43896</v>
      </c>
      <c r="AB61" s="35">
        <v>43896</v>
      </c>
      <c r="AC61" s="35" t="s">
        <v>184</v>
      </c>
      <c r="AD61" s="30">
        <v>97</v>
      </c>
      <c r="AE61" s="30">
        <v>95</v>
      </c>
      <c r="AF61" s="30">
        <v>92</v>
      </c>
      <c r="AG61" s="30" t="s">
        <v>257</v>
      </c>
      <c r="AH61" s="30"/>
    </row>
    <row r="62" spans="2:34" x14ac:dyDescent="0.25">
      <c r="B62" s="51">
        <f t="shared" si="0"/>
        <v>60</v>
      </c>
      <c r="C62" s="34">
        <v>20200306</v>
      </c>
      <c r="D62" s="34" t="s">
        <v>3</v>
      </c>
      <c r="E62" s="34" t="s">
        <v>243</v>
      </c>
      <c r="F62" s="52" t="s">
        <v>244</v>
      </c>
      <c r="G62" s="34">
        <v>1360296</v>
      </c>
      <c r="H62" s="34" t="s">
        <v>246</v>
      </c>
      <c r="I62" s="31" t="s">
        <v>238</v>
      </c>
      <c r="J62" s="3">
        <v>99478</v>
      </c>
      <c r="K62" s="30" t="s">
        <v>251</v>
      </c>
      <c r="L62" s="33" t="str">
        <f t="shared" si="2"/>
        <v>-</v>
      </c>
      <c r="M62" s="53" t="s">
        <v>252</v>
      </c>
      <c r="N62" s="32"/>
      <c r="O62" s="32"/>
      <c r="P62" s="30" t="s">
        <v>104</v>
      </c>
      <c r="Q62" s="30" t="s">
        <v>103</v>
      </c>
      <c r="R62" s="30" t="s">
        <v>188</v>
      </c>
      <c r="S62" s="30">
        <v>28</v>
      </c>
      <c r="T62" s="30">
        <v>28</v>
      </c>
      <c r="U62" s="30">
        <v>28</v>
      </c>
      <c r="V62" s="30">
        <f>ROUNDDOWN(T62/HLOOKUP(D62,Table!$C$3:$D$4,2,0)*8,2)</f>
        <v>0.49</v>
      </c>
      <c r="W62" s="30">
        <v>1</v>
      </c>
      <c r="X62" s="30" t="s">
        <v>131</v>
      </c>
      <c r="Y62" s="35"/>
      <c r="Z62" s="35">
        <v>43896</v>
      </c>
      <c r="AA62" s="35">
        <v>43896</v>
      </c>
      <c r="AB62" s="35">
        <v>43896</v>
      </c>
      <c r="AC62" s="35" t="s">
        <v>185</v>
      </c>
      <c r="AD62" s="39">
        <v>100</v>
      </c>
      <c r="AE62" s="39">
        <v>100</v>
      </c>
      <c r="AF62" s="39">
        <v>100</v>
      </c>
      <c r="AG62" s="30"/>
      <c r="AH62" s="30"/>
    </row>
    <row r="63" spans="2:34" x14ac:dyDescent="0.25">
      <c r="B63" s="51">
        <f t="shared" si="0"/>
        <v>61</v>
      </c>
      <c r="C63" s="34">
        <v>20200306</v>
      </c>
      <c r="D63" s="34" t="s">
        <v>3</v>
      </c>
      <c r="E63" s="34" t="s">
        <v>243</v>
      </c>
      <c r="F63" s="52" t="s">
        <v>244</v>
      </c>
      <c r="G63" s="34">
        <v>1360296</v>
      </c>
      <c r="H63" s="34" t="s">
        <v>247</v>
      </c>
      <c r="I63" s="31" t="s">
        <v>238</v>
      </c>
      <c r="J63" s="3">
        <v>99478</v>
      </c>
      <c r="K63" s="30" t="s">
        <v>251</v>
      </c>
      <c r="L63" s="33" t="str">
        <f t="shared" si="2"/>
        <v>-</v>
      </c>
      <c r="M63" s="53" t="s">
        <v>252</v>
      </c>
      <c r="N63" s="32"/>
      <c r="O63" s="32"/>
      <c r="P63" s="30" t="s">
        <v>104</v>
      </c>
      <c r="Q63" s="30" t="s">
        <v>103</v>
      </c>
      <c r="R63" s="30" t="s">
        <v>188</v>
      </c>
      <c r="S63" s="30">
        <v>36</v>
      </c>
      <c r="T63" s="30">
        <v>36</v>
      </c>
      <c r="U63" s="30">
        <v>36</v>
      </c>
      <c r="V63" s="30">
        <f>ROUNDDOWN(T63/HLOOKUP(D63,Table!$C$3:$D$4,2,0)*8,2)</f>
        <v>0.64</v>
      </c>
      <c r="W63" s="30">
        <v>1</v>
      </c>
      <c r="X63" s="30" t="s">
        <v>131</v>
      </c>
      <c r="Y63" s="35"/>
      <c r="Z63" s="35">
        <v>43896</v>
      </c>
      <c r="AA63" s="35">
        <v>43896</v>
      </c>
      <c r="AB63" s="35">
        <v>43896</v>
      </c>
      <c r="AC63" s="38" t="s">
        <v>185</v>
      </c>
      <c r="AD63" s="39">
        <v>100</v>
      </c>
      <c r="AE63" s="39">
        <v>100</v>
      </c>
      <c r="AF63" s="39">
        <v>100</v>
      </c>
      <c r="AG63" s="30"/>
      <c r="AH63" s="30"/>
    </row>
    <row r="64" spans="2:34" x14ac:dyDescent="0.25">
      <c r="B64" s="51">
        <f t="shared" si="0"/>
        <v>62</v>
      </c>
      <c r="C64" s="34">
        <v>20200306</v>
      </c>
      <c r="D64" s="34" t="s">
        <v>3</v>
      </c>
      <c r="E64" s="34" t="s">
        <v>243</v>
      </c>
      <c r="F64" s="52" t="s">
        <v>244</v>
      </c>
      <c r="G64" s="34">
        <v>1360296</v>
      </c>
      <c r="H64" s="34" t="s">
        <v>248</v>
      </c>
      <c r="I64" s="31" t="s">
        <v>238</v>
      </c>
      <c r="J64" s="3">
        <v>99478</v>
      </c>
      <c r="K64" s="30" t="s">
        <v>251</v>
      </c>
      <c r="L64" s="33" t="str">
        <f t="shared" si="2"/>
        <v>-</v>
      </c>
      <c r="M64" s="53" t="s">
        <v>252</v>
      </c>
      <c r="N64" s="32"/>
      <c r="O64" s="32"/>
      <c r="P64" s="30" t="s">
        <v>106</v>
      </c>
      <c r="Q64" s="30" t="s">
        <v>103</v>
      </c>
      <c r="R64" s="30" t="s">
        <v>188</v>
      </c>
      <c r="S64" s="30">
        <v>80</v>
      </c>
      <c r="T64" s="30">
        <v>80</v>
      </c>
      <c r="U64" s="30">
        <v>80</v>
      </c>
      <c r="V64" s="30">
        <f>ROUNDDOWN(T64/HLOOKUP(D64,Table!$C$3:$D$4,2,0)*8,2)</f>
        <v>1.42</v>
      </c>
      <c r="W64" s="30"/>
      <c r="X64" s="30" t="s">
        <v>131</v>
      </c>
      <c r="Y64" s="35"/>
      <c r="Z64" s="35">
        <v>43896</v>
      </c>
      <c r="AA64" s="35">
        <v>43896</v>
      </c>
      <c r="AB64" s="35">
        <v>43896</v>
      </c>
      <c r="AC64" s="38" t="s">
        <v>184</v>
      </c>
      <c r="AD64" s="30" t="s">
        <v>258</v>
      </c>
      <c r="AE64" s="30" t="s">
        <v>258</v>
      </c>
      <c r="AF64" s="30" t="s">
        <v>258</v>
      </c>
      <c r="AG64" s="30"/>
      <c r="AH64" s="30"/>
    </row>
    <row r="65" spans="2:34" x14ac:dyDescent="0.25">
      <c r="B65" s="51">
        <f t="shared" si="0"/>
        <v>63</v>
      </c>
      <c r="C65" s="34">
        <v>20200306</v>
      </c>
      <c r="D65" s="34" t="s">
        <v>3</v>
      </c>
      <c r="E65" s="34" t="s">
        <v>243</v>
      </c>
      <c r="F65" s="52" t="s">
        <v>244</v>
      </c>
      <c r="G65" s="34">
        <v>1360296</v>
      </c>
      <c r="H65" s="34" t="s">
        <v>249</v>
      </c>
      <c r="I65" s="31" t="s">
        <v>238</v>
      </c>
      <c r="J65" s="3">
        <v>99478</v>
      </c>
      <c r="K65" s="30" t="s">
        <v>251</v>
      </c>
      <c r="L65" s="33" t="str">
        <f t="shared" si="2"/>
        <v>-</v>
      </c>
      <c r="M65" s="53" t="s">
        <v>252</v>
      </c>
      <c r="N65" s="32"/>
      <c r="O65" s="32"/>
      <c r="P65" s="30" t="s">
        <v>104</v>
      </c>
      <c r="Q65" s="30" t="s">
        <v>103</v>
      </c>
      <c r="R65" s="30" t="s">
        <v>188</v>
      </c>
      <c r="S65" s="30">
        <v>33</v>
      </c>
      <c r="T65" s="30">
        <v>33</v>
      </c>
      <c r="U65" s="30">
        <v>33</v>
      </c>
      <c r="V65" s="30">
        <f>ROUNDDOWN(T65/HLOOKUP(D65,Table!$C$3:$D$4,2,0)*8,2)</f>
        <v>0.57999999999999996</v>
      </c>
      <c r="W65" s="30">
        <v>1</v>
      </c>
      <c r="X65" s="30" t="s">
        <v>131</v>
      </c>
      <c r="Y65" s="35"/>
      <c r="Z65" s="35">
        <v>43896</v>
      </c>
      <c r="AA65" s="35">
        <v>43896</v>
      </c>
      <c r="AB65" s="35">
        <v>43896</v>
      </c>
      <c r="AC65" s="38" t="s">
        <v>185</v>
      </c>
      <c r="AD65" s="39">
        <v>100</v>
      </c>
      <c r="AE65" s="39">
        <v>100</v>
      </c>
      <c r="AF65" s="39">
        <v>100</v>
      </c>
      <c r="AG65" s="30"/>
      <c r="AH65" s="30"/>
    </row>
    <row r="66" spans="2:34" x14ac:dyDescent="0.25">
      <c r="B66" s="51">
        <f t="shared" si="0"/>
        <v>64</v>
      </c>
      <c r="C66" s="34">
        <v>20200306</v>
      </c>
      <c r="D66" s="34" t="s">
        <v>3</v>
      </c>
      <c r="E66" s="34" t="s">
        <v>243</v>
      </c>
      <c r="F66" s="52" t="s">
        <v>244</v>
      </c>
      <c r="G66" s="34">
        <v>1360296</v>
      </c>
      <c r="H66" s="34" t="s">
        <v>250</v>
      </c>
      <c r="I66" s="31" t="s">
        <v>238</v>
      </c>
      <c r="J66" s="3">
        <v>99478</v>
      </c>
      <c r="K66" s="30" t="s">
        <v>251</v>
      </c>
      <c r="L66" s="33" t="str">
        <f t="shared" si="2"/>
        <v>-</v>
      </c>
      <c r="M66" s="53" t="s">
        <v>252</v>
      </c>
      <c r="N66" s="32"/>
      <c r="O66" s="32"/>
      <c r="P66" s="30" t="s">
        <v>105</v>
      </c>
      <c r="Q66" s="30" t="s">
        <v>103</v>
      </c>
      <c r="R66" s="30" t="s">
        <v>188</v>
      </c>
      <c r="S66" s="30">
        <v>212</v>
      </c>
      <c r="T66" s="30">
        <v>212</v>
      </c>
      <c r="U66" s="30">
        <v>212</v>
      </c>
      <c r="V66" s="30">
        <f>ROUNDDOWN(T66/HLOOKUP(D66,Table!$C$3:$D$4,2,0)*8,2)</f>
        <v>3.76</v>
      </c>
      <c r="W66" s="30">
        <v>2</v>
      </c>
      <c r="X66" s="30" t="s">
        <v>131</v>
      </c>
      <c r="Y66" s="35"/>
      <c r="Z66" s="35">
        <v>43896</v>
      </c>
      <c r="AA66" s="35">
        <v>43896</v>
      </c>
      <c r="AB66" s="35">
        <v>43896</v>
      </c>
      <c r="AC66" s="38" t="s">
        <v>185</v>
      </c>
      <c r="AD66" s="30">
        <v>100</v>
      </c>
      <c r="AE66" s="30">
        <v>100</v>
      </c>
      <c r="AF66" s="30">
        <v>100</v>
      </c>
      <c r="AG66" s="30"/>
      <c r="AH66" s="30"/>
    </row>
    <row r="67" spans="2:34" x14ac:dyDescent="0.25">
      <c r="B67" s="30"/>
      <c r="C67" s="30"/>
      <c r="D67" s="30"/>
      <c r="E67" s="30"/>
      <c r="F67" s="33"/>
      <c r="G67" s="30"/>
      <c r="H67" s="30"/>
      <c r="I67" s="30"/>
      <c r="J67" s="30"/>
      <c r="K67" s="30"/>
      <c r="L67" s="30"/>
      <c r="M67" s="30"/>
      <c r="N67" s="32"/>
      <c r="O67" s="32"/>
      <c r="P67" s="30"/>
      <c r="Q67" s="30"/>
      <c r="R67" s="30"/>
      <c r="S67" s="30"/>
      <c r="T67" s="30"/>
      <c r="U67" s="30"/>
      <c r="V67" s="30"/>
      <c r="W67" s="30"/>
      <c r="X67" s="30"/>
      <c r="Y67" s="35"/>
      <c r="Z67" s="35"/>
      <c r="AA67" s="38"/>
      <c r="AB67" s="38"/>
      <c r="AC67" s="38"/>
      <c r="AD67" s="30"/>
      <c r="AE67" s="30"/>
      <c r="AF67" s="30"/>
      <c r="AG67" s="30"/>
      <c r="AH67" s="30"/>
    </row>
    <row r="68" spans="2:34" x14ac:dyDescent="0.25">
      <c r="B68" s="30"/>
      <c r="C68" s="30"/>
      <c r="D68" s="30"/>
      <c r="E68" s="30"/>
      <c r="F68" s="33"/>
      <c r="G68" s="30"/>
      <c r="H68" s="30"/>
      <c r="I68" s="30"/>
      <c r="J68" s="30"/>
      <c r="K68" s="30"/>
      <c r="L68" s="30"/>
      <c r="M68" s="30"/>
      <c r="N68" s="32"/>
      <c r="O68" s="32"/>
      <c r="P68" s="30"/>
      <c r="Q68" s="30"/>
      <c r="R68" s="30"/>
      <c r="S68" s="30"/>
      <c r="T68" s="30"/>
      <c r="U68" s="30"/>
      <c r="V68" s="30"/>
      <c r="W68" s="30"/>
      <c r="X68" s="30"/>
      <c r="Y68" s="35"/>
      <c r="Z68" s="35"/>
      <c r="AA68" s="38"/>
      <c r="AB68" s="38"/>
      <c r="AC68" s="38"/>
      <c r="AD68" s="30"/>
      <c r="AE68" s="30"/>
      <c r="AF68" s="30"/>
      <c r="AG68" s="30"/>
      <c r="AH68" s="30"/>
    </row>
    <row r="69" spans="2:34" x14ac:dyDescent="0.25">
      <c r="B69" s="30"/>
      <c r="C69" s="30"/>
      <c r="D69" s="30"/>
      <c r="E69" s="30"/>
      <c r="F69" s="33"/>
      <c r="G69" s="30"/>
      <c r="H69" s="30"/>
      <c r="I69" s="30"/>
      <c r="J69" s="30"/>
      <c r="K69" s="30"/>
      <c r="L69" s="30"/>
      <c r="M69" s="30"/>
      <c r="N69" s="32"/>
      <c r="O69" s="32"/>
      <c r="P69" s="30"/>
      <c r="Q69" s="30"/>
      <c r="R69" s="30"/>
      <c r="S69" s="30"/>
      <c r="T69" s="30"/>
      <c r="U69" s="30"/>
      <c r="V69" s="30"/>
      <c r="W69" s="30"/>
      <c r="X69" s="30"/>
      <c r="Y69" s="35"/>
      <c r="Z69" s="35"/>
      <c r="AA69" s="38"/>
      <c r="AB69" s="38"/>
      <c r="AC69" s="38"/>
      <c r="AD69" s="30"/>
      <c r="AE69" s="30"/>
      <c r="AF69" s="30"/>
      <c r="AG69" s="30"/>
      <c r="AH69" s="30"/>
    </row>
    <row r="70" spans="2:34" x14ac:dyDescent="0.25">
      <c r="B70" s="30"/>
      <c r="C70" s="30"/>
      <c r="D70" s="30"/>
      <c r="E70" s="30"/>
      <c r="F70" s="33"/>
      <c r="G70" s="30"/>
      <c r="H70" s="30"/>
      <c r="I70" s="30"/>
      <c r="J70" s="30"/>
      <c r="K70" s="30"/>
      <c r="L70" s="30"/>
      <c r="M70" s="30"/>
      <c r="N70" s="32"/>
      <c r="O70" s="32"/>
      <c r="P70" s="30"/>
      <c r="Q70" s="30"/>
      <c r="R70" s="30"/>
      <c r="S70" s="30"/>
      <c r="T70" s="30"/>
      <c r="U70" s="30"/>
      <c r="V70" s="30"/>
      <c r="W70" s="30"/>
      <c r="X70" s="30"/>
      <c r="Y70" s="35"/>
      <c r="Z70" s="35"/>
      <c r="AA70" s="38"/>
      <c r="AB70" s="38"/>
      <c r="AC70" s="38"/>
      <c r="AD70" s="30"/>
      <c r="AE70" s="30"/>
      <c r="AF70" s="30"/>
      <c r="AG70" s="30"/>
      <c r="AH70" s="30"/>
    </row>
    <row r="71" spans="2:34" x14ac:dyDescent="0.25">
      <c r="B71" s="30"/>
      <c r="C71" s="30"/>
      <c r="D71" s="30"/>
      <c r="E71" s="30"/>
      <c r="F71" s="33"/>
      <c r="G71" s="30"/>
      <c r="H71" s="30"/>
      <c r="I71" s="30"/>
      <c r="J71" s="30"/>
      <c r="K71" s="30"/>
      <c r="L71" s="30"/>
      <c r="M71" s="30"/>
      <c r="N71" s="32"/>
      <c r="O71" s="32"/>
      <c r="P71" s="30"/>
      <c r="Q71" s="30"/>
      <c r="R71" s="30"/>
      <c r="S71" s="30"/>
      <c r="T71" s="30"/>
      <c r="U71" s="30"/>
      <c r="V71" s="30"/>
      <c r="W71" s="30"/>
      <c r="X71" s="30"/>
      <c r="Y71" s="35"/>
      <c r="Z71" s="35"/>
      <c r="AA71" s="38"/>
      <c r="AB71" s="38"/>
      <c r="AC71" s="38"/>
      <c r="AD71" s="30"/>
      <c r="AE71" s="30"/>
      <c r="AF71" s="30"/>
      <c r="AG71" s="30"/>
      <c r="AH71" s="30"/>
    </row>
    <row r="72" spans="2:34" x14ac:dyDescent="0.25">
      <c r="B72" s="30"/>
      <c r="C72" s="30"/>
      <c r="D72" s="30"/>
      <c r="E72" s="30"/>
      <c r="F72" s="33"/>
      <c r="G72" s="30"/>
      <c r="H72" s="30"/>
      <c r="I72" s="30"/>
      <c r="J72" s="30"/>
      <c r="K72" s="30"/>
      <c r="L72" s="30"/>
      <c r="M72" s="30"/>
      <c r="N72" s="32"/>
      <c r="O72" s="32"/>
      <c r="P72" s="30"/>
      <c r="Q72" s="30"/>
      <c r="R72" s="30"/>
      <c r="S72" s="30"/>
      <c r="T72" s="30"/>
      <c r="U72" s="30"/>
      <c r="V72" s="30"/>
      <c r="W72" s="30"/>
      <c r="X72" s="30"/>
      <c r="Y72" s="35"/>
      <c r="Z72" s="35"/>
      <c r="AA72" s="38"/>
      <c r="AB72" s="38"/>
      <c r="AC72" s="38"/>
      <c r="AD72" s="30"/>
      <c r="AE72" s="30"/>
      <c r="AF72" s="30"/>
      <c r="AG72" s="30"/>
      <c r="AH72" s="30"/>
    </row>
    <row r="73" spans="2:34" x14ac:dyDescent="0.25">
      <c r="B73" s="30"/>
      <c r="C73" s="30"/>
      <c r="D73" s="30"/>
      <c r="E73" s="30"/>
      <c r="F73" s="33"/>
      <c r="G73" s="30"/>
      <c r="H73" s="30"/>
      <c r="I73" s="30"/>
      <c r="J73" s="30"/>
      <c r="K73" s="30"/>
      <c r="L73" s="30"/>
      <c r="M73" s="30"/>
      <c r="N73" s="32"/>
      <c r="O73" s="32"/>
      <c r="P73" s="30"/>
      <c r="Q73" s="30"/>
      <c r="R73" s="30"/>
      <c r="S73" s="30"/>
      <c r="T73" s="30"/>
      <c r="U73" s="30"/>
      <c r="V73" s="30"/>
      <c r="W73" s="30"/>
      <c r="X73" s="30"/>
      <c r="Y73" s="35"/>
      <c r="Z73" s="35"/>
      <c r="AA73" s="38"/>
      <c r="AB73" s="38"/>
      <c r="AC73" s="38"/>
      <c r="AD73" s="30"/>
      <c r="AE73" s="30"/>
      <c r="AF73" s="30"/>
      <c r="AG73" s="30"/>
      <c r="AH73" s="30"/>
    </row>
    <row r="74" spans="2:34" x14ac:dyDescent="0.25">
      <c r="B74" s="30"/>
      <c r="C74" s="30"/>
      <c r="D74" s="30"/>
      <c r="E74" s="30"/>
      <c r="F74" s="33"/>
      <c r="G74" s="30"/>
      <c r="H74" s="30"/>
      <c r="I74" s="30"/>
      <c r="J74" s="30"/>
      <c r="K74" s="30"/>
      <c r="L74" s="30"/>
      <c r="M74" s="30"/>
      <c r="N74" s="32"/>
      <c r="O74" s="32"/>
      <c r="P74" s="30"/>
      <c r="Q74" s="30"/>
      <c r="R74" s="30"/>
      <c r="S74" s="30"/>
      <c r="T74" s="30"/>
      <c r="U74" s="30"/>
      <c r="V74" s="30"/>
      <c r="W74" s="30"/>
      <c r="X74" s="30"/>
      <c r="Y74" s="35"/>
      <c r="Z74" s="35"/>
      <c r="AA74" s="38"/>
      <c r="AB74" s="38"/>
      <c r="AC74" s="38"/>
      <c r="AD74" s="30"/>
      <c r="AE74" s="30"/>
      <c r="AF74" s="30"/>
      <c r="AG74" s="30"/>
      <c r="AH74" s="30"/>
    </row>
    <row r="75" spans="2:34" x14ac:dyDescent="0.25">
      <c r="B75" s="30"/>
      <c r="C75" s="30"/>
      <c r="D75" s="30"/>
      <c r="E75" s="30"/>
      <c r="F75" s="33"/>
      <c r="G75" s="30"/>
      <c r="H75" s="30"/>
      <c r="I75" s="30"/>
      <c r="J75" s="30"/>
      <c r="K75" s="30"/>
      <c r="L75" s="30"/>
      <c r="M75" s="30"/>
      <c r="N75" s="32"/>
      <c r="O75" s="32"/>
      <c r="P75" s="30"/>
      <c r="Q75" s="30"/>
      <c r="R75" s="30"/>
      <c r="S75" s="30"/>
      <c r="T75" s="30"/>
      <c r="U75" s="30"/>
      <c r="V75" s="30"/>
      <c r="W75" s="30"/>
      <c r="X75" s="30"/>
      <c r="Y75" s="35"/>
      <c r="Z75" s="35"/>
      <c r="AA75" s="38"/>
      <c r="AB75" s="38"/>
      <c r="AC75" s="38"/>
      <c r="AD75" s="30"/>
      <c r="AE75" s="30"/>
      <c r="AF75" s="30"/>
      <c r="AG75" s="30"/>
      <c r="AH75" s="30"/>
    </row>
    <row r="76" spans="2:34" x14ac:dyDescent="0.25">
      <c r="B76" s="30"/>
      <c r="C76" s="30"/>
      <c r="D76" s="30"/>
      <c r="E76" s="30"/>
      <c r="F76" s="33"/>
      <c r="G76" s="30"/>
      <c r="H76" s="30"/>
      <c r="I76" s="30"/>
      <c r="J76" s="30"/>
      <c r="K76" s="30"/>
      <c r="L76" s="30"/>
      <c r="M76" s="30"/>
      <c r="N76" s="32"/>
      <c r="O76" s="32"/>
      <c r="P76" s="30"/>
      <c r="Q76" s="30"/>
      <c r="R76" s="30"/>
      <c r="S76" s="30"/>
      <c r="T76" s="30"/>
      <c r="U76" s="30"/>
      <c r="V76" s="30"/>
      <c r="W76" s="30"/>
      <c r="X76" s="30"/>
      <c r="Y76" s="35"/>
      <c r="Z76" s="35"/>
      <c r="AA76" s="38"/>
      <c r="AB76" s="38"/>
      <c r="AC76" s="38"/>
      <c r="AD76" s="30"/>
      <c r="AE76" s="30"/>
      <c r="AF76" s="30"/>
      <c r="AG76" s="30"/>
      <c r="AH76" s="30"/>
    </row>
    <row r="77" spans="2:34" x14ac:dyDescent="0.25">
      <c r="B77" s="30"/>
      <c r="C77" s="30"/>
      <c r="D77" s="30"/>
      <c r="E77" s="30"/>
      <c r="F77" s="33"/>
      <c r="G77" s="30"/>
      <c r="H77" s="30"/>
      <c r="I77" s="30"/>
      <c r="J77" s="30"/>
      <c r="K77" s="30"/>
      <c r="L77" s="30"/>
      <c r="M77" s="30"/>
      <c r="N77" s="32"/>
      <c r="O77" s="32"/>
      <c r="P77" s="30"/>
      <c r="Q77" s="30"/>
      <c r="R77" s="30"/>
      <c r="S77" s="30"/>
      <c r="T77" s="30"/>
      <c r="U77" s="30"/>
      <c r="V77" s="30"/>
      <c r="W77" s="30"/>
      <c r="X77" s="30"/>
      <c r="Y77" s="35"/>
      <c r="Z77" s="35"/>
      <c r="AA77" s="38"/>
      <c r="AB77" s="38"/>
      <c r="AC77" s="38"/>
      <c r="AD77" s="30"/>
      <c r="AE77" s="30"/>
      <c r="AF77" s="30"/>
      <c r="AG77" s="30"/>
      <c r="AH77" s="30"/>
    </row>
    <row r="78" spans="2:34" x14ac:dyDescent="0.25">
      <c r="B78" s="30"/>
      <c r="C78" s="30"/>
      <c r="D78" s="30"/>
      <c r="E78" s="30"/>
      <c r="F78" s="33"/>
      <c r="G78" s="30"/>
      <c r="H78" s="30"/>
      <c r="I78" s="30"/>
      <c r="J78" s="30"/>
      <c r="K78" s="30"/>
      <c r="L78" s="30"/>
      <c r="M78" s="30"/>
      <c r="N78" s="32"/>
      <c r="O78" s="32"/>
      <c r="P78" s="30"/>
      <c r="Q78" s="30"/>
      <c r="R78" s="30"/>
      <c r="S78" s="30"/>
      <c r="T78" s="30"/>
      <c r="U78" s="30"/>
      <c r="V78" s="30"/>
      <c r="W78" s="30"/>
      <c r="X78" s="30"/>
      <c r="Y78" s="35"/>
      <c r="Z78" s="35"/>
      <c r="AA78" s="38"/>
      <c r="AB78" s="38"/>
      <c r="AC78" s="38"/>
      <c r="AD78" s="30"/>
      <c r="AE78" s="30"/>
      <c r="AF78" s="30"/>
      <c r="AG78" s="30"/>
      <c r="AH78" s="30"/>
    </row>
    <row r="79" spans="2:34" x14ac:dyDescent="0.25">
      <c r="B79" s="30"/>
      <c r="C79" s="30"/>
      <c r="D79" s="30"/>
      <c r="E79" s="30"/>
      <c r="F79" s="33"/>
      <c r="G79" s="30"/>
      <c r="H79" s="30"/>
      <c r="I79" s="30"/>
      <c r="J79" s="30"/>
      <c r="K79" s="30"/>
      <c r="L79" s="30"/>
      <c r="M79" s="30"/>
      <c r="N79" s="32"/>
      <c r="O79" s="32"/>
      <c r="P79" s="30"/>
      <c r="Q79" s="30"/>
      <c r="R79" s="30"/>
      <c r="S79" s="30"/>
      <c r="T79" s="30"/>
      <c r="U79" s="30"/>
      <c r="V79" s="30"/>
      <c r="W79" s="30"/>
      <c r="X79" s="30"/>
      <c r="Y79" s="38"/>
      <c r="Z79" s="38"/>
      <c r="AA79" s="38"/>
      <c r="AB79" s="38"/>
      <c r="AC79" s="38"/>
      <c r="AD79" s="30"/>
      <c r="AE79" s="30"/>
      <c r="AF79" s="30"/>
      <c r="AG79" s="30"/>
      <c r="AH79" s="30"/>
    </row>
    <row r="80" spans="2:34" x14ac:dyDescent="0.25">
      <c r="B80" s="30"/>
      <c r="C80" s="30"/>
      <c r="D80" s="30"/>
      <c r="E80" s="30"/>
      <c r="F80" s="33"/>
      <c r="G80" s="30"/>
      <c r="H80" s="30"/>
      <c r="I80" s="30"/>
      <c r="J80" s="30"/>
      <c r="K80" s="30"/>
      <c r="L80" s="30"/>
      <c r="M80" s="30"/>
      <c r="N80" s="32"/>
      <c r="O80" s="32"/>
      <c r="P80" s="30"/>
      <c r="Q80" s="30"/>
      <c r="R80" s="30"/>
      <c r="S80" s="30"/>
      <c r="T80" s="30"/>
      <c r="U80" s="30"/>
      <c r="V80" s="30"/>
      <c r="W80" s="30"/>
      <c r="X80" s="30"/>
      <c r="Y80" s="38"/>
      <c r="Z80" s="38"/>
      <c r="AA80" s="38"/>
      <c r="AB80" s="38"/>
      <c r="AC80" s="38"/>
      <c r="AD80" s="30"/>
      <c r="AE80" s="30"/>
      <c r="AF80" s="30"/>
      <c r="AG80" s="30"/>
      <c r="AH80" s="30"/>
    </row>
    <row r="81" spans="2:34" x14ac:dyDescent="0.25">
      <c r="B81" s="30"/>
      <c r="C81" s="30"/>
      <c r="D81" s="30"/>
      <c r="E81" s="30"/>
      <c r="F81" s="33"/>
      <c r="G81" s="30"/>
      <c r="H81" s="30"/>
      <c r="I81" s="30"/>
      <c r="J81" s="30"/>
      <c r="K81" s="30"/>
      <c r="L81" s="30"/>
      <c r="M81" s="30"/>
      <c r="N81" s="32"/>
      <c r="O81" s="32"/>
      <c r="P81" s="30"/>
      <c r="Q81" s="30"/>
      <c r="R81" s="30"/>
      <c r="S81" s="30"/>
      <c r="T81" s="30"/>
      <c r="U81" s="30"/>
      <c r="V81" s="30"/>
      <c r="W81" s="30"/>
      <c r="X81" s="30"/>
      <c r="Y81" s="38"/>
      <c r="Z81" s="38"/>
      <c r="AA81" s="38"/>
      <c r="AB81" s="38"/>
      <c r="AC81" s="38"/>
      <c r="AD81" s="30"/>
      <c r="AE81" s="30"/>
      <c r="AF81" s="30"/>
      <c r="AG81" s="30"/>
      <c r="AH81" s="30"/>
    </row>
    <row r="82" spans="2:34" x14ac:dyDescent="0.25">
      <c r="B82" s="30"/>
      <c r="C82" s="30"/>
      <c r="D82" s="30"/>
      <c r="E82" s="30"/>
      <c r="F82" s="33"/>
      <c r="G82" s="30"/>
      <c r="H82" s="30"/>
      <c r="I82" s="30"/>
      <c r="J82" s="30"/>
      <c r="K82" s="30"/>
      <c r="L82" s="30"/>
      <c r="M82" s="30"/>
      <c r="N82" s="32"/>
      <c r="O82" s="32"/>
      <c r="P82" s="30"/>
      <c r="Q82" s="30"/>
      <c r="R82" s="30"/>
      <c r="S82" s="30"/>
      <c r="T82" s="30"/>
      <c r="U82" s="30"/>
      <c r="V82" s="30"/>
      <c r="W82" s="30"/>
      <c r="X82" s="30"/>
      <c r="Y82" s="38"/>
      <c r="Z82" s="38"/>
      <c r="AA82" s="38"/>
      <c r="AB82" s="38"/>
      <c r="AC82" s="38"/>
      <c r="AD82" s="30"/>
      <c r="AE82" s="30"/>
      <c r="AF82" s="30"/>
      <c r="AG82" s="30"/>
      <c r="AH82" s="30"/>
    </row>
    <row r="83" spans="2:34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58"/>
      <c r="O83" s="6"/>
      <c r="P83" s="6"/>
      <c r="Q83" s="6"/>
    </row>
    <row r="84" spans="2:34" x14ac:dyDescent="0.25">
      <c r="B84" s="1" t="s">
        <v>64</v>
      </c>
    </row>
    <row r="85" spans="2:34" x14ac:dyDescent="0.25">
      <c r="B85" s="2" t="s">
        <v>0</v>
      </c>
      <c r="C85" s="2" t="s">
        <v>9</v>
      </c>
      <c r="D85" s="2" t="s">
        <v>28</v>
      </c>
      <c r="E85" s="2" t="s">
        <v>29</v>
      </c>
      <c r="F85" s="2" t="s">
        <v>26</v>
      </c>
      <c r="G85" s="2" t="s">
        <v>25</v>
      </c>
      <c r="H85" s="4" t="s">
        <v>30</v>
      </c>
    </row>
    <row r="86" spans="2:34" x14ac:dyDescent="0.25">
      <c r="B86" s="3">
        <v>1</v>
      </c>
      <c r="C86" s="48" t="s">
        <v>6</v>
      </c>
      <c r="D86" s="3">
        <f>SUMIFS($T$3:$T$82,$D$3:$D$82,Table!$C$3,$P$3:$P$82,C86)</f>
        <v>0</v>
      </c>
      <c r="E86" s="3">
        <f>SUMIFS($U$3:$U$82,$D$3:$D$82,Table!$C$3,$P$3:$P$82,C86)-SUM(SUMIFS($U$3:$U$82,$D$3:$D$82,Table!$C$3,$P$3:$P$82,C86,$X$3:$X$82,{"Ongoing","N/A"}))</f>
        <v>0</v>
      </c>
      <c r="F86" s="3">
        <f>1/8*(SUMIFS($W$3:$W$82,$D$3:$D$82,Table!$C$3,$P$3:$P$82,C86)-SUM(SUMIFS($W$3:$W$82,$D$3:$D$82,Table!$C$3,$P$3:$P$82,C86,$X$3:$X$82,{"Ongoing","N/A"})))</f>
        <v>0</v>
      </c>
      <c r="G86" s="3" t="str">
        <f>IF(ISERROR(E86/(F86)),"N/A",E86/F86)</f>
        <v>N/A</v>
      </c>
      <c r="H86" s="7" t="str">
        <f>IF(ISERROR(E86/D86),"N/A",E86/D86)</f>
        <v>N/A</v>
      </c>
    </row>
    <row r="87" spans="2:34" x14ac:dyDescent="0.25">
      <c r="B87" s="3">
        <v>2</v>
      </c>
      <c r="C87" s="48" t="s">
        <v>100</v>
      </c>
      <c r="D87" s="3">
        <f>SUMIFS($T$3:$T$82,$D$3:$D$82,Table!$C$3,$P$3:$P$82,C87)</f>
        <v>0</v>
      </c>
      <c r="E87" s="3">
        <f>SUMIFS($U$3:$U$82,$D$3:$D$82,Table!$C$3,$P$3:$P$82,C87)-SUM(SUMIFS($U$3:$U$82,$D$3:$D$82,Table!$C$3,$P$3:$P$82,C87,$X$3:$X$82,{"Ongoing","N/A"}))</f>
        <v>0</v>
      </c>
      <c r="F87" s="3">
        <f>1/8*(SUMIFS($W$3:$W$82,$D$3:$D$82,Table!$C$3,$P$3:$P$82,C87)-SUM(SUMIFS($W$3:$W$82,$D$3:$D$82,Table!$C$3,$P$3:$P$82,C87,$X$3:$X$82,{"Ongoing","N/A"})))</f>
        <v>0</v>
      </c>
      <c r="G87" s="3" t="str">
        <f t="shared" ref="G87:G93" si="3">IF(ISERROR(E87/(F87)),"N/A",E87/F87)</f>
        <v>N/A</v>
      </c>
      <c r="H87" s="7" t="str">
        <f t="shared" ref="H87:H93" si="4">IF(ISERROR(E87/D87),"N/A",E87/D87)</f>
        <v>N/A</v>
      </c>
    </row>
    <row r="88" spans="2:34" x14ac:dyDescent="0.25">
      <c r="B88" s="3">
        <v>3</v>
      </c>
      <c r="C88" s="48" t="s">
        <v>101</v>
      </c>
      <c r="D88" s="3">
        <f>SUMIFS($T$3:$T$82,$D$3:$D$82,Table!$C$3,$P$3:$P$82,C88)</f>
        <v>0</v>
      </c>
      <c r="E88" s="3">
        <f>SUMIFS($U$3:$U$82,$D$3:$D$82,Table!$C$3,$P$3:$P$82,C88)-SUM(SUMIFS($U$3:$U$82,$D$3:$D$82,Table!$C$3,$P$3:$P$82,C88,$X$3:$X$82,{"Ongoing","N/A"}))</f>
        <v>0</v>
      </c>
      <c r="F88" s="3">
        <f>1/8*(SUMIFS($W$3:$W$82,$D$3:$D$82,Table!$C$3,$P$3:$P$82,C88)-SUM(SUMIFS($W$3:$W$82,$D$3:$D$82,Table!$C$3,$P$3:$P$82,C88,$X$3:$X$82,{"Ongoing","N/A"})))</f>
        <v>0</v>
      </c>
      <c r="G88" s="3" t="str">
        <f t="shared" si="3"/>
        <v>N/A</v>
      </c>
      <c r="H88" s="7" t="str">
        <f t="shared" si="4"/>
        <v>N/A</v>
      </c>
    </row>
    <row r="89" spans="2:34" x14ac:dyDescent="0.25">
      <c r="B89" s="3">
        <v>4</v>
      </c>
      <c r="C89" s="48" t="s">
        <v>102</v>
      </c>
      <c r="D89" s="3">
        <f>SUMIFS($T$3:$T$82,$D$3:$D$82,Table!$C$3,$P$3:$P$82,C89)</f>
        <v>0</v>
      </c>
      <c r="E89" s="3">
        <f>SUMIFS($U$3:$U$82,$D$3:$D$82,Table!$C$3,$P$3:$P$82,C89)-SUM(SUMIFS($U$3:$U$82,$D$3:$D$82,Table!$C$3,$P$3:$P$82,C89,$X$3:$X$82,{"Ongoing","N/A"}))</f>
        <v>0</v>
      </c>
      <c r="F89" s="3">
        <f>1/8*(SUMIFS($W$3:$W$82,$D$3:$D$82,Table!$C$3,$P$3:$P$82,C89)-SUM(SUMIFS($W$3:$W$82,$D$3:$D$82,Table!$C$3,$P$3:$P$82,C89,$X$3:$X$82,{"Ongoing","N/A"})))</f>
        <v>0</v>
      </c>
      <c r="G89" s="3" t="str">
        <f t="shared" si="3"/>
        <v>N/A</v>
      </c>
      <c r="H89" s="7" t="str">
        <f t="shared" si="4"/>
        <v>N/A</v>
      </c>
    </row>
    <row r="90" spans="2:34" x14ac:dyDescent="0.25">
      <c r="B90" s="3">
        <v>5</v>
      </c>
      <c r="C90" s="47" t="s">
        <v>103</v>
      </c>
      <c r="D90" s="3">
        <f>SUMIFS($T$3:$T$82,$D$3:$D$82,Table!$C$3,$P$3:$P$82,C90)</f>
        <v>50</v>
      </c>
      <c r="E90" s="3">
        <f>SUMIFS($U$3:$U$82,$D$3:$D$82,Table!$C$3,$P$3:$P$82,C90)-SUM(SUMIFS($U$3:$U$82,$D$3:$D$82,Table!$C$3,$P$3:$P$82,C90,$X$3:$X$82,{"Ongoing","N/A"}))</f>
        <v>50</v>
      </c>
      <c r="F90" s="3">
        <f>1/8*(SUMIFS($W$3:$W$82,$D$3:$D$82,Table!$C$3,$P$3:$P$82,C90)-SUM(SUMIFS($W$3:$W$82,$D$3:$D$82,Table!$C$3,$P$3:$P$82,C90,$X$3:$X$82,{"Ongoing","N/A"})))</f>
        <v>0.375</v>
      </c>
      <c r="G90" s="3">
        <f t="shared" si="3"/>
        <v>133.33333333333334</v>
      </c>
      <c r="H90" s="7">
        <f t="shared" si="4"/>
        <v>1</v>
      </c>
    </row>
    <row r="91" spans="2:34" x14ac:dyDescent="0.25">
      <c r="B91" s="3">
        <v>6</v>
      </c>
      <c r="C91" s="47" t="s">
        <v>104</v>
      </c>
      <c r="D91" s="3">
        <f>SUMIFS($T$3:$T$82,$D$3:$D$82,Table!$C$3,$P$3:$P$82,C91)</f>
        <v>0</v>
      </c>
      <c r="E91" s="3">
        <f>SUMIFS($U$3:$U$82,$D$3:$D$82,Table!$C$3,$P$3:$P$82,C91)-SUM(SUMIFS($U$3:$U$82,$D$3:$D$82,Table!$C$3,$P$3:$P$82,C91,$X$3:$X$82,{"Ongoing","N/A"}))</f>
        <v>0</v>
      </c>
      <c r="F91" s="3">
        <f>1/8*(SUMIFS($W$3:$W$82,$D$3:$D$82,Table!$C$3,$P$3:$P$82,C91)-SUM(SUMIFS($W$3:$W$82,$D$3:$D$82,Table!$C$3,$P$3:$P$82,C91,$X$3:$X$82,{"Ongoing","N/A"})))</f>
        <v>0</v>
      </c>
      <c r="G91" s="3" t="str">
        <f t="shared" si="3"/>
        <v>N/A</v>
      </c>
      <c r="H91" s="7" t="str">
        <f t="shared" si="4"/>
        <v>N/A</v>
      </c>
    </row>
    <row r="92" spans="2:34" x14ac:dyDescent="0.25">
      <c r="B92" s="3">
        <v>7</v>
      </c>
      <c r="C92" s="47" t="s">
        <v>105</v>
      </c>
      <c r="D92" s="3">
        <f>SUMIFS($T$3:$T$82,$D$3:$D$82,Table!$C$3,$P$3:$P$82,C92)</f>
        <v>19</v>
      </c>
      <c r="E92" s="3">
        <f>SUMIFS($U$3:$U$82,$D$3:$D$82,Table!$C$3,$P$3:$P$82,C92)-SUM(SUMIFS($U$3:$U$82,$D$3:$D$82,Table!$C$3,$P$3:$P$82,C92,$X$3:$X$82,{"Ongoing","N/A"}))</f>
        <v>19</v>
      </c>
      <c r="F92" s="3">
        <f>1/8*(SUMIFS($W$3:$W$82,$D$3:$D$82,Table!$C$3,$P$3:$P$82,C92)-SUM(SUMIFS($W$3:$W$82,$D$3:$D$82,Table!$C$3,$P$3:$P$82,C92,$X$3:$X$82,{"Ongoing","N/A"})))</f>
        <v>0.5</v>
      </c>
      <c r="G92" s="3">
        <f t="shared" si="3"/>
        <v>38</v>
      </c>
      <c r="H92" s="7">
        <f t="shared" si="4"/>
        <v>1</v>
      </c>
    </row>
    <row r="93" spans="2:34" x14ac:dyDescent="0.25">
      <c r="B93" s="3">
        <v>8</v>
      </c>
      <c r="C93" s="47" t="s">
        <v>106</v>
      </c>
      <c r="D93" s="3">
        <f>SUMIFS($T$3:$T$82,$D$3:$D$82,Table!$C$3,$P$3:$P$82,C93)</f>
        <v>0</v>
      </c>
      <c r="E93" s="3">
        <f>SUMIFS($U$3:$U$82,$D$3:$D$82,Table!$C$3,$P$3:$P$82,C93)-SUM(SUMIFS($U$3:$U$82,$D$3:$D$82,Table!$C$3,$P$3:$P$82,C93,$X$3:$X$82,{"Ongoing","N/A"}))</f>
        <v>0</v>
      </c>
      <c r="F93" s="3">
        <f>1/8*(SUMIFS($W$3:$W$82,$D$3:$D$82,Table!$C$3,$P$3:$P$82,C93)-SUM(SUMIFS($W$3:$W$82,$D$3:$D$82,Table!$C$3,$P$3:$P$82,C93,$X$3:$X$82,{"Ongoing","N/A"})))</f>
        <v>0</v>
      </c>
      <c r="G93" s="3" t="str">
        <f t="shared" si="3"/>
        <v>N/A</v>
      </c>
      <c r="H93" s="7" t="str">
        <f t="shared" si="4"/>
        <v>N/A</v>
      </c>
    </row>
    <row r="96" spans="2:34" x14ac:dyDescent="0.25">
      <c r="B96" s="1" t="s">
        <v>65</v>
      </c>
    </row>
    <row r="97" spans="2:8" x14ac:dyDescent="0.25">
      <c r="B97" s="2" t="s">
        <v>0</v>
      </c>
      <c r="C97" s="2" t="s">
        <v>9</v>
      </c>
      <c r="D97" s="2" t="s">
        <v>28</v>
      </c>
      <c r="E97" s="2" t="s">
        <v>29</v>
      </c>
      <c r="F97" s="2" t="s">
        <v>26</v>
      </c>
      <c r="G97" s="2" t="s">
        <v>25</v>
      </c>
      <c r="H97" s="4" t="s">
        <v>30</v>
      </c>
    </row>
    <row r="98" spans="2:8" x14ac:dyDescent="0.25">
      <c r="B98" s="3">
        <v>1</v>
      </c>
      <c r="C98" s="48" t="s">
        <v>6</v>
      </c>
      <c r="D98" s="3">
        <f>SUMIFS($T$3:$T$82,$D$3:$D$82,Table!$D$3,$P$3:$P$82,C98)</f>
        <v>0</v>
      </c>
      <c r="E98" s="3">
        <f>SUMIFS($T$3:$T$82,$D$3:$D$82,Table!$D$3,$P$3:$P$82,C98)-SUM(SUMIFS($T$3:$T$82,$D$3:$D$82,Table!$D$3,$P$3:$P$82,C98,$X$3:$X$82,{"Ongoing","N/A"}))</f>
        <v>0</v>
      </c>
      <c r="F98" s="3">
        <f>1/8*(SUMIFS($W$3:$W$82,$D$3:$D$82,Table!$D$3,$P$3:$P$82,C98)-SUM(SUMIFS($W$3:$W$82,$D$3:$D$82,Table!$D$3,$P$3:$P$82,C98,$X$3:$X$82,{"Ongoing","N/A"})))</f>
        <v>0</v>
      </c>
      <c r="G98" s="3" t="str">
        <f>IF(ISERROR(E98/(F98)),"N/A",E98/F98)</f>
        <v>N/A</v>
      </c>
      <c r="H98" s="7" t="str">
        <f>IF(ISERROR(E98/D98),"N/A",E98/D98)</f>
        <v>N/A</v>
      </c>
    </row>
    <row r="99" spans="2:8" x14ac:dyDescent="0.25">
      <c r="B99" s="3">
        <v>2</v>
      </c>
      <c r="C99" s="48" t="s">
        <v>100</v>
      </c>
      <c r="D99" s="3">
        <f>SUMIFS($T$3:$T$82,$D$3:$D$82,Table!$D$3,$P$3:$P$82,C99)</f>
        <v>0</v>
      </c>
      <c r="E99" s="3">
        <f>SUMIFS($T$3:$T$82,$D$3:$D$82,Table!$D$3,$P$3:$P$82,C99)-SUM(SUMIFS($T$3:$T$82,$D$3:$D$82,Table!$D$3,$P$3:$P$82,C99,$X$3:$X$82,{"Ongoing","N/A"}))</f>
        <v>0</v>
      </c>
      <c r="F99" s="3">
        <f>1/8*(SUMIFS($W$3:$W$82,$D$3:$D$82,Table!$D$3,$P$3:$P$82,C99)-SUM(SUMIFS($W$3:$W$82,$D$3:$D$82,Table!$D$3,$P$3:$P$82,C99,$X$3:$X$82,{"Ongoing","N/A"})))</f>
        <v>0</v>
      </c>
      <c r="G99" s="3" t="str">
        <f t="shared" ref="G99:G104" si="5">IF(ISERROR(E99/(F99)),"N/A",E99/F99)</f>
        <v>N/A</v>
      </c>
      <c r="H99" s="7" t="str">
        <f t="shared" ref="H99:H105" si="6">IF(ISERROR(E99/D99),"N/A",E99/D99)</f>
        <v>N/A</v>
      </c>
    </row>
    <row r="100" spans="2:8" x14ac:dyDescent="0.25">
      <c r="B100" s="3">
        <v>3</v>
      </c>
      <c r="C100" s="48" t="s">
        <v>101</v>
      </c>
      <c r="D100" s="3">
        <f>SUMIFS($T$3:$T$82,$D$3:$D$82,Table!$D$3,$P$3:$P$82,C100)</f>
        <v>0</v>
      </c>
      <c r="E100" s="3">
        <f>SUMIFS($T$3:$T$82,$D$3:$D$82,Table!$D$3,$P$3:$P$82,C100)-SUM(SUMIFS($T$3:$T$82,$D$3:$D$82,Table!$D$3,$P$3:$P$82,C100,$X$3:$X$82,{"Ongoing","N/A"}))</f>
        <v>0</v>
      </c>
      <c r="F100" s="3">
        <f>1/8*(SUMIFS($W$3:$W$82,$D$3:$D$82,Table!$D$3,$P$3:$P$82,C100)-SUM(SUMIFS($W$3:$W$82,$D$3:$D$82,Table!$D$3,$P$3:$P$82,C100,$X$3:$X$82,{"Ongoing","N/A"})))</f>
        <v>0</v>
      </c>
      <c r="G100" s="3" t="str">
        <f t="shared" si="5"/>
        <v>N/A</v>
      </c>
      <c r="H100" s="7" t="str">
        <f t="shared" si="6"/>
        <v>N/A</v>
      </c>
    </row>
    <row r="101" spans="2:8" x14ac:dyDescent="0.25">
      <c r="B101" s="3">
        <v>4</v>
      </c>
      <c r="C101" s="48" t="s">
        <v>102</v>
      </c>
      <c r="D101" s="3">
        <f>SUMIFS($T$3:$T$82,$D$3:$D$82,Table!$D$3,$P$3:$P$82,C101)</f>
        <v>0</v>
      </c>
      <c r="E101" s="3">
        <f>SUMIFS($T$3:$T$82,$D$3:$D$82,Table!$D$3,$P$3:$P$82,C101)-SUM(SUMIFS($T$3:$T$82,$D$3:$D$82,Table!$D$3,$P$3:$P$82,C101,$X$3:$X$82,{"Ongoing","N/A"}))</f>
        <v>0</v>
      </c>
      <c r="F101" s="3">
        <f>1/8*(SUMIFS($W$3:$W$82,$D$3:$D$82,Table!$D$3,$P$3:$P$82,C101)-SUM(SUMIFS($W$3:$W$82,$D$3:$D$82,Table!$D$3,$P$3:$P$82,C101,$X$3:$X$82,{"Ongoing","N/A"})))</f>
        <v>0</v>
      </c>
      <c r="G101" s="3" t="str">
        <f t="shared" si="5"/>
        <v>N/A</v>
      </c>
      <c r="H101" s="7" t="str">
        <f t="shared" si="6"/>
        <v>N/A</v>
      </c>
    </row>
    <row r="102" spans="2:8" x14ac:dyDescent="0.25">
      <c r="B102" s="3">
        <v>5</v>
      </c>
      <c r="C102" s="47" t="s">
        <v>103</v>
      </c>
      <c r="D102" s="3">
        <f>SUMIFS($T$3:$T$82,$D$3:$D$82,Table!$D$3,$P$3:$P$82,C102)</f>
        <v>1543</v>
      </c>
      <c r="E102" s="3">
        <f>SUMIFS($T$3:$T$82,$D$3:$D$82,Table!$D$3,$P$3:$P$82,C102)-SUM(SUMIFS($T$3:$T$82,$D$3:$D$82,Table!$D$3,$P$3:$P$82,C102,$X$3:$X$82,{"Ongoing","N/A"}))</f>
        <v>590</v>
      </c>
      <c r="F102" s="3">
        <f>1/8*(SUMIFS($W$3:$W$82,$D$3:$D$82,Table!$D$3,$P$3:$P$82,C102)-SUM(SUMIFS($W$3:$W$82,$D$3:$D$82,Table!$D$3,$P$3:$P$82,C102,$X$3:$X$82,{"Ongoing","N/A"})))</f>
        <v>2.1875</v>
      </c>
      <c r="G102" s="3">
        <f t="shared" si="5"/>
        <v>269.71428571428572</v>
      </c>
      <c r="H102" s="7">
        <f t="shared" si="6"/>
        <v>0.38237200259235254</v>
      </c>
    </row>
    <row r="103" spans="2:8" x14ac:dyDescent="0.25">
      <c r="B103" s="3">
        <v>6</v>
      </c>
      <c r="C103" s="47" t="s">
        <v>104</v>
      </c>
      <c r="D103" s="3">
        <f>SUMIFS($T$3:$T$82,$D$3:$D$82,Table!$D$3,$P$3:$P$82,C103)</f>
        <v>2867</v>
      </c>
      <c r="E103" s="3">
        <f>SUMIFS($T$3:$T$82,$D$3:$D$82,Table!$D$3,$P$3:$P$82,C103)-SUM(SUMIFS($T$3:$T$82,$D$3:$D$82,Table!$D$3,$P$3:$P$82,C103,$X$3:$X$82,{"Ongoing","N/A"}))</f>
        <v>2041</v>
      </c>
      <c r="F103" s="3">
        <f>1/8*(SUMIFS($W$3:$W$82,$D$3:$D$82,Table!$D$3,$P$3:$P$82,C103)-SUM(SUMIFS($W$3:$W$82,$D$3:$D$82,Table!$D$3,$P$3:$P$82,C103,$X$3:$X$82,{"Ongoing","N/A"})))</f>
        <v>4.125</v>
      </c>
      <c r="G103" s="3">
        <f>IF(ISERROR(E103/(F103)),"N/A",E103/F103)</f>
        <v>494.78787878787881</v>
      </c>
      <c r="H103" s="7">
        <f t="shared" si="6"/>
        <v>0.71189396581792819</v>
      </c>
    </row>
    <row r="104" spans="2:8" x14ac:dyDescent="0.25">
      <c r="B104" s="3">
        <v>7</v>
      </c>
      <c r="C104" s="47" t="s">
        <v>105</v>
      </c>
      <c r="D104" s="3">
        <f>SUMIFS($T$3:$T$82,$D$3:$D$82,Table!$D$3,$P$3:$P$82,C104)</f>
        <v>2169</v>
      </c>
      <c r="E104" s="3">
        <f>SUMIFS($T$3:$T$82,$D$3:$D$82,Table!$D$3,$P$3:$P$82,C104)-SUM(SUMIFS($T$3:$T$82,$D$3:$D$82,Table!$D$3,$P$3:$P$82,C104,$X$3:$X$82,{"Ongoing","N/A"}))</f>
        <v>1979</v>
      </c>
      <c r="F104" s="3">
        <f>1/8*(SUMIFS($W$3:$W$82,$D$3:$D$82,Table!$D$3,$P$3:$P$82,C104)-SUM(SUMIFS($W$3:$W$82,$D$3:$D$82,Table!$D$3,$P$3:$P$82,C104,$X$3:$X$82,{"Ongoing","N/A"})))</f>
        <v>3.625</v>
      </c>
      <c r="G104" s="3">
        <f t="shared" si="5"/>
        <v>545.93103448275861</v>
      </c>
      <c r="H104" s="7">
        <f t="shared" si="6"/>
        <v>0.91240202858460118</v>
      </c>
    </row>
    <row r="105" spans="2:8" x14ac:dyDescent="0.25">
      <c r="B105" s="3">
        <v>8</v>
      </c>
      <c r="C105" s="47" t="s">
        <v>106</v>
      </c>
      <c r="D105" s="3">
        <f>SUMIFS($T$3:$T$82,$D$3:$D$82,Table!$D$3,$P$3:$P$82,C105)</f>
        <v>1272</v>
      </c>
      <c r="E105" s="3">
        <f>SUMIFS($T$3:$T$82,$D$3:$D$82,Table!$D$3,$P$3:$P$82,C105)-SUM(SUMIFS($T$3:$T$82,$D$3:$D$82,Table!$D$3,$P$3:$P$82,C105,$X$3:$X$82,{"Ongoing","N/A"}))</f>
        <v>1272</v>
      </c>
      <c r="F105" s="3">
        <f>1/8*(SUMIFS($W$3:$W$82,$D$3:$D$82,Table!$D$3,$P$3:$P$82,C105)-SUM(SUMIFS($W$3:$W$82,$D$3:$D$82,Table!$D$3,$P$3:$P$82,C105,$X$3:$X$82,{"Ongoing","N/A"})))</f>
        <v>2.4874999999999998</v>
      </c>
      <c r="G105" s="3">
        <f>IF(ISERROR(E105/(F105)),"N/A",E105/F105)</f>
        <v>511.356783919598</v>
      </c>
      <c r="H105" s="7">
        <f t="shared" si="6"/>
        <v>1</v>
      </c>
    </row>
  </sheetData>
  <autoFilter ref="B2:AH66"/>
  <customSheetViews>
    <customSheetView guid="{7E0EA425-A420-4443-B9E0-CDF0AA9E5D09}" showAutoFilter="1" topLeftCell="Q1">
      <selection activeCell="AG20" sqref="AG20"/>
      <pageMargins left="0.7" right="0.7" top="0.75" bottom="0.75" header="0.3" footer="0.3"/>
      <pageSetup orientation="portrait" r:id="rId1"/>
      <autoFilter ref="B2:AH66"/>
    </customSheetView>
    <customSheetView guid="{4E06BDBF-2CED-473B-850B-2A6C7311FF41}" showAutoFilter="1" hiddenColumns="1" topLeftCell="O25">
      <selection activeCell="AB47" sqref="AB47"/>
      <pageMargins left="0.7" right="0.7" top="0.75" bottom="0.75" header="0.3" footer="0.3"/>
      <pageSetup orientation="portrait" r:id="rId2"/>
      <autoFilter ref="Q2:Q105"/>
    </customSheetView>
    <customSheetView guid="{60D2C030-4E31-4E07-8E1C-44D2EE84B177}" scale="85" showAutoFilter="1" hiddenColumns="1">
      <selection activeCell="F29" sqref="F29"/>
      <pageMargins left="0.7" right="0.7" top="0.75" bottom="0.75" header="0.3" footer="0.3"/>
      <pageSetup orientation="portrait" r:id="rId3"/>
      <autoFilter ref="B2:AH66"/>
    </customSheetView>
    <customSheetView guid="{250915DF-0B97-45D7-B29D-7EED4C89C1C1}" scale="70" topLeftCell="G16">
      <selection activeCell="P41" sqref="P41"/>
      <pageMargins left="0.7" right="0.7" top="0.75" bottom="0.75" header="0.3" footer="0.3"/>
      <pageSetup orientation="portrait" r:id="rId4"/>
    </customSheetView>
    <customSheetView guid="{7ECC2B8E-6A82-42F5-8AB0-4A51C54EA5EC}" hiddenColumns="1" topLeftCell="O28">
      <selection activeCell="AG47" sqref="AG47"/>
      <pageMargins left="0.7" right="0.7" top="0.75" bottom="0.75" header="0.3" footer="0.3"/>
      <pageSetup orientation="portrait" r:id="rId5"/>
    </customSheetView>
    <customSheetView guid="{72A6EB0A-84D5-4B8A-AC51-54CCD061630B}" scale="85" filter="1" showAutoFilter="1" hiddenColumns="1" topLeftCell="K1">
      <selection activeCell="W33" sqref="W33"/>
      <pageMargins left="0.7" right="0.7" top="0.75" bottom="0.75" header="0.3" footer="0.3"/>
      <pageSetup orientation="portrait" r:id="rId6"/>
      <autoFilter ref="B2:AH66">
        <filterColumn colId="14">
          <filters>
            <filter val="loc.do-phu"/>
          </filters>
        </filterColumn>
      </autoFilter>
    </customSheetView>
  </customSheetViews>
  <conditionalFormatting sqref="H86:H93">
    <cfRule type="cellIs" dxfId="18" priority="6" operator="equal">
      <formula>1</formula>
    </cfRule>
    <cfRule type="cellIs" dxfId="17" priority="7" operator="lessThan">
      <formula>1</formula>
    </cfRule>
  </conditionalFormatting>
  <conditionalFormatting sqref="H98:H105">
    <cfRule type="cellIs" dxfId="16" priority="4" operator="equal">
      <formula>1</formula>
    </cfRule>
    <cfRule type="cellIs" dxfId="15" priority="5" operator="lessThan">
      <formula>1</formula>
    </cfRule>
  </conditionalFormatting>
  <conditionalFormatting sqref="AC3:AC82">
    <cfRule type="cellIs" dxfId="14" priority="2" operator="equal">
      <formula>"OK"</formula>
    </cfRule>
    <cfRule type="cellIs" dxfId="13" priority="3" operator="equal">
      <formula>"NG"</formula>
    </cfRule>
  </conditionalFormatting>
  <conditionalFormatting sqref="L3:M60">
    <cfRule type="cellIs" dxfId="12" priority="1" operator="equal">
      <formula>"PUT_VERSION"</formula>
    </cfRule>
  </conditionalFormatting>
  <dataValidations count="2">
    <dataValidation type="list" allowBlank="1" showInputMessage="1" showErrorMessage="1" sqref="AC3:AC82">
      <formula1>"OK,NG"</formula1>
    </dataValidation>
    <dataValidation type="list" allowBlank="1" showInputMessage="1" showErrorMessage="1" sqref="R3:R82">
      <formula1>"Yes,No"</formula1>
    </dataValidation>
  </dataValidations>
  <pageMargins left="0.7" right="0.7" top="0.75" bottom="0.75" header="0.3" footer="0.3"/>
  <pageSetup orientation="portrait" r:id="rId7"/>
  <legacy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greaterThanOrEqual" id="{A2DBCDAC-112C-4EB1-9137-4C59CE189EEE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" operator="lessThan" id="{F93A1AC6-53A2-4404-902D-A62DCB6880F9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G86:G93</xm:sqref>
        </x14:conditionalFormatting>
        <x14:conditionalFormatting xmlns:xm="http://schemas.microsoft.com/office/excel/2006/main">
          <x14:cfRule type="cellIs" priority="10" operator="greaterThanOrEqual" id="{4226BAC8-183D-4343-90C4-3398666B9C59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" operator="lessThan" id="{2C456F9B-0386-48E4-B7ED-E463A343237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G98:G105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Table!$C$24:$C$30</xm:f>
          </x14:formula1>
          <xm:sqref>X3:X82</xm:sqref>
        </x14:dataValidation>
        <x14:dataValidation type="list" allowBlank="1" showInputMessage="1" showErrorMessage="1">
          <x14:formula1>
            <xm:f>Table!$C$8:$C$9</xm:f>
          </x14:formula1>
          <xm:sqref>D3:D82</xm:sqref>
        </x14:dataValidation>
        <x14:dataValidation type="list" allowBlank="1" showInputMessage="1" showErrorMessage="1">
          <x14:formula1>
            <xm:f>Table!$C$13:$C$20</xm:f>
          </x14:formula1>
          <xm:sqref>P3:Q82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39" sqref="C39"/>
    </sheetView>
  </sheetViews>
  <sheetFormatPr defaultRowHeight="15" x14ac:dyDescent="0.25"/>
  <sheetData/>
  <customSheetViews>
    <customSheetView guid="{7E0EA425-A420-4443-B9E0-CDF0AA9E5D09}">
      <selection activeCell="C39" sqref="C39"/>
      <pageMargins left="0.7" right="0.7" top="0.75" bottom="0.75" header="0.3" footer="0.3"/>
    </customSheetView>
    <customSheetView guid="{4E06BDBF-2CED-473B-850B-2A6C7311FF41}">
      <selection activeCell="C39" sqref="C39"/>
      <pageMargins left="0.7" right="0.7" top="0.75" bottom="0.75" header="0.3" footer="0.3"/>
    </customSheetView>
    <customSheetView guid="{60D2C030-4E31-4E07-8E1C-44D2EE84B177}">
      <selection activeCell="C39" sqref="C39"/>
      <pageMargins left="0.7" right="0.7" top="0.75" bottom="0.75" header="0.3" footer="0.3"/>
    </customSheetView>
    <customSheetView guid="{250915DF-0B97-45D7-B29D-7EED4C89C1C1}">
      <selection activeCell="C39" sqref="C39"/>
      <pageMargins left="0.7" right="0.7" top="0.75" bottom="0.75" header="0.3" footer="0.3"/>
    </customSheetView>
    <customSheetView guid="{7ECC2B8E-6A82-42F5-8AB0-4A51C54EA5EC}">
      <selection activeCell="C39" sqref="C39"/>
      <pageMargins left="0.7" right="0.7" top="0.75" bottom="0.75" header="0.3" footer="0.3"/>
    </customSheetView>
    <customSheetView guid="{72A6EB0A-84D5-4B8A-AC51-54CCD061630B}">
      <selection activeCell="C39" sqref="C3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Y38"/>
  <sheetViews>
    <sheetView zoomScale="85" zoomScaleNormal="85" workbookViewId="0">
      <selection activeCell="M23" sqref="M23"/>
    </sheetView>
  </sheetViews>
  <sheetFormatPr defaultRowHeight="15" x14ac:dyDescent="0.25"/>
  <cols>
    <col min="3" max="3" width="19.140625" bestFit="1" customWidth="1"/>
    <col min="4" max="4" width="17" customWidth="1"/>
    <col min="5" max="6" width="50.5703125" bestFit="1" customWidth="1"/>
    <col min="7" max="7" width="8.7109375" bestFit="1" customWidth="1"/>
    <col min="8" max="8" width="38.85546875" bestFit="1" customWidth="1"/>
    <col min="9" max="9" width="10.42578125" bestFit="1" customWidth="1"/>
    <col min="10" max="10" width="8.42578125" bestFit="1" customWidth="1"/>
    <col min="11" max="11" width="10.42578125" bestFit="1" customWidth="1"/>
    <col min="12" max="12" width="19.140625" bestFit="1" customWidth="1"/>
    <col min="14" max="14" width="11.140625" bestFit="1" customWidth="1"/>
    <col min="16" max="17" width="12.85546875" bestFit="1" customWidth="1"/>
    <col min="18" max="18" width="12" bestFit="1" customWidth="1"/>
    <col min="19" max="19" width="8.7109375" bestFit="1" customWidth="1"/>
  </cols>
  <sheetData>
    <row r="2" spans="2:25" x14ac:dyDescent="0.25">
      <c r="B2" s="2" t="s">
        <v>0</v>
      </c>
      <c r="C2" s="2" t="s">
        <v>99</v>
      </c>
      <c r="D2" s="2" t="s">
        <v>1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91</v>
      </c>
      <c r="J2" s="22" t="s">
        <v>69</v>
      </c>
      <c r="K2" s="22" t="s">
        <v>8</v>
      </c>
      <c r="L2" s="4" t="s">
        <v>9</v>
      </c>
      <c r="M2" s="4" t="s">
        <v>15</v>
      </c>
      <c r="N2" s="4" t="s">
        <v>66</v>
      </c>
      <c r="O2" s="4" t="s">
        <v>68</v>
      </c>
      <c r="P2" s="4" t="s">
        <v>67</v>
      </c>
      <c r="Q2" s="4" t="s">
        <v>20</v>
      </c>
      <c r="R2" s="4" t="s">
        <v>88</v>
      </c>
      <c r="S2" s="4" t="s">
        <v>89</v>
      </c>
      <c r="T2" s="2" t="s">
        <v>13</v>
      </c>
      <c r="U2" s="2" t="s">
        <v>14</v>
      </c>
      <c r="V2" s="2" t="s">
        <v>16</v>
      </c>
      <c r="W2" s="2" t="s">
        <v>17</v>
      </c>
      <c r="X2" s="4" t="s">
        <v>18</v>
      </c>
      <c r="Y2" s="4" t="s">
        <v>19</v>
      </c>
    </row>
    <row r="3" spans="2:25" x14ac:dyDescent="0.25">
      <c r="B3" s="3">
        <v>1</v>
      </c>
      <c r="C3" s="3">
        <v>1</v>
      </c>
      <c r="D3" s="3" t="s">
        <v>3</v>
      </c>
      <c r="E3" s="3" t="s">
        <v>75</v>
      </c>
      <c r="F3" s="3" t="s">
        <v>79</v>
      </c>
      <c r="G3" s="3">
        <v>1348323</v>
      </c>
      <c r="H3" s="3" t="s">
        <v>83</v>
      </c>
      <c r="I3" s="24" t="s">
        <v>90</v>
      </c>
      <c r="J3" s="23" t="s">
        <v>23</v>
      </c>
      <c r="K3" s="23"/>
      <c r="L3" s="3"/>
      <c r="M3" s="3">
        <v>113</v>
      </c>
      <c r="N3" s="3"/>
      <c r="O3" s="3">
        <f>ROUNDDOWN(M3/HLOOKUP(Template!D3,Table!$C$3:$D$4,2,0)*8,2)</f>
        <v>2</v>
      </c>
      <c r="P3" s="3"/>
      <c r="Q3" s="3" t="s">
        <v>27</v>
      </c>
      <c r="R3" s="5">
        <v>43892</v>
      </c>
      <c r="S3" s="5">
        <v>43924</v>
      </c>
      <c r="T3" s="5">
        <v>43892</v>
      </c>
      <c r="U3" s="5"/>
      <c r="V3" s="3"/>
      <c r="W3" s="3"/>
      <c r="X3" s="3"/>
      <c r="Y3" s="3"/>
    </row>
    <row r="4" spans="2:25" x14ac:dyDescent="0.25">
      <c r="B4" s="3">
        <v>2</v>
      </c>
      <c r="C4" s="3">
        <v>1</v>
      </c>
      <c r="D4" s="3" t="s">
        <v>3</v>
      </c>
      <c r="E4" s="3" t="s">
        <v>76</v>
      </c>
      <c r="F4" s="3" t="s">
        <v>80</v>
      </c>
      <c r="G4" s="3">
        <v>1345876</v>
      </c>
      <c r="H4" s="3" t="s">
        <v>84</v>
      </c>
      <c r="I4" s="24" t="s">
        <v>90</v>
      </c>
      <c r="J4" s="23" t="s">
        <v>23</v>
      </c>
      <c r="K4" s="23"/>
      <c r="L4" s="3"/>
      <c r="M4" s="3">
        <v>148</v>
      </c>
      <c r="N4" s="3"/>
      <c r="O4" s="3">
        <f>ROUNDDOWN(M4/HLOOKUP(Template!D4,Table!$C$3:$D$4,2,0)*8,2)</f>
        <v>2.63</v>
      </c>
      <c r="P4" s="3"/>
      <c r="Q4" s="3" t="s">
        <v>27</v>
      </c>
      <c r="R4" s="5">
        <v>43892</v>
      </c>
      <c r="S4" s="5">
        <v>43924</v>
      </c>
      <c r="T4" s="5">
        <v>43892</v>
      </c>
      <c r="U4" s="5"/>
      <c r="V4" s="3"/>
      <c r="W4" s="3"/>
      <c r="X4" s="3"/>
      <c r="Y4" s="3"/>
    </row>
    <row r="5" spans="2:25" x14ac:dyDescent="0.25">
      <c r="B5" s="3">
        <v>3</v>
      </c>
      <c r="C5" s="3">
        <v>1</v>
      </c>
      <c r="D5" s="3" t="s">
        <v>3</v>
      </c>
      <c r="E5" s="3" t="s">
        <v>77</v>
      </c>
      <c r="F5" s="3" t="s">
        <v>81</v>
      </c>
      <c r="G5" s="3">
        <v>1350941</v>
      </c>
      <c r="H5" s="3" t="s">
        <v>85</v>
      </c>
      <c r="I5" s="24" t="s">
        <v>90</v>
      </c>
      <c r="J5" s="23" t="s">
        <v>23</v>
      </c>
      <c r="K5" s="23"/>
      <c r="L5" s="3"/>
      <c r="M5" s="3">
        <v>291</v>
      </c>
      <c r="N5" s="3"/>
      <c r="O5" s="3">
        <f>ROUNDDOWN(M5/HLOOKUP(Template!D5,Table!$C$3:$D$4,2,0)*8,2)</f>
        <v>5.17</v>
      </c>
      <c r="P5" s="3"/>
      <c r="Q5" s="3" t="s">
        <v>27</v>
      </c>
      <c r="R5" s="5">
        <v>43892</v>
      </c>
      <c r="S5" s="5">
        <v>43924</v>
      </c>
      <c r="T5" s="5">
        <v>43892</v>
      </c>
      <c r="U5" s="5"/>
      <c r="V5" s="3"/>
      <c r="W5" s="3"/>
      <c r="X5" s="3"/>
      <c r="Y5" s="3"/>
    </row>
    <row r="6" spans="2:25" x14ac:dyDescent="0.25">
      <c r="B6" s="3">
        <v>4</v>
      </c>
      <c r="C6" s="3">
        <v>1</v>
      </c>
      <c r="D6" s="3" t="s">
        <v>3</v>
      </c>
      <c r="E6" s="3" t="s">
        <v>78</v>
      </c>
      <c r="F6" s="3" t="s">
        <v>82</v>
      </c>
      <c r="G6" s="3">
        <v>1351929</v>
      </c>
      <c r="H6" s="3" t="s">
        <v>86</v>
      </c>
      <c r="I6" s="24" t="s">
        <v>90</v>
      </c>
      <c r="J6" s="23" t="s">
        <v>23</v>
      </c>
      <c r="K6" s="23"/>
      <c r="L6" s="3"/>
      <c r="M6" s="3">
        <v>254</v>
      </c>
      <c r="N6" s="3"/>
      <c r="O6" s="3">
        <f>ROUNDDOWN(M6/HLOOKUP(Template!D6,Table!$C$3:$D$4,2,0)*8,2)</f>
        <v>4.51</v>
      </c>
      <c r="P6" s="3"/>
      <c r="Q6" s="3" t="s">
        <v>27</v>
      </c>
      <c r="R6" s="5">
        <v>43892</v>
      </c>
      <c r="S6" s="5">
        <v>43924</v>
      </c>
      <c r="T6" s="5">
        <v>43892</v>
      </c>
      <c r="U6" s="5"/>
      <c r="V6" s="3"/>
      <c r="W6" s="3"/>
      <c r="X6" s="3"/>
      <c r="Y6" s="3"/>
    </row>
    <row r="7" spans="2:25" x14ac:dyDescent="0.25">
      <c r="B7" s="3">
        <v>5</v>
      </c>
      <c r="C7" s="3">
        <v>1</v>
      </c>
      <c r="D7" s="3" t="s">
        <v>2</v>
      </c>
      <c r="E7" s="3" t="s">
        <v>87</v>
      </c>
      <c r="F7" s="24" t="s">
        <v>90</v>
      </c>
      <c r="G7" s="3">
        <v>1351929</v>
      </c>
      <c r="H7" s="3" t="s">
        <v>70</v>
      </c>
      <c r="I7" s="3" t="s">
        <v>92</v>
      </c>
      <c r="J7" s="23" t="s">
        <v>23</v>
      </c>
      <c r="K7" s="23"/>
      <c r="L7" s="3"/>
      <c r="M7" s="3">
        <v>19</v>
      </c>
      <c r="N7" s="3"/>
      <c r="O7" s="3">
        <f>ROUNDDOWN(M7/HLOOKUP(Template!D7,Table!$C$3:$D$4,2,0)*8,2)</f>
        <v>1.1599999999999999</v>
      </c>
      <c r="P7" s="3"/>
      <c r="Q7" s="3" t="s">
        <v>27</v>
      </c>
      <c r="R7" s="5">
        <v>43892</v>
      </c>
      <c r="S7" s="5">
        <v>43924</v>
      </c>
      <c r="T7" s="5">
        <v>43892</v>
      </c>
      <c r="U7" s="5"/>
      <c r="V7" s="3"/>
      <c r="W7" s="3"/>
      <c r="X7" s="3"/>
      <c r="Y7" s="3"/>
    </row>
    <row r="8" spans="2:25" x14ac:dyDescent="0.25">
      <c r="B8" s="3">
        <v>6</v>
      </c>
      <c r="C8" s="3">
        <v>2</v>
      </c>
      <c r="D8" s="3" t="s">
        <v>3</v>
      </c>
      <c r="E8" s="3" t="s">
        <v>93</v>
      </c>
      <c r="F8" s="24" t="s">
        <v>94</v>
      </c>
      <c r="G8" s="3">
        <v>1351848</v>
      </c>
      <c r="H8" s="3" t="s">
        <v>95</v>
      </c>
      <c r="I8" s="3" t="s">
        <v>90</v>
      </c>
      <c r="J8" s="23" t="s">
        <v>23</v>
      </c>
      <c r="K8" s="23"/>
      <c r="L8" s="3"/>
      <c r="M8" s="3">
        <v>478</v>
      </c>
      <c r="N8" s="3"/>
      <c r="O8" s="3">
        <f>ROUNDDOWN(M8/HLOOKUP(Template!D8,Table!$C$3:$D$4,2,0)*8,2)</f>
        <v>8.49</v>
      </c>
      <c r="P8" s="3"/>
      <c r="Q8" s="3" t="s">
        <v>27</v>
      </c>
      <c r="R8" s="5">
        <v>43892</v>
      </c>
      <c r="S8" s="5">
        <v>43924</v>
      </c>
      <c r="T8" s="5">
        <v>43892</v>
      </c>
      <c r="U8" s="5"/>
      <c r="V8" s="3"/>
      <c r="W8" s="3"/>
      <c r="X8" s="3"/>
      <c r="Y8" s="3"/>
    </row>
    <row r="9" spans="2:25" x14ac:dyDescent="0.25">
      <c r="B9" s="3">
        <v>7</v>
      </c>
      <c r="C9" s="3">
        <v>2</v>
      </c>
      <c r="D9" s="3" t="s">
        <v>3</v>
      </c>
      <c r="E9" s="3" t="s">
        <v>93</v>
      </c>
      <c r="F9" s="24" t="s">
        <v>94</v>
      </c>
      <c r="G9" s="3">
        <v>1351848</v>
      </c>
      <c r="H9" s="3" t="s">
        <v>96</v>
      </c>
      <c r="I9" s="3" t="s">
        <v>90</v>
      </c>
      <c r="J9" s="23" t="s">
        <v>23</v>
      </c>
      <c r="K9" s="23"/>
      <c r="L9" s="3"/>
      <c r="M9" s="3">
        <v>286</v>
      </c>
      <c r="N9" s="3"/>
      <c r="O9" s="3">
        <f>ROUNDDOWN(M9/HLOOKUP(Template!D9,Table!$C$3:$D$4,2,0)*8,2)</f>
        <v>5.08</v>
      </c>
      <c r="P9" s="3"/>
      <c r="Q9" s="3" t="s">
        <v>27</v>
      </c>
      <c r="R9" s="5">
        <v>43892</v>
      </c>
      <c r="S9" s="5">
        <v>43924</v>
      </c>
      <c r="T9" s="5">
        <v>43892</v>
      </c>
      <c r="U9" s="5"/>
      <c r="V9" s="3"/>
      <c r="W9" s="3"/>
      <c r="X9" s="3"/>
      <c r="Y9" s="3"/>
    </row>
    <row r="10" spans="2:25" x14ac:dyDescent="0.25">
      <c r="B10" s="3">
        <v>8</v>
      </c>
      <c r="C10" s="3">
        <v>2</v>
      </c>
      <c r="D10" s="3" t="s">
        <v>3</v>
      </c>
      <c r="E10" s="3" t="s">
        <v>93</v>
      </c>
      <c r="F10" s="24" t="s">
        <v>97</v>
      </c>
      <c r="G10" s="3">
        <v>1351848</v>
      </c>
      <c r="H10" s="3" t="s">
        <v>98</v>
      </c>
      <c r="I10" s="3" t="s">
        <v>90</v>
      </c>
      <c r="J10" s="23" t="s">
        <v>23</v>
      </c>
      <c r="K10" s="23"/>
      <c r="L10" s="3"/>
      <c r="M10" s="3">
        <v>110</v>
      </c>
      <c r="N10" s="3"/>
      <c r="O10" s="3">
        <f>ROUNDDOWN(M10/HLOOKUP(Template!D10,Table!$C$3:$D$4,2,0)*8,2)</f>
        <v>1.95</v>
      </c>
      <c r="P10" s="3"/>
      <c r="Q10" s="3" t="s">
        <v>27</v>
      </c>
      <c r="R10" s="5">
        <v>43892</v>
      </c>
      <c r="S10" s="5">
        <v>43924</v>
      </c>
      <c r="T10" s="5">
        <v>43892</v>
      </c>
      <c r="U10" s="5"/>
      <c r="V10" s="3"/>
      <c r="W10" s="3"/>
      <c r="X10" s="3"/>
      <c r="Y10" s="3"/>
    </row>
    <row r="11" spans="2:25" x14ac:dyDescent="0.25">
      <c r="B11" s="3"/>
      <c r="C11" s="3"/>
      <c r="D11" s="3"/>
      <c r="E11" s="3"/>
      <c r="F11" s="24"/>
      <c r="G11" s="3"/>
      <c r="H11" s="3"/>
      <c r="I11" s="3"/>
      <c r="J11" s="23"/>
      <c r="K11" s="23"/>
      <c r="L11" s="3"/>
      <c r="M11" s="3"/>
      <c r="N11" s="3"/>
      <c r="O11" s="3"/>
      <c r="P11" s="3"/>
      <c r="Q11" s="3"/>
      <c r="R11" s="5"/>
      <c r="S11" s="5"/>
      <c r="T11" s="5"/>
      <c r="U11" s="5"/>
      <c r="V11" s="3"/>
      <c r="W11" s="3"/>
      <c r="X11" s="3"/>
      <c r="Y11" s="3"/>
    </row>
    <row r="12" spans="2:25" x14ac:dyDescent="0.25">
      <c r="B12" s="3"/>
      <c r="C12" s="3"/>
      <c r="D12" s="3"/>
      <c r="E12" s="3"/>
      <c r="F12" s="24"/>
      <c r="G12" s="3"/>
      <c r="H12" s="3"/>
      <c r="I12" s="3"/>
      <c r="J12" s="23"/>
      <c r="K12" s="23"/>
      <c r="L12" s="3"/>
      <c r="M12" s="3"/>
      <c r="N12" s="3"/>
      <c r="O12" s="3"/>
      <c r="P12" s="3"/>
      <c r="Q12" s="3"/>
      <c r="R12" s="5"/>
      <c r="S12" s="5"/>
      <c r="T12" s="5"/>
      <c r="U12" s="5"/>
      <c r="V12" s="3"/>
      <c r="W12" s="3"/>
      <c r="X12" s="3"/>
      <c r="Y12" s="3"/>
    </row>
    <row r="13" spans="2:25" x14ac:dyDescent="0.25">
      <c r="B13" s="3"/>
      <c r="C13" s="3"/>
      <c r="D13" s="3"/>
      <c r="E13" s="3"/>
      <c r="F13" s="24"/>
      <c r="G13" s="3"/>
      <c r="H13" s="3"/>
      <c r="I13" s="3"/>
      <c r="J13" s="23"/>
      <c r="K13" s="23"/>
      <c r="L13" s="3"/>
      <c r="M13" s="3"/>
      <c r="N13" s="3"/>
      <c r="O13" s="3"/>
      <c r="P13" s="3"/>
      <c r="Q13" s="3"/>
      <c r="R13" s="5"/>
      <c r="S13" s="5"/>
      <c r="T13" s="5"/>
      <c r="U13" s="5"/>
      <c r="V13" s="3"/>
      <c r="W13" s="3"/>
      <c r="X13" s="3"/>
      <c r="Y13" s="3"/>
    </row>
    <row r="14" spans="2:25" x14ac:dyDescent="0.25">
      <c r="B14" s="3"/>
      <c r="C14" s="3"/>
      <c r="D14" s="3"/>
      <c r="E14" s="3"/>
      <c r="F14" s="24"/>
      <c r="G14" s="3"/>
      <c r="H14" s="3"/>
      <c r="I14" s="3"/>
      <c r="J14" s="23"/>
      <c r="K14" s="23"/>
      <c r="L14" s="3"/>
      <c r="M14" s="3"/>
      <c r="N14" s="3"/>
      <c r="O14" s="3"/>
      <c r="P14" s="3"/>
      <c r="Q14" s="3"/>
      <c r="R14" s="5"/>
      <c r="S14" s="5"/>
      <c r="T14" s="5"/>
      <c r="U14" s="5"/>
      <c r="V14" s="3"/>
      <c r="W14" s="3"/>
      <c r="X14" s="3"/>
      <c r="Y14" s="3"/>
    </row>
    <row r="15" spans="2:25" x14ac:dyDescent="0.25">
      <c r="B15" s="3"/>
      <c r="C15" s="3"/>
      <c r="D15" s="3"/>
      <c r="E15" s="3"/>
      <c r="F15" s="24"/>
      <c r="G15" s="3"/>
      <c r="H15" s="3"/>
      <c r="I15" s="3"/>
      <c r="J15" s="23"/>
      <c r="K15" s="23"/>
      <c r="L15" s="3"/>
      <c r="M15" s="3"/>
      <c r="N15" s="3"/>
      <c r="O15" s="3"/>
      <c r="P15" s="3"/>
      <c r="Q15" s="3"/>
      <c r="R15" s="5"/>
      <c r="S15" s="5"/>
      <c r="T15" s="5"/>
      <c r="U15" s="5"/>
      <c r="V15" s="3"/>
      <c r="W15" s="3"/>
      <c r="X15" s="3"/>
      <c r="Y15" s="3"/>
    </row>
    <row r="16" spans="2:25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8" x14ac:dyDescent="0.25">
      <c r="B17" s="1" t="s">
        <v>64</v>
      </c>
    </row>
    <row r="18" spans="2:8" x14ac:dyDescent="0.25">
      <c r="B18" s="2" t="s">
        <v>0</v>
      </c>
      <c r="C18" s="2" t="s">
        <v>9</v>
      </c>
      <c r="D18" s="2" t="s">
        <v>28</v>
      </c>
      <c r="E18" s="2" t="s">
        <v>29</v>
      </c>
      <c r="F18" s="2" t="s">
        <v>26</v>
      </c>
      <c r="G18" s="2" t="s">
        <v>25</v>
      </c>
      <c r="H18" s="4" t="s">
        <v>30</v>
      </c>
    </row>
    <row r="19" spans="2:8" x14ac:dyDescent="0.25">
      <c r="B19" s="3">
        <v>1</v>
      </c>
      <c r="C19" s="3" t="s">
        <v>6</v>
      </c>
      <c r="D19" s="3">
        <f>SUMIFS($M$3:$M$6,$D$3:$D$6,Table!$C$3,$L$3:$L$6,Table!C13)</f>
        <v>0</v>
      </c>
      <c r="E19" s="3">
        <f>SUMIFS($N$3:$N$6,$D$3:$D$6,Table!$C$3,$L$3:$L$6,Table!C13)-SUM(SUMIFS($N$3:$N$6,$D$3:$D$6,Table!$C$3,$L$3:$L$6,Table!C13,$Q$3:$Q$6,{"Ongoing","N/A"}))</f>
        <v>0</v>
      </c>
      <c r="F19" s="3">
        <f>1/8*(SUMIFS($P$3:$P$6,$D$3:$D$6,Table!$C$3,$L$3:$L$6,Table!C13)-SUM(SUMIFS($P$3:$P$6,$D$3:$D$6,Table!$C$3,$L$3:$L$6,Table!C13,$Q$3:$Q$6,{"Ongoing","N/A"})))</f>
        <v>0</v>
      </c>
      <c r="G19" s="3" t="e">
        <f>E19/(F19)</f>
        <v>#DIV/0!</v>
      </c>
      <c r="H19" s="7" t="e">
        <f>E19/D19</f>
        <v>#DIV/0!</v>
      </c>
    </row>
    <row r="20" spans="2:8" x14ac:dyDescent="0.25">
      <c r="B20" s="3">
        <v>2</v>
      </c>
      <c r="C20" s="3" t="s">
        <v>7</v>
      </c>
      <c r="D20" s="3">
        <f>SUMIFS($M$3:$M$6,$D$3:$D$6,Table!$C$3,$L$3:$L$6,Table!#REF!)</f>
        <v>0</v>
      </c>
      <c r="E20" s="3">
        <f>SUMIFS($N$3:$N$6,$D$3:$D$6,Table!$C$3,$L$3:$L$6,Table!#REF!)-SUM(SUMIFS($N$3:$N$6,$D$3:$D$6,Table!$C$3,$L$3:$L$6,Table!#REF!,$Q$3:$Q$6,{"Ongoing","N/A"}))</f>
        <v>0</v>
      </c>
      <c r="F20" s="3">
        <f>1/8*(SUMIFS($P$3:$P$6,$D$3:$D$6,Table!$C$3,$L$3:$L$6,Table!#REF!)-SUM(SUMIFS($P$3:$P$6,$D$3:$D$6,Table!$C$3,$L$3:$L$6,Table!#REF!,$Q$3:$Q$6,{"Ongoing","N/A"})))</f>
        <v>0</v>
      </c>
      <c r="G20" s="3" t="e">
        <f>E20/(F20)</f>
        <v>#DIV/0!</v>
      </c>
      <c r="H20" s="7" t="e">
        <f>E20/D20</f>
        <v>#DIV/0!</v>
      </c>
    </row>
    <row r="21" spans="2:8" x14ac:dyDescent="0.25">
      <c r="B21" s="3">
        <v>3</v>
      </c>
      <c r="C21" s="3" t="s">
        <v>7</v>
      </c>
      <c r="D21" s="3">
        <f>SUMIFS($M$3:$M$6,$D$3:$D$6,Table!$C$3,$L$3:$L$6,Table!C21)</f>
        <v>0</v>
      </c>
      <c r="E21" s="3">
        <f>SUMIFS($N$3:$N$6,$D$3:$D$6,Table!$C$3,$L$3:$L$6,Table!C21)-SUM(SUMIFS($N$3:$N$6,$D$3:$D$6,Table!$C$3,$L$3:$L$6,Table!C21,$Q$3:$Q$6,{"Ongoing","N/A"}))</f>
        <v>0</v>
      </c>
      <c r="F21" s="3">
        <f>1/8*(SUMIFS($P$3:$P$6,$D$3:$D$6,Table!$C$3,$L$3:$L$6,Table!C21)-SUM(SUMIFS($P$3:$P$6,$D$3:$D$6,Table!$C$3,$L$3:$L$6,Table!C21,$Q$3:$Q$6,{"Ongoing","N/A"})))</f>
        <v>0</v>
      </c>
      <c r="G21" s="3" t="e">
        <f t="shared" ref="G21:G30" si="0">E21/(F21)</f>
        <v>#DIV/0!</v>
      </c>
      <c r="H21" s="7" t="e">
        <f t="shared" ref="H21:H30" si="1">E21/D21</f>
        <v>#DIV/0!</v>
      </c>
    </row>
    <row r="22" spans="2:8" x14ac:dyDescent="0.25">
      <c r="B22" s="3">
        <v>4</v>
      </c>
      <c r="C22" s="3" t="s">
        <v>7</v>
      </c>
      <c r="D22" s="3">
        <f>SUMIFS($M$3:$M$6,$D$3:$D$6,Table!$C$3,$L$3:$L$6,Table!C22)</f>
        <v>0</v>
      </c>
      <c r="E22" s="3">
        <f>SUMIFS($N$3:$N$6,$D$3:$D$6,Table!$C$3,$L$3:$L$6,Table!C22)-SUM(SUMIFS($N$3:$N$6,$D$3:$D$6,Table!$C$3,$L$3:$L$6,Table!C22,$Q$3:$Q$6,{"Ongoing","N/A"}))</f>
        <v>0</v>
      </c>
      <c r="F22" s="3">
        <f>1/8*(SUMIFS($P$3:$P$6,$D$3:$D$6,Table!$C$3,$L$3:$L$6,Table!C22)-SUM(SUMIFS($P$3:$P$6,$D$3:$D$6,Table!$C$3,$L$3:$L$6,Table!C22,$Q$3:$Q$6,{"Ongoing","N/A"})))</f>
        <v>0</v>
      </c>
      <c r="G22" s="3" t="e">
        <f t="shared" si="0"/>
        <v>#DIV/0!</v>
      </c>
      <c r="H22" s="7" t="e">
        <f t="shared" si="1"/>
        <v>#DIV/0!</v>
      </c>
    </row>
    <row r="23" spans="2:8" x14ac:dyDescent="0.25">
      <c r="B23" s="3">
        <v>5</v>
      </c>
      <c r="C23" s="3" t="s">
        <v>7</v>
      </c>
      <c r="D23" s="3">
        <f>SUMIFS($M$3:$M$6,$D$3:$D$6,Table!$C$3,$L$3:$L$6,Table!C23)</f>
        <v>0</v>
      </c>
      <c r="E23" s="3">
        <f>SUMIFS($N$3:$N$6,$D$3:$D$6,Table!$C$3,$L$3:$L$6,Table!C23)-SUM(SUMIFS($N$3:$N$6,$D$3:$D$6,Table!$C$3,$L$3:$L$6,Table!C23,$Q$3:$Q$6,{"Ongoing","N/A"}))</f>
        <v>0</v>
      </c>
      <c r="F23" s="3">
        <f>1/8*(SUMIFS($P$3:$P$6,$D$3:$D$6,Table!$C$3,$L$3:$L$6,Table!C23)-SUM(SUMIFS($P$3:$P$6,$D$3:$D$6,Table!$C$3,$L$3:$L$6,Table!C23,$Q$3:$Q$6,{"Ongoing","N/A"})))</f>
        <v>0</v>
      </c>
      <c r="G23" s="3" t="e">
        <f t="shared" si="0"/>
        <v>#DIV/0!</v>
      </c>
      <c r="H23" s="7" t="e">
        <f t="shared" si="1"/>
        <v>#DIV/0!</v>
      </c>
    </row>
    <row r="24" spans="2:8" x14ac:dyDescent="0.25">
      <c r="B24" s="3">
        <v>6</v>
      </c>
      <c r="C24" s="3" t="s">
        <v>7</v>
      </c>
      <c r="D24" s="3">
        <f>SUMIFS($M$3:$M$6,$D$3:$D$6,Table!$C$3,$L$3:$L$6,Table!C24)</f>
        <v>0</v>
      </c>
      <c r="E24" s="3">
        <f>SUMIFS($N$3:$N$6,$D$3:$D$6,Table!$C$3,$L$3:$L$6,Table!C24)-SUM(SUMIFS($N$3:$N$6,$D$3:$D$6,Table!$C$3,$L$3:$L$6,Table!C24,$Q$3:$Q$6,{"Ongoing","N/A"}))</f>
        <v>0</v>
      </c>
      <c r="F24" s="3">
        <f>1/8*(SUMIFS($P$3:$P$6,$D$3:$D$6,Table!$C$3,$L$3:$L$6,Table!C24)-SUM(SUMIFS($P$3:$P$6,$D$3:$D$6,Table!$C$3,$L$3:$L$6,Table!C24,$Q$3:$Q$6,{"Ongoing","N/A"})))</f>
        <v>0</v>
      </c>
      <c r="G24" s="3" t="e">
        <f t="shared" si="0"/>
        <v>#DIV/0!</v>
      </c>
      <c r="H24" s="7" t="e">
        <f t="shared" si="1"/>
        <v>#DIV/0!</v>
      </c>
    </row>
    <row r="25" spans="2:8" x14ac:dyDescent="0.25">
      <c r="B25" s="3">
        <v>7</v>
      </c>
      <c r="C25" s="3" t="s">
        <v>7</v>
      </c>
      <c r="D25" s="3">
        <f>SUMIFS($M$3:$M$6,$D$3:$D$6,Table!$C$3,$L$3:$L$6,Table!C25)</f>
        <v>0</v>
      </c>
      <c r="E25" s="3">
        <f>SUMIFS($N$3:$N$6,$D$3:$D$6,Table!$C$3,$L$3:$L$6,Table!C25)-SUM(SUMIFS($N$3:$N$6,$D$3:$D$6,Table!$C$3,$L$3:$L$6,Table!C25,$Q$3:$Q$6,{"Ongoing","N/A"}))</f>
        <v>0</v>
      </c>
      <c r="F25" s="3">
        <f>1/8*(SUMIFS($P$3:$P$6,$D$3:$D$6,Table!$C$3,$L$3:$L$6,Table!C25)-SUM(SUMIFS($P$3:$P$6,$D$3:$D$6,Table!$C$3,$L$3:$L$6,Table!C25,$Q$3:$Q$6,{"Ongoing","N/A"})))</f>
        <v>0</v>
      </c>
      <c r="G25" s="3" t="e">
        <f t="shared" si="0"/>
        <v>#DIV/0!</v>
      </c>
      <c r="H25" s="7" t="e">
        <f t="shared" si="1"/>
        <v>#DIV/0!</v>
      </c>
    </row>
    <row r="26" spans="2:8" x14ac:dyDescent="0.25">
      <c r="B26" s="3">
        <v>8</v>
      </c>
      <c r="C26" s="3" t="s">
        <v>7</v>
      </c>
      <c r="D26" s="3">
        <f>SUMIFS($M$3:$M$6,$D$3:$D$6,Table!$C$3,$L$3:$L$6,Table!C26)</f>
        <v>0</v>
      </c>
      <c r="E26" s="3">
        <f>SUMIFS($N$3:$N$6,$D$3:$D$6,Table!$C$3,$L$3:$L$6,Table!C26)-SUM(SUMIFS($N$3:$N$6,$D$3:$D$6,Table!$C$3,$L$3:$L$6,Table!C26,$Q$3:$Q$6,{"Ongoing","N/A"}))</f>
        <v>0</v>
      </c>
      <c r="F26" s="3">
        <f>1/8*(SUMIFS($P$3:$P$6,$D$3:$D$6,Table!$C$3,$L$3:$L$6,Table!C26)-SUM(SUMIFS($P$3:$P$6,$D$3:$D$6,Table!$C$3,$L$3:$L$6,Table!C26,$Q$3:$Q$6,{"Ongoing","N/A"})))</f>
        <v>0</v>
      </c>
      <c r="G26" s="3" t="e">
        <f t="shared" si="0"/>
        <v>#DIV/0!</v>
      </c>
      <c r="H26" s="7" t="e">
        <f t="shared" si="1"/>
        <v>#DIV/0!</v>
      </c>
    </row>
    <row r="27" spans="2:8" x14ac:dyDescent="0.25">
      <c r="B27" s="3">
        <v>9</v>
      </c>
      <c r="C27" s="3" t="s">
        <v>7</v>
      </c>
      <c r="D27" s="3">
        <f>SUMIFS($M$3:$M$6,$D$3:$D$6,Table!$C$3,$L$3:$L$6,Table!C30)</f>
        <v>0</v>
      </c>
      <c r="E27" s="3">
        <f>SUMIFS($N$3:$N$6,$D$3:$D$6,Table!$C$3,$L$3:$L$6,Table!C30)-SUM(SUMIFS($N$3:$N$6,$D$3:$D$6,Table!$C$3,$L$3:$L$6,Table!C30,$Q$3:$Q$6,{"Ongoing","N/A"}))</f>
        <v>0</v>
      </c>
      <c r="F27" s="3">
        <f>1/8*(SUMIFS($P$3:$P$6,$D$3:$D$6,Table!$C$3,$L$3:$L$6,Table!C30)-SUM(SUMIFS($P$3:$P$6,$D$3:$D$6,Table!$C$3,$L$3:$L$6,Table!C30,$Q$3:$Q$6,{"Ongoing","N/A"})))</f>
        <v>0</v>
      </c>
      <c r="G27" s="3" t="e">
        <f t="shared" si="0"/>
        <v>#DIV/0!</v>
      </c>
      <c r="H27" s="7" t="e">
        <f t="shared" si="1"/>
        <v>#DIV/0!</v>
      </c>
    </row>
    <row r="28" spans="2:8" x14ac:dyDescent="0.25">
      <c r="B28" s="3">
        <v>10</v>
      </c>
      <c r="C28" s="3" t="s">
        <v>7</v>
      </c>
      <c r="D28" s="3">
        <f>SUMIFS($M$3:$M$6,$D$3:$D$6,Table!$C$3,$L$3:$L$6,Table!C31)</f>
        <v>0</v>
      </c>
      <c r="E28" s="3">
        <f>SUMIFS($N$3:$N$6,$D$3:$D$6,Table!$C$3,$L$3:$L$6,Table!C31)-SUM(SUMIFS($N$3:$N$6,$D$3:$D$6,Table!$C$3,$L$3:$L$6,Table!C31,$Q$3:$Q$6,{"Ongoing","N/A"}))</f>
        <v>0</v>
      </c>
      <c r="F28" s="3">
        <f>1/8*(SUMIFS($P$3:$P$6,$D$3:$D$6,Table!$C$3,$L$3:$L$6,Table!C31)-SUM(SUMIFS($P$3:$P$6,$D$3:$D$6,Table!$C$3,$L$3:$L$6,Table!C31,$Q$3:$Q$6,{"Ongoing","N/A"})))</f>
        <v>0</v>
      </c>
      <c r="G28" s="3" t="e">
        <f t="shared" si="0"/>
        <v>#DIV/0!</v>
      </c>
      <c r="H28" s="7" t="e">
        <f t="shared" si="1"/>
        <v>#DIV/0!</v>
      </c>
    </row>
    <row r="29" spans="2:8" x14ac:dyDescent="0.25">
      <c r="B29" s="3">
        <v>2</v>
      </c>
      <c r="C29" s="3" t="s">
        <v>7</v>
      </c>
      <c r="D29" s="3">
        <f>SUMIFS($M$3:$M$6,$D$3:$D$6,Table!$C$3,$L$3:$L$6,Table!C32)</f>
        <v>0</v>
      </c>
      <c r="E29" s="3">
        <f>SUMIFS($N$3:$N$6,$D$3:$D$6,Table!$C$3,$L$3:$L$6,Table!C32)-SUM(SUMIFS($N$3:$N$6,$D$3:$D$6,Table!$C$3,$L$3:$L$6,Table!C32,$Q$3:$Q$6,{"Ongoing","N/A"}))</f>
        <v>0</v>
      </c>
      <c r="F29" s="3">
        <f>1/8*(SUMIFS($P$3:$P$6,$D$3:$D$6,Table!$C$3,$L$3:$L$6,Table!C32)-SUM(SUMIFS($P$3:$P$6,$D$3:$D$6,Table!$C$3,$L$3:$L$6,Table!C32,$Q$3:$Q$6,{"Ongoing","N/A"})))</f>
        <v>0</v>
      </c>
      <c r="G29" s="3" t="e">
        <f t="shared" si="0"/>
        <v>#DIV/0!</v>
      </c>
      <c r="H29" s="7" t="e">
        <f t="shared" si="1"/>
        <v>#DIV/0!</v>
      </c>
    </row>
    <row r="30" spans="2:8" x14ac:dyDescent="0.25">
      <c r="B30" s="3">
        <v>2</v>
      </c>
      <c r="C30" s="3" t="s">
        <v>7</v>
      </c>
      <c r="D30" s="3">
        <f>SUMIFS($M$3:$M$6,$D$3:$D$6,Table!$C$3,$L$3:$L$6,Table!C33)</f>
        <v>0</v>
      </c>
      <c r="E30" s="3">
        <f>SUMIFS($N$3:$N$6,$D$3:$D$6,Table!$C$3,$L$3:$L$6,Table!C33)-SUM(SUMIFS($N$3:$N$6,$D$3:$D$6,Table!$C$3,$L$3:$L$6,Table!C33,$Q$3:$Q$6,{"Ongoing","N/A"}))</f>
        <v>0</v>
      </c>
      <c r="F30" s="3">
        <f>1/8*(SUMIFS($P$3:$P$6,$D$3:$D$6,Table!$C$3,$L$3:$L$6,Table!C33)-SUM(SUMIFS($P$3:$P$6,$D$3:$D$6,Table!$C$3,$L$3:$L$6,Table!C33,$Q$3:$Q$6,{"Ongoing","N/A"})))</f>
        <v>0</v>
      </c>
      <c r="G30" s="3" t="e">
        <f t="shared" si="0"/>
        <v>#DIV/0!</v>
      </c>
      <c r="H30" s="7" t="e">
        <f t="shared" si="1"/>
        <v>#DIV/0!</v>
      </c>
    </row>
    <row r="31" spans="2:8" x14ac:dyDescent="0.25">
      <c r="B31" s="3">
        <v>3</v>
      </c>
      <c r="C31" s="3"/>
      <c r="D31" s="3"/>
      <c r="E31" s="3"/>
      <c r="F31" s="3"/>
      <c r="G31" s="3"/>
      <c r="H31" s="3"/>
    </row>
    <row r="34" spans="2:8" x14ac:dyDescent="0.25">
      <c r="B34" s="1" t="s">
        <v>65</v>
      </c>
    </row>
    <row r="35" spans="2:8" x14ac:dyDescent="0.25">
      <c r="B35" s="2" t="s">
        <v>0</v>
      </c>
      <c r="C35" s="2" t="s">
        <v>9</v>
      </c>
      <c r="D35" s="2" t="s">
        <v>28</v>
      </c>
      <c r="E35" s="2" t="s">
        <v>29</v>
      </c>
      <c r="F35" s="2" t="s">
        <v>26</v>
      </c>
      <c r="G35" s="2" t="s">
        <v>25</v>
      </c>
      <c r="H35" s="4" t="s">
        <v>30</v>
      </c>
    </row>
    <row r="36" spans="2:8" x14ac:dyDescent="0.25">
      <c r="B36" s="3">
        <v>1</v>
      </c>
      <c r="C36" s="3" t="s">
        <v>6</v>
      </c>
      <c r="D36" s="3">
        <f>SUMIFS($M$3:$M$6,$D$3:$D$6,Table!$D$3,$L$3:$L$6,Table!C13)</f>
        <v>0</v>
      </c>
      <c r="E36" s="3">
        <f>SUMIFS($M$3:$M$6,$D$3:$D$6,Table!$D$3,$L$3:$L$6,Table!C13)-SUM(SUMIFS($M$3:$M$6,$D$3:$D$6,Table!$D$3,$L$3:$L$6,Table!C13,$Q$3:$Q$6,{"Ongoing","N/A"}))</f>
        <v>0</v>
      </c>
      <c r="F36" s="3">
        <f>1/8*(SUMIFS($P$3:$P$6,$D$3:$D$6,Table!$D$3,$L$3:$L$6,Table!C13)-SUM(SUMIFS($P$3:$P$6,$D$3:$D$6,Table!$D$3,$L$3:$L$6,Table!C13,$Q$3:$Q$6,{"Ongoing","N/A"})))</f>
        <v>0</v>
      </c>
      <c r="G36" s="3" t="e">
        <f>E36/(F36)</f>
        <v>#DIV/0!</v>
      </c>
      <c r="H36" s="7" t="e">
        <f>E36/D36</f>
        <v>#DIV/0!</v>
      </c>
    </row>
    <row r="37" spans="2:8" x14ac:dyDescent="0.25">
      <c r="B37" s="3">
        <v>2</v>
      </c>
      <c r="C37" s="3" t="s">
        <v>7</v>
      </c>
      <c r="D37">
        <f>SUMIFS($M$3:$M$6,$D$3:$D$6,Table!$D$3,$L$3:$L$6,Table!#REF!)</f>
        <v>0</v>
      </c>
      <c r="E37" s="3">
        <f>SUMIFS($M$3:$M$6,$D$3:$D$6,Table!$D$3,$L$3:$L$6,Table!#REF!)-SUM(SUMIFS($M$3:$M$6,$D$3:$D$6,Table!$D$3,$L$3:$L$6,Table!#REF!,$Q$3:$Q$6,{"Ongoing","N/A"}))</f>
        <v>0</v>
      </c>
      <c r="F37" s="3">
        <f>1/8*(SUMIFS($P$3:$P$6,$D$3:$D$6,Table!$D$3,$L$3:$L$6,Table!#REF!)-SUM(SUMIFS($P$3:$P$6,$D$3:$D$6,Table!$D$3,$L$3:$L$6,Table!#REF!,$Q$3:$Q$6,{"Ongoing","N/A"})))</f>
        <v>0</v>
      </c>
      <c r="G37" s="3" t="e">
        <f>E37/(F37)</f>
        <v>#DIV/0!</v>
      </c>
      <c r="H37" s="7" t="e">
        <f>E37/D37</f>
        <v>#DIV/0!</v>
      </c>
    </row>
    <row r="38" spans="2:8" x14ac:dyDescent="0.25">
      <c r="B38" s="3">
        <v>3</v>
      </c>
      <c r="C38" s="3"/>
      <c r="D38" s="3"/>
      <c r="E38" s="3"/>
      <c r="F38" s="3"/>
      <c r="G38" s="3"/>
      <c r="H38" s="3"/>
    </row>
  </sheetData>
  <customSheetViews>
    <customSheetView guid="{7E0EA425-A420-4443-B9E0-CDF0AA9E5D09}" scale="85">
      <selection activeCell="M23" sqref="M23"/>
      <pageMargins left="0.7" right="0.7" top="0.75" bottom="0.75" header="0.3" footer="0.3"/>
      <pageSetup orientation="portrait" r:id="rId1"/>
    </customSheetView>
    <customSheetView guid="{4E06BDBF-2CED-473B-850B-2A6C7311FF41}" scale="85">
      <selection activeCell="G9" sqref="G9"/>
      <pageMargins left="0.7" right="0.7" top="0.75" bottom="0.75" header="0.3" footer="0.3"/>
      <pageSetup orientation="portrait" r:id="rId2"/>
    </customSheetView>
    <customSheetView guid="{60D2C030-4E31-4E07-8E1C-44D2EE84B177}" scale="85">
      <selection activeCell="G9" sqref="G9"/>
      <pageMargins left="0.7" right="0.7" top="0.75" bottom="0.75" header="0.3" footer="0.3"/>
      <pageSetup orientation="portrait" r:id="rId3"/>
    </customSheetView>
    <customSheetView guid="{250915DF-0B97-45D7-B29D-7EED4C89C1C1}" scale="85">
      <selection activeCell="F23" sqref="F23"/>
      <pageMargins left="0.7" right="0.7" top="0.75" bottom="0.75" header="0.3" footer="0.3"/>
      <pageSetup orientation="portrait" r:id="rId4"/>
    </customSheetView>
    <customSheetView guid="{7ECC2B8E-6A82-42F5-8AB0-4A51C54EA5EC}" scale="85">
      <selection activeCell="G9" sqref="G9"/>
      <pageMargins left="0.7" right="0.7" top="0.75" bottom="0.75" header="0.3" footer="0.3"/>
      <pageSetup orientation="portrait" r:id="rId5"/>
    </customSheetView>
    <customSheetView guid="{72A6EB0A-84D5-4B8A-AC51-54CCD061630B}" scale="85">
      <selection activeCell="G9" sqref="G9"/>
      <pageMargins left="0.7" right="0.7" top="0.75" bottom="0.75" header="0.3" footer="0.3"/>
      <pageSetup orientation="portrait" r:id="rId6"/>
    </customSheetView>
  </customSheetViews>
  <conditionalFormatting sqref="H19:H30">
    <cfRule type="cellIs" dxfId="7" priority="3" operator="equal">
      <formula>1</formula>
    </cfRule>
    <cfRule type="cellIs" dxfId="6" priority="4" operator="lessThan">
      <formula>1</formula>
    </cfRule>
  </conditionalFormatting>
  <conditionalFormatting sqref="H36:H37">
    <cfRule type="cellIs" dxfId="5" priority="1" operator="equal">
      <formula>1</formula>
    </cfRule>
    <cfRule type="cellIs" dxfId="4" priority="2" operator="lessThan">
      <formula>1</formula>
    </cfRule>
  </conditionalFormatting>
  <pageMargins left="0.7" right="0.7" top="0.75" bottom="0.75" header="0.3" footer="0.3"/>
  <pageSetup orientation="portrait"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OrEqual" id="{22A6488A-DB34-4E23-917E-3827E98F9C4C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" operator="lessThan" id="{92F5054E-C63E-4551-9869-8FFDFA393297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G19:G30</xm:sqref>
        </x14:conditionalFormatting>
        <x14:conditionalFormatting xmlns:xm="http://schemas.microsoft.com/office/excel/2006/main">
          <x14:cfRule type="cellIs" priority="7" operator="greaterThanOrEqual" id="{FBAAE262-F852-48AB-AAB1-F7B61DD39791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B50FB8E2-8A38-46D7-B9B1-CD0A46DEEAC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G36:G37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>
          <x14:formula1>
            <xm:f>Table!$C$8:$C$9</xm:f>
          </x14:formula1>
          <xm:sqref>D3:D15</xm:sqref>
        </x14:dataValidation>
        <x14:dataValidation type="list" allowBlank="1" showInputMessage="1" showErrorMessage="1">
          <x14:formula1>
            <xm:f>Table!$C$24:$C$30</xm:f>
          </x14:formula1>
          <xm:sqref>Q3:Q15</xm:sqref>
        </x14:dataValidation>
        <x14:dataValidation type="list" allowBlank="1" showInputMessage="1" showErrorMessage="1">
          <x14:formula1>
            <xm:f>Table!$C$13:$C$20</xm:f>
          </x14:formula1>
          <xm:sqref>L3:L15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E30"/>
  <sheetViews>
    <sheetView topLeftCell="A13" workbookViewId="0">
      <selection activeCell="B24" sqref="B24:C29"/>
    </sheetView>
  </sheetViews>
  <sheetFormatPr defaultRowHeight="15" x14ac:dyDescent="0.25"/>
  <cols>
    <col min="2" max="2" width="11.7109375" bestFit="1" customWidth="1"/>
    <col min="3" max="3" width="18.7109375" bestFit="1" customWidth="1"/>
    <col min="4" max="4" width="11.140625" customWidth="1"/>
    <col min="5" max="5" width="33.85546875" customWidth="1"/>
  </cols>
  <sheetData>
    <row r="2" spans="2:5" x14ac:dyDescent="0.25">
      <c r="B2" s="17" t="s">
        <v>12</v>
      </c>
    </row>
    <row r="3" spans="2:5" x14ac:dyDescent="0.25">
      <c r="B3" s="2" t="s">
        <v>4</v>
      </c>
      <c r="C3" s="18" t="s">
        <v>2</v>
      </c>
      <c r="D3" s="18" t="s">
        <v>3</v>
      </c>
    </row>
    <row r="4" spans="2:5" x14ac:dyDescent="0.25">
      <c r="B4" s="18">
        <v>1</v>
      </c>
      <c r="C4" s="19">
        <v>130</v>
      </c>
      <c r="D4" s="19">
        <v>450</v>
      </c>
    </row>
    <row r="6" spans="2:5" x14ac:dyDescent="0.25">
      <c r="B6" s="1" t="s">
        <v>58</v>
      </c>
    </row>
    <row r="7" spans="2:5" x14ac:dyDescent="0.25">
      <c r="B7" s="2" t="s">
        <v>0</v>
      </c>
      <c r="C7" s="2" t="s">
        <v>1</v>
      </c>
      <c r="D7" s="2" t="s">
        <v>63</v>
      </c>
      <c r="E7" s="4" t="s">
        <v>60</v>
      </c>
    </row>
    <row r="8" spans="2:5" ht="60" x14ac:dyDescent="0.25">
      <c r="B8" s="20">
        <v>1</v>
      </c>
      <c r="C8" s="20" t="s">
        <v>2</v>
      </c>
      <c r="D8" s="20" t="s">
        <v>61</v>
      </c>
      <c r="E8" s="21" t="s">
        <v>10</v>
      </c>
    </row>
    <row r="9" spans="2:5" ht="75" x14ac:dyDescent="0.25">
      <c r="B9" s="20">
        <v>2</v>
      </c>
      <c r="C9" s="20" t="s">
        <v>3</v>
      </c>
      <c r="D9" s="20" t="s">
        <v>62</v>
      </c>
      <c r="E9" s="21" t="s">
        <v>11</v>
      </c>
    </row>
    <row r="11" spans="2:5" x14ac:dyDescent="0.25">
      <c r="B11" s="1" t="s">
        <v>59</v>
      </c>
    </row>
    <row r="12" spans="2:5" x14ac:dyDescent="0.25">
      <c r="B12" s="2" t="s">
        <v>0</v>
      </c>
      <c r="C12" s="2" t="s">
        <v>5</v>
      </c>
    </row>
    <row r="13" spans="2:5" x14ac:dyDescent="0.25">
      <c r="B13" s="3">
        <v>1</v>
      </c>
      <c r="C13" s="3" t="s">
        <v>6</v>
      </c>
    </row>
    <row r="14" spans="2:5" x14ac:dyDescent="0.25">
      <c r="B14" s="3">
        <v>2</v>
      </c>
      <c r="C14" s="3" t="s">
        <v>100</v>
      </c>
    </row>
    <row r="15" spans="2:5" x14ac:dyDescent="0.25">
      <c r="B15" s="3">
        <v>3</v>
      </c>
      <c r="C15" s="3" t="s">
        <v>101</v>
      </c>
    </row>
    <row r="16" spans="2:5" x14ac:dyDescent="0.25">
      <c r="B16" s="3">
        <v>4</v>
      </c>
      <c r="C16" s="3" t="s">
        <v>102</v>
      </c>
    </row>
    <row r="17" spans="2:5" x14ac:dyDescent="0.25">
      <c r="B17" s="3">
        <v>5</v>
      </c>
      <c r="C17" s="3" t="s">
        <v>103</v>
      </c>
    </row>
    <row r="18" spans="2:5" x14ac:dyDescent="0.25">
      <c r="B18" s="3">
        <v>6</v>
      </c>
      <c r="C18" s="3" t="s">
        <v>104</v>
      </c>
    </row>
    <row r="19" spans="2:5" x14ac:dyDescent="0.25">
      <c r="B19" s="3">
        <v>7</v>
      </c>
      <c r="C19" s="3" t="s">
        <v>105</v>
      </c>
    </row>
    <row r="20" spans="2:5" x14ac:dyDescent="0.25">
      <c r="B20" s="3">
        <v>8</v>
      </c>
      <c r="C20" s="3" t="s">
        <v>106</v>
      </c>
    </row>
    <row r="22" spans="2:5" x14ac:dyDescent="0.25">
      <c r="B22" s="17" t="s">
        <v>22</v>
      </c>
    </row>
    <row r="23" spans="2:5" x14ac:dyDescent="0.25">
      <c r="B23" s="2" t="s">
        <v>0</v>
      </c>
      <c r="C23" s="2" t="s">
        <v>20</v>
      </c>
    </row>
    <row r="24" spans="2:5" x14ac:dyDescent="0.25">
      <c r="B24" s="2">
        <v>1</v>
      </c>
      <c r="C24" s="3" t="s">
        <v>23</v>
      </c>
      <c r="E24" s="49" t="s">
        <v>233</v>
      </c>
    </row>
    <row r="25" spans="2:5" x14ac:dyDescent="0.25">
      <c r="B25" s="2">
        <v>2</v>
      </c>
      <c r="C25" s="3" t="s">
        <v>27</v>
      </c>
    </row>
    <row r="26" spans="2:5" x14ac:dyDescent="0.25">
      <c r="B26" s="2">
        <v>3</v>
      </c>
      <c r="C26" s="3" t="s">
        <v>21</v>
      </c>
    </row>
    <row r="27" spans="2:5" x14ac:dyDescent="0.25">
      <c r="B27" s="2">
        <v>4</v>
      </c>
      <c r="C27" s="3" t="s">
        <v>131</v>
      </c>
    </row>
    <row r="28" spans="2:5" x14ac:dyDescent="0.25">
      <c r="B28" s="2">
        <v>5</v>
      </c>
      <c r="C28" s="3" t="s">
        <v>24</v>
      </c>
    </row>
    <row r="29" spans="2:5" x14ac:dyDescent="0.25">
      <c r="B29" s="2">
        <v>6</v>
      </c>
      <c r="C29" s="3" t="s">
        <v>234</v>
      </c>
    </row>
    <row r="30" spans="2:5" x14ac:dyDescent="0.25">
      <c r="B30" s="2">
        <v>7</v>
      </c>
      <c r="C30" s="3" t="s">
        <v>132</v>
      </c>
    </row>
  </sheetData>
  <customSheetViews>
    <customSheetView guid="{7E0EA425-A420-4443-B9E0-CDF0AA9E5D09}" topLeftCell="A13">
      <selection activeCell="B24" sqref="B24:C29"/>
      <pageMargins left="0.7" right="0.7" top="0.75" bottom="0.75" header="0.3" footer="0.3"/>
    </customSheetView>
    <customSheetView guid="{4E06BDBF-2CED-473B-850B-2A6C7311FF41}" topLeftCell="A13">
      <selection activeCell="B24" sqref="B24:C29"/>
      <pageMargins left="0.7" right="0.7" top="0.75" bottom="0.75" header="0.3" footer="0.3"/>
    </customSheetView>
    <customSheetView guid="{60D2C030-4E31-4E07-8E1C-44D2EE84B177}" topLeftCell="A13">
      <selection activeCell="B24" sqref="B24:C29"/>
      <pageMargins left="0.7" right="0.7" top="0.75" bottom="0.75" header="0.3" footer="0.3"/>
    </customSheetView>
    <customSheetView guid="{250915DF-0B97-45D7-B29D-7EED4C89C1C1}" topLeftCell="A10">
      <selection activeCell="C29" sqref="C29"/>
      <pageMargins left="0.7" right="0.7" top="0.75" bottom="0.75" header="0.3" footer="0.3"/>
    </customSheetView>
    <customSheetView guid="{7ECC2B8E-6A82-42F5-8AB0-4A51C54EA5EC}" topLeftCell="A13">
      <selection activeCell="B24" sqref="B24:C29"/>
      <pageMargins left="0.7" right="0.7" top="0.75" bottom="0.75" header="0.3" footer="0.3"/>
    </customSheetView>
    <customSheetView guid="{72A6EB0A-84D5-4B8A-AC51-54CCD061630B}" topLeftCell="A13">
      <selection activeCell="B24" sqref="B24:C2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35"/>
  <sheetViews>
    <sheetView tabSelected="1" workbookViewId="0">
      <selection activeCell="L12" sqref="L12"/>
    </sheetView>
  </sheetViews>
  <sheetFormatPr defaultRowHeight="15" x14ac:dyDescent="0.25"/>
  <cols>
    <col min="1" max="1" width="10" bestFit="1" customWidth="1"/>
    <col min="2" max="2" width="9.7109375" bestFit="1" customWidth="1"/>
    <col min="3" max="3" width="2" bestFit="1" customWidth="1"/>
    <col min="4" max="4" width="18.7109375" bestFit="1" customWidth="1"/>
    <col min="5" max="5" width="16.7109375" bestFit="1" customWidth="1"/>
    <col min="6" max="6" width="14.7109375" customWidth="1"/>
    <col min="7" max="7" width="30.5703125" customWidth="1"/>
  </cols>
  <sheetData>
    <row r="1" spans="1:7" x14ac:dyDescent="0.25">
      <c r="A1" s="1" t="s">
        <v>50</v>
      </c>
      <c r="B1" s="11">
        <v>43864</v>
      </c>
    </row>
    <row r="2" spans="1:7" x14ac:dyDescent="0.25">
      <c r="A2" s="1" t="s">
        <v>36</v>
      </c>
      <c r="B2" s="12">
        <v>20</v>
      </c>
    </row>
    <row r="4" spans="1:7" x14ac:dyDescent="0.25">
      <c r="B4" s="1" t="s">
        <v>41</v>
      </c>
    </row>
    <row r="5" spans="1:7" ht="30" x14ac:dyDescent="0.25">
      <c r="C5" s="15" t="s">
        <v>31</v>
      </c>
      <c r="D5" s="15" t="s">
        <v>32</v>
      </c>
      <c r="E5" s="15" t="s">
        <v>33</v>
      </c>
      <c r="F5" s="15" t="s">
        <v>34</v>
      </c>
      <c r="G5" s="16" t="s">
        <v>35</v>
      </c>
    </row>
    <row r="6" spans="1:7" x14ac:dyDescent="0.25">
      <c r="C6" s="13">
        <v>1</v>
      </c>
      <c r="D6" s="14" t="s">
        <v>3</v>
      </c>
      <c r="E6" s="14" t="s">
        <v>37</v>
      </c>
      <c r="F6" s="14" t="s">
        <v>37</v>
      </c>
      <c r="G6" s="14" t="s">
        <v>37</v>
      </c>
    </row>
    <row r="7" spans="1:7" x14ac:dyDescent="0.25">
      <c r="C7" s="13">
        <v>2</v>
      </c>
      <c r="D7" s="14" t="s">
        <v>2</v>
      </c>
      <c r="E7" s="14" t="s">
        <v>37</v>
      </c>
      <c r="F7" s="14" t="s">
        <v>37</v>
      </c>
      <c r="G7" s="14" t="s">
        <v>37</v>
      </c>
    </row>
    <row r="9" spans="1:7" x14ac:dyDescent="0.25">
      <c r="B9" s="1" t="s">
        <v>42</v>
      </c>
    </row>
    <row r="10" spans="1:7" ht="30" x14ac:dyDescent="0.25">
      <c r="C10" s="8" t="s">
        <v>31</v>
      </c>
      <c r="D10" s="8" t="s">
        <v>38</v>
      </c>
      <c r="E10" s="9" t="s">
        <v>39</v>
      </c>
      <c r="F10" s="9" t="s">
        <v>40</v>
      </c>
    </row>
    <row r="11" spans="1:7" x14ac:dyDescent="0.25">
      <c r="C11" s="10">
        <v>1</v>
      </c>
      <c r="D11" s="10" t="s">
        <v>6</v>
      </c>
      <c r="E11" s="14" t="s">
        <v>37</v>
      </c>
      <c r="F11" s="14" t="s">
        <v>37</v>
      </c>
    </row>
    <row r="12" spans="1:7" x14ac:dyDescent="0.25">
      <c r="C12" s="10">
        <v>2</v>
      </c>
      <c r="D12" s="10" t="s">
        <v>7</v>
      </c>
      <c r="E12" s="14" t="s">
        <v>37</v>
      </c>
      <c r="F12" s="14" t="s">
        <v>37</v>
      </c>
    </row>
    <row r="14" spans="1:7" x14ac:dyDescent="0.25">
      <c r="B14" s="1" t="s">
        <v>43</v>
      </c>
    </row>
    <row r="15" spans="1:7" ht="30" customHeight="1" x14ac:dyDescent="0.25">
      <c r="C15" s="15" t="s">
        <v>31</v>
      </c>
      <c r="D15" s="61" t="s">
        <v>44</v>
      </c>
      <c r="E15" s="61"/>
      <c r="F15" s="61"/>
      <c r="G15" s="61"/>
    </row>
    <row r="16" spans="1:7" x14ac:dyDescent="0.25">
      <c r="C16" s="10">
        <v>1</v>
      </c>
      <c r="D16" s="60"/>
      <c r="E16" s="60"/>
      <c r="F16" s="60"/>
      <c r="G16" s="60"/>
    </row>
    <row r="17" spans="2:7" x14ac:dyDescent="0.25">
      <c r="C17" s="10">
        <v>2</v>
      </c>
      <c r="D17" s="60"/>
      <c r="E17" s="60"/>
      <c r="F17" s="60"/>
      <c r="G17" s="60"/>
    </row>
    <row r="19" spans="2:7" x14ac:dyDescent="0.25">
      <c r="B19" s="1" t="s">
        <v>45</v>
      </c>
    </row>
    <row r="20" spans="2:7" x14ac:dyDescent="0.25">
      <c r="C20" s="15" t="s">
        <v>31</v>
      </c>
      <c r="D20" s="61" t="s">
        <v>47</v>
      </c>
      <c r="E20" s="61"/>
      <c r="F20" s="61"/>
      <c r="G20" s="61"/>
    </row>
    <row r="21" spans="2:7" x14ac:dyDescent="0.25">
      <c r="C21" s="10">
        <v>1</v>
      </c>
      <c r="D21" s="60"/>
      <c r="E21" s="60"/>
      <c r="F21" s="60"/>
      <c r="G21" s="60"/>
    </row>
    <row r="22" spans="2:7" x14ac:dyDescent="0.25">
      <c r="C22" s="10">
        <v>2</v>
      </c>
      <c r="D22" s="60"/>
      <c r="E22" s="60"/>
      <c r="F22" s="60"/>
      <c r="G22" s="60"/>
    </row>
    <row r="24" spans="2:7" x14ac:dyDescent="0.25">
      <c r="B24" s="1" t="s">
        <v>46</v>
      </c>
    </row>
    <row r="25" spans="2:7" x14ac:dyDescent="0.25">
      <c r="C25" s="15" t="s">
        <v>31</v>
      </c>
      <c r="D25" s="15" t="s">
        <v>38</v>
      </c>
      <c r="E25" s="16" t="s">
        <v>48</v>
      </c>
      <c r="F25" s="16" t="s">
        <v>49</v>
      </c>
    </row>
    <row r="26" spans="2:7" x14ac:dyDescent="0.25">
      <c r="C26" s="10">
        <v>1</v>
      </c>
      <c r="D26" s="10" t="s">
        <v>6</v>
      </c>
      <c r="E26" s="14" t="s">
        <v>37</v>
      </c>
      <c r="F26" s="10" t="s">
        <v>37</v>
      </c>
    </row>
    <row r="27" spans="2:7" x14ac:dyDescent="0.25">
      <c r="C27" s="10">
        <v>2</v>
      </c>
      <c r="D27" s="10" t="s">
        <v>7</v>
      </c>
      <c r="E27" s="14" t="s">
        <v>37</v>
      </c>
      <c r="F27" s="10" t="s">
        <v>37</v>
      </c>
    </row>
    <row r="29" spans="2:7" x14ac:dyDescent="0.25">
      <c r="B29" s="1" t="s">
        <v>51</v>
      </c>
    </row>
    <row r="30" spans="2:7" x14ac:dyDescent="0.25">
      <c r="C30" s="1" t="s">
        <v>54</v>
      </c>
    </row>
    <row r="31" spans="2:7" x14ac:dyDescent="0.25">
      <c r="D31" t="s">
        <v>52</v>
      </c>
    </row>
    <row r="32" spans="2:7" x14ac:dyDescent="0.25">
      <c r="D32" t="s">
        <v>53</v>
      </c>
    </row>
    <row r="33" spans="3:4" x14ac:dyDescent="0.25">
      <c r="C33" s="1" t="s">
        <v>55</v>
      </c>
    </row>
    <row r="34" spans="3:4" x14ac:dyDescent="0.25">
      <c r="D34" t="s">
        <v>56</v>
      </c>
    </row>
    <row r="35" spans="3:4" x14ac:dyDescent="0.25">
      <c r="D35" t="s">
        <v>57</v>
      </c>
    </row>
  </sheetData>
  <customSheetViews>
    <customSheetView guid="{7E0EA425-A420-4443-B9E0-CDF0AA9E5D09}">
      <selection activeCell="F38" sqref="F38"/>
      <pageMargins left="0.7" right="0.7" top="0.75" bottom="0.75" header="0.3" footer="0.3"/>
    </customSheetView>
    <customSheetView guid="{4E06BDBF-2CED-473B-850B-2A6C7311FF41}" topLeftCell="A16">
      <selection activeCell="D6" sqref="D6"/>
      <pageMargins left="0.7" right="0.7" top="0.75" bottom="0.75" header="0.3" footer="0.3"/>
    </customSheetView>
    <customSheetView guid="{60D2C030-4E31-4E07-8E1C-44D2EE84B177}" topLeftCell="A16">
      <selection activeCell="D6" sqref="D6"/>
      <pageMargins left="0.7" right="0.7" top="0.75" bottom="0.75" header="0.3" footer="0.3"/>
    </customSheetView>
    <customSheetView guid="{250915DF-0B97-45D7-B29D-7EED4C89C1C1}" topLeftCell="A4">
      <selection activeCell="D22" sqref="D22:G22"/>
      <pageMargins left="0.7" right="0.7" top="0.75" bottom="0.75" header="0.3" footer="0.3"/>
    </customSheetView>
    <customSheetView guid="{7ECC2B8E-6A82-42F5-8AB0-4A51C54EA5EC}">
      <selection activeCell="H33" sqref="H33"/>
      <pageMargins left="0.7" right="0.7" top="0.75" bottom="0.75" header="0.3" footer="0.3"/>
    </customSheetView>
    <customSheetView guid="{72A6EB0A-84D5-4B8A-AC51-54CCD061630B}">
      <selection activeCell="H33" sqref="H33"/>
      <pageMargins left="0.7" right="0.7" top="0.75" bottom="0.75" header="0.3" footer="0.3"/>
    </customSheetView>
  </customSheetViews>
  <mergeCells count="6">
    <mergeCell ref="D22:G22"/>
    <mergeCell ref="D15:G15"/>
    <mergeCell ref="D16:G16"/>
    <mergeCell ref="D17:G17"/>
    <mergeCell ref="D20:G20"/>
    <mergeCell ref="D21:G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8"/>
  <sheetViews>
    <sheetView workbookViewId="0">
      <selection activeCell="B6" sqref="B6:C6"/>
    </sheetView>
  </sheetViews>
  <sheetFormatPr defaultRowHeight="15" x14ac:dyDescent="0.25"/>
  <cols>
    <col min="2" max="2" width="85.7109375" bestFit="1" customWidth="1"/>
  </cols>
  <sheetData>
    <row r="1" spans="1:3" x14ac:dyDescent="0.25">
      <c r="A1" s="1" t="s">
        <v>212</v>
      </c>
    </row>
    <row r="2" spans="1:3" x14ac:dyDescent="0.25">
      <c r="B2" s="46" t="s">
        <v>214</v>
      </c>
      <c r="C2" t="s">
        <v>215</v>
      </c>
    </row>
    <row r="3" spans="1:3" x14ac:dyDescent="0.25">
      <c r="B3" s="46" t="s">
        <v>217</v>
      </c>
      <c r="C3" t="s">
        <v>216</v>
      </c>
    </row>
    <row r="4" spans="1:3" x14ac:dyDescent="0.25">
      <c r="B4" s="46"/>
    </row>
    <row r="5" spans="1:3" x14ac:dyDescent="0.25">
      <c r="B5" s="45" t="s">
        <v>210</v>
      </c>
    </row>
    <row r="6" spans="1:3" x14ac:dyDescent="0.25">
      <c r="B6" s="46" t="s">
        <v>218</v>
      </c>
      <c r="C6" t="s">
        <v>219</v>
      </c>
    </row>
    <row r="7" spans="1:3" x14ac:dyDescent="0.25">
      <c r="B7" s="46"/>
    </row>
    <row r="8" spans="1:3" x14ac:dyDescent="0.25">
      <c r="B8" s="45" t="s">
        <v>211</v>
      </c>
      <c r="C8" t="s">
        <v>213</v>
      </c>
    </row>
  </sheetData>
  <customSheetViews>
    <customSheetView guid="{7E0EA425-A420-4443-B9E0-CDF0AA9E5D09}">
      <selection activeCell="B6" sqref="B6:C6"/>
      <pageMargins left="0.7" right="0.7" top="0.75" bottom="0.75" header="0.3" footer="0.3"/>
    </customSheetView>
    <customSheetView guid="{4E06BDBF-2CED-473B-850B-2A6C7311FF41}">
      <selection activeCell="B6" sqref="B6:C6"/>
      <pageMargins left="0.7" right="0.7" top="0.75" bottom="0.75" header="0.3" footer="0.3"/>
    </customSheetView>
    <customSheetView guid="{60D2C030-4E31-4E07-8E1C-44D2EE84B177}">
      <selection activeCell="B6" sqref="B6:C6"/>
      <pageMargins left="0.7" right="0.7" top="0.75" bottom="0.75" header="0.3" footer="0.3"/>
    </customSheetView>
    <customSheetView guid="{250915DF-0B97-45D7-B29D-7EED4C89C1C1}">
      <selection activeCell="B6" sqref="B6:C6"/>
      <pageMargins left="0.7" right="0.7" top="0.75" bottom="0.75" header="0.3" footer="0.3"/>
    </customSheetView>
    <customSheetView guid="{7ECC2B8E-6A82-42F5-8AB0-4A51C54EA5EC}">
      <selection activeCell="B6" sqref="B6:C6"/>
      <pageMargins left="0.7" right="0.7" top="0.75" bottom="0.75" header="0.3" footer="0.3"/>
    </customSheetView>
    <customSheetView guid="{72A6EB0A-84D5-4B8A-AC51-54CCD061630B}">
      <selection activeCell="B6" sqref="B6:C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COEM_Package_20200302</vt:lpstr>
      <vt:lpstr>|-&gt;</vt:lpstr>
      <vt:lpstr>Template</vt:lpstr>
      <vt:lpstr>Table</vt:lpstr>
      <vt:lpstr>Template_Weekly_Report</vt:lpstr>
      <vt:lpstr>Check_List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EXTERNAL Nguyen Tuan Duong (Ban Vien, RBVH/EPS45)</cp:lastModifiedBy>
  <dcterms:created xsi:type="dcterms:W3CDTF">2006-09-16T00:00:00Z</dcterms:created>
  <dcterms:modified xsi:type="dcterms:W3CDTF">2020-03-06T13:03:33Z</dcterms:modified>
</cp:coreProperties>
</file>