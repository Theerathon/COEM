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uong.nguyentuan\Desktop\git\"/>
    </mc:Choice>
  </mc:AlternateContent>
  <xr:revisionPtr revIDLastSave="0" documentId="13_ncr:1_{7992701D-A75B-47B1-BA81-DEEF89969C4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Merged_COEM" sheetId="1" r:id="rId1"/>
    <sheet name="Merged_JOEM" sheetId="2" r:id="rId2"/>
    <sheet name="|-&gt;" sheetId="3" r:id="rId3"/>
    <sheet name="Report_For_Each_Project_COEM" sheetId="4" r:id="rId4"/>
    <sheet name="Report_For_Each_Project_JOEM" sheetId="5" r:id="rId5"/>
    <sheet name="Template_Total_Report" sheetId="6" r:id="rId6"/>
    <sheet name="Table" sheetId="7" r:id="rId7"/>
    <sheet name="Check_List" sheetId="8" r:id="rId8"/>
    <sheet name="|--&gt;" sheetId="9" r:id="rId9"/>
    <sheet name="Monthly_20200420" sheetId="10" r:id="rId10"/>
  </sheets>
  <definedNames>
    <definedName name="_xlnm._FilterDatabase" localSheetId="0" hidden="1">Merged_COEM!$B$47:$AN$47</definedName>
    <definedName name="Z_116C406F_56EF_4929_AB69_7B88A04CBA56_.wvu.FilterData" localSheetId="0" hidden="1">Merged_COEM!$B$47:$AN$47</definedName>
    <definedName name="Z_250915DF_0B97_45D7_B29D_7EED4C89C1C1_.wvu.FilterData" localSheetId="0" hidden="1">Merged_COEM!$B$47:$AN$47</definedName>
    <definedName name="Z_336B6883_2145_4B58_921E_CEC7185A847E_.wvu.FilterData" localSheetId="0" hidden="1">Merged_COEM!$P$47:$P$98</definedName>
    <definedName name="Z_3B3E6719_EACB_4D2C_89C1_05FFAB6020FD_.wvu.FilterData" localSheetId="0" hidden="1">Merged_COEM!$B$47:$AN$47</definedName>
    <definedName name="Z_584FB3CE_102E_4394_9BBE_155B20E57E5A_.wvu.FilterData" localSheetId="0" hidden="1">Merged_COEM!$B$47:$AN$47</definedName>
    <definedName name="Z_5EDC2EFF_5E79_4466_BF9D_79C6A5B40ED9_.wvu.FilterData" localSheetId="0" hidden="1">Merged_COEM!$B$47:$AN$97</definedName>
    <definedName name="Z_686C29B7_8607_4292_9041_CB1F6097339C_.wvu.FilterData" localSheetId="0" hidden="1">Merged_COEM!$B$47:$AN$47</definedName>
    <definedName name="Z_72A6EB0A_84D5_4B8A_AC51_54CCD061630B_.wvu.FilterData" localSheetId="0" hidden="1">Merged_COEM!$B$47:$AN$47</definedName>
    <definedName name="Z_7ECC2B8E_6A82_42F5_8AB0_4A51C54EA5EC_.wvu.FilterData" localSheetId="0" hidden="1">Merged_COEM!$B$47:$AN$97</definedName>
    <definedName name="Z_A2A917F4_F661_4683_88C9_57D64E10A4C2_.wvu.FilterData" localSheetId="0" hidden="1">Merged_COEM!$B$47:$AN$97</definedName>
    <definedName name="Z_A2C66332_A809_458E_971B_FDB6D62C74C3_.wvu.FilterData" localSheetId="0" hidden="1">Merged_COEM!$B$47:$AN$97</definedName>
    <definedName name="Z_A660862E_E137_45E6_9126_F71C85FD8B0C_.wvu.FilterData" localSheetId="0" hidden="1">Merged_COEM!$B$47:$AN$47</definedName>
    <definedName name="Z_B28746A6_3784_4E4C_9E3E_05917653FE5F_.wvu.FilterData" localSheetId="0" hidden="1">Merged_COEM!$B$47:$AN$97</definedName>
    <definedName name="Z_BFE28FD3_FC05_47D2_B394_F3516A4D0AB3_.wvu.FilterData" localSheetId="0" hidden="1">Merged_COEM!$B$47:$AN$47</definedName>
    <definedName name="Z_D33AC7AF_C8AB_4CE9_94C7_9237011A5FC3_.wvu.FilterData" localSheetId="0" hidden="1">Merged_COEM!$B$47:$AN$97</definedName>
    <definedName name="Z_EB30279F_71BB_4BBD_A7EE_691D83FBCC50_.wvu.FilterData" localSheetId="0" hidden="1">Merged_COEM!$B$47:$AN$47</definedName>
    <definedName name="Z_F3C62E6E_7BB8_439B_825E_263944F8EEFB_.wvu.FilterData" localSheetId="0" hidden="1">Merged_COEM!$B$47:$AN$97</definedName>
  </definedNames>
  <calcPr calcId="191029" calcOnSave="0"/>
  <customWorkbookViews>
    <customWorkbookView name="EXTERNAL Nguyen Tai Hau (Ban Vien, RBVH/EPS45) - Personal View" guid="{7ECC2B8E-6A82-42F5-8AB0-4A51C54EA5EC}" mergeInterval="0" personalView="1" maximized="1" xWindow="-8" yWindow="-8" windowWidth="1936" windowHeight="1176" activeSheetId="2"/>
    <customWorkbookView name="EXTERNAL Nguyen Duy Bang (Ban Vien, RBVH/EPS45) - Personal View" guid="{A2C66332-A809-458E-971B-FDB6D62C74C3}" mergeInterval="0" personalView="1" maximized="1" xWindow="-8" yWindow="-8" windowWidth="1936" windowHeight="1176" activeSheetId="1"/>
    <customWorkbookView name="GUP7HC - Personal View" guid="{3B3E6719-EACB-4D2C-89C1-05FFAB6020FD}" mergeInterval="0" personalView="1" maximized="1" xWindow="-8" yWindow="-8" windowWidth="1936" windowHeight="1186" activeSheetId="1"/>
    <customWorkbookView name="EXTERNAL Do Phu Loc (Ban Vien, RBVH/EPS45) - Personal View" guid="{72A6EB0A-84D5-4B8A-AC51-54CCD061630B}" mergeInterval="0" personalView="1" maximized="1" xWindow="-8" yWindow="-8" windowWidth="1936" windowHeight="1176" tabRatio="387" activeSheetId="1"/>
    <customWorkbookView name="EXTERNAL Nguyen Kim Thanh (Ban Vien, RBVH/EPS45) - Personal View" guid="{4E06BDBF-2CED-473B-850B-2A6C7311FF41}" mergeInterval="0" personalView="1" maximized="1" xWindow="-8" yWindow="-8" windowWidth="1936" windowHeight="1176" activeSheetId="12"/>
    <customWorkbookView name="EXTERNAL Nguyen Tuan Duong (Ban Vien, RBVH/EPS45) - Personal View" guid="{7E0EA425-A420-4443-B9E0-CDF0AA9E5D09}" mergeInterval="0" personalView="1" maximized="1" xWindow="-8" yWindow="-8" windowWidth="1936" windowHeight="1176" activeSheetId="12"/>
    <customWorkbookView name="EXTERNAL Ly Chung (Ban Vien, RBVH/EPS45) - Personal View" guid="{60D2C030-4E31-4E07-8E1C-44D2EE84B177}" mergeInterval="0" personalView="1" maximized="1" xWindow="-8" yWindow="-8" windowWidth="1936" windowHeight="1186" tabRatio="428" activeSheetId="12"/>
    <customWorkbookView name="EXTERNAL Luu Cong Dac (Ban Vien, RBVH/EPS45) - Personal View" guid="{336B6883-2145-4B58-921E-CEC7185A847E}" mergeInterval="0" personalView="1" xWindow="620" yWindow="106" windowWidth="1302" windowHeight="998" tabRatio="428" activeSheetId="1"/>
    <customWorkbookView name="EXTERNAL Do Anh Huy (Ban Vien Company, RBVH/EPS45) - Personal View" guid="{D33AC7AF-C8AB-4CE9-94C7-9237011A5FC3}" mergeInterval="0" personalView="1" maximized="1" xWindow="-8" yWindow="-8" windowWidth="1936" windowHeight="1176" activeSheetId="1"/>
    <customWorkbookView name="EXTERNAL Nguyen Trung Hieu (Ban Vien, RBVH/EPS45) - Personal View" guid="{250915DF-0B97-45D7-B29D-7EED4C89C1C1}" mergeInterval="0" personalView="1" maximized="1" xWindow="-8" yWindow="-8" windowWidth="1936" windowHeight="1176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7" i="1" l="1"/>
  <c r="Y67" i="1" s="1"/>
  <c r="W66" i="1"/>
  <c r="Y66" i="1" s="1"/>
  <c r="W65" i="1"/>
  <c r="Y65" i="1" s="1"/>
  <c r="W64" i="1"/>
  <c r="Y64" i="1" s="1"/>
  <c r="F14" i="6" l="1"/>
  <c r="L21" i="6"/>
  <c r="L19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J5" i="6"/>
  <c r="I5" i="6"/>
  <c r="J4" i="6"/>
  <c r="I4" i="6"/>
  <c r="I34" i="1"/>
  <c r="E51" i="6" s="1"/>
  <c r="J35" i="1"/>
  <c r="F52" i="6" s="1"/>
  <c r="I14" i="6" l="1"/>
  <c r="J14" i="6"/>
  <c r="J43" i="2"/>
  <c r="P60" i="6" s="1"/>
  <c r="I43" i="2"/>
  <c r="O60" i="6" s="1"/>
  <c r="J42" i="2"/>
  <c r="P59" i="6" s="1"/>
  <c r="I42" i="2"/>
  <c r="O59" i="6" s="1"/>
  <c r="J41" i="2"/>
  <c r="P58" i="6" s="1"/>
  <c r="I41" i="2"/>
  <c r="O58" i="6" s="1"/>
  <c r="J40" i="2"/>
  <c r="P57" i="6" s="1"/>
  <c r="I40" i="2"/>
  <c r="O57" i="6" s="1"/>
  <c r="J39" i="2"/>
  <c r="P56" i="6" s="1"/>
  <c r="I39" i="2"/>
  <c r="O56" i="6" s="1"/>
  <c r="J38" i="2"/>
  <c r="P55" i="6" s="1"/>
  <c r="I38" i="2"/>
  <c r="O55" i="6" s="1"/>
  <c r="J37" i="2"/>
  <c r="P54" i="6" s="1"/>
  <c r="I37" i="2"/>
  <c r="O54" i="6" s="1"/>
  <c r="J36" i="2"/>
  <c r="P53" i="6" s="1"/>
  <c r="I36" i="2"/>
  <c r="O53" i="6" s="1"/>
  <c r="J35" i="2"/>
  <c r="P52" i="6" s="1"/>
  <c r="I35" i="2"/>
  <c r="O52" i="6" s="1"/>
  <c r="J34" i="2"/>
  <c r="P51" i="6" s="1"/>
  <c r="I34" i="2"/>
  <c r="O51" i="6" s="1"/>
  <c r="J43" i="1"/>
  <c r="F60" i="6" s="1"/>
  <c r="J42" i="1"/>
  <c r="F59" i="6" s="1"/>
  <c r="J41" i="1"/>
  <c r="F58" i="6" s="1"/>
  <c r="J40" i="1"/>
  <c r="F57" i="6" s="1"/>
  <c r="J39" i="1"/>
  <c r="F56" i="6" s="1"/>
  <c r="J38" i="1"/>
  <c r="F55" i="6" s="1"/>
  <c r="J37" i="1"/>
  <c r="F54" i="6" s="1"/>
  <c r="J36" i="1"/>
  <c r="F53" i="6" s="1"/>
  <c r="J34" i="1"/>
  <c r="I35" i="1"/>
  <c r="E52" i="6" s="1"/>
  <c r="I36" i="1"/>
  <c r="E53" i="6" s="1"/>
  <c r="I37" i="1"/>
  <c r="E54" i="6" s="1"/>
  <c r="I38" i="1"/>
  <c r="E55" i="6" s="1"/>
  <c r="I39" i="1"/>
  <c r="E56" i="6" s="1"/>
  <c r="I40" i="1"/>
  <c r="E57" i="6" s="1"/>
  <c r="I41" i="1"/>
  <c r="E58" i="6" s="1"/>
  <c r="I42" i="1"/>
  <c r="E59" i="6" s="1"/>
  <c r="I43" i="1"/>
  <c r="E60" i="6" s="1"/>
  <c r="H10" i="5"/>
  <c r="H9" i="5"/>
  <c r="G10" i="5"/>
  <c r="G9" i="5"/>
  <c r="F9" i="5"/>
  <c r="F10" i="5"/>
  <c r="E5" i="2"/>
  <c r="O32" i="6" s="1"/>
  <c r="Q32" i="6" s="1"/>
  <c r="D4" i="2"/>
  <c r="E13" i="2"/>
  <c r="O40" i="6" s="1"/>
  <c r="Q40" i="6" s="1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W48" i="2"/>
  <c r="F29" i="2"/>
  <c r="F28" i="2"/>
  <c r="E28" i="2"/>
  <c r="D28" i="2"/>
  <c r="F27" i="2"/>
  <c r="E27" i="2"/>
  <c r="P39" i="6" s="1"/>
  <c r="R39" i="6" s="1"/>
  <c r="D27" i="2"/>
  <c r="F26" i="2"/>
  <c r="E26" i="2"/>
  <c r="D26" i="2"/>
  <c r="F25" i="2"/>
  <c r="E25" i="2"/>
  <c r="P37" i="6" s="1"/>
  <c r="R37" i="6" s="1"/>
  <c r="D25" i="2"/>
  <c r="F24" i="2"/>
  <c r="E24" i="2"/>
  <c r="P36" i="6" s="1"/>
  <c r="R36" i="6" s="1"/>
  <c r="D24" i="2"/>
  <c r="F23" i="2"/>
  <c r="E23" i="2"/>
  <c r="P35" i="6" s="1"/>
  <c r="R35" i="6" s="1"/>
  <c r="D23" i="2"/>
  <c r="F22" i="2"/>
  <c r="E22" i="2"/>
  <c r="F21" i="2"/>
  <c r="E21" i="2"/>
  <c r="P33" i="6" s="1"/>
  <c r="R33" i="6" s="1"/>
  <c r="D21" i="2"/>
  <c r="F20" i="2"/>
  <c r="E20" i="2"/>
  <c r="D20" i="2"/>
  <c r="F19" i="2"/>
  <c r="E19" i="2"/>
  <c r="P31" i="6" s="1"/>
  <c r="R31" i="6" s="1"/>
  <c r="D19" i="2"/>
  <c r="F14" i="2"/>
  <c r="M13" i="2"/>
  <c r="K14" i="2" s="1"/>
  <c r="F13" i="2"/>
  <c r="D13" i="2"/>
  <c r="F12" i="2"/>
  <c r="E12" i="2"/>
  <c r="O39" i="6" s="1"/>
  <c r="Q39" i="6" s="1"/>
  <c r="D12" i="2"/>
  <c r="F11" i="2"/>
  <c r="E11" i="2"/>
  <c r="O38" i="6" s="1"/>
  <c r="Q38" i="6" s="1"/>
  <c r="D11" i="2"/>
  <c r="F10" i="2"/>
  <c r="E10" i="2"/>
  <c r="O37" i="6" s="1"/>
  <c r="Q37" i="6" s="1"/>
  <c r="D10" i="2"/>
  <c r="F9" i="2"/>
  <c r="E9" i="2"/>
  <c r="O36" i="6" s="1"/>
  <c r="Q36" i="6" s="1"/>
  <c r="D9" i="2"/>
  <c r="F8" i="2"/>
  <c r="E8" i="2"/>
  <c r="O35" i="6" s="1"/>
  <c r="Q35" i="6" s="1"/>
  <c r="D8" i="2"/>
  <c r="F7" i="2"/>
  <c r="F6" i="2"/>
  <c r="E6" i="2"/>
  <c r="O33" i="6" s="1"/>
  <c r="Q33" i="6" s="1"/>
  <c r="D6" i="2"/>
  <c r="F5" i="2"/>
  <c r="D5" i="2"/>
  <c r="F4" i="2"/>
  <c r="E4" i="2"/>
  <c r="O31" i="6" s="1"/>
  <c r="Q31" i="6" s="1"/>
  <c r="A2" i="5"/>
  <c r="C4" i="5"/>
  <c r="C5" i="5"/>
  <c r="E9" i="5" l="1"/>
  <c r="J44" i="1"/>
  <c r="F51" i="6"/>
  <c r="I44" i="1"/>
  <c r="J44" i="2"/>
  <c r="I44" i="2"/>
  <c r="E43" i="2"/>
  <c r="H27" i="2"/>
  <c r="E7" i="2"/>
  <c r="O34" i="6" s="1"/>
  <c r="Q34" i="6" s="1"/>
  <c r="D39" i="2"/>
  <c r="G10" i="2"/>
  <c r="H19" i="2"/>
  <c r="E35" i="2"/>
  <c r="D41" i="2"/>
  <c r="G27" i="2"/>
  <c r="H6" i="2"/>
  <c r="G9" i="2"/>
  <c r="G19" i="2"/>
  <c r="G22" i="2"/>
  <c r="G26" i="2"/>
  <c r="P32" i="6"/>
  <c r="R32" i="6" s="1"/>
  <c r="P34" i="6"/>
  <c r="R34" i="6" s="1"/>
  <c r="P38" i="6"/>
  <c r="R38" i="6" s="1"/>
  <c r="P40" i="6"/>
  <c r="R40" i="6" s="1"/>
  <c r="G24" i="2"/>
  <c r="D29" i="2"/>
  <c r="O27" i="6" s="1"/>
  <c r="Q27" i="6" s="1"/>
  <c r="G23" i="2"/>
  <c r="D40" i="2"/>
  <c r="G13" i="2"/>
  <c r="D35" i="2"/>
  <c r="G6" i="2"/>
  <c r="H11" i="2"/>
  <c r="D36" i="2"/>
  <c r="G11" i="2"/>
  <c r="D34" i="2"/>
  <c r="D42" i="2"/>
  <c r="D7" i="2"/>
  <c r="H23" i="2"/>
  <c r="G28" i="2"/>
  <c r="E41" i="2"/>
  <c r="D43" i="2"/>
  <c r="H10" i="2"/>
  <c r="G20" i="2"/>
  <c r="D22" i="2"/>
  <c r="E39" i="2"/>
  <c r="H26" i="2"/>
  <c r="E29" i="2"/>
  <c r="D38" i="2"/>
  <c r="E14" i="2"/>
  <c r="G5" i="2"/>
  <c r="K16" i="2"/>
  <c r="F44" i="2" s="1"/>
  <c r="E40" i="2"/>
  <c r="H25" i="2"/>
  <c r="G25" i="2"/>
  <c r="H8" i="2"/>
  <c r="G8" i="2"/>
  <c r="E38" i="2"/>
  <c r="H9" i="2"/>
  <c r="H12" i="2"/>
  <c r="G12" i="2"/>
  <c r="E42" i="2"/>
  <c r="H13" i="2"/>
  <c r="E36" i="2"/>
  <c r="H21" i="2"/>
  <c r="G21" i="2"/>
  <c r="H4" i="2"/>
  <c r="G4" i="2"/>
  <c r="E34" i="2"/>
  <c r="H5" i="2"/>
  <c r="D14" i="2"/>
  <c r="O26" i="6" s="1"/>
  <c r="Q26" i="6" s="1"/>
  <c r="H20" i="2"/>
  <c r="H24" i="2"/>
  <c r="H28" i="2"/>
  <c r="H43" i="2" l="1"/>
  <c r="H39" i="2"/>
  <c r="H41" i="2"/>
  <c r="H29" i="2"/>
  <c r="H35" i="2"/>
  <c r="D37" i="2"/>
  <c r="D44" i="2" s="1"/>
  <c r="E37" i="2"/>
  <c r="G14" i="2"/>
  <c r="P26" i="6"/>
  <c r="R26" i="6" s="1"/>
  <c r="G29" i="2"/>
  <c r="P27" i="6"/>
  <c r="R27" i="6" s="1"/>
  <c r="G7" i="2"/>
  <c r="H7" i="2"/>
  <c r="H22" i="2"/>
  <c r="H14" i="2"/>
  <c r="F37" i="2"/>
  <c r="F40" i="2"/>
  <c r="G40" i="2" s="1"/>
  <c r="F42" i="2"/>
  <c r="G42" i="2" s="1"/>
  <c r="F35" i="2"/>
  <c r="G35" i="2" s="1"/>
  <c r="F39" i="2"/>
  <c r="G39" i="2" s="1"/>
  <c r="F36" i="2"/>
  <c r="G36" i="2" s="1"/>
  <c r="F41" i="2"/>
  <c r="G41" i="2" s="1"/>
  <c r="F34" i="2"/>
  <c r="G34" i="2" s="1"/>
  <c r="F38" i="2"/>
  <c r="G38" i="2" s="1"/>
  <c r="F43" i="2"/>
  <c r="G43" i="2" s="1"/>
  <c r="H36" i="2"/>
  <c r="H34" i="2"/>
  <c r="H38" i="2"/>
  <c r="H42" i="2"/>
  <c r="H40" i="2"/>
  <c r="C5" i="4"/>
  <c r="C4" i="4"/>
  <c r="H37" i="2" l="1"/>
  <c r="G37" i="2"/>
  <c r="E44" i="2"/>
  <c r="G44" i="2" s="1"/>
  <c r="W49" i="1"/>
  <c r="Y49" i="1" s="1"/>
  <c r="W50" i="1"/>
  <c r="Y50" i="1" s="1"/>
  <c r="W51" i="1"/>
  <c r="W52" i="1"/>
  <c r="W53" i="1"/>
  <c r="Y53" i="1" s="1"/>
  <c r="W54" i="1"/>
  <c r="W55" i="1"/>
  <c r="W56" i="1"/>
  <c r="Y56" i="1" s="1"/>
  <c r="W57" i="1"/>
  <c r="Y57" i="1" s="1"/>
  <c r="W58" i="1"/>
  <c r="Y58" i="1" s="1"/>
  <c r="W59" i="1"/>
  <c r="W60" i="1"/>
  <c r="Y60" i="1" s="1"/>
  <c r="W61" i="1"/>
  <c r="Y61" i="1" s="1"/>
  <c r="W62" i="1"/>
  <c r="W63" i="1"/>
  <c r="W48" i="1"/>
  <c r="Y63" i="1"/>
  <c r="Y62" i="1"/>
  <c r="Y59" i="1"/>
  <c r="Y55" i="1"/>
  <c r="Y54" i="1"/>
  <c r="Y52" i="1"/>
  <c r="Y51" i="1"/>
  <c r="Y48" i="1"/>
  <c r="H44" i="2" l="1"/>
  <c r="I9" i="5"/>
  <c r="D14" i="1"/>
  <c r="D4" i="1"/>
  <c r="B49" i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U10" i="4" l="1"/>
  <c r="T10" i="4"/>
  <c r="S10" i="4"/>
  <c r="R10" i="4"/>
  <c r="U9" i="4"/>
  <c r="H9" i="4"/>
  <c r="H10" i="4"/>
  <c r="G10" i="4"/>
  <c r="M13" i="1" l="1"/>
  <c r="K16" i="1" s="1"/>
  <c r="P4" i="4"/>
  <c r="P5" i="4"/>
  <c r="S9" i="4" l="1"/>
  <c r="R9" i="4"/>
  <c r="E9" i="4"/>
  <c r="T9" i="4"/>
  <c r="P3" i="4" s="1"/>
  <c r="V10" i="4"/>
  <c r="V9" i="4" l="1"/>
  <c r="G9" i="4"/>
  <c r="C3" i="4" s="1"/>
  <c r="F9" i="4"/>
  <c r="I9" i="4" s="1"/>
  <c r="F10" i="4" l="1"/>
  <c r="E10" i="4"/>
  <c r="I10" i="4" l="1"/>
  <c r="F28" i="1" l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F21" i="1"/>
  <c r="F13" i="1"/>
  <c r="F12" i="1"/>
  <c r="F11" i="1"/>
  <c r="E11" i="1"/>
  <c r="D11" i="1"/>
  <c r="F10" i="1"/>
  <c r="E10" i="1"/>
  <c r="D10" i="1"/>
  <c r="F9" i="1"/>
  <c r="E9" i="1"/>
  <c r="D9" i="1"/>
  <c r="F8" i="1"/>
  <c r="E8" i="1"/>
  <c r="D8" i="1"/>
  <c r="F7" i="1"/>
  <c r="E38" i="6" l="1"/>
  <c r="G38" i="6" s="1"/>
  <c r="F38" i="6"/>
  <c r="H38" i="6" s="1"/>
  <c r="E37" i="6"/>
  <c r="G37" i="6" s="1"/>
  <c r="F37" i="6"/>
  <c r="H37" i="6" s="1"/>
  <c r="E36" i="6"/>
  <c r="G36" i="6" s="1"/>
  <c r="F36" i="6"/>
  <c r="H36" i="6" s="1"/>
  <c r="F40" i="6"/>
  <c r="H40" i="6" s="1"/>
  <c r="E35" i="6"/>
  <c r="G35" i="6" s="1"/>
  <c r="F35" i="6"/>
  <c r="H35" i="6" s="1"/>
  <c r="F39" i="6"/>
  <c r="H39" i="6" s="1"/>
  <c r="H8" i="1"/>
  <c r="G10" i="1"/>
  <c r="G25" i="1"/>
  <c r="D39" i="1"/>
  <c r="D9" i="6" s="1"/>
  <c r="D38" i="1"/>
  <c r="D8" i="6" s="1"/>
  <c r="H28" i="1"/>
  <c r="E38" i="1"/>
  <c r="E8" i="6" s="1"/>
  <c r="D41" i="1"/>
  <c r="D11" i="6" s="1"/>
  <c r="H27" i="1"/>
  <c r="H10" i="1"/>
  <c r="G11" i="1"/>
  <c r="H26" i="1"/>
  <c r="H25" i="1"/>
  <c r="D40" i="1"/>
  <c r="D10" i="6" s="1"/>
  <c r="E40" i="1"/>
  <c r="E10" i="6" s="1"/>
  <c r="H11" i="1"/>
  <c r="H24" i="1"/>
  <c r="H9" i="1"/>
  <c r="H23" i="1"/>
  <c r="G26" i="1"/>
  <c r="E39" i="1"/>
  <c r="E9" i="6" s="1"/>
  <c r="E41" i="1"/>
  <c r="E11" i="6" s="1"/>
  <c r="G23" i="1"/>
  <c r="G27" i="1"/>
  <c r="G24" i="1"/>
  <c r="G28" i="1"/>
  <c r="G8" i="1"/>
  <c r="G9" i="1"/>
  <c r="H11" i="6" l="1"/>
  <c r="G11" i="6"/>
  <c r="G9" i="6"/>
  <c r="H9" i="6"/>
  <c r="G10" i="6"/>
  <c r="H10" i="6"/>
  <c r="G8" i="6"/>
  <c r="H8" i="6"/>
  <c r="H38" i="1"/>
  <c r="H41" i="1"/>
  <c r="H39" i="1"/>
  <c r="H40" i="1"/>
  <c r="E13" i="1" l="1"/>
  <c r="D13" i="1"/>
  <c r="D43" i="1" s="1"/>
  <c r="D13" i="6" s="1"/>
  <c r="E12" i="1"/>
  <c r="D12" i="1"/>
  <c r="D42" i="1" s="1"/>
  <c r="D12" i="6" s="1"/>
  <c r="E39" i="6" l="1"/>
  <c r="G39" i="6" s="1"/>
  <c r="E40" i="6"/>
  <c r="G40" i="6" s="1"/>
  <c r="H12" i="1"/>
  <c r="G12" i="1"/>
  <c r="E42" i="1"/>
  <c r="H13" i="1"/>
  <c r="E43" i="1"/>
  <c r="G13" i="1"/>
  <c r="D19" i="6"/>
  <c r="H43" i="1" l="1"/>
  <c r="E13" i="6"/>
  <c r="H42" i="1"/>
  <c r="E12" i="6"/>
  <c r="B22" i="6"/>
  <c r="N19" i="6"/>
  <c r="B20" i="6"/>
  <c r="L20" i="6" s="1"/>
  <c r="H12" i="6" l="1"/>
  <c r="G12" i="6"/>
  <c r="G13" i="6"/>
  <c r="H13" i="6"/>
  <c r="L22" i="6"/>
  <c r="K14" i="1"/>
  <c r="B4" i="10"/>
  <c r="B2" i="10"/>
  <c r="F44" i="1" l="1"/>
  <c r="F40" i="1"/>
  <c r="G40" i="1" s="1"/>
  <c r="F43" i="1"/>
  <c r="G43" i="1" s="1"/>
  <c r="F39" i="1"/>
  <c r="G39" i="1" s="1"/>
  <c r="F42" i="1"/>
  <c r="G42" i="1" s="1"/>
  <c r="F38" i="1"/>
  <c r="G38" i="1" s="1"/>
  <c r="F41" i="1"/>
  <c r="G41" i="1" s="1"/>
  <c r="F37" i="1"/>
  <c r="F36" i="1"/>
  <c r="F34" i="1"/>
  <c r="F35" i="1"/>
  <c r="F14" i="1" l="1"/>
  <c r="F6" i="1"/>
  <c r="F5" i="1"/>
  <c r="F4" i="1"/>
  <c r="F19" i="1"/>
  <c r="D7" i="1" l="1"/>
  <c r="E7" i="1"/>
  <c r="E21" i="1"/>
  <c r="D21" i="1"/>
  <c r="D22" i="1"/>
  <c r="D5" i="1"/>
  <c r="D6" i="1"/>
  <c r="E26" i="6"/>
  <c r="E5" i="1"/>
  <c r="E29" i="1"/>
  <c r="F27" i="6" s="1"/>
  <c r="D20" i="1"/>
  <c r="F20" i="1"/>
  <c r="F29" i="1"/>
  <c r="E4" i="1"/>
  <c r="E6" i="1"/>
  <c r="E14" i="1"/>
  <c r="F26" i="6" s="1"/>
  <c r="D19" i="1"/>
  <c r="D29" i="1"/>
  <c r="E27" i="6" s="1"/>
  <c r="E33" i="6" l="1"/>
  <c r="G33" i="6" s="1"/>
  <c r="F33" i="6"/>
  <c r="H33" i="6" s="1"/>
  <c r="E34" i="6"/>
  <c r="G34" i="6" s="1"/>
  <c r="E32" i="6"/>
  <c r="G32" i="6" s="1"/>
  <c r="E31" i="6"/>
  <c r="G31" i="6" s="1"/>
  <c r="G27" i="6"/>
  <c r="G26" i="6"/>
  <c r="D37" i="1"/>
  <c r="D7" i="6" s="1"/>
  <c r="E36" i="1"/>
  <c r="G21" i="1"/>
  <c r="E22" i="1"/>
  <c r="H7" i="1"/>
  <c r="G7" i="1"/>
  <c r="H21" i="1"/>
  <c r="D36" i="1"/>
  <c r="D6" i="6" s="1"/>
  <c r="G5" i="1"/>
  <c r="E19" i="1"/>
  <c r="D35" i="1"/>
  <c r="D5" i="6" s="1"/>
  <c r="D34" i="1"/>
  <c r="D4" i="6" s="1"/>
  <c r="H29" i="1"/>
  <c r="G29" i="1"/>
  <c r="E20" i="1"/>
  <c r="G4" i="1"/>
  <c r="H4" i="1"/>
  <c r="H5" i="1"/>
  <c r="G14" i="1"/>
  <c r="H14" i="1"/>
  <c r="G6" i="1"/>
  <c r="H6" i="1"/>
  <c r="D14" i="6" l="1"/>
  <c r="G36" i="1"/>
  <c r="E6" i="6"/>
  <c r="F34" i="6"/>
  <c r="H34" i="6" s="1"/>
  <c r="F32" i="6"/>
  <c r="H32" i="6" s="1"/>
  <c r="F31" i="6"/>
  <c r="H31" i="6" s="1"/>
  <c r="H26" i="6"/>
  <c r="H27" i="6"/>
  <c r="H36" i="1"/>
  <c r="H22" i="1"/>
  <c r="E37" i="1"/>
  <c r="E7" i="6" s="1"/>
  <c r="G22" i="1"/>
  <c r="E34" i="1"/>
  <c r="H19" i="1"/>
  <c r="G19" i="1"/>
  <c r="D44" i="1"/>
  <c r="H20" i="1"/>
  <c r="E35" i="1"/>
  <c r="G20" i="1"/>
  <c r="H34" i="1" l="1"/>
  <c r="E4" i="6"/>
  <c r="G7" i="6"/>
  <c r="H7" i="6"/>
  <c r="G6" i="6"/>
  <c r="H6" i="6"/>
  <c r="H35" i="1"/>
  <c r="E5" i="6"/>
  <c r="H37" i="1"/>
  <c r="G37" i="1"/>
  <c r="E44" i="1"/>
  <c r="H44" i="1" s="1"/>
  <c r="H5" i="6" l="1"/>
  <c r="G5" i="6"/>
  <c r="H4" i="6"/>
  <c r="E14" i="6"/>
  <c r="G4" i="6"/>
  <c r="G35" i="1"/>
  <c r="G44" i="1"/>
  <c r="G34" i="1"/>
  <c r="C6" i="5"/>
  <c r="C3" i="5"/>
  <c r="E10" i="5"/>
  <c r="I10" i="5" s="1"/>
  <c r="G14" i="6" l="1"/>
  <c r="H14" i="6"/>
</calcChain>
</file>

<file path=xl/sharedStrings.xml><?xml version="1.0" encoding="utf-8"?>
<sst xmlns="http://schemas.openxmlformats.org/spreadsheetml/2006/main" count="2237" uniqueCount="414">
  <si>
    <t>No</t>
  </si>
  <si>
    <t>Type</t>
  </si>
  <si>
    <t>ASW</t>
  </si>
  <si>
    <t>PSW</t>
  </si>
  <si>
    <t>No\Type</t>
  </si>
  <si>
    <t>Member</t>
  </si>
  <si>
    <t>hieu.nguyen-trung</t>
  </si>
  <si>
    <t>TaskGroup</t>
  </si>
  <si>
    <t>Tester</t>
  </si>
  <si>
    <t>1. Test Design (.xls)
2. Plot File (.plt)
3. ATT project
4. Coverage Log</t>
  </si>
  <si>
    <t>1. TPA file (.tpa)
2. test report (.html)
3. test report (.xml)
4. test summary (.html)
5. File Coverage Fail Reason (.xls)</t>
  </si>
  <si>
    <t>KPI Table</t>
  </si>
  <si>
    <t>Start</t>
  </si>
  <si>
    <t>End</t>
  </si>
  <si>
    <t>C0</t>
  </si>
  <si>
    <t>C1</t>
  </si>
  <si>
    <t>MCDC</t>
  </si>
  <si>
    <t>Status</t>
  </si>
  <si>
    <t>Ready for review</t>
  </si>
  <si>
    <t>Status Table</t>
  </si>
  <si>
    <t>N/A</t>
  </si>
  <si>
    <t>Ready for PLC</t>
  </si>
  <si>
    <t>KPI/days</t>
  </si>
  <si>
    <t>Ongoing</t>
  </si>
  <si>
    <t>Status (%)</t>
  </si>
  <si>
    <t>#</t>
  </si>
  <si>
    <t>Types</t>
  </si>
  <si>
    <t>Assigned ELOCs</t>
  </si>
  <si>
    <t>Completed ELOCs</t>
  </si>
  <si>
    <t>Status (%)
(Completed/Assigned)</t>
  </si>
  <si>
    <t>Total Days</t>
  </si>
  <si>
    <t>External Name</t>
  </si>
  <si>
    <t>PSW
ELOCs</t>
  </si>
  <si>
    <t>ASW
ELOCs</t>
  </si>
  <si>
    <t>1. Completed ELOCs of the team from the beginning of Month (Mar) till Now:</t>
  </si>
  <si>
    <t>2. Completed ELOCs of each member from the beginning of Month (Mar) till Now:</t>
  </si>
  <si>
    <t>3. Risks/ Pending Issues:</t>
  </si>
  <si>
    <t>Risks/ Issues</t>
  </si>
  <si>
    <t>4. Found Defects/ OPLs in Month (Mar):</t>
  </si>
  <si>
    <t>5. Leave Plan (Mar):</t>
  </si>
  <si>
    <t>Num of Day</t>
  </si>
  <si>
    <t>Detail</t>
  </si>
  <si>
    <t>Date</t>
  </si>
  <si>
    <t>Note:</t>
  </si>
  <si>
    <t>PSW: 450 ELOCs</t>
  </si>
  <si>
    <t>Productivity of each Member per Day</t>
  </si>
  <si>
    <t>Total Productivity per Month</t>
  </si>
  <si>
    <t>PSW: 450x4x20 = 36,000 ELOCs</t>
  </si>
  <si>
    <t>ASW: 130x4x20 = 10,400 ELOCs</t>
  </si>
  <si>
    <t>Table Type of Testing</t>
  </si>
  <si>
    <t>Table Tester</t>
  </si>
  <si>
    <t>Detail Output</t>
  </si>
  <si>
    <t>ATT</t>
  </si>
  <si>
    <t>Cantata</t>
  </si>
  <si>
    <t>Tool</t>
  </si>
  <si>
    <t>Table KPI ASW</t>
  </si>
  <si>
    <t>Table KPI PSW</t>
  </si>
  <si>
    <t>LOC Complete</t>
  </si>
  <si>
    <t>Actual hour</t>
  </si>
  <si>
    <t>Task Jira</t>
  </si>
  <si>
    <t>Project</t>
  </si>
  <si>
    <t>ComponentName</t>
  </si>
  <si>
    <t>ItemName</t>
  </si>
  <si>
    <t>Planned Start</t>
  </si>
  <si>
    <t>Planned End</t>
  </si>
  <si>
    <t>-</t>
  </si>
  <si>
    <t>ItemRevision</t>
  </si>
  <si>
    <t>Package</t>
  </si>
  <si>
    <t>hau.nguyen-tai</t>
  </si>
  <si>
    <t>bang.nguyen-duy</t>
  </si>
  <si>
    <t>dac.luu-cong</t>
  </si>
  <si>
    <t>duong.nguyen</t>
  </si>
  <si>
    <t>loc.do-phu</t>
  </si>
  <si>
    <t>thanh.nguyen-kim</t>
  </si>
  <si>
    <t>chung.ly</t>
  </si>
  <si>
    <t>Database</t>
  </si>
  <si>
    <t>BB</t>
  </si>
  <si>
    <t>Ready for delivery</t>
  </si>
  <si>
    <t>Complete &amp; Closed</t>
  </si>
  <si>
    <t>ELOC Assigned</t>
  </si>
  <si>
    <t>ELOC Recheck With Tool</t>
  </si>
  <si>
    <t>Status Result</t>
  </si>
  <si>
    <t>PeerReviewer</t>
  </si>
  <si>
    <t>Estimation base TOOL</t>
  </si>
  <si>
    <t>Owner Contact</t>
  </si>
  <si>
    <t>Remark</t>
  </si>
  <si>
    <t>Please ensure your push correct the Package name with the TaskGroup</t>
  </si>
  <si>
    <t xml:space="preserve">+ Location for delivery to internal team: </t>
  </si>
  <si>
    <t>Location</t>
  </si>
  <si>
    <t>\\hc-ut40745c\Ban_Vien_external\Release\Gen_9.3</t>
  </si>
  <si>
    <t>+ Location Internal Project:</t>
  </si>
  <si>
    <t>\\hc-ut40346c\NHI5HC\hieunguyen\0000_Project</t>
  </si>
  <si>
    <t>\\hc-ut40346c\NHI5HC\hieunguyen\0000_Project\001_Prj\01_COEM\01_Output_Package</t>
  </si>
  <si>
    <t>+ Location Internal Your Output:</t>
  </si>
  <si>
    <t>+ Location Internal Your Release Output:</t>
  </si>
  <si>
    <t>\\hc-ut40346c\NHI5HC\hieunguyen\0000_Project\001_Prj\01_COEM\02_Release_Package</t>
  </si>
  <si>
    <t>Status Review</t>
  </si>
  <si>
    <t>Pending for OPL</t>
  </si>
  <si>
    <t>MT_016</t>
  </si>
  <si>
    <t>MT_018</t>
  </si>
  <si>
    <t>MT_032</t>
  </si>
  <si>
    <t>T501</t>
  </si>
  <si>
    <t>T500</t>
  </si>
  <si>
    <t>T502</t>
  </si>
  <si>
    <t>ASW: 130 ELOCs</t>
  </si>
  <si>
    <t>Task Group</t>
  </si>
  <si>
    <t>Effort (days)</t>
  </si>
  <si>
    <t>UT_Status</t>
  </si>
  <si>
    <t>EXTERNAL Nguyen Trung Hieu (Ban Vien, RBVH/EPS45)</t>
  </si>
  <si>
    <t>Done</t>
  </si>
  <si>
    <t>EXTERNAL Nguyen Tai Hau (Ban Vien, RBVH/EPS45)</t>
  </si>
  <si>
    <t>EXTERNAL Nguyen Duy Bang (Ban Vien, RBVH/EPS45)</t>
  </si>
  <si>
    <t>EXTERNAL Luu Cong Dac (Ban Vien, RBVH/EPS45)</t>
  </si>
  <si>
    <t>SBR_ESP9_3_Gxx_SIA_Dev5_GA9W_BL03</t>
  </si>
  <si>
    <t>Total</t>
  </si>
  <si>
    <t>Judge Total KPI</t>
  </si>
  <si>
    <t>Duration</t>
  </si>
  <si>
    <t>MT_Needed</t>
  </si>
  <si>
    <t>MT_Number</t>
  </si>
  <si>
    <t>How to fill status</t>
  </si>
  <si>
    <t>Status: Passed/Failed</t>
  </si>
  <si>
    <t>Test_Result: Ready for review</t>
  </si>
  <si>
    <t>Nguyen Trung Hieu</t>
  </si>
  <si>
    <t>Nguyen Tai Hau</t>
  </si>
  <si>
    <t>Nguyen Duy Bang</t>
  </si>
  <si>
    <t>Luu Cong Dac</t>
  </si>
  <si>
    <t>New</t>
  </si>
  <si>
    <t>8h00</t>
  </si>
  <si>
    <t>17h00</t>
  </si>
  <si>
    <t>15h00</t>
  </si>
  <si>
    <t>CW10_EMP2V3_SmartCar_MHEV_381</t>
  </si>
  <si>
    <t>Time</t>
  </si>
  <si>
    <t>days</t>
  </si>
  <si>
    <t>Assigned
ELOCs</t>
  </si>
  <si>
    <t>Completed
ELOCs</t>
  </si>
  <si>
    <t>Effort
(days)</t>
  </si>
  <si>
    <t>Actual Effort
(days)</t>
  </si>
  <si>
    <t>Loc Assigned</t>
  </si>
  <si>
    <t>Brief Description:</t>
  </si>
  <si>
    <t>9h00</t>
  </si>
  <si>
    <t>Ontime</t>
  </si>
  <si>
    <t>12h00</t>
  </si>
  <si>
    <t>Duration (Plan)</t>
  </si>
  <si>
    <t>Duration (Actual)</t>
  </si>
  <si>
    <t>- Took 1 days to fix Action Item of Peer Review on 16th Mar, 2020</t>
  </si>
  <si>
    <t>- No comment</t>
  </si>
  <si>
    <t>Delayed</t>
  </si>
  <si>
    <t>Actual Effort (days)</t>
  </si>
  <si>
    <t>Num of OPLs</t>
  </si>
  <si>
    <t>Num of Defects</t>
  </si>
  <si>
    <t>Effort PSW (days)</t>
  </si>
  <si>
    <t>Effort ASW
(days)</t>
  </si>
  <si>
    <t>T503</t>
  </si>
  <si>
    <t>TOY_PF19_CMP_BL16_Integration_36</t>
  </si>
  <si>
    <t>MT_001</t>
  </si>
  <si>
    <t>- TransVF20ms: Modify estimation effort from 1.615 hour to 4 hour. Confirm by Mr. Hoang</t>
  </si>
  <si>
    <t>- Trans_vyMin: Can not compile project, and missing limit assignment. Indian support to fix within 5 hour on 25th Mar, 2020</t>
  </si>
  <si>
    <t>- ATT can not start analyze because Visual Studio got stuck. =&gt; Mr. Tai and Mr. Cuong support to re config the setting within 1 days (4 hours for backup on 23th, and 4 hours for configuration on 24th)</t>
  </si>
  <si>
    <t>11h00</t>
  </si>
  <si>
    <t>PSA_BL15_CSW_Dev</t>
  </si>
  <si>
    <t>1.2</t>
  </si>
  <si>
    <t>13h00</t>
  </si>
  <si>
    <t>11h30</t>
  </si>
  <si>
    <t>Holidays</t>
  </si>
  <si>
    <t>- Off from 2th Mar to 13th Mar</t>
  </si>
  <si>
    <t>Reason for Fail Testcase</t>
  </si>
  <si>
    <t>Reason For code coverage</t>
  </si>
  <si>
    <t>14h00</t>
  </si>
  <si>
    <t>PLTMT_03040604</t>
  </si>
  <si>
    <t>PLTMT_07040804</t>
  </si>
  <si>
    <t>CUS_SMC_YNC_ABS_Buildiaas22</t>
  </si>
  <si>
    <t>ToyotaCMP</t>
  </si>
  <si>
    <t>16h00</t>
  </si>
  <si>
    <t>- Mr. Bang got a trouble with a huge of Param1D, Param2D</t>
  </si>
  <si>
    <t>- Need time to resolve issue about TCM workshare</t>
  </si>
  <si>
    <t>- Need time to adapt with new template, new process of platform team</t>
  </si>
  <si>
    <t>- Waiting for the new package</t>
  </si>
  <si>
    <t>REN_CMFB_1ASW_09_Apr</t>
  </si>
  <si>
    <t>OPL</t>
  </si>
  <si>
    <t>Summary</t>
  </si>
  <si>
    <t>RNM_CMP_PSA_EMP2v3_3ASW</t>
  </si>
  <si>
    <t>rba_BldrBCL_AESHandler</t>
  </si>
  <si>
    <t>rba_BldrCmp_Cfg_TestServices</t>
  </si>
  <si>
    <t>rba_BldrCmp_Cfg_TestStackEval</t>
  </si>
  <si>
    <t>rba_BldrMemCpy</t>
  </si>
  <si>
    <t>rba_BldrCMP_27SecurityAccess</t>
  </si>
  <si>
    <t>SBR_ESP9_3_MS_BR_GC7Y_RE7WGN1_Bldr</t>
  </si>
  <si>
    <t>huy.do-anh</t>
  </si>
  <si>
    <t>phuong.nguyen-thanh</t>
  </si>
  <si>
    <t>PLTMT_13041404</t>
  </si>
  <si>
    <t>TaskID</t>
  </si>
  <si>
    <t>Type of Comment</t>
  </si>
  <si>
    <t>OPL/Defect</t>
  </si>
  <si>
    <t>Auto</t>
  </si>
  <si>
    <t>Baseline</t>
  </si>
  <si>
    <t>Type of OPL/Defect</t>
  </si>
  <si>
    <t>Defect</t>
  </si>
  <si>
    <t>None</t>
  </si>
  <si>
    <t>10h00</t>
  </si>
  <si>
    <t>- As discussion with Mr. Cuong via skype on 16th April 2020, he suggest to increse estimate time for package "PLTMT_03040604, PLTMT_07040804, PLTMT_13041404" because Platform process is new and difficult for new employeee</t>
  </si>
  <si>
    <t>MA Python (CC-AS/EVA-SW31-CN)</t>
  </si>
  <si>
    <t>RBVAR_VarCode_PROJECT.c</t>
  </si>
  <si>
    <t>206370_BYD_ESP9.3_New_Hybrid_MS15.1_BSS18</t>
  </si>
  <si>
    <t>BL04</t>
  </si>
  <si>
    <t>BSS03</t>
  </si>
  <si>
    <t>rba_BldrCmp_Cfg_FlashIf.c</t>
  </si>
  <si>
    <t>rba_BldrCmp_Cfg_Functions.c</t>
  </si>
  <si>
    <t>rba_BldrCmp_Cfg_SecA.c</t>
  </si>
  <si>
    <t>GAC_ESPHevX_HADHAP_Int</t>
  </si>
  <si>
    <t>rba_BldrCmp_Cfg_CheckMem.c</t>
  </si>
  <si>
    <t>rba_BldrCmp_Cfg_NvmIf.c</t>
  </si>
  <si>
    <t>rba_BldrCmp_Cfg_PrjFunctions.c</t>
  </si>
  <si>
    <t>Nguyen Thanh Phuong</t>
  </si>
  <si>
    <t>Do Anh Huy</t>
  </si>
  <si>
    <t>- Wating for the new package JOEM</t>
  </si>
  <si>
    <t>- Take a new process at COEM team to proceed the next package since 14th April</t>
  </si>
  <si>
    <t>InAdvanced</t>
  </si>
  <si>
    <t>Detail for joem</t>
  </si>
  <si>
    <t>Detail for supporting: coem</t>
  </si>
  <si>
    <t>RBVAR_OutputDriver_PROJECT.c</t>
  </si>
  <si>
    <t>RBVAR_IDDefinitionTable_PROJECT.c</t>
  </si>
  <si>
    <t>RBVAR_SystemStateManagement_PROJECT.c</t>
  </si>
  <si>
    <t>Release Date</t>
  </si>
  <si>
    <t>JOEM</t>
  </si>
  <si>
    <t>COEM</t>
  </si>
  <si>
    <t>Hung King</t>
  </si>
  <si>
    <t>Total Package for all JOEM, COEM</t>
  </si>
  <si>
    <t>PSW: 45000 ELOCS</t>
  </si>
  <si>
    <t>ASW: 13000 ELOCS</t>
  </si>
  <si>
    <t>Nguyen Tuan Duong</t>
  </si>
  <si>
    <t>Do Phu Loc</t>
  </si>
  <si>
    <t>Nguyen Kim Thanh</t>
  </si>
  <si>
    <t>Ly Chung</t>
  </si>
  <si>
    <t>1.0.847.0</t>
  </si>
  <si>
    <t>1.4.847.0</t>
  </si>
  <si>
    <t>1.19.118.1</t>
  </si>
  <si>
    <t>3.5.118.0</t>
  </si>
  <si>
    <t>Delta/New</t>
  </si>
  <si>
    <t>T&gt;=500</t>
  </si>
  <si>
    <t>MT_122</t>
  </si>
  <si>
    <t>MT_123</t>
  </si>
  <si>
    <t>MT_124</t>
  </si>
  <si>
    <t>MT_125</t>
  </si>
  <si>
    <t>MT_126</t>
  </si>
  <si>
    <t>MT_127</t>
  </si>
  <si>
    <t>MT_042</t>
  </si>
  <si>
    <t>MT_044</t>
  </si>
  <si>
    <t>MT_045</t>
  </si>
  <si>
    <t>MT_072</t>
  </si>
  <si>
    <t>MT_073</t>
  </si>
  <si>
    <t>MT_074</t>
  </si>
  <si>
    <t>MT_075</t>
  </si>
  <si>
    <t>MT_076</t>
  </si>
  <si>
    <t>MT_077</t>
  </si>
  <si>
    <t>MT_078</t>
  </si>
  <si>
    <t>MT_079</t>
  </si>
  <si>
    <t>MT_080</t>
  </si>
  <si>
    <t>MT_081</t>
  </si>
  <si>
    <t>MT_082</t>
  </si>
  <si>
    <t>MT_083</t>
  </si>
  <si>
    <t>MT_084</t>
  </si>
  <si>
    <t>MT_085</t>
  </si>
  <si>
    <t>MT_086</t>
  </si>
  <si>
    <t>MT_087</t>
  </si>
  <si>
    <t>MT_088</t>
  </si>
  <si>
    <t>MT_089</t>
  </si>
  <si>
    <t>MT_090</t>
  </si>
  <si>
    <t>MT_091</t>
  </si>
  <si>
    <t>MT_092</t>
  </si>
  <si>
    <t>MT_093</t>
  </si>
  <si>
    <t>MT_094</t>
  </si>
  <si>
    <t>MT_095</t>
  </si>
  <si>
    <t>MT_096</t>
  </si>
  <si>
    <t>MT_097</t>
  </si>
  <si>
    <t>MT_098</t>
  </si>
  <si>
    <t>MT_099</t>
  </si>
  <si>
    <t>MT_100</t>
  </si>
  <si>
    <t>MT_101</t>
  </si>
  <si>
    <t>MT_102</t>
  </si>
  <si>
    <t>MT_103</t>
  </si>
  <si>
    <t>MT_104</t>
  </si>
  <si>
    <t>MT_105</t>
  </si>
  <si>
    <t>MT_106</t>
  </si>
  <si>
    <t>MT_108</t>
  </si>
  <si>
    <t>MT_109</t>
  </si>
  <si>
    <t>MT_110</t>
  </si>
  <si>
    <t>MT_111</t>
  </si>
  <si>
    <t>MT_112</t>
  </si>
  <si>
    <t>MT_114</t>
  </si>
  <si>
    <t>MT_115</t>
  </si>
  <si>
    <t>MT_116</t>
  </si>
  <si>
    <t>MT_117</t>
  </si>
  <si>
    <t>MT_118</t>
  </si>
  <si>
    <t>MT_119</t>
  </si>
  <si>
    <t>MT_120</t>
  </si>
  <si>
    <t>MT_021</t>
  </si>
  <si>
    <t xml:space="preserve">TOY_847B_MPT_Release1 </t>
  </si>
  <si>
    <t>rb.as.core.app.asw.ldm.lfc</t>
  </si>
  <si>
    <t>rb.as.core.app.asw.tcs.leantcs20msvse</t>
  </si>
  <si>
    <t>rb.as.toy.cmp.app.asw.custtarball</t>
  </si>
  <si>
    <t>rba.as.Bldr.toy_Phase5</t>
  </si>
  <si>
    <t>Toyota_ACC_BrkStop_HSVPreOpen</t>
  </si>
  <si>
    <t>Toyota_SSM_vhcRolloutpTarCalc</t>
  </si>
  <si>
    <t>TCS_StallDet</t>
  </si>
  <si>
    <t>Toyota_DMS_ModeEsp_MUD_SAND</t>
  </si>
  <si>
    <t>Toyota_DMS_ModeEsp_ROCK_DIRT</t>
  </si>
  <si>
    <t>LDI_ACT_InputActivation</t>
  </si>
  <si>
    <t>CubasAdapter</t>
  </si>
  <si>
    <t>DcmAppl_DcmConfirmation</t>
  </si>
  <si>
    <t>DcmAppl_DcmConfirmation_GeneralReject</t>
  </si>
  <si>
    <t>DcmAppl_DcmIgnoreNRC21AndResetS3Timer</t>
  </si>
  <si>
    <t>DcmAppl_DcmSesCtrlChangeIndication</t>
  </si>
  <si>
    <t>DcmAppl_DcmStartProtocol</t>
  </si>
  <si>
    <t>DcmAppl_DcmStopProtocol</t>
  </si>
  <si>
    <t>DcmAppl_UserServiceModeRuleService</t>
  </si>
  <si>
    <t>det</t>
  </si>
  <si>
    <t>Gpt</t>
  </si>
  <si>
    <t>Gpt_Cfg</t>
  </si>
  <si>
    <t>HWPStubs</t>
  </si>
  <si>
    <t>OsStubs</t>
  </si>
  <si>
    <t>rba_Bldr_main</t>
  </si>
  <si>
    <t>rba_BldrBCL_Cfg_Drbg_Sp800d90HashCalv00</t>
  </si>
  <si>
    <t>rba_BldrCmp_10DiagnosticSessionControl</t>
  </si>
  <si>
    <t>rba_BldrCmp_11EcuReset</t>
  </si>
  <si>
    <t>rba_BldrCmp_22ReadDataByIdentifier</t>
  </si>
  <si>
    <t>rba_BldrCmp_28CommunicationControl</t>
  </si>
  <si>
    <t>rba_BldrCmp_2EWriteDataByIdentifier</t>
  </si>
  <si>
    <t>rba_BldrCmp_31RoutineControl</t>
  </si>
  <si>
    <t>rba_BldrCmp_31RoutineControl_Chkmem</t>
  </si>
  <si>
    <t>rba_BldrCmp_31RoutineControl_Chkpd</t>
  </si>
  <si>
    <t>rba_BldrCmp_31RoutineControl_Er</t>
  </si>
  <si>
    <t>rba_BldrCmp_34RequestDownload</t>
  </si>
  <si>
    <t>rba_BldrCmp_36TransferData</t>
  </si>
  <si>
    <t>rba_BldrCmp_37RequestTransferExit</t>
  </si>
  <si>
    <t>rba_BldrCmp_85ControlDTCSettings</t>
  </si>
  <si>
    <t>rba_BldrCmp</t>
  </si>
  <si>
    <t>rba_BldrCmp_Cfg_CheckMem</t>
  </si>
  <si>
    <t>rba_BldrCmp_Cfg_Com</t>
  </si>
  <si>
    <t>rba_BldrCmp_Cfg_Execute_ChkMemTask</t>
  </si>
  <si>
    <t>rba_BldrCmp_Cfg_FlashIf</t>
  </si>
  <si>
    <t>rba_BldrCmp_Cfg_Functions</t>
  </si>
  <si>
    <t>rba_BldrCmp_Cfg_NvmIf</t>
  </si>
  <si>
    <t>rba_BldrCmp_Cfg_PrjFunctions</t>
  </si>
  <si>
    <t>rba_BldrCmp_Cfg_SyncFEEWrapper</t>
  </si>
  <si>
    <t>rba_BldrCmp_Cfg_TestServices_TaskMon</t>
  </si>
  <si>
    <t>rba_BldrCmp_DataHdl</t>
  </si>
  <si>
    <t>rba_BldrCmp_LogBlkHdl</t>
  </si>
  <si>
    <t>rba_BldrCmp_ServiceCondCheck</t>
  </si>
  <si>
    <t>rba_BldrCmp_Task_SADelayTimer</t>
  </si>
  <si>
    <t>rba_BldrFls</t>
  </si>
  <si>
    <t>rba_BldrFlsDrv</t>
  </si>
  <si>
    <t>rba_BldrFlsDrv_Cfg</t>
  </si>
  <si>
    <t>rba_BldrMTC10Consistency</t>
  </si>
  <si>
    <t>rba_BldrOs</t>
  </si>
  <si>
    <t>rba_BldrSrvStHdl</t>
  </si>
  <si>
    <t>rba_BldrSVM</t>
  </si>
  <si>
    <t>rba_Bmgr_main</t>
  </si>
  <si>
    <t>CSMosarASWMainstream93_TMC_847B</t>
  </si>
  <si>
    <t>Contact point: Praggya Ashok Kumar (RBEI/ESJ-ATO) AshokKumar.Praggya@in.bosch.com . Desai Nagaraj (CC-AS/ESJ3-JP) NagarajBasappa.Desai@in.bosch.com</t>
  </si>
  <si>
    <t>1st May</t>
  </si>
  <si>
    <t>GEELY_FE-3AH_CB_CSIS241976_BSS03</t>
  </si>
  <si>
    <t>228771_SAIC EP22 X1 &amp; IP31E w/o_DA ESPHevX BSS04_SP01</t>
  </si>
  <si>
    <t>GAC_220680_Carbon_A18_ESPHevx_FPA/RPA_BL04</t>
  </si>
  <si>
    <t>rba_sbl_main.c</t>
  </si>
  <si>
    <t>BB81720</t>
  </si>
  <si>
    <t>BB80912</t>
  </si>
  <si>
    <t>BB81182</t>
  </si>
  <si>
    <t>BYD_ESP93_Int</t>
  </si>
  <si>
    <t>SAIC_EP_CMP_ESPHevX_Int</t>
  </si>
  <si>
    <t>Deepika Rangarajan (RBEI/EBB7)</t>
  </si>
  <si>
    <t>SONG Yaping (CC-AS/EVA-SW3-CN)</t>
  </si>
  <si>
    <t>CHEN Xiaomin (CC-AS/EVA-SW31-CN)</t>
  </si>
  <si>
    <t>BSS04_SP01</t>
  </si>
  <si>
    <t>Team size</t>
  </si>
  <si>
    <t>Geely_FE3AH_CB_Carbon_Int</t>
  </si>
  <si>
    <t>Geely_FE3AH_CB_Carbon_Int/MainstreamF30/rba/Bldr/config/ApplicationLayer/rba_BldrCmp/src/rba_BldrCmp_Cfg_CheckMem.c</t>
  </si>
  <si>
    <t>Geely_FE3AH_CB_Carbon_Int/MainstreamF30/rba/Bldr/config/ApplicationLayer/rba_BldrCmp/src/rba_BldrCmp_Cfg_FlashIf.c</t>
  </si>
  <si>
    <t>Geely_FE3AH_CB_Carbon_Int/MainstreamF30/rba/Bldr/config/ApplicationLayer/rba_BldrCmp/src/rba_BldrCmp_Cfg_Functions.c</t>
  </si>
  <si>
    <t>Geely_FE3AH_CB_Carbon_Int/MainstreamF30/rba/Bldr/config/ApplicationLayer/rba_BldrCmp/src/rba_BldrCmp_Cfg_NvmIf.c</t>
  </si>
  <si>
    <t>Geely_FE3AH_CB_Carbon_Int/MainstreamF30/rba/Bldr/config/ApplicationLayer/rba_BldrCmp/src/rba_BldrCmp_Cfg_PrjFunctions.c</t>
  </si>
  <si>
    <t>Geely_FE3AH_CB_Carbon_Int/MainstreamF30/rba/Bldr/config/ApplicationLayer/rba_BldrCmp/src/rba_BldrCmp_Cfg_SecA.c</t>
  </si>
  <si>
    <t>Geely_FE3AH_CB_Carbon_Int/MainstreamF30/rba/Bldr/sbl/src/rba_sbl_main.c</t>
  </si>
  <si>
    <t>BYD_ESP93_Int/MainstreamF30/rb/as/BYD/Mainstream151/app/dsm/RBVAR/src/RBVAR_IDDefinitionTable_PROJECT.c</t>
  </si>
  <si>
    <t>BYD_ESP93_Int/MainstreamF30/rb/as/BYD/Mainstream151/app/dsm/RBVAR/src/RBVAR_OutputDriver_PROJECT.c</t>
  </si>
  <si>
    <t>BYD_ESP93_Int/MainstreamF30/rb/as/BYD/Mainstream151/app/dsm/RBVAR/src/RBVAR_SystemStateManagement_PROJECT.c</t>
  </si>
  <si>
    <t>BYD_ESP93_Int/MainstreamF30/rb/as/BYD/Mainstream151/app/dsm/RBVAR/src/RBVAR_VarCode_PROJECT.c</t>
  </si>
  <si>
    <t>SAIC_EP_CMP_ESPHevX_Int/ESPhevXSAICEP/rb/as/ESPhevX/saicep/app/dsm/RBVAR/src/RBVAR_IDDefinitionTable_PROJECT.c</t>
  </si>
  <si>
    <t>SAIC_EP_CMP_ESPHevX_Int/ESPhevXSAICEP/rb/as/ESPhevX/saicep/app/dsm/RBVAR/src/RBVAR_SystemStateManagement_PROJECT.c</t>
  </si>
  <si>
    <t>SAIC_EP_CMP_ESPHevX_Int/ESPhevXSAICEP/rb/as/ESPhevX/saicep/app/dsm/RBVAR/src/RBVAR_VarCode_PROJECT.c</t>
  </si>
  <si>
    <t>GAC_ESPHevX_HADHAP_Int/CNMSHevXHADHAP/rb/as/gaig/core/app/dsm/RBVAR/BB99308A18FPA/src/RBVAR_OutputDriver_PROJECT.c</t>
  </si>
  <si>
    <t>GAC_ESPHevX_HADHAP_Int/CNMSHevXHADHAP/rb/as/gaig/core/app/dsm/RBVAR/BB99308A18FPA/src/RBVAR_VarCode_PROJECT.c</t>
  </si>
  <si>
    <t>BSS18</t>
  </si>
  <si>
    <t>OK</t>
  </si>
  <si>
    <t>NG</t>
  </si>
  <si>
    <t>Team:</t>
  </si>
  <si>
    <t>MC_239507_SGMW_CN210S_PHEV_ESP9.3CPi_BSS03_SP1</t>
  </si>
  <si>
    <t>GAC_Carbon_Stream_ESPCP_BL05</t>
  </si>
  <si>
    <t>BSS03_SP1</t>
  </si>
  <si>
    <t>BL05</t>
  </si>
  <si>
    <t>BAO Eric (CC-AS/EVA-SW32-CN)</t>
  </si>
  <si>
    <t>ZHANG Yu (CC-AS/EVA-SW31-CN)</t>
  </si>
  <si>
    <t>ZHOU Xiaoxi (CC-AS/EVA-SW31-CN)</t>
  </si>
  <si>
    <t>BB81377</t>
  </si>
  <si>
    <t>BB81116 / BB81175</t>
  </si>
  <si>
    <t>SGMW_ESP93_Carbon_Int</t>
  </si>
  <si>
    <t>GAC_ESP93CP_Carbon_Int</t>
  </si>
  <si>
    <t>/rb/as/sgmw/CN210S/app/net/RBScl/RBScl_SGMW/src/</t>
  </si>
  <si>
    <t>rb/as/gaig/A12ESP/app/net/RBScl/RBScl_GAC/src/NET_SCL_Rx_GearBox.c</t>
  </si>
  <si>
    <t>rb\as\core\app\espibooster_interface\net\src</t>
  </si>
  <si>
    <t>SGMW_RBA_NDS_SystemInfo_Callout.c</t>
  </si>
  <si>
    <t>NET_SCL_Rx_SGMW_RemoteControl.c</t>
  </si>
  <si>
    <t>NET_SCL_Rx_GearBox.c</t>
  </si>
  <si>
    <t>RBNET_ESPiB_Monitoring.c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</si>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</sst>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9C000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7" fillId="7" borderId="0" applyNumberFormat="0" applyBorder="0" applyAlignment="0" applyProtection="0"/>
  </cellStyleXfs>
  <cellXfs count="104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0" fillId="0" borderId="0" xfId="0" applyBorder="1"/>
    <xf numFmtId="14" fontId="0" fillId="0" borderId="0" xfId="0" applyNumberFormat="1"/>
    <xf numFmtId="0" fontId="0" fillId="0" borderId="0" xfId="0" applyNumberFormat="1"/>
    <xf numFmtId="0" fontId="0" fillId="0" borderId="1" xfId="0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quotePrefix="1" applyBorder="1"/>
    <xf numFmtId="0" fontId="0" fillId="0" borderId="1" xfId="0" applyFont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quotePrefix="1" applyFont="1" applyBorder="1" applyAlignment="1">
      <alignment horizontal="left" vertical="top"/>
    </xf>
    <xf numFmtId="0" fontId="0" fillId="2" borderId="1" xfId="0" applyFont="1" applyFill="1" applyBorder="1" applyAlignment="1">
      <alignment horizontal="left" vertical="top"/>
    </xf>
    <xf numFmtId="164" fontId="0" fillId="0" borderId="1" xfId="0" applyNumberFormat="1" applyFont="1" applyBorder="1" applyAlignment="1">
      <alignment horizontal="left" vertical="top"/>
    </xf>
    <xf numFmtId="0" fontId="4" fillId="0" borderId="1" xfId="0" applyNumberFormat="1" applyFont="1" applyFill="1" applyBorder="1" applyAlignment="1" applyProtection="1">
      <alignment horizontal="left" vertical="top"/>
    </xf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0" fillId="0" borderId="0" xfId="0" applyAlignment="1">
      <alignment vertical="top"/>
    </xf>
    <xf numFmtId="0" fontId="6" fillId="2" borderId="1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0" fontId="0" fillId="0" borderId="1" xfId="0" applyNumberFormat="1" applyFont="1" applyBorder="1" applyAlignment="1">
      <alignment horizontal="left" vertical="top"/>
    </xf>
    <xf numFmtId="0" fontId="0" fillId="0" borderId="0" xfId="0" applyFill="1" applyBorder="1" applyAlignment="1">
      <alignment horizontal="right" vertical="center"/>
    </xf>
    <xf numFmtId="10" fontId="0" fillId="0" borderId="0" xfId="0" applyNumberForma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/>
    <xf numFmtId="0" fontId="0" fillId="0" borderId="0" xfId="0" quotePrefix="1"/>
    <xf numFmtId="0" fontId="0" fillId="6" borderId="5" xfId="0" quotePrefix="1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4" fillId="2" borderId="1" xfId="0" applyNumberFormat="1" applyFont="1" applyFill="1" applyBorder="1" applyAlignment="1" applyProtection="1">
      <alignment horizontal="left" vertical="top"/>
    </xf>
    <xf numFmtId="0" fontId="0" fillId="0" borderId="1" xfId="0" applyFill="1" applyBorder="1" applyAlignment="1">
      <alignment horizontal="center" vertical="center"/>
    </xf>
    <xf numFmtId="0" fontId="8" fillId="0" borderId="0" xfId="0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quotePrefix="1" applyFill="1" applyBorder="1" applyAlignment="1">
      <alignment horizontal="left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9" fillId="0" borderId="0" xfId="0" quotePrefix="1" applyFont="1"/>
    <xf numFmtId="0" fontId="0" fillId="8" borderId="1" xfId="0" quotePrefix="1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quotePrefix="1" applyFill="1" applyBorder="1" applyAlignment="1"/>
    <xf numFmtId="0" fontId="2" fillId="2" borderId="1" xfId="0" quotePrefix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2" fillId="2" borderId="1" xfId="0" quotePrefix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center"/>
    </xf>
    <xf numFmtId="0" fontId="2" fillId="0" borderId="1" xfId="0" applyFont="1" applyBorder="1" applyAlignment="1">
      <alignment horizontal="left" vertical="top"/>
    </xf>
    <xf numFmtId="0" fontId="2" fillId="0" borderId="1" xfId="0" applyFont="1" applyFill="1" applyBorder="1" applyAlignment="1">
      <alignment horizontal="left" vertical="top"/>
    </xf>
    <xf numFmtId="0" fontId="0" fillId="0" borderId="1" xfId="0" quotePrefix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0" borderId="1" xfId="0" applyFont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10" fontId="0" fillId="0" borderId="1" xfId="0" applyNumberFormat="1" applyBorder="1" applyAlignment="1">
      <alignment horizontal="center" vertical="top"/>
    </xf>
    <xf numFmtId="0" fontId="0" fillId="3" borderId="1" xfId="0" applyFill="1" applyBorder="1" applyAlignment="1">
      <alignment vertical="top"/>
    </xf>
    <xf numFmtId="0" fontId="2" fillId="0" borderId="0" xfId="0" applyFont="1" applyAlignment="1">
      <alignment vertical="top"/>
    </xf>
    <xf numFmtId="0" fontId="7" fillId="7" borderId="1" xfId="2" applyBorder="1" applyAlignment="1">
      <alignment horizontal="center" vertical="top"/>
    </xf>
    <xf numFmtId="164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6" fontId="0" fillId="0" borderId="0" xfId="0" quotePrefix="1" applyNumberFormat="1" applyAlignment="1">
      <alignment vertical="top"/>
    </xf>
    <xf numFmtId="0" fontId="4" fillId="9" borderId="1" xfId="0" applyNumberFormat="1" applyFont="1" applyFill="1" applyBorder="1" applyAlignment="1" applyProtection="1">
      <alignment horizontal="left" vertical="top"/>
    </xf>
    <xf numFmtId="0" fontId="2" fillId="4" borderId="1" xfId="0" applyFont="1" applyFill="1" applyBorder="1" applyAlignment="1">
      <alignment vertical="top"/>
    </xf>
    <xf numFmtId="0" fontId="2" fillId="0" borderId="1" xfId="0" quotePrefix="1" applyFont="1" applyBorder="1" applyAlignment="1">
      <alignment horizontal="left" vertical="top"/>
    </xf>
    <xf numFmtId="0" fontId="9" fillId="2" borderId="0" xfId="0" applyFont="1" applyFill="1"/>
    <xf numFmtId="0" fontId="0" fillId="9" borderId="0" xfId="0" applyFill="1"/>
    <xf numFmtId="0" fontId="0" fillId="4" borderId="1" xfId="0" applyFont="1" applyFill="1" applyBorder="1" applyAlignment="1">
      <alignment vertical="top"/>
    </xf>
    <xf numFmtId="0" fontId="4" fillId="10" borderId="1" xfId="0" applyNumberFormat="1" applyFont="1" applyFill="1" applyBorder="1" applyAlignment="1" applyProtection="1">
      <alignment horizontal="left" vertical="top"/>
    </xf>
  </cellXfs>
  <cellStyles count="3">
    <cellStyle name="Bad" xfId="2" builtinId="27"/>
    <cellStyle name="Normal" xfId="0" builtinId="0"/>
    <cellStyle name="Normal 3" xfId="1" xr:uid="{00000000-0005-0000-0000-000002000000}"/>
  </cellStyles>
  <dxfs count="96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18</xdr:row>
      <xdr:rowOff>142875</xdr:rowOff>
    </xdr:from>
    <xdr:to>
      <xdr:col>3</xdr:col>
      <xdr:colOff>322851</xdr:colOff>
      <xdr:row>36</xdr:row>
      <xdr:rowOff>113875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3571875"/>
          <a:ext cx="7990476" cy="34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printerSettings" Target="../printerSettings/printerSettings14.bin"/><Relationship Id="rId5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2.bin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2.bin"/><Relationship Id="rId3" Type="http://schemas.openxmlformats.org/officeDocument/2006/relationships/printerSettings" Target="../printerSettings/printerSettings27.bin"/><Relationship Id="rId7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6" Type="http://schemas.openxmlformats.org/officeDocument/2006/relationships/printerSettings" Target="../printerSettings/printerSettings30.bin"/><Relationship Id="rId5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50"/>
  </sheetPr>
  <dimension ref="A1:AN98"/>
  <sheetViews>
    <sheetView tabSelected="1" zoomScale="70" zoomScaleNormal="70" workbookViewId="0"/>
  </sheetViews>
  <sheetFormatPr defaultRowHeight="15" x14ac:dyDescent="0.25"/>
  <cols>
    <col min="3" max="3" width="31.28515625" customWidth="1"/>
    <col min="4" max="4" width="10.140625" customWidth="1"/>
    <col min="5" max="5" width="21.140625" customWidth="1"/>
    <col min="6" max="6" width="24" customWidth="1"/>
    <col min="7" max="7" width="14.140625" bestFit="1" customWidth="1"/>
    <col min="8" max="8" width="17.28515625" bestFit="1" customWidth="1"/>
    <col min="9" max="9" width="15.85546875" customWidth="1"/>
    <col min="10" max="10" width="17" bestFit="1" customWidth="1"/>
    <col min="11" max="11" width="24.42578125" bestFit="1" customWidth="1"/>
    <col min="12" max="12" width="17.28515625" customWidth="1"/>
    <col min="13" max="13" width="20.5703125" customWidth="1"/>
    <col min="14" max="14" width="55.85546875" bestFit="1" customWidth="1"/>
    <col min="24" max="24" width="19.28515625" bestFit="1" customWidth="1"/>
    <col min="25" max="25" width="17.42578125" bestFit="1" customWidth="1"/>
    <col min="26" max="26" width="16" bestFit="1" customWidth="1"/>
    <col min="27" max="28" width="15" bestFit="1" customWidth="1"/>
    <col min="29" max="29" width="17.42578125" bestFit="1" customWidth="1"/>
    <col min="30" max="30" width="16" bestFit="1" customWidth="1"/>
    <col min="31" max="31" width="14.140625" customWidth="1"/>
    <col min="32" max="32" width="14" customWidth="1"/>
    <col min="33" max="33" width="7.7109375" bestFit="1" customWidth="1"/>
    <col min="34" max="35" width="9.140625" bestFit="1" customWidth="1"/>
    <col min="36" max="36" width="9.85546875" bestFit="1" customWidth="1"/>
    <col min="37" max="37" width="17.7109375" bestFit="1" customWidth="1"/>
    <col min="38" max="38" width="48.85546875" customWidth="1"/>
    <col min="39" max="39" width="35.85546875" bestFit="1" customWidth="1"/>
    <col min="40" max="40" width="45.140625" customWidth="1"/>
  </cols>
  <sheetData>
    <row r="1" spans="1:13" x14ac:dyDescent="0.25">
      <c r="A1" s="92" t="s">
        <v>179</v>
      </c>
    </row>
    <row r="2" spans="1:13" x14ac:dyDescent="0.25">
      <c r="B2" s="92" t="s">
        <v>56</v>
      </c>
      <c r="C2" s="24"/>
      <c r="D2" s="24"/>
      <c r="E2" s="24"/>
      <c r="F2" s="24"/>
      <c r="G2" s="24"/>
      <c r="H2" s="24"/>
    </row>
    <row r="3" spans="1:13" x14ac:dyDescent="0.25">
      <c r="B3" s="85" t="s">
        <v>0</v>
      </c>
      <c r="C3" s="85" t="s">
        <v>8</v>
      </c>
      <c r="D3" s="85" t="s">
        <v>137</v>
      </c>
      <c r="E3" s="85" t="s">
        <v>57</v>
      </c>
      <c r="F3" s="85" t="s">
        <v>147</v>
      </c>
      <c r="G3" s="85" t="s">
        <v>22</v>
      </c>
      <c r="H3" s="86" t="s">
        <v>24</v>
      </c>
      <c r="J3" s="92" t="s">
        <v>43</v>
      </c>
    </row>
    <row r="4" spans="1:13" x14ac:dyDescent="0.25">
      <c r="B4" s="87">
        <v>1</v>
      </c>
      <c r="C4" s="98" t="s">
        <v>6</v>
      </c>
      <c r="D4" s="89">
        <f>SUMIFS($W$48:$W$97,$D$48:$D$97,Table!$D$3,$S$48:$S$97,C4)</f>
        <v>0</v>
      </c>
      <c r="E4" s="89">
        <f>SUMIFS($W$48:$W$97,$D$48:$D$97,Table!$D$3,$S$48:$S$97,C4)-SUM(SUMIFS($W$48:$W$97,$D$48:$D$97,Table!$D$3,$S$48:$S$97,C4,$AA$48:$AA$97,{"Ongoing","N/A",""}))</f>
        <v>0</v>
      </c>
      <c r="F4" s="89">
        <f>1/8*(SUMIFS($Z$48:$Z$97,$D$48:$D$97,Table!$D$3,$S$48:$S$97,C4)-SUM(SUMIFS($Z$48:$Z$97,$D$48:$D$97,Table!$D$3,$S$48:$S$97,C4,$AA$48:$AA$97,{"Ongoing","N/A",""})))</f>
        <v>0</v>
      </c>
      <c r="G4" s="89" t="str">
        <f>IF(ISERROR(E4/(F4)),"N/A",E4/F4)</f>
        <v>N/A</v>
      </c>
      <c r="H4" s="90" t="str">
        <f>IF(ISERROR(E4/D4),"N/A",E4/D4)</f>
        <v>N/A</v>
      </c>
      <c r="K4" s="92" t="s">
        <v>45</v>
      </c>
    </row>
    <row r="5" spans="1:13" x14ac:dyDescent="0.25">
      <c r="B5" s="87">
        <v>2</v>
      </c>
      <c r="C5" s="98" t="s">
        <v>68</v>
      </c>
      <c r="D5" s="89">
        <f>SUMIFS($W$48:$W$97,$D$48:$D$97,Table!$D$3,$S$48:$S$97,C5)</f>
        <v>1994</v>
      </c>
      <c r="E5" s="89">
        <f>SUMIFS($W$48:$W$97,$D$48:$D$97,Table!$D$3,$S$48:$S$97,C5)-SUM(SUMIFS($W$48:$W$97,$D$48:$D$97,Table!$D$3,$S$48:$S$97,C5,$AA$48:$AA$97,{"Ongoing","N/A",""}))</f>
        <v>0</v>
      </c>
      <c r="F5" s="89">
        <f>1/8*(SUMIFS($Z$48:$Z$97,$D$48:$D$97,Table!$D$3,$S$48:$S$97,C5)-SUM(SUMIFS($Z$48:$Z$97,$D$48:$D$97,Table!$D$3,$S$48:$S$97,C5,$AA$48:$AA$97,{"Ongoing","N/A",""})))</f>
        <v>0</v>
      </c>
      <c r="G5" s="89" t="str">
        <f t="shared" ref="G5:G6" si="0">IF(ISERROR(E5/(F5)),"N/A",E5/F5)</f>
        <v>N/A</v>
      </c>
      <c r="H5" s="90">
        <f t="shared" ref="H5:H14" si="1">IF(ISERROR(E5/D5),"N/A",E5/D5)</f>
        <v>0</v>
      </c>
      <c r="L5" s="24" t="s">
        <v>44</v>
      </c>
    </row>
    <row r="6" spans="1:13" x14ac:dyDescent="0.25">
      <c r="B6" s="87">
        <v>3</v>
      </c>
      <c r="C6" s="98" t="s">
        <v>69</v>
      </c>
      <c r="D6" s="89">
        <f>SUMIFS($W$48:$W$97,$D$48:$D$97,Table!$D$3,$S$48:$S$97,C6)</f>
        <v>1612</v>
      </c>
      <c r="E6" s="89">
        <f>SUMIFS($W$48:$W$97,$D$48:$D$97,Table!$D$3,$S$48:$S$97,C6)-SUM(SUMIFS($W$48:$W$97,$D$48:$D$97,Table!$D$3,$S$48:$S$97,C6,$AA$48:$AA$97,{"Ongoing","N/A",""}))</f>
        <v>0</v>
      </c>
      <c r="F6" s="89">
        <f>1/8*(SUMIFS($Z$48:$Z$97,$D$48:$D$97,Table!$D$3,$S$48:$S$97,C6)-SUM(SUMIFS($Z$48:$Z$97,$D$48:$D$97,Table!$D$3,$S$48:$S$97,C6,$AA$48:$AA$97,{"Ongoing","N/A",""})))</f>
        <v>0</v>
      </c>
      <c r="G6" s="89" t="str">
        <f t="shared" si="0"/>
        <v>N/A</v>
      </c>
      <c r="H6" s="90">
        <f t="shared" si="1"/>
        <v>0</v>
      </c>
      <c r="L6" s="24" t="s">
        <v>104</v>
      </c>
    </row>
    <row r="7" spans="1:13" x14ac:dyDescent="0.25">
      <c r="B7" s="87">
        <v>4</v>
      </c>
      <c r="C7" s="102" t="s">
        <v>70</v>
      </c>
      <c r="D7" s="89">
        <f>SUMIFS($W$48:$W$97,$D$48:$D$97,Table!$D$3,$S$48:$S$97,C7)</f>
        <v>0</v>
      </c>
      <c r="E7" s="89">
        <f>SUMIFS($W$48:$W$97,$D$48:$D$97,Table!$D$3,$S$48:$S$97,C7)-SUM(SUMIFS($W$48:$W$97,$D$48:$D$97,Table!$D$3,$S$48:$S$97,C7,$AA$48:$AA$97,{"Ongoing","N/A",""}))</f>
        <v>0</v>
      </c>
      <c r="F7" s="89">
        <f>1/8*(SUMIFS($Z$48:$Z$97,$D$48:$D$97,Table!$D$3,$S$48:$S$97,C7)-SUM(SUMIFS($Z$48:$Z$97,$D$48:$D$97,Table!$D$3,$S$48:$S$97,C7,$AA$48:$AA$97,{"Ongoing","N/A",""})))</f>
        <v>0</v>
      </c>
      <c r="G7" s="89" t="str">
        <f t="shared" ref="G7:G13" si="2">IF(ISERROR(E7/(F7)),"N/A",E7/F7)</f>
        <v>N/A</v>
      </c>
      <c r="H7" s="90" t="str">
        <f t="shared" ref="H7:H13" si="3">IF(ISERROR(E7/D7),"N/A",E7/D7)</f>
        <v>N/A</v>
      </c>
      <c r="K7" s="92" t="s">
        <v>46</v>
      </c>
    </row>
    <row r="8" spans="1:13" x14ac:dyDescent="0.25">
      <c r="B8" s="87">
        <v>5</v>
      </c>
      <c r="C8" s="88" t="s">
        <v>71</v>
      </c>
      <c r="D8" s="89">
        <f>SUMIFS($W$48:$W$97,$D$48:$D$97,Table!$D$3,$S$48:$S$97,C8)</f>
        <v>0</v>
      </c>
      <c r="E8" s="89">
        <f>SUMIFS($W$48:$W$97,$D$48:$D$97,Table!$D$3,$S$48:$S$97,C8)-SUM(SUMIFS($W$48:$W$97,$D$48:$D$97,Table!$D$3,$S$48:$S$97,C8,$AA$48:$AA$97,{"Ongoing","N/A",""}))</f>
        <v>0</v>
      </c>
      <c r="F8" s="89">
        <f>1/8*(SUMIFS($Z$48:$Z$97,$D$48:$D$97,Table!$D$3,$S$48:$S$97,C8)-SUM(SUMIFS($Z$48:$Z$97,$D$48:$D$97,Table!$D$3,$S$48:$S$97,C8,$AA$48:$AA$97,{"Ongoing","N/A",""})))</f>
        <v>0</v>
      </c>
      <c r="G8" s="89" t="str">
        <f t="shared" si="2"/>
        <v>N/A</v>
      </c>
      <c r="H8" s="90" t="str">
        <f t="shared" si="3"/>
        <v>N/A</v>
      </c>
      <c r="L8" s="24" t="s">
        <v>47</v>
      </c>
    </row>
    <row r="9" spans="1:13" x14ac:dyDescent="0.25">
      <c r="B9" s="87">
        <v>6</v>
      </c>
      <c r="C9" s="88" t="s">
        <v>72</v>
      </c>
      <c r="D9" s="89">
        <f>SUMIFS($W$48:$W$97,$D$48:$D$97,Table!$D$3,$S$48:$S$97,C9)</f>
        <v>0</v>
      </c>
      <c r="E9" s="89">
        <f>SUMIFS($W$48:$W$97,$D$48:$D$97,Table!$D$3,$S$48:$S$97,C9)-SUM(SUMIFS($W$48:$W$97,$D$48:$D$97,Table!$D$3,$S$48:$S$97,C9,$AA$48:$AA$97,{"Ongoing","N/A",""}))</f>
        <v>0</v>
      </c>
      <c r="F9" s="89">
        <f>1/8*(SUMIFS($Z$48:$Z$97,$D$48:$D$97,Table!$D$3,$S$48:$S$97,C9)-SUM(SUMIFS($Z$48:$Z$97,$D$48:$D$97,Table!$D$3,$S$48:$S$97,C9,$AA$48:$AA$97,{"Ongoing","N/A",""})))</f>
        <v>0</v>
      </c>
      <c r="G9" s="89" t="str">
        <f t="shared" si="2"/>
        <v>N/A</v>
      </c>
      <c r="H9" s="90" t="str">
        <f t="shared" si="3"/>
        <v>N/A</v>
      </c>
      <c r="L9" s="24" t="s">
        <v>48</v>
      </c>
    </row>
    <row r="10" spans="1:13" x14ac:dyDescent="0.25">
      <c r="B10" s="87">
        <v>7</v>
      </c>
      <c r="C10" s="88" t="s">
        <v>73</v>
      </c>
      <c r="D10" s="89">
        <f>SUMIFS($W$48:$W$97,$D$48:$D$97,Table!$D$3,$S$48:$S$97,C10)</f>
        <v>0</v>
      </c>
      <c r="E10" s="89">
        <f>SUMIFS($W$48:$W$97,$D$48:$D$97,Table!$D$3,$S$48:$S$97,C10)-SUM(SUMIFS($W$48:$W$97,$D$48:$D$97,Table!$D$3,$S$48:$S$97,C10,$AA$48:$AA$97,{"Ongoing","N/A",""}))</f>
        <v>0</v>
      </c>
      <c r="F10" s="89">
        <f>1/8*(SUMIFS($Z$48:$Z$97,$D$48:$D$97,Table!$D$3,$S$48:$S$97,C10)-SUM(SUMIFS($Z$48:$Z$97,$D$48:$D$97,Table!$D$3,$S$48:$S$97,C10,$AA$48:$AA$97,{"Ongoing","N/A",""})))</f>
        <v>0</v>
      </c>
      <c r="G10" s="89" t="str">
        <f t="shared" si="2"/>
        <v>N/A</v>
      </c>
      <c r="H10" s="90" t="str">
        <f t="shared" si="3"/>
        <v>N/A</v>
      </c>
    </row>
    <row r="11" spans="1:13" x14ac:dyDescent="0.25">
      <c r="B11" s="87">
        <v>8</v>
      </c>
      <c r="C11" s="88" t="s">
        <v>74</v>
      </c>
      <c r="D11" s="89">
        <f>SUMIFS($W$48:$W$97,$D$48:$D$97,Table!$D$3,$S$48:$S$97,C11)</f>
        <v>0</v>
      </c>
      <c r="E11" s="89">
        <f>SUMIFS($W$48:$W$97,$D$48:$D$97,Table!$D$3,$S$48:$S$97,C11)-SUM(SUMIFS($W$48:$W$97,$D$48:$D$97,Table!$D$3,$S$48:$S$97,C11,$AA$48:$AA$97,{"Ongoing","N/A",""}))</f>
        <v>0</v>
      </c>
      <c r="F11" s="89">
        <f>1/8*(SUMIFS($Z$48:$Z$97,$D$48:$D$97,Table!$D$3,$S$48:$S$97,C11)-SUM(SUMIFS($Z$48:$Z$97,$D$48:$D$97,Table!$D$3,$S$48:$S$97,C11,$AA$48:$AA$97,{"Ongoing","N/A",""})))</f>
        <v>0</v>
      </c>
      <c r="G11" s="89" t="str">
        <f t="shared" si="2"/>
        <v>N/A</v>
      </c>
      <c r="H11" s="90" t="str">
        <f t="shared" si="3"/>
        <v>N/A</v>
      </c>
    </row>
    <row r="12" spans="1:13" x14ac:dyDescent="0.25">
      <c r="B12" s="87">
        <v>9</v>
      </c>
      <c r="C12" s="88" t="s">
        <v>187</v>
      </c>
      <c r="D12" s="89">
        <f>SUMIFS($W$48:$W$97,$D$48:$D$97,Table!$D$3,$S$48:$S$97,C12)</f>
        <v>0</v>
      </c>
      <c r="E12" s="89">
        <f>SUMIFS($W$48:$W$97,$D$48:$D$97,Table!$D$3,$S$48:$S$97,C12)-SUM(SUMIFS($W$48:$W$97,$D$48:$D$97,Table!$D$3,$S$48:$S$97,C12,$AA$48:$AA$97,{"Ongoing","N/A",""}))</f>
        <v>0</v>
      </c>
      <c r="F12" s="89">
        <f>1/8*(SUMIFS($Z$48:$Z$97,$D$48:$D$97,Table!$D$3,$S$48:$S$97,C12)-SUM(SUMIFS($Z$48:$Z$97,$D$48:$D$97,Table!$D$3,$S$48:$S$97,C12,$AA$48:$AA$97,{"Ongoing","N/A",""})))</f>
        <v>0</v>
      </c>
      <c r="G12" s="89" t="str">
        <f t="shared" si="2"/>
        <v>N/A</v>
      </c>
      <c r="H12" s="90" t="str">
        <f t="shared" si="3"/>
        <v>N/A</v>
      </c>
    </row>
    <row r="13" spans="1:13" x14ac:dyDescent="0.25">
      <c r="B13" s="87">
        <v>10</v>
      </c>
      <c r="C13" s="98" t="s">
        <v>188</v>
      </c>
      <c r="D13" s="89">
        <f>SUMIFS($W$48:$W$97,$D$48:$D$97,Table!$D$3,$S$48:$S$97,C13)</f>
        <v>1363</v>
      </c>
      <c r="E13" s="89">
        <f>SUMIFS($W$48:$W$97,$D$48:$D$97,Table!$D$3,$S$48:$S$97,C13)-SUM(SUMIFS($W$48:$W$97,$D$48:$D$97,Table!$D$3,$S$48:$S$97,C13,$AA$48:$AA$97,{"Ongoing","N/A",""}))</f>
        <v>0</v>
      </c>
      <c r="F13" s="89">
        <f>1/8*(SUMIFS($Z$48:$Z$97,$D$48:$D$97,Table!$D$3,$S$48:$S$97,C13)-SUM(SUMIFS($Z$48:$Z$97,$D$48:$D$97,Table!$D$3,$S$48:$S$97,C13,$AA$48:$AA$97,{"Ongoing","N/A",""})))</f>
        <v>0</v>
      </c>
      <c r="G13" s="89" t="str">
        <f t="shared" si="2"/>
        <v>N/A</v>
      </c>
      <c r="H13" s="90">
        <f t="shared" si="3"/>
        <v>0</v>
      </c>
      <c r="J13" s="92" t="s">
        <v>42</v>
      </c>
      <c r="K13" s="94">
        <v>43949</v>
      </c>
      <c r="M13" s="94">
        <f ca="1">TODAY()</f>
        <v>43953</v>
      </c>
    </row>
    <row r="14" spans="1:13" x14ac:dyDescent="0.25">
      <c r="B14" s="85" t="s">
        <v>114</v>
      </c>
      <c r="C14" s="91"/>
      <c r="D14" s="93">
        <f>SUMIFS($W$48:$W$97,$D$48:$D$97,Table!$D$3)</f>
        <v>4969</v>
      </c>
      <c r="E14" s="93">
        <f>SUMIFS($W$48:$W$97,$D$48:$D$97,Table!$D$3)-SUM(SUMIFS($W$48:$W$97,$D$48:$D$97,Table!$D$3,$AA$48:$AA$97,{"Ongoing","N/A",""}))</f>
        <v>0</v>
      </c>
      <c r="F14" s="93">
        <f>1/8*(SUMIFS($Z$48:$Z$97,$D$48:$D$97,Table!$D$3)-SUM(SUMIFS($Z$48:$Z$97,$D$48:$D$97,Table!$D$3,$AA$48:$AA$97,{"Ongoing","N/A",""})))</f>
        <v>0</v>
      </c>
      <c r="G14" s="89" t="str">
        <f>IF(ISERROR(E14/(F14)),"N/A",E14/F14)</f>
        <v>N/A</v>
      </c>
      <c r="H14" s="90">
        <f t="shared" si="1"/>
        <v>0</v>
      </c>
      <c r="J14" s="92" t="s">
        <v>30</v>
      </c>
      <c r="K14" s="95">
        <f ca="1">SUM(INT((WEEKDAY(K13-{2,3,4,5,6}) +M13-K13)/7))</f>
        <v>4</v>
      </c>
    </row>
    <row r="15" spans="1:13" x14ac:dyDescent="0.25">
      <c r="J15" s="92" t="s">
        <v>163</v>
      </c>
      <c r="K15" s="95">
        <v>1</v>
      </c>
      <c r="L15" s="96" t="s">
        <v>359</v>
      </c>
    </row>
    <row r="16" spans="1:13" x14ac:dyDescent="0.25">
      <c r="J16" s="92" t="s">
        <v>116</v>
      </c>
      <c r="K16" s="24">
        <f ca="1">IF(TODAY()&lt;M13,SUM(INT((WEEKDAY(K13-{2,3,4,5,6})+TODAY()-K13)/7)),SUM(INT((WEEKDAY(K13-{2,3,4,5,6})+M13-K13)/7)))-K15</f>
        <v>3</v>
      </c>
    </row>
    <row r="17" spans="2:12" x14ac:dyDescent="0.25">
      <c r="B17" s="92" t="s">
        <v>55</v>
      </c>
    </row>
    <row r="18" spans="2:12" x14ac:dyDescent="0.25">
      <c r="B18" s="85" t="s">
        <v>0</v>
      </c>
      <c r="C18" s="85" t="s">
        <v>8</v>
      </c>
      <c r="D18" s="85" t="s">
        <v>137</v>
      </c>
      <c r="E18" s="85" t="s">
        <v>57</v>
      </c>
      <c r="F18" s="85" t="s">
        <v>147</v>
      </c>
      <c r="G18" s="85" t="s">
        <v>22</v>
      </c>
      <c r="H18" s="86" t="s">
        <v>24</v>
      </c>
    </row>
    <row r="19" spans="2:12" x14ac:dyDescent="0.25">
      <c r="B19" s="87">
        <v>1</v>
      </c>
      <c r="C19" s="98" t="s">
        <v>6</v>
      </c>
      <c r="D19" s="89">
        <f>SUMIFS($W$48:$W$97,$D$48:$D$97,Table!$C$3,$S$48:$S$97,C19)</f>
        <v>0</v>
      </c>
      <c r="E19" s="89">
        <f>SUMIFS($X$48:$X$97,$D$48:$D$97,Table!$C$3,$S$48:$S$97,C19)-SUM(SUMIFS($X$48:$X$97,$D$48:$D$97,Table!$C$3,$S$48:$S$97,C19,$AA$48:$AA$97,{"Ongoing","N/A",""}))</f>
        <v>0</v>
      </c>
      <c r="F19" s="89">
        <f>1/8*(SUMIFS($Z$48:$Z$97,$D$48:$D$97,Table!$C$3,$S$48:$S$97,C19)-SUM(SUMIFS($Z$48:$Z$97,$D$48:$D$97,Table!$C$3,$S$48:$S$97,C19,$AA$48:$AA$97,{"Ongoing","N/A",""})))</f>
        <v>0</v>
      </c>
      <c r="G19" s="89" t="str">
        <f>IF(ISERROR(E19/(F19)),"N/A",E19/F19)</f>
        <v>N/A</v>
      </c>
      <c r="H19" s="90" t="str">
        <f>IF(ISERROR(E19/D19),"N/A",E19/D19)</f>
        <v>N/A</v>
      </c>
    </row>
    <row r="20" spans="2:12" x14ac:dyDescent="0.25">
      <c r="B20" s="87">
        <v>2</v>
      </c>
      <c r="C20" s="98" t="s">
        <v>68</v>
      </c>
      <c r="D20" s="89">
        <f>SUMIFS($W$48:$W$97,$D$48:$D$97,Table!$C$3,$S$48:$S$97,C20)</f>
        <v>0</v>
      </c>
      <c r="E20" s="89">
        <f>SUMIFS($X$48:$X$97,$D$48:$D$97,Table!$C$3,$S$48:$S$97,C20)-SUM(SUMIFS($X$48:$X$97,$D$48:$D$97,Table!$C$3,$S$48:$S$97,C20,$AA$48:$AA$97,{"Ongoing","N/A",""}))</f>
        <v>0</v>
      </c>
      <c r="F20" s="89">
        <f>1/8*(SUMIFS($Z$48:$Z$97,$D$48:$D$97,Table!$C$3,$S$48:$S$97,C20)-SUM(SUMIFS($Z$48:$Z$97,$D$48:$D$97,Table!$C$3,$S$48:$S$97,C20,$AA$48:$AA$97,{"Ongoing","N/A",""})))</f>
        <v>0</v>
      </c>
      <c r="G20" s="89" t="str">
        <f t="shared" ref="G20:G29" si="4">IF(ISERROR(E20/(F20)),"N/A",E20/F20)</f>
        <v>N/A</v>
      </c>
      <c r="H20" s="90" t="str">
        <f t="shared" ref="H20:H29" si="5">IF(ISERROR(E20/D20),"N/A",E20/D20)</f>
        <v>N/A</v>
      </c>
    </row>
    <row r="21" spans="2:12" x14ac:dyDescent="0.25">
      <c r="B21" s="87">
        <v>3</v>
      </c>
      <c r="C21" s="98" t="s">
        <v>69</v>
      </c>
      <c r="D21" s="89">
        <f>SUMIFS($W$48:$W$97,$D$48:$D$97,Table!$C$3,$S$48:$S$97,C21)</f>
        <v>0</v>
      </c>
      <c r="E21" s="89">
        <f>SUMIFS($X$48:$X$97,$D$48:$D$97,Table!$C$3,$S$48:$S$97,C21)-SUM(SUMIFS($X$48:$X$97,$D$48:$D$97,Table!$C$3,$S$48:$S$97,C21,$AA$48:$AA$97,{"Ongoing","N/A",""}))</f>
        <v>0</v>
      </c>
      <c r="F21" s="89">
        <f>1/8*(SUMIFS($Z$48:$Z$97,$D$48:$D$97,Table!$C$3,$S$48:$S$97,C21)-SUM(SUMIFS($Z$48:$Z$97,$D$48:$D$97,Table!$C$3,$S$48:$S$97,C21,$AA$48:$AA$97,{"Ongoing","N/A",""})))</f>
        <v>0</v>
      </c>
      <c r="G21" s="89" t="str">
        <f t="shared" ref="G21:G28" si="6">IF(ISERROR(E21/(F21)),"N/A",E21/F21)</f>
        <v>N/A</v>
      </c>
      <c r="H21" s="90" t="str">
        <f t="shared" ref="H21:H28" si="7">IF(ISERROR(E21/D21),"N/A",E21/D21)</f>
        <v>N/A</v>
      </c>
    </row>
    <row r="22" spans="2:12" x14ac:dyDescent="0.25">
      <c r="B22" s="87">
        <v>4</v>
      </c>
      <c r="C22" s="102" t="s">
        <v>70</v>
      </c>
      <c r="D22" s="89">
        <f>SUMIFS($W$48:$W$97,$D$48:$D$97,Table!$C$3,$S$48:$S$97,C22)</f>
        <v>0</v>
      </c>
      <c r="E22" s="89">
        <f>SUMIFS($X$48:$X$97,$D$48:$D$97,Table!$C$3,$S$48:$S$97,C22)-SUM(SUMIFS($X$48:$X$97,$D$48:$D$97,Table!$C$3,$S$48:$S$97,C22,$AA$48:$AA$97,{"Ongoing","N/A",""}))</f>
        <v>0</v>
      </c>
      <c r="F22" s="89">
        <f>1/8*(SUMIFS($Z$48:$Z$97,$D$48:$D$97,Table!$C$3,$S$48:$S$97,C22)-SUM(SUMIFS($Z$48:$Z$97,$D$48:$D$97,Table!$C$3,$S$48:$S$97,C22,$AA$48:$AA$97,{"Ongoing","N/A",""})))</f>
        <v>0</v>
      </c>
      <c r="G22" s="89" t="str">
        <f t="shared" si="6"/>
        <v>N/A</v>
      </c>
      <c r="H22" s="90" t="str">
        <f t="shared" si="7"/>
        <v>N/A</v>
      </c>
    </row>
    <row r="23" spans="2:12" x14ac:dyDescent="0.25">
      <c r="B23" s="87">
        <v>5</v>
      </c>
      <c r="C23" s="88" t="s">
        <v>71</v>
      </c>
      <c r="D23" s="89">
        <f>SUMIFS($W$48:$W$97,$D$48:$D$97,Table!$C$3,$S$48:$S$97,C23)</f>
        <v>0</v>
      </c>
      <c r="E23" s="89">
        <f>SUMIFS($X$48:$X$97,$D$48:$D$97,Table!$C$3,$S$48:$S$97,C23)-SUM(SUMIFS($X$48:$X$97,$D$48:$D$97,Table!$C$3,$S$48:$S$97,C23,$AA$48:$AA$97,{"Ongoing","N/A",""}))</f>
        <v>0</v>
      </c>
      <c r="F23" s="89">
        <f>1/8*(SUMIFS($Z$48:$Z$97,$D$48:$D$97,Table!$C$3,$S$48:$S$97,C23)-SUM(SUMIFS($Z$48:$Z$97,$D$48:$D$97,Table!$C$3,$S$48:$S$97,C23,$AA$48:$AA$97,{"Ongoing","N/A",""})))</f>
        <v>0</v>
      </c>
      <c r="G23" s="89" t="str">
        <f t="shared" si="6"/>
        <v>N/A</v>
      </c>
      <c r="H23" s="90" t="str">
        <f t="shared" si="7"/>
        <v>N/A</v>
      </c>
    </row>
    <row r="24" spans="2:12" x14ac:dyDescent="0.25">
      <c r="B24" s="87">
        <v>6</v>
      </c>
      <c r="C24" s="88" t="s">
        <v>72</v>
      </c>
      <c r="D24" s="89">
        <f>SUMIFS($W$48:$W$97,$D$48:$D$97,Table!$C$3,$S$48:$S$97,C24)</f>
        <v>0</v>
      </c>
      <c r="E24" s="89">
        <f>SUMIFS($X$48:$X$97,$D$48:$D$97,Table!$C$3,$S$48:$S$97,C24)-SUM(SUMIFS($X$48:$X$97,$D$48:$D$97,Table!$C$3,$S$48:$S$97,C24,$AA$48:$AA$97,{"Ongoing","N/A",""}))</f>
        <v>0</v>
      </c>
      <c r="F24" s="89">
        <f>1/8*(SUMIFS($Z$48:$Z$97,$D$48:$D$97,Table!$C$3,$S$48:$S$97,C24)-SUM(SUMIFS($Z$48:$Z$97,$D$48:$D$97,Table!$C$3,$S$48:$S$97,C24,$AA$48:$AA$97,{"Ongoing","N/A",""})))</f>
        <v>0</v>
      </c>
      <c r="G24" s="89" t="str">
        <f t="shared" si="6"/>
        <v>N/A</v>
      </c>
      <c r="H24" s="90" t="str">
        <f t="shared" si="7"/>
        <v>N/A</v>
      </c>
    </row>
    <row r="25" spans="2:12" x14ac:dyDescent="0.25">
      <c r="B25" s="87">
        <v>7</v>
      </c>
      <c r="C25" s="88" t="s">
        <v>73</v>
      </c>
      <c r="D25" s="89">
        <f>SUMIFS($W$48:$W$97,$D$48:$D$97,Table!$C$3,$S$48:$S$97,C25)</f>
        <v>0</v>
      </c>
      <c r="E25" s="89">
        <f>SUMIFS($X$48:$X$97,$D$48:$D$97,Table!$C$3,$S$48:$S$97,C25)-SUM(SUMIFS($X$48:$X$97,$D$48:$D$97,Table!$C$3,$S$48:$S$97,C25,$AA$48:$AA$97,{"Ongoing","N/A",""}))</f>
        <v>0</v>
      </c>
      <c r="F25" s="89">
        <f>1/8*(SUMIFS($Z$48:$Z$97,$D$48:$D$97,Table!$C$3,$S$48:$S$97,C25)-SUM(SUMIFS($Z$48:$Z$97,$D$48:$D$97,Table!$C$3,$S$48:$S$97,C25,$AA$48:$AA$97,{"Ongoing","N/A",""})))</f>
        <v>0</v>
      </c>
      <c r="G25" s="89" t="str">
        <f t="shared" si="6"/>
        <v>N/A</v>
      </c>
      <c r="H25" s="90" t="str">
        <f t="shared" si="7"/>
        <v>N/A</v>
      </c>
    </row>
    <row r="26" spans="2:12" x14ac:dyDescent="0.25">
      <c r="B26" s="87">
        <v>8</v>
      </c>
      <c r="C26" s="88" t="s">
        <v>74</v>
      </c>
      <c r="D26" s="89">
        <f>SUMIFS($W$48:$W$97,$D$48:$D$97,Table!$C$3,$S$48:$S$97,C26)</f>
        <v>0</v>
      </c>
      <c r="E26" s="89">
        <f>SUMIFS($X$48:$X$97,$D$48:$D$97,Table!$C$3,$S$48:$S$97,C26)-SUM(SUMIFS($X$48:$X$97,$D$48:$D$97,Table!$C$3,$S$48:$S$97,C26,$AA$48:$AA$97,{"Ongoing","N/A",""}))</f>
        <v>0</v>
      </c>
      <c r="F26" s="89">
        <f>1/8*(SUMIFS($Z$48:$Z$97,$D$48:$D$97,Table!$C$3,$S$48:$S$97,C26)-SUM(SUMIFS($Z$48:$Z$97,$D$48:$D$97,Table!$C$3,$S$48:$S$97,C26,$AA$48:$AA$97,{"Ongoing","N/A",""})))</f>
        <v>0</v>
      </c>
      <c r="G26" s="89" t="str">
        <f t="shared" si="6"/>
        <v>N/A</v>
      </c>
      <c r="H26" s="90" t="str">
        <f t="shared" si="7"/>
        <v>N/A</v>
      </c>
    </row>
    <row r="27" spans="2:12" x14ac:dyDescent="0.25">
      <c r="B27" s="87">
        <v>9</v>
      </c>
      <c r="C27" s="88" t="s">
        <v>187</v>
      </c>
      <c r="D27" s="89">
        <f>SUMIFS($W$48:$W$97,$D$48:$D$97,Table!$C$3,$S$48:$S$97,C27)</f>
        <v>0</v>
      </c>
      <c r="E27" s="89">
        <f>SUMIFS($X$48:$X$97,$D$48:$D$97,Table!$C$3,$S$48:$S$97,C27)-SUM(SUMIFS($X$48:$X$97,$D$48:$D$97,Table!$C$3,$S$48:$S$97,C27,$AA$48:$AA$97,{"Ongoing","N/A",""}))</f>
        <v>0</v>
      </c>
      <c r="F27" s="89">
        <f>1/8*(SUMIFS($Z$48:$Z$97,$D$48:$D$97,Table!$C$3,$S$48:$S$97,C27)-SUM(SUMIFS($Z$48:$Z$97,$D$48:$D$97,Table!$C$3,$S$48:$S$97,C27,$AA$48:$AA$97,{"Ongoing","N/A",""})))</f>
        <v>0</v>
      </c>
      <c r="G27" s="89" t="str">
        <f t="shared" si="6"/>
        <v>N/A</v>
      </c>
      <c r="H27" s="90" t="str">
        <f t="shared" si="7"/>
        <v>N/A</v>
      </c>
    </row>
    <row r="28" spans="2:12" x14ac:dyDescent="0.25">
      <c r="B28" s="87">
        <v>10</v>
      </c>
      <c r="C28" s="98" t="s">
        <v>188</v>
      </c>
      <c r="D28" s="89">
        <f>SUMIFS($W$48:$W$97,$D$48:$D$97,Table!$C$3,$S$48:$S$97,C28)</f>
        <v>0</v>
      </c>
      <c r="E28" s="89">
        <f>SUMIFS($X$48:$X$97,$D$48:$D$97,Table!$C$3,$S$48:$S$97,C28)-SUM(SUMIFS($X$48:$X$97,$D$48:$D$97,Table!$C$3,$S$48:$S$97,C28,$AA$48:$AA$97,{"Ongoing","N/A",""}))</f>
        <v>0</v>
      </c>
      <c r="F28" s="89">
        <f>1/8*(SUMIFS($Z$48:$Z$97,$D$48:$D$97,Table!$C$3,$S$48:$S$97,C28)-SUM(SUMIFS($Z$48:$Z$97,$D$48:$D$97,Table!$C$3,$S$48:$S$97,C28,$AA$48:$AA$97,{"Ongoing","N/A",""})))</f>
        <v>0</v>
      </c>
      <c r="G28" s="89" t="str">
        <f t="shared" si="6"/>
        <v>N/A</v>
      </c>
      <c r="H28" s="90" t="str">
        <f t="shared" si="7"/>
        <v>N/A</v>
      </c>
    </row>
    <row r="29" spans="2:12" x14ac:dyDescent="0.25">
      <c r="B29" s="85" t="s">
        <v>114</v>
      </c>
      <c r="C29" s="91"/>
      <c r="D29" s="93">
        <f>ROUND(SUMIFS($W$48:$W$97,$D$48:$D$97,Table!$C$3),3)</f>
        <v>0</v>
      </c>
      <c r="E29" s="93">
        <f>ROUND(SUMIFS($W$48:$W$97,$D$48:$D$97,Table!$C$3)-SUM(SUMIFS($W$48:$W$97,$D$48:$D$97,Table!$C$3,$AA$48:$AA$97,{"Ongoing","N/A",""})),3)</f>
        <v>0</v>
      </c>
      <c r="F29" s="93">
        <f>1/8*(SUMIFS($Z$48:$Z$97,$D$48:$D$97,Table!$C$3)-SUM(SUMIFS($Z$48:$Z$97,$D$48:$D$97,Table!$C$3,$AA$48:$AA$97,{"Ongoing","N/A",""})))</f>
        <v>0</v>
      </c>
      <c r="G29" s="89" t="str">
        <f t="shared" si="4"/>
        <v>N/A</v>
      </c>
      <c r="H29" s="90" t="str">
        <f t="shared" si="5"/>
        <v>N/A</v>
      </c>
      <c r="L29" s="6"/>
    </row>
    <row r="31" spans="2:12" ht="19.5" customHeight="1" x14ac:dyDescent="0.25"/>
    <row r="32" spans="2:12" x14ac:dyDescent="0.25">
      <c r="B32" s="92" t="s">
        <v>115</v>
      </c>
    </row>
    <row r="33" spans="2:40" x14ac:dyDescent="0.25">
      <c r="B33" s="85" t="s">
        <v>0</v>
      </c>
      <c r="C33" s="85" t="s">
        <v>8</v>
      </c>
      <c r="D33" s="85" t="s">
        <v>137</v>
      </c>
      <c r="E33" s="85" t="s">
        <v>57</v>
      </c>
      <c r="F33" s="85" t="s">
        <v>106</v>
      </c>
      <c r="G33" s="85" t="s">
        <v>22</v>
      </c>
      <c r="H33" s="86" t="s">
        <v>24</v>
      </c>
      <c r="I33" s="86" t="s">
        <v>178</v>
      </c>
      <c r="J33" s="86" t="s">
        <v>196</v>
      </c>
    </row>
    <row r="34" spans="2:40" x14ac:dyDescent="0.25">
      <c r="B34" s="87">
        <v>1</v>
      </c>
      <c r="C34" s="98" t="s">
        <v>6</v>
      </c>
      <c r="D34" s="89">
        <f>SUM(D19*Table!$D$4/Table!$C$4,D4)</f>
        <v>0</v>
      </c>
      <c r="E34" s="89">
        <f>SUM(E19*Table!$D$4/Table!$C$4,E4)</f>
        <v>0</v>
      </c>
      <c r="F34" s="89">
        <f t="shared" ref="F34:F36" ca="1" si="8">$K$16</f>
        <v>3</v>
      </c>
      <c r="G34" s="89">
        <f t="shared" ref="G34" ca="1" si="9">IF(ISERROR(E34/(F34)),"N/A",E34/F34)</f>
        <v>0</v>
      </c>
      <c r="H34" s="90" t="str">
        <f t="shared" ref="H34:H44" si="10">IF(ISERROR(E34/D34),"N/A",E34/D34)</f>
        <v>N/A</v>
      </c>
      <c r="I34" s="3">
        <f>COUNTIFS($S$48:$S$97,C34,$AK$48:$AK$97,Table!$C$36)</f>
        <v>0</v>
      </c>
      <c r="J34" s="3">
        <f>COUNTIFS($S$48:$S$97,C34,$AK$48:$AK$97,Table!$C$37)</f>
        <v>0</v>
      </c>
    </row>
    <row r="35" spans="2:40" x14ac:dyDescent="0.25">
      <c r="B35" s="87">
        <v>2</v>
      </c>
      <c r="C35" s="98" t="s">
        <v>68</v>
      </c>
      <c r="D35" s="89">
        <f>SUM(D20*Table!$D$4/Table!$C$4,D5)</f>
        <v>1994</v>
      </c>
      <c r="E35" s="89">
        <f>SUM(E20*Table!$D$4/Table!$C$4,E5)</f>
        <v>0</v>
      </c>
      <c r="F35" s="89">
        <f t="shared" ca="1" si="8"/>
        <v>3</v>
      </c>
      <c r="G35" s="89">
        <f ca="1">IF(ISERROR(E35/(F35)),"N/A",E35/F35)</f>
        <v>0</v>
      </c>
      <c r="H35" s="90">
        <f t="shared" si="10"/>
        <v>0</v>
      </c>
      <c r="I35" s="3">
        <f>COUNTIFS($S$48:$S$97,C35,$AK$48:$AK$97,Table!$C$36)</f>
        <v>0</v>
      </c>
      <c r="J35" s="3">
        <f>COUNTIFS($S$48:$S$97,C35,$AK$48:$AK$97,Table!$C$37)</f>
        <v>0</v>
      </c>
    </row>
    <row r="36" spans="2:40" x14ac:dyDescent="0.25">
      <c r="B36" s="87">
        <v>3</v>
      </c>
      <c r="C36" s="98" t="s">
        <v>69</v>
      </c>
      <c r="D36" s="89">
        <f>SUM(D21*Table!$D$4/Table!$C$4,D6)</f>
        <v>1612</v>
      </c>
      <c r="E36" s="89">
        <f>SUM(E21*Table!$D$4/Table!$C$4,E6)</f>
        <v>0</v>
      </c>
      <c r="F36" s="89">
        <f t="shared" ca="1" si="8"/>
        <v>3</v>
      </c>
      <c r="G36" s="89">
        <f t="shared" ref="G36:G43" ca="1" si="11">IF(ISERROR(E36/(F36)),"N/A",E36/F36)</f>
        <v>0</v>
      </c>
      <c r="H36" s="90">
        <f t="shared" ref="H36:H43" si="12">IF(ISERROR(E36/D36),"N/A",E36/D36)</f>
        <v>0</v>
      </c>
      <c r="I36" s="3">
        <f>COUNTIFS($S$48:$S$97,C36,$AK$48:$AK$97,Table!$C$36)</f>
        <v>0</v>
      </c>
      <c r="J36" s="3">
        <f>COUNTIFS($S$48:$S$97,C36,$AK$48:$AK$97,Table!$C$37)</f>
        <v>0</v>
      </c>
    </row>
    <row r="37" spans="2:40" x14ac:dyDescent="0.25">
      <c r="B37" s="87">
        <v>4</v>
      </c>
      <c r="C37" s="102" t="s">
        <v>70</v>
      </c>
      <c r="D37" s="89">
        <f>SUM(D22*Table!$D$4/Table!$C$4,D7)</f>
        <v>0</v>
      </c>
      <c r="E37" s="89">
        <f>SUM(E22*Table!$D$4/Table!$C$4,E7)</f>
        <v>0</v>
      </c>
      <c r="F37" s="89">
        <f t="shared" ref="F37:F43" ca="1" si="13">$K$16</f>
        <v>3</v>
      </c>
      <c r="G37" s="89">
        <f t="shared" ca="1" si="11"/>
        <v>0</v>
      </c>
      <c r="H37" s="90" t="str">
        <f t="shared" si="12"/>
        <v>N/A</v>
      </c>
      <c r="I37" s="3">
        <f>COUNTIFS($S$48:$S$97,C37,$AK$48:$AK$97,Table!$C$36)</f>
        <v>0</v>
      </c>
      <c r="J37" s="3">
        <f>COUNTIFS($S$48:$S$97,C37,$AK$48:$AK$97,Table!$C$37)</f>
        <v>0</v>
      </c>
    </row>
    <row r="38" spans="2:40" x14ac:dyDescent="0.25">
      <c r="B38" s="87">
        <v>5</v>
      </c>
      <c r="C38" s="88" t="s">
        <v>71</v>
      </c>
      <c r="D38" s="89">
        <f>SUM(D23*Table!$D$4/Table!$C$4,D8)</f>
        <v>0</v>
      </c>
      <c r="E38" s="89">
        <f>SUM(E23*Table!$D$4/Table!$C$4,E8)</f>
        <v>0</v>
      </c>
      <c r="F38" s="89">
        <f t="shared" ca="1" si="13"/>
        <v>3</v>
      </c>
      <c r="G38" s="89">
        <f t="shared" ca="1" si="11"/>
        <v>0</v>
      </c>
      <c r="H38" s="90" t="str">
        <f t="shared" si="12"/>
        <v>N/A</v>
      </c>
      <c r="I38" s="3">
        <f>COUNTIFS($S$48:$S$97,C38,$AK$48:$AK$97,Table!$C$36)</f>
        <v>0</v>
      </c>
      <c r="J38" s="3">
        <f>COUNTIFS($S$48:$S$97,C38,$AK$48:$AK$97,Table!$C$37)</f>
        <v>0</v>
      </c>
    </row>
    <row r="39" spans="2:40" x14ac:dyDescent="0.25">
      <c r="B39" s="87">
        <v>6</v>
      </c>
      <c r="C39" s="88" t="s">
        <v>72</v>
      </c>
      <c r="D39" s="89">
        <f>SUM(D24*Table!$D$4/Table!$C$4,D9)</f>
        <v>0</v>
      </c>
      <c r="E39" s="89">
        <f>SUM(E24*Table!$D$4/Table!$C$4,E9)</f>
        <v>0</v>
      </c>
      <c r="F39" s="89">
        <f t="shared" ca="1" si="13"/>
        <v>3</v>
      </c>
      <c r="G39" s="89">
        <f t="shared" ca="1" si="11"/>
        <v>0</v>
      </c>
      <c r="H39" s="90" t="str">
        <f t="shared" si="12"/>
        <v>N/A</v>
      </c>
      <c r="I39" s="3">
        <f>COUNTIFS($S$48:$S$97,C39,$AK$48:$AK$97,Table!$C$36)</f>
        <v>0</v>
      </c>
      <c r="J39" s="3">
        <f>COUNTIFS($S$48:$S$97,C39,$AK$48:$AK$97,Table!$C$37)</f>
        <v>0</v>
      </c>
    </row>
    <row r="40" spans="2:40" x14ac:dyDescent="0.25">
      <c r="B40" s="87">
        <v>7</v>
      </c>
      <c r="C40" s="88" t="s">
        <v>73</v>
      </c>
      <c r="D40" s="89">
        <f>SUM(D25*Table!$D$4/Table!$C$4,D10)</f>
        <v>0</v>
      </c>
      <c r="E40" s="89">
        <f>SUM(E25*Table!$D$4/Table!$C$4,E10)</f>
        <v>0</v>
      </c>
      <c r="F40" s="89">
        <f t="shared" ca="1" si="13"/>
        <v>3</v>
      </c>
      <c r="G40" s="89">
        <f t="shared" ca="1" si="11"/>
        <v>0</v>
      </c>
      <c r="H40" s="90" t="str">
        <f t="shared" si="12"/>
        <v>N/A</v>
      </c>
      <c r="I40" s="3">
        <f>COUNTIFS($S$48:$S$97,C40,$AK$48:$AK$97,Table!$C$36)</f>
        <v>0</v>
      </c>
      <c r="J40" s="3">
        <f>COUNTIFS($S$48:$S$97,C40,$AK$48:$AK$97,Table!$C$37)</f>
        <v>0</v>
      </c>
    </row>
    <row r="41" spans="2:40" x14ac:dyDescent="0.25">
      <c r="B41" s="87">
        <v>8</v>
      </c>
      <c r="C41" s="88" t="s">
        <v>74</v>
      </c>
      <c r="D41" s="89">
        <f>SUM(D26*Table!$D$4/Table!$C$4,D11)</f>
        <v>0</v>
      </c>
      <c r="E41" s="89">
        <f>SUM(E26*Table!$D$4/Table!$C$4,E11)</f>
        <v>0</v>
      </c>
      <c r="F41" s="89">
        <f t="shared" ca="1" si="13"/>
        <v>3</v>
      </c>
      <c r="G41" s="89">
        <f t="shared" ca="1" si="11"/>
        <v>0</v>
      </c>
      <c r="H41" s="90" t="str">
        <f t="shared" si="12"/>
        <v>N/A</v>
      </c>
      <c r="I41" s="3">
        <f>COUNTIFS($S$48:$S$97,C41,$AK$48:$AK$97,Table!$C$36)</f>
        <v>0</v>
      </c>
      <c r="J41" s="3">
        <f>COUNTIFS($S$48:$S$97,C41,$AK$48:$AK$97,Table!$C$37)</f>
        <v>0</v>
      </c>
    </row>
    <row r="42" spans="2:40" x14ac:dyDescent="0.25">
      <c r="B42" s="87">
        <v>9</v>
      </c>
      <c r="C42" s="88" t="s">
        <v>187</v>
      </c>
      <c r="D42" s="89">
        <f>SUM(D27*Table!$D$4/Table!$C$4,D12)</f>
        <v>0</v>
      </c>
      <c r="E42" s="89">
        <f>SUM(E27*Table!$D$4/Table!$C$4,E12)</f>
        <v>0</v>
      </c>
      <c r="F42" s="89">
        <f t="shared" ca="1" si="13"/>
        <v>3</v>
      </c>
      <c r="G42" s="89">
        <f t="shared" ca="1" si="11"/>
        <v>0</v>
      </c>
      <c r="H42" s="90" t="str">
        <f t="shared" si="12"/>
        <v>N/A</v>
      </c>
      <c r="I42" s="3">
        <f>COUNTIFS($S$48:$S$97,C42,$AK$48:$AK$97,Table!$C$36)</f>
        <v>0</v>
      </c>
      <c r="J42" s="3">
        <f>COUNTIFS($S$48:$S$97,C42,$AK$48:$AK$97,Table!$C$37)</f>
        <v>0</v>
      </c>
    </row>
    <row r="43" spans="2:40" x14ac:dyDescent="0.25">
      <c r="B43" s="87">
        <v>10</v>
      </c>
      <c r="C43" s="98" t="s">
        <v>188</v>
      </c>
      <c r="D43" s="89">
        <f>SUM(D28*Table!$D$4/Table!$C$4,D13)</f>
        <v>1363</v>
      </c>
      <c r="E43" s="89">
        <f>SUM(E28*Table!$D$4/Table!$C$4,E13)</f>
        <v>0</v>
      </c>
      <c r="F43" s="89">
        <f t="shared" ca="1" si="13"/>
        <v>3</v>
      </c>
      <c r="G43" s="89">
        <f t="shared" ca="1" si="11"/>
        <v>0</v>
      </c>
      <c r="H43" s="90">
        <f t="shared" si="12"/>
        <v>0</v>
      </c>
      <c r="I43" s="3">
        <f>COUNTIFS($S$48:$S$97,C43,$AK$48:$AK$97,Table!$C$36)</f>
        <v>0</v>
      </c>
      <c r="J43" s="3">
        <f>COUNTIFS($S$48:$S$97,C43,$AK$48:$AK$97,Table!$C$37)</f>
        <v>0</v>
      </c>
    </row>
    <row r="44" spans="2:40" x14ac:dyDescent="0.25">
      <c r="B44" s="85" t="s">
        <v>114</v>
      </c>
      <c r="C44" s="91"/>
      <c r="D44" s="89">
        <f>SUM(D34:D43)</f>
        <v>4969</v>
      </c>
      <c r="E44" s="89">
        <f>SUM(E34:E43)</f>
        <v>0</v>
      </c>
      <c r="F44" s="89">
        <f ca="1">$K$16*5</f>
        <v>15</v>
      </c>
      <c r="G44" s="89">
        <f ca="1">IF(ISERROR(E44/(F44)),"N/A",E44/F44)</f>
        <v>0</v>
      </c>
      <c r="H44" s="90">
        <f t="shared" si="10"/>
        <v>0</v>
      </c>
      <c r="I44" s="3">
        <f>SUM(I34:I43)</f>
        <v>0</v>
      </c>
      <c r="J44" s="3">
        <f>SUM(J34:J43)</f>
        <v>0</v>
      </c>
    </row>
    <row r="47" spans="2:40" x14ac:dyDescent="0.25">
      <c r="B47" s="80" t="s">
        <v>0</v>
      </c>
      <c r="C47" s="80" t="s">
        <v>67</v>
      </c>
      <c r="D47" s="80" t="s">
        <v>1</v>
      </c>
      <c r="E47" s="80" t="s">
        <v>60</v>
      </c>
      <c r="F47" s="80" t="s">
        <v>61</v>
      </c>
      <c r="G47" s="80" t="s">
        <v>190</v>
      </c>
      <c r="H47" s="80" t="s">
        <v>118</v>
      </c>
      <c r="I47" s="80" t="s">
        <v>62</v>
      </c>
      <c r="J47" s="80" t="s">
        <v>117</v>
      </c>
      <c r="K47" s="80" t="s">
        <v>191</v>
      </c>
      <c r="L47" s="80" t="s">
        <v>76</v>
      </c>
      <c r="M47" s="80" t="s">
        <v>194</v>
      </c>
      <c r="N47" s="80" t="s">
        <v>75</v>
      </c>
      <c r="O47" s="80" t="s">
        <v>66</v>
      </c>
      <c r="P47" s="80" t="s">
        <v>84</v>
      </c>
      <c r="Q47" s="61" t="s">
        <v>59</v>
      </c>
      <c r="R47" s="81" t="s">
        <v>7</v>
      </c>
      <c r="S47" s="81" t="s">
        <v>8</v>
      </c>
      <c r="T47" s="81" t="s">
        <v>82</v>
      </c>
      <c r="U47" s="81" t="s">
        <v>96</v>
      </c>
      <c r="V47" s="81" t="s">
        <v>79</v>
      </c>
      <c r="W47" s="81" t="s">
        <v>80</v>
      </c>
      <c r="X47" s="81" t="s">
        <v>57</v>
      </c>
      <c r="Y47" s="81" t="s">
        <v>83</v>
      </c>
      <c r="Z47" s="81" t="s">
        <v>58</v>
      </c>
      <c r="AA47" s="81" t="s">
        <v>17</v>
      </c>
      <c r="AB47" s="81" t="s">
        <v>222</v>
      </c>
      <c r="AC47" s="81" t="s">
        <v>63</v>
      </c>
      <c r="AD47" s="81" t="s">
        <v>64</v>
      </c>
      <c r="AE47" s="80" t="s">
        <v>12</v>
      </c>
      <c r="AF47" s="80" t="s">
        <v>13</v>
      </c>
      <c r="AG47" s="80" t="s">
        <v>81</v>
      </c>
      <c r="AH47" s="80" t="s">
        <v>14</v>
      </c>
      <c r="AI47" s="80" t="s">
        <v>15</v>
      </c>
      <c r="AJ47" s="81" t="s">
        <v>16</v>
      </c>
      <c r="AK47" s="80" t="s">
        <v>192</v>
      </c>
      <c r="AL47" s="81" t="s">
        <v>166</v>
      </c>
      <c r="AM47" s="81" t="s">
        <v>165</v>
      </c>
      <c r="AN47" s="81" t="s">
        <v>85</v>
      </c>
    </row>
    <row r="48" spans="2:40" x14ac:dyDescent="0.25">
      <c r="B48" s="97">
        <v>1</v>
      </c>
      <c r="C48" s="17">
        <v>20200428</v>
      </c>
      <c r="D48" s="16" t="s">
        <v>3</v>
      </c>
      <c r="E48" s="16" t="s">
        <v>360</v>
      </c>
      <c r="F48" s="99" t="s">
        <v>375</v>
      </c>
      <c r="G48" s="18">
        <v>1435905</v>
      </c>
      <c r="H48" s="60" t="s">
        <v>65</v>
      </c>
      <c r="I48" s="16" t="s">
        <v>209</v>
      </c>
      <c r="J48" s="60" t="s">
        <v>65</v>
      </c>
      <c r="K48" s="16" t="s">
        <v>193</v>
      </c>
      <c r="L48" s="16" t="s">
        <v>364</v>
      </c>
      <c r="M48" s="16" t="s">
        <v>204</v>
      </c>
      <c r="N48" s="16" t="s">
        <v>374</v>
      </c>
      <c r="O48" s="18" t="s">
        <v>65</v>
      </c>
      <c r="P48" s="18" t="s">
        <v>369</v>
      </c>
      <c r="Q48" s="19"/>
      <c r="R48" s="60" t="s">
        <v>65</v>
      </c>
      <c r="S48" s="16" t="s">
        <v>188</v>
      </c>
      <c r="T48" s="16"/>
      <c r="U48" s="16"/>
      <c r="V48" s="16">
        <v>145</v>
      </c>
      <c r="W48" s="16">
        <f>V48</f>
        <v>145</v>
      </c>
      <c r="X48" s="16"/>
      <c r="Y48" s="16">
        <f>ROUNDDOWN(W48/HLOOKUP(D48,Table!$C$3:$D$4,2,0)*8,2)</f>
        <v>2.57</v>
      </c>
      <c r="Z48" s="16"/>
      <c r="AA48" s="16"/>
      <c r="AB48" s="16"/>
      <c r="AC48" s="20">
        <v>43949</v>
      </c>
      <c r="AD48" s="20">
        <v>43956</v>
      </c>
      <c r="AE48" s="20"/>
      <c r="AF48" s="20"/>
      <c r="AG48" s="20"/>
      <c r="AH48" s="32"/>
      <c r="AI48" s="32"/>
      <c r="AJ48" s="32"/>
      <c r="AK48" s="20"/>
      <c r="AL48" s="16"/>
      <c r="AM48" s="16"/>
      <c r="AN48" s="16"/>
    </row>
    <row r="49" spans="2:40" x14ac:dyDescent="0.25">
      <c r="B49" s="97">
        <f t="shared" ref="B49:B52" si="14">B48+1</f>
        <v>2</v>
      </c>
      <c r="C49" s="17">
        <v>20200428</v>
      </c>
      <c r="D49" s="16" t="s">
        <v>3</v>
      </c>
      <c r="E49" s="16" t="s">
        <v>360</v>
      </c>
      <c r="F49" s="99" t="s">
        <v>376</v>
      </c>
      <c r="G49" s="18">
        <v>1435905</v>
      </c>
      <c r="H49" s="60" t="s">
        <v>65</v>
      </c>
      <c r="I49" s="16" t="s">
        <v>205</v>
      </c>
      <c r="J49" s="60" t="s">
        <v>65</v>
      </c>
      <c r="K49" s="16" t="s">
        <v>193</v>
      </c>
      <c r="L49" s="16" t="s">
        <v>364</v>
      </c>
      <c r="M49" s="16" t="s">
        <v>204</v>
      </c>
      <c r="N49" s="16" t="s">
        <v>374</v>
      </c>
      <c r="O49" s="18" t="s">
        <v>65</v>
      </c>
      <c r="P49" s="18" t="s">
        <v>369</v>
      </c>
      <c r="Q49" s="19"/>
      <c r="R49" s="60" t="s">
        <v>65</v>
      </c>
      <c r="S49" s="16" t="s">
        <v>188</v>
      </c>
      <c r="T49" s="16"/>
      <c r="U49" s="16"/>
      <c r="V49" s="16">
        <v>101</v>
      </c>
      <c r="W49" s="16">
        <f t="shared" ref="W49:W67" si="15">V49</f>
        <v>101</v>
      </c>
      <c r="X49" s="16"/>
      <c r="Y49" s="16">
        <f>ROUNDDOWN(W49/HLOOKUP(D49,Table!$C$3:$D$4,2,0)*8,2)</f>
        <v>1.79</v>
      </c>
      <c r="Z49" s="16"/>
      <c r="AA49" s="16"/>
      <c r="AB49" s="16"/>
      <c r="AC49" s="20">
        <v>43949</v>
      </c>
      <c r="AD49" s="20">
        <v>43956</v>
      </c>
      <c r="AE49" s="20"/>
      <c r="AF49" s="20"/>
      <c r="AG49" s="20"/>
      <c r="AH49" s="32"/>
      <c r="AI49" s="32"/>
      <c r="AJ49" s="32"/>
      <c r="AK49" s="20"/>
      <c r="AL49" s="16"/>
      <c r="AM49" s="16"/>
      <c r="AN49" s="16"/>
    </row>
    <row r="50" spans="2:40" x14ac:dyDescent="0.25">
      <c r="B50" s="97">
        <f t="shared" si="14"/>
        <v>3</v>
      </c>
      <c r="C50" s="17">
        <v>20200428</v>
      </c>
      <c r="D50" s="16" t="s">
        <v>3</v>
      </c>
      <c r="E50" s="16" t="s">
        <v>360</v>
      </c>
      <c r="F50" s="99" t="s">
        <v>377</v>
      </c>
      <c r="G50" s="18">
        <v>1435905</v>
      </c>
      <c r="H50" s="60" t="s">
        <v>65</v>
      </c>
      <c r="I50" s="16" t="s">
        <v>206</v>
      </c>
      <c r="J50" s="60" t="s">
        <v>65</v>
      </c>
      <c r="K50" s="16" t="s">
        <v>193</v>
      </c>
      <c r="L50" s="16" t="s">
        <v>364</v>
      </c>
      <c r="M50" s="16" t="s">
        <v>204</v>
      </c>
      <c r="N50" s="16" t="s">
        <v>374</v>
      </c>
      <c r="O50" s="18" t="s">
        <v>65</v>
      </c>
      <c r="P50" s="18" t="s">
        <v>369</v>
      </c>
      <c r="Q50" s="19"/>
      <c r="R50" s="60" t="s">
        <v>65</v>
      </c>
      <c r="S50" s="16" t="s">
        <v>188</v>
      </c>
      <c r="T50" s="16"/>
      <c r="U50" s="16"/>
      <c r="V50" s="16">
        <v>154</v>
      </c>
      <c r="W50" s="16">
        <f t="shared" si="15"/>
        <v>154</v>
      </c>
      <c r="X50" s="16"/>
      <c r="Y50" s="16">
        <f>ROUNDDOWN(W50/HLOOKUP(D50,Table!$C$3:$D$4,2,0)*8,2)</f>
        <v>2.73</v>
      </c>
      <c r="Z50" s="16"/>
      <c r="AA50" s="16"/>
      <c r="AB50" s="16"/>
      <c r="AC50" s="20">
        <v>43949</v>
      </c>
      <c r="AD50" s="20">
        <v>43956</v>
      </c>
      <c r="AE50" s="20"/>
      <c r="AF50" s="20"/>
      <c r="AG50" s="20"/>
      <c r="AH50" s="32"/>
      <c r="AI50" s="32"/>
      <c r="AJ50" s="32"/>
      <c r="AK50" s="20"/>
      <c r="AL50" s="16"/>
      <c r="AM50" s="16"/>
      <c r="AN50" s="16"/>
    </row>
    <row r="51" spans="2:40" x14ac:dyDescent="0.25">
      <c r="B51" s="97">
        <f t="shared" si="14"/>
        <v>4</v>
      </c>
      <c r="C51" s="17">
        <v>20200428</v>
      </c>
      <c r="D51" s="16" t="s">
        <v>3</v>
      </c>
      <c r="E51" s="16" t="s">
        <v>360</v>
      </c>
      <c r="F51" s="99" t="s">
        <v>378</v>
      </c>
      <c r="G51" s="18">
        <v>1435905</v>
      </c>
      <c r="H51" s="60" t="s">
        <v>65</v>
      </c>
      <c r="I51" s="16" t="s">
        <v>210</v>
      </c>
      <c r="J51" s="60" t="s">
        <v>65</v>
      </c>
      <c r="K51" s="16" t="s">
        <v>193</v>
      </c>
      <c r="L51" s="16" t="s">
        <v>364</v>
      </c>
      <c r="M51" s="16" t="s">
        <v>204</v>
      </c>
      <c r="N51" s="16" t="s">
        <v>374</v>
      </c>
      <c r="O51" s="18" t="s">
        <v>65</v>
      </c>
      <c r="P51" s="18" t="s">
        <v>369</v>
      </c>
      <c r="Q51" s="19"/>
      <c r="R51" s="60" t="s">
        <v>65</v>
      </c>
      <c r="S51" s="16" t="s">
        <v>188</v>
      </c>
      <c r="T51" s="16"/>
      <c r="U51" s="16"/>
      <c r="V51" s="16">
        <v>120</v>
      </c>
      <c r="W51" s="16">
        <f t="shared" si="15"/>
        <v>120</v>
      </c>
      <c r="X51" s="16"/>
      <c r="Y51" s="16">
        <f>ROUNDDOWN(W51/HLOOKUP(D51,Table!$C$3:$D$4,2,0)*8,2)</f>
        <v>2.13</v>
      </c>
      <c r="Z51" s="16"/>
      <c r="AA51" s="16"/>
      <c r="AB51" s="16"/>
      <c r="AC51" s="20">
        <v>43949</v>
      </c>
      <c r="AD51" s="20">
        <v>43956</v>
      </c>
      <c r="AE51" s="20"/>
      <c r="AF51" s="20"/>
      <c r="AG51" s="20"/>
      <c r="AH51" s="32"/>
      <c r="AI51" s="32"/>
      <c r="AJ51" s="32"/>
      <c r="AK51" s="20"/>
      <c r="AL51" s="16"/>
      <c r="AM51" s="16"/>
      <c r="AN51" s="16"/>
    </row>
    <row r="52" spans="2:40" x14ac:dyDescent="0.25">
      <c r="B52" s="97">
        <f t="shared" si="14"/>
        <v>5</v>
      </c>
      <c r="C52" s="17">
        <v>20200428</v>
      </c>
      <c r="D52" s="16" t="s">
        <v>3</v>
      </c>
      <c r="E52" s="16" t="s">
        <v>360</v>
      </c>
      <c r="F52" s="99" t="s">
        <v>379</v>
      </c>
      <c r="G52" s="18">
        <v>1435905</v>
      </c>
      <c r="H52" s="60" t="s">
        <v>65</v>
      </c>
      <c r="I52" s="16" t="s">
        <v>211</v>
      </c>
      <c r="J52" s="60" t="s">
        <v>65</v>
      </c>
      <c r="K52" s="16" t="s">
        <v>193</v>
      </c>
      <c r="L52" s="16" t="s">
        <v>364</v>
      </c>
      <c r="M52" s="16" t="s">
        <v>204</v>
      </c>
      <c r="N52" s="16" t="s">
        <v>374</v>
      </c>
      <c r="O52" s="18" t="s">
        <v>65</v>
      </c>
      <c r="P52" s="18" t="s">
        <v>369</v>
      </c>
      <c r="Q52" s="19"/>
      <c r="R52" s="60" t="s">
        <v>65</v>
      </c>
      <c r="S52" s="16" t="s">
        <v>68</v>
      </c>
      <c r="T52" s="16"/>
      <c r="U52" s="16"/>
      <c r="V52" s="16">
        <v>178</v>
      </c>
      <c r="W52" s="16">
        <f t="shared" si="15"/>
        <v>178</v>
      </c>
      <c r="X52" s="16"/>
      <c r="Y52" s="16">
        <f>ROUNDDOWN(W52/HLOOKUP(D52,Table!$C$3:$D$4,2,0)*8,2)</f>
        <v>3.16</v>
      </c>
      <c r="Z52" s="16"/>
      <c r="AA52" s="16"/>
      <c r="AB52" s="16"/>
      <c r="AC52" s="20">
        <v>43949</v>
      </c>
      <c r="AD52" s="20">
        <v>43956</v>
      </c>
      <c r="AE52" s="20"/>
      <c r="AF52" s="20"/>
      <c r="AG52" s="20"/>
      <c r="AH52" s="32"/>
      <c r="AI52" s="32"/>
      <c r="AJ52" s="32"/>
      <c r="AK52" s="20"/>
      <c r="AL52" s="16"/>
      <c r="AM52" s="16"/>
      <c r="AN52" s="16"/>
    </row>
    <row r="53" spans="2:40" x14ac:dyDescent="0.25">
      <c r="B53" s="97">
        <f t="shared" ref="B53:B67" si="16">B52+1</f>
        <v>6</v>
      </c>
      <c r="C53" s="17">
        <v>20200428</v>
      </c>
      <c r="D53" s="16" t="s">
        <v>3</v>
      </c>
      <c r="E53" s="16" t="s">
        <v>360</v>
      </c>
      <c r="F53" s="99" t="s">
        <v>380</v>
      </c>
      <c r="G53" s="18">
        <v>1435905</v>
      </c>
      <c r="H53" s="60" t="s">
        <v>65</v>
      </c>
      <c r="I53" s="16" t="s">
        <v>207</v>
      </c>
      <c r="J53" s="60" t="s">
        <v>65</v>
      </c>
      <c r="K53" s="16" t="s">
        <v>193</v>
      </c>
      <c r="L53" s="16" t="s">
        <v>364</v>
      </c>
      <c r="M53" s="16" t="s">
        <v>204</v>
      </c>
      <c r="N53" s="16" t="s">
        <v>374</v>
      </c>
      <c r="O53" s="18" t="s">
        <v>65</v>
      </c>
      <c r="P53" s="18" t="s">
        <v>369</v>
      </c>
      <c r="Q53" s="19"/>
      <c r="R53" s="60" t="s">
        <v>65</v>
      </c>
      <c r="S53" s="16" t="s">
        <v>68</v>
      </c>
      <c r="T53" s="16"/>
      <c r="U53" s="16"/>
      <c r="V53" s="16">
        <v>124</v>
      </c>
      <c r="W53" s="16">
        <f t="shared" si="15"/>
        <v>124</v>
      </c>
      <c r="X53" s="16"/>
      <c r="Y53" s="16">
        <f>ROUNDDOWN(W53/HLOOKUP(D53,Table!$C$3:$D$4,2,0)*8,2)</f>
        <v>2.2000000000000002</v>
      </c>
      <c r="Z53" s="16"/>
      <c r="AA53" s="16"/>
      <c r="AB53" s="16"/>
      <c r="AC53" s="20">
        <v>43949</v>
      </c>
      <c r="AD53" s="20">
        <v>43956</v>
      </c>
      <c r="AE53" s="20"/>
      <c r="AF53" s="20"/>
      <c r="AG53" s="20"/>
      <c r="AH53" s="32"/>
      <c r="AI53" s="32"/>
      <c r="AJ53" s="32"/>
      <c r="AK53" s="20"/>
      <c r="AL53" s="16"/>
      <c r="AM53" s="16"/>
      <c r="AN53" s="16"/>
    </row>
    <row r="54" spans="2:40" x14ac:dyDescent="0.25">
      <c r="B54" s="97">
        <f t="shared" si="16"/>
        <v>7</v>
      </c>
      <c r="C54" s="17">
        <v>20200428</v>
      </c>
      <c r="D54" s="16" t="s">
        <v>3</v>
      </c>
      <c r="E54" s="16" t="s">
        <v>360</v>
      </c>
      <c r="F54" s="99" t="s">
        <v>381</v>
      </c>
      <c r="G54" s="18">
        <v>1435905</v>
      </c>
      <c r="H54" s="60" t="s">
        <v>65</v>
      </c>
      <c r="I54" s="16" t="s">
        <v>363</v>
      </c>
      <c r="J54" s="60" t="s">
        <v>65</v>
      </c>
      <c r="K54" s="16" t="s">
        <v>193</v>
      </c>
      <c r="L54" s="16" t="s">
        <v>364</v>
      </c>
      <c r="M54" s="16" t="s">
        <v>204</v>
      </c>
      <c r="N54" s="16" t="s">
        <v>374</v>
      </c>
      <c r="O54" s="18" t="s">
        <v>65</v>
      </c>
      <c r="P54" s="18" t="s">
        <v>369</v>
      </c>
      <c r="Q54" s="19"/>
      <c r="R54" s="60" t="s">
        <v>65</v>
      </c>
      <c r="S54" s="16" t="s">
        <v>68</v>
      </c>
      <c r="T54" s="16"/>
      <c r="U54" s="16"/>
      <c r="V54" s="16">
        <v>106</v>
      </c>
      <c r="W54" s="16">
        <f t="shared" si="15"/>
        <v>106</v>
      </c>
      <c r="X54" s="16"/>
      <c r="Y54" s="16">
        <f>ROUNDDOWN(W54/HLOOKUP(D54,Table!$C$3:$D$4,2,0)*8,2)</f>
        <v>1.88</v>
      </c>
      <c r="Z54" s="16"/>
      <c r="AA54" s="16"/>
      <c r="AB54" s="16"/>
      <c r="AC54" s="20">
        <v>43949</v>
      </c>
      <c r="AD54" s="20">
        <v>43956</v>
      </c>
      <c r="AE54" s="20"/>
      <c r="AF54" s="20"/>
      <c r="AG54" s="20"/>
      <c r="AH54" s="32"/>
      <c r="AI54" s="32"/>
      <c r="AJ54" s="32"/>
      <c r="AK54" s="20"/>
      <c r="AL54" s="16"/>
      <c r="AM54" s="16"/>
      <c r="AN54" s="16"/>
    </row>
    <row r="55" spans="2:40" x14ac:dyDescent="0.25">
      <c r="B55" s="97">
        <f t="shared" si="16"/>
        <v>8</v>
      </c>
      <c r="C55" s="17">
        <v>20200428</v>
      </c>
      <c r="D55" s="16" t="s">
        <v>3</v>
      </c>
      <c r="E55" s="16" t="s">
        <v>202</v>
      </c>
      <c r="F55" s="99" t="s">
        <v>382</v>
      </c>
      <c r="G55" s="18">
        <v>1439160</v>
      </c>
      <c r="H55" s="60" t="s">
        <v>65</v>
      </c>
      <c r="I55" s="16" t="s">
        <v>220</v>
      </c>
      <c r="J55" s="60" t="s">
        <v>65</v>
      </c>
      <c r="K55" s="16" t="s">
        <v>193</v>
      </c>
      <c r="L55" s="16" t="s">
        <v>365</v>
      </c>
      <c r="M55" s="19" t="s">
        <v>391</v>
      </c>
      <c r="N55" s="16" t="s">
        <v>367</v>
      </c>
      <c r="O55" s="18" t="s">
        <v>65</v>
      </c>
      <c r="P55" s="18" t="s">
        <v>200</v>
      </c>
      <c r="Q55" s="19"/>
      <c r="R55" s="60" t="s">
        <v>65</v>
      </c>
      <c r="S55" s="16" t="s">
        <v>68</v>
      </c>
      <c r="T55" s="16"/>
      <c r="U55" s="16"/>
      <c r="V55" s="16">
        <v>188</v>
      </c>
      <c r="W55" s="16">
        <f t="shared" si="15"/>
        <v>188</v>
      </c>
      <c r="X55" s="16"/>
      <c r="Y55" s="16">
        <f>ROUNDDOWN(W55/HLOOKUP(D55,Table!$C$3:$D$4,2,0)*8,2)</f>
        <v>3.34</v>
      </c>
      <c r="Z55" s="16"/>
      <c r="AA55" s="16"/>
      <c r="AB55" s="16"/>
      <c r="AC55" s="20">
        <v>43949</v>
      </c>
      <c r="AD55" s="20">
        <v>43956</v>
      </c>
      <c r="AE55" s="20"/>
      <c r="AF55" s="20"/>
      <c r="AG55" s="20"/>
      <c r="AH55" s="32"/>
      <c r="AI55" s="32"/>
      <c r="AJ55" s="32"/>
      <c r="AK55" s="20"/>
      <c r="AL55" s="16"/>
      <c r="AM55" s="16"/>
      <c r="AN55" s="16"/>
    </row>
    <row r="56" spans="2:40" x14ac:dyDescent="0.25">
      <c r="B56" s="97">
        <f t="shared" si="16"/>
        <v>9</v>
      </c>
      <c r="C56" s="17">
        <v>20200428</v>
      </c>
      <c r="D56" s="16" t="s">
        <v>3</v>
      </c>
      <c r="E56" s="16" t="s">
        <v>202</v>
      </c>
      <c r="F56" s="99" t="s">
        <v>383</v>
      </c>
      <c r="G56" s="18">
        <v>1439160</v>
      </c>
      <c r="H56" s="60" t="s">
        <v>65</v>
      </c>
      <c r="I56" s="16" t="s">
        <v>219</v>
      </c>
      <c r="J56" s="60" t="s">
        <v>65</v>
      </c>
      <c r="K56" s="16" t="s">
        <v>193</v>
      </c>
      <c r="L56" s="16" t="s">
        <v>365</v>
      </c>
      <c r="M56" s="19" t="s">
        <v>391</v>
      </c>
      <c r="N56" s="16" t="s">
        <v>367</v>
      </c>
      <c r="O56" s="18" t="s">
        <v>65</v>
      </c>
      <c r="P56" s="18" t="s">
        <v>200</v>
      </c>
      <c r="Q56" s="19"/>
      <c r="R56" s="60" t="s">
        <v>65</v>
      </c>
      <c r="S56" s="16" t="s">
        <v>68</v>
      </c>
      <c r="T56" s="16"/>
      <c r="U56" s="16"/>
      <c r="V56" s="16">
        <v>257</v>
      </c>
      <c r="W56" s="16">
        <f t="shared" si="15"/>
        <v>257</v>
      </c>
      <c r="X56" s="16"/>
      <c r="Y56" s="16">
        <f>ROUNDDOWN(W56/HLOOKUP(D56,Table!$C$3:$D$4,2,0)*8,2)</f>
        <v>4.5599999999999996</v>
      </c>
      <c r="Z56" s="16"/>
      <c r="AA56" s="16"/>
      <c r="AB56" s="16"/>
      <c r="AC56" s="20">
        <v>43949</v>
      </c>
      <c r="AD56" s="20">
        <v>43956</v>
      </c>
      <c r="AE56" s="20"/>
      <c r="AF56" s="20"/>
      <c r="AG56" s="20"/>
      <c r="AH56" s="32"/>
      <c r="AI56" s="32"/>
      <c r="AJ56" s="32"/>
      <c r="AK56" s="20"/>
      <c r="AL56" s="16"/>
      <c r="AM56" s="16"/>
      <c r="AN56" s="16"/>
    </row>
    <row r="57" spans="2:40" x14ac:dyDescent="0.25">
      <c r="B57" s="97">
        <f t="shared" si="16"/>
        <v>10</v>
      </c>
      <c r="C57" s="17">
        <v>20200428</v>
      </c>
      <c r="D57" s="16" t="s">
        <v>3</v>
      </c>
      <c r="E57" s="16" t="s">
        <v>202</v>
      </c>
      <c r="F57" s="99" t="s">
        <v>384</v>
      </c>
      <c r="G57" s="18">
        <v>1439160</v>
      </c>
      <c r="H57" s="60" t="s">
        <v>65</v>
      </c>
      <c r="I57" s="16" t="s">
        <v>221</v>
      </c>
      <c r="J57" s="60" t="s">
        <v>65</v>
      </c>
      <c r="K57" s="16" t="s">
        <v>193</v>
      </c>
      <c r="L57" s="16" t="s">
        <v>365</v>
      </c>
      <c r="M57" s="19" t="s">
        <v>391</v>
      </c>
      <c r="N57" s="16" t="s">
        <v>367</v>
      </c>
      <c r="O57" s="18" t="s">
        <v>65</v>
      </c>
      <c r="P57" s="18" t="s">
        <v>200</v>
      </c>
      <c r="Q57" s="19"/>
      <c r="R57" s="60" t="s">
        <v>65</v>
      </c>
      <c r="S57" s="16" t="s">
        <v>68</v>
      </c>
      <c r="T57" s="16"/>
      <c r="U57" s="16"/>
      <c r="V57" s="16">
        <v>1141</v>
      </c>
      <c r="W57" s="16">
        <f t="shared" si="15"/>
        <v>1141</v>
      </c>
      <c r="X57" s="16"/>
      <c r="Y57" s="16">
        <f>ROUNDDOWN(W57/HLOOKUP(D57,Table!$C$3:$D$4,2,0)*8,2)</f>
        <v>20.28</v>
      </c>
      <c r="Z57" s="16"/>
      <c r="AA57" s="16"/>
      <c r="AB57" s="16"/>
      <c r="AC57" s="20">
        <v>43949</v>
      </c>
      <c r="AD57" s="20">
        <v>43956</v>
      </c>
      <c r="AE57" s="20"/>
      <c r="AF57" s="20"/>
      <c r="AG57" s="20"/>
      <c r="AH57" s="32"/>
      <c r="AI57" s="32"/>
      <c r="AJ57" s="32"/>
      <c r="AK57" s="20"/>
      <c r="AL57" s="16"/>
      <c r="AM57" s="16"/>
      <c r="AN57" s="16"/>
    </row>
    <row r="58" spans="2:40" x14ac:dyDescent="0.25">
      <c r="B58" s="97">
        <f t="shared" si="16"/>
        <v>11</v>
      </c>
      <c r="C58" s="17">
        <v>20200428</v>
      </c>
      <c r="D58" s="16" t="s">
        <v>3</v>
      </c>
      <c r="E58" s="16" t="s">
        <v>202</v>
      </c>
      <c r="F58" s="99" t="s">
        <v>385</v>
      </c>
      <c r="G58" s="18">
        <v>1439160</v>
      </c>
      <c r="H58" s="60" t="s">
        <v>65</v>
      </c>
      <c r="I58" s="16" t="s">
        <v>201</v>
      </c>
      <c r="J58" s="60" t="s">
        <v>65</v>
      </c>
      <c r="K58" s="16" t="s">
        <v>193</v>
      </c>
      <c r="L58" s="16" t="s">
        <v>365</v>
      </c>
      <c r="M58" s="19" t="s">
        <v>391</v>
      </c>
      <c r="N58" s="16" t="s">
        <v>367</v>
      </c>
      <c r="O58" s="18" t="s">
        <v>65</v>
      </c>
      <c r="P58" s="18" t="s">
        <v>200</v>
      </c>
      <c r="Q58" s="19"/>
      <c r="R58" s="60" t="s">
        <v>65</v>
      </c>
      <c r="S58" s="16" t="s">
        <v>69</v>
      </c>
      <c r="T58" s="16"/>
      <c r="U58" s="16"/>
      <c r="V58" s="16">
        <v>997</v>
      </c>
      <c r="W58" s="16">
        <f t="shared" si="15"/>
        <v>997</v>
      </c>
      <c r="X58" s="16"/>
      <c r="Y58" s="16">
        <f>ROUNDDOWN(W58/HLOOKUP(D58,Table!$C$3:$D$4,2,0)*8,2)</f>
        <v>17.72</v>
      </c>
      <c r="Z58" s="16"/>
      <c r="AA58" s="16"/>
      <c r="AB58" s="16"/>
      <c r="AC58" s="20">
        <v>43949</v>
      </c>
      <c r="AD58" s="20">
        <v>43956</v>
      </c>
      <c r="AE58" s="20"/>
      <c r="AF58" s="20"/>
      <c r="AG58" s="20"/>
      <c r="AH58" s="32"/>
      <c r="AI58" s="32"/>
      <c r="AJ58" s="32"/>
      <c r="AK58" s="20"/>
      <c r="AL58" s="16"/>
      <c r="AM58" s="16"/>
      <c r="AN58" s="16"/>
    </row>
    <row r="59" spans="2:40" x14ac:dyDescent="0.25">
      <c r="B59" s="97">
        <f t="shared" si="16"/>
        <v>12</v>
      </c>
      <c r="C59" s="17">
        <v>20200428</v>
      </c>
      <c r="D59" s="16" t="s">
        <v>3</v>
      </c>
      <c r="E59" s="16" t="s">
        <v>361</v>
      </c>
      <c r="F59" s="99" t="s">
        <v>386</v>
      </c>
      <c r="G59" s="18">
        <v>1439436</v>
      </c>
      <c r="H59" s="60" t="s">
        <v>65</v>
      </c>
      <c r="I59" s="16" t="s">
        <v>220</v>
      </c>
      <c r="J59" s="60" t="s">
        <v>65</v>
      </c>
      <c r="K59" s="16" t="s">
        <v>193</v>
      </c>
      <c r="L59" s="16" t="s">
        <v>366</v>
      </c>
      <c r="M59" s="16" t="s">
        <v>372</v>
      </c>
      <c r="N59" s="16" t="s">
        <v>368</v>
      </c>
      <c r="O59" s="18" t="s">
        <v>65</v>
      </c>
      <c r="P59" s="18" t="s">
        <v>370</v>
      </c>
      <c r="Q59" s="19"/>
      <c r="R59" s="60" t="s">
        <v>65</v>
      </c>
      <c r="S59" s="16" t="s">
        <v>188</v>
      </c>
      <c r="T59" s="16"/>
      <c r="U59" s="16"/>
      <c r="V59" s="16">
        <v>142</v>
      </c>
      <c r="W59" s="16">
        <f t="shared" si="15"/>
        <v>142</v>
      </c>
      <c r="X59" s="16"/>
      <c r="Y59" s="16">
        <f>ROUNDDOWN(W59/HLOOKUP(D59,Table!$C$3:$D$4,2,0)*8,2)</f>
        <v>2.52</v>
      </c>
      <c r="Z59" s="16"/>
      <c r="AA59" s="16"/>
      <c r="AB59" s="16"/>
      <c r="AC59" s="20">
        <v>43949</v>
      </c>
      <c r="AD59" s="20">
        <v>43956</v>
      </c>
      <c r="AE59" s="20"/>
      <c r="AF59" s="20"/>
      <c r="AG59" s="20"/>
      <c r="AH59" s="32"/>
      <c r="AI59" s="32"/>
      <c r="AJ59" s="32"/>
      <c r="AK59" s="20"/>
      <c r="AL59" s="16"/>
      <c r="AM59" s="16"/>
      <c r="AN59" s="16"/>
    </row>
    <row r="60" spans="2:40" x14ac:dyDescent="0.25">
      <c r="B60" s="97">
        <f t="shared" si="16"/>
        <v>13</v>
      </c>
      <c r="C60" s="17">
        <v>20200428</v>
      </c>
      <c r="D60" s="16" t="s">
        <v>3</v>
      </c>
      <c r="E60" s="16" t="s">
        <v>361</v>
      </c>
      <c r="F60" s="99" t="s">
        <v>387</v>
      </c>
      <c r="G60" s="18">
        <v>1439436</v>
      </c>
      <c r="H60" s="60" t="s">
        <v>65</v>
      </c>
      <c r="I60" s="16" t="s">
        <v>221</v>
      </c>
      <c r="J60" s="60" t="s">
        <v>65</v>
      </c>
      <c r="K60" s="16" t="s">
        <v>193</v>
      </c>
      <c r="L60" s="16" t="s">
        <v>366</v>
      </c>
      <c r="M60" s="16" t="s">
        <v>372</v>
      </c>
      <c r="N60" s="16" t="s">
        <v>368</v>
      </c>
      <c r="O60" s="18" t="s">
        <v>65</v>
      </c>
      <c r="P60" s="18" t="s">
        <v>370</v>
      </c>
      <c r="Q60" s="19"/>
      <c r="R60" s="60" t="s">
        <v>65</v>
      </c>
      <c r="S60" s="16" t="s">
        <v>188</v>
      </c>
      <c r="T60" s="16"/>
      <c r="U60" s="16"/>
      <c r="V60" s="16">
        <v>35</v>
      </c>
      <c r="W60" s="16">
        <f t="shared" si="15"/>
        <v>35</v>
      </c>
      <c r="X60" s="16"/>
      <c r="Y60" s="16">
        <f>ROUNDDOWN(W60/HLOOKUP(D60,Table!$C$3:$D$4,2,0)*8,2)</f>
        <v>0.62</v>
      </c>
      <c r="Z60" s="16"/>
      <c r="AA60" s="16"/>
      <c r="AB60" s="16"/>
      <c r="AC60" s="20">
        <v>43949</v>
      </c>
      <c r="AD60" s="20">
        <v>43956</v>
      </c>
      <c r="AE60" s="20"/>
      <c r="AF60" s="20"/>
      <c r="AG60" s="20"/>
      <c r="AH60" s="32"/>
      <c r="AI60" s="32"/>
      <c r="AJ60" s="32"/>
      <c r="AK60" s="20"/>
      <c r="AL60" s="16"/>
      <c r="AM60" s="16"/>
      <c r="AN60" s="16"/>
    </row>
    <row r="61" spans="2:40" x14ac:dyDescent="0.25">
      <c r="B61" s="97">
        <f t="shared" si="16"/>
        <v>14</v>
      </c>
      <c r="C61" s="17">
        <v>20200428</v>
      </c>
      <c r="D61" s="16" t="s">
        <v>3</v>
      </c>
      <c r="E61" s="16" t="s">
        <v>361</v>
      </c>
      <c r="F61" s="99" t="s">
        <v>388</v>
      </c>
      <c r="G61" s="18">
        <v>1439436</v>
      </c>
      <c r="H61" s="60" t="s">
        <v>65</v>
      </c>
      <c r="I61" s="16" t="s">
        <v>201</v>
      </c>
      <c r="J61" s="60" t="s">
        <v>65</v>
      </c>
      <c r="K61" s="16" t="s">
        <v>193</v>
      </c>
      <c r="L61" s="16" t="s">
        <v>366</v>
      </c>
      <c r="M61" s="16" t="s">
        <v>372</v>
      </c>
      <c r="N61" s="16" t="s">
        <v>368</v>
      </c>
      <c r="O61" s="18" t="s">
        <v>65</v>
      </c>
      <c r="P61" s="18" t="s">
        <v>370</v>
      </c>
      <c r="Q61" s="19"/>
      <c r="R61" s="60" t="s">
        <v>65</v>
      </c>
      <c r="S61" s="16" t="s">
        <v>188</v>
      </c>
      <c r="T61" s="16"/>
      <c r="U61" s="16"/>
      <c r="V61" s="16">
        <v>34</v>
      </c>
      <c r="W61" s="16">
        <f t="shared" si="15"/>
        <v>34</v>
      </c>
      <c r="X61" s="16"/>
      <c r="Y61" s="16">
        <f>ROUNDDOWN(W61/HLOOKUP(D61,Table!$C$3:$D$4,2,0)*8,2)</f>
        <v>0.6</v>
      </c>
      <c r="Z61" s="16"/>
      <c r="AA61" s="16"/>
      <c r="AB61" s="16"/>
      <c r="AC61" s="20">
        <v>43949</v>
      </c>
      <c r="AD61" s="20">
        <v>43956</v>
      </c>
      <c r="AE61" s="20"/>
      <c r="AF61" s="20"/>
      <c r="AG61" s="20"/>
      <c r="AH61" s="32"/>
      <c r="AI61" s="32"/>
      <c r="AJ61" s="32"/>
      <c r="AK61" s="20"/>
      <c r="AL61" s="16"/>
      <c r="AM61" s="16"/>
      <c r="AN61" s="16"/>
    </row>
    <row r="62" spans="2:40" x14ac:dyDescent="0.25">
      <c r="B62" s="97">
        <f t="shared" si="16"/>
        <v>15</v>
      </c>
      <c r="C62" s="17">
        <v>20200428</v>
      </c>
      <c r="D62" s="16" t="s">
        <v>3</v>
      </c>
      <c r="E62" s="16" t="s">
        <v>362</v>
      </c>
      <c r="F62" s="99" t="s">
        <v>389</v>
      </c>
      <c r="G62" s="18">
        <v>1417033</v>
      </c>
      <c r="H62" s="60" t="s">
        <v>65</v>
      </c>
      <c r="I62" s="16" t="s">
        <v>219</v>
      </c>
      <c r="J62" s="60" t="s">
        <v>65</v>
      </c>
      <c r="K62" s="16" t="s">
        <v>193</v>
      </c>
      <c r="L62" s="16" t="s">
        <v>197</v>
      </c>
      <c r="M62" s="16" t="s">
        <v>203</v>
      </c>
      <c r="N62" s="16" t="s">
        <v>208</v>
      </c>
      <c r="O62" s="18" t="s">
        <v>65</v>
      </c>
      <c r="P62" s="18" t="s">
        <v>371</v>
      </c>
      <c r="Q62" s="19"/>
      <c r="R62" s="60" t="s">
        <v>65</v>
      </c>
      <c r="S62" s="16" t="s">
        <v>188</v>
      </c>
      <c r="T62" s="16"/>
      <c r="U62" s="16"/>
      <c r="V62" s="16">
        <v>76</v>
      </c>
      <c r="W62" s="16">
        <f t="shared" si="15"/>
        <v>76</v>
      </c>
      <c r="X62" s="16"/>
      <c r="Y62" s="16">
        <f>ROUNDDOWN(W62/HLOOKUP(D62,Table!$C$3:$D$4,2,0)*8,2)</f>
        <v>1.35</v>
      </c>
      <c r="Z62" s="16"/>
      <c r="AA62" s="16"/>
      <c r="AB62" s="16"/>
      <c r="AC62" s="20">
        <v>43949</v>
      </c>
      <c r="AD62" s="20">
        <v>43956</v>
      </c>
      <c r="AE62" s="20"/>
      <c r="AF62" s="20"/>
      <c r="AG62" s="20"/>
      <c r="AH62" s="32"/>
      <c r="AI62" s="32"/>
      <c r="AJ62" s="32"/>
      <c r="AK62" s="20"/>
      <c r="AL62" s="16"/>
      <c r="AM62" s="16"/>
      <c r="AN62" s="16"/>
    </row>
    <row r="63" spans="2:40" x14ac:dyDescent="0.25">
      <c r="B63" s="97">
        <f t="shared" si="16"/>
        <v>16</v>
      </c>
      <c r="C63" s="17">
        <v>20200428</v>
      </c>
      <c r="D63" s="16" t="s">
        <v>3</v>
      </c>
      <c r="E63" s="16" t="s">
        <v>362</v>
      </c>
      <c r="F63" s="99" t="s">
        <v>390</v>
      </c>
      <c r="G63" s="18">
        <v>1417033</v>
      </c>
      <c r="H63" s="60" t="s">
        <v>65</v>
      </c>
      <c r="I63" s="16" t="s">
        <v>201</v>
      </c>
      <c r="J63" s="60" t="s">
        <v>65</v>
      </c>
      <c r="K63" s="16" t="s">
        <v>193</v>
      </c>
      <c r="L63" s="16" t="s">
        <v>197</v>
      </c>
      <c r="M63" s="16" t="s">
        <v>203</v>
      </c>
      <c r="N63" s="16" t="s">
        <v>208</v>
      </c>
      <c r="O63" s="18" t="s">
        <v>65</v>
      </c>
      <c r="P63" s="18" t="s">
        <v>371</v>
      </c>
      <c r="Q63" s="19"/>
      <c r="R63" s="60" t="s">
        <v>65</v>
      </c>
      <c r="S63" s="16" t="s">
        <v>188</v>
      </c>
      <c r="T63" s="16"/>
      <c r="U63" s="16"/>
      <c r="V63" s="16">
        <v>61</v>
      </c>
      <c r="W63" s="16">
        <f t="shared" si="15"/>
        <v>61</v>
      </c>
      <c r="X63" s="16"/>
      <c r="Y63" s="16">
        <f>ROUNDDOWN(W63/HLOOKUP(D63,Table!$C$3:$D$4,2,0)*8,2)</f>
        <v>1.08</v>
      </c>
      <c r="Z63" s="16"/>
      <c r="AA63" s="16"/>
      <c r="AB63" s="16"/>
      <c r="AC63" s="20">
        <v>43949</v>
      </c>
      <c r="AD63" s="20">
        <v>43956</v>
      </c>
      <c r="AE63" s="20"/>
      <c r="AF63" s="20"/>
      <c r="AG63" s="20"/>
      <c r="AH63" s="32"/>
      <c r="AI63" s="32"/>
      <c r="AJ63" s="32"/>
      <c r="AK63" s="20"/>
      <c r="AL63" s="16"/>
      <c r="AM63" s="16"/>
      <c r="AN63" s="16"/>
    </row>
    <row r="64" spans="2:40" x14ac:dyDescent="0.25">
      <c r="B64" s="103">
        <f t="shared" si="16"/>
        <v>17</v>
      </c>
      <c r="C64" s="17">
        <v>20200429</v>
      </c>
      <c r="D64" s="16" t="s">
        <v>3</v>
      </c>
      <c r="E64" s="16" t="s">
        <v>395</v>
      </c>
      <c r="F64" s="18" t="s">
        <v>406</v>
      </c>
      <c r="G64" s="18">
        <v>1439430</v>
      </c>
      <c r="H64" s="60" t="s">
        <v>65</v>
      </c>
      <c r="I64" s="16" t="s">
        <v>409</v>
      </c>
      <c r="J64" s="60" t="s">
        <v>65</v>
      </c>
      <c r="K64" s="16" t="s">
        <v>193</v>
      </c>
      <c r="L64" s="16" t="s">
        <v>402</v>
      </c>
      <c r="M64" s="16" t="s">
        <v>397</v>
      </c>
      <c r="N64" s="16" t="s">
        <v>404</v>
      </c>
      <c r="O64" s="18" t="s">
        <v>65</v>
      </c>
      <c r="P64" s="18" t="s">
        <v>399</v>
      </c>
      <c r="Q64" s="19"/>
      <c r="R64" s="60" t="s">
        <v>65</v>
      </c>
      <c r="S64" s="16" t="s">
        <v>69</v>
      </c>
      <c r="T64" s="16"/>
      <c r="U64" s="16"/>
      <c r="V64" s="16">
        <v>431</v>
      </c>
      <c r="W64" s="16">
        <f t="shared" si="15"/>
        <v>431</v>
      </c>
      <c r="X64" s="16"/>
      <c r="Y64" s="16">
        <f>ROUNDDOWN(W64/HLOOKUP(D64,Table!$C$3:$D$4,2,0)*8,2)</f>
        <v>7.66</v>
      </c>
      <c r="Z64" s="16"/>
      <c r="AA64" s="16"/>
      <c r="AB64" s="16"/>
      <c r="AC64" s="20">
        <v>43950</v>
      </c>
      <c r="AD64" s="20">
        <v>43957</v>
      </c>
      <c r="AE64" s="20"/>
      <c r="AF64" s="20"/>
      <c r="AG64" s="20"/>
      <c r="AH64" s="32"/>
      <c r="AI64" s="32"/>
      <c r="AJ64" s="32"/>
      <c r="AK64" s="20"/>
      <c r="AL64" s="16"/>
      <c r="AM64" s="16"/>
      <c r="AN64" s="16"/>
    </row>
    <row r="65" spans="2:40" x14ac:dyDescent="0.25">
      <c r="B65" s="103">
        <f t="shared" si="16"/>
        <v>18</v>
      </c>
      <c r="C65" s="17">
        <v>20200429</v>
      </c>
      <c r="D65" s="16" t="s">
        <v>3</v>
      </c>
      <c r="E65" s="16" t="s">
        <v>395</v>
      </c>
      <c r="F65" s="18" t="s">
        <v>406</v>
      </c>
      <c r="G65" s="18">
        <v>1439430</v>
      </c>
      <c r="H65" s="60" t="s">
        <v>65</v>
      </c>
      <c r="I65" s="16" t="s">
        <v>410</v>
      </c>
      <c r="J65" s="60" t="s">
        <v>65</v>
      </c>
      <c r="K65" s="16" t="s">
        <v>193</v>
      </c>
      <c r="L65" s="16" t="s">
        <v>402</v>
      </c>
      <c r="M65" s="16" t="s">
        <v>397</v>
      </c>
      <c r="N65" s="16" t="s">
        <v>404</v>
      </c>
      <c r="O65" s="18" t="s">
        <v>65</v>
      </c>
      <c r="P65" s="18" t="s">
        <v>399</v>
      </c>
      <c r="Q65" s="19"/>
      <c r="R65" s="60" t="s">
        <v>65</v>
      </c>
      <c r="S65" s="16" t="s">
        <v>69</v>
      </c>
      <c r="T65" s="16"/>
      <c r="U65" s="16"/>
      <c r="V65" s="16">
        <v>184</v>
      </c>
      <c r="W65" s="16">
        <f t="shared" si="15"/>
        <v>184</v>
      </c>
      <c r="X65" s="16"/>
      <c r="Y65" s="16">
        <f>ROUNDDOWN(W65/HLOOKUP(D65,Table!$C$3:$D$4,2,0)*8,2)</f>
        <v>3.27</v>
      </c>
      <c r="Z65" s="16"/>
      <c r="AA65" s="16"/>
      <c r="AB65" s="16"/>
      <c r="AC65" s="20">
        <v>43950</v>
      </c>
      <c r="AD65" s="20">
        <v>43957</v>
      </c>
      <c r="AE65" s="20"/>
      <c r="AF65" s="20"/>
      <c r="AG65" s="20"/>
      <c r="AH65" s="32"/>
      <c r="AI65" s="32"/>
      <c r="AJ65" s="32"/>
      <c r="AK65" s="20"/>
      <c r="AL65" s="16"/>
      <c r="AM65" s="16"/>
      <c r="AN65" s="16"/>
    </row>
    <row r="66" spans="2:40" x14ac:dyDescent="0.25">
      <c r="B66" s="103">
        <f t="shared" si="16"/>
        <v>19</v>
      </c>
      <c r="C66" s="17">
        <v>20200429</v>
      </c>
      <c r="D66" s="16" t="s">
        <v>3</v>
      </c>
      <c r="E66" s="16" t="s">
        <v>396</v>
      </c>
      <c r="F66" s="18" t="s">
        <v>407</v>
      </c>
      <c r="G66" s="18">
        <v>1416489</v>
      </c>
      <c r="H66" s="60" t="s">
        <v>65</v>
      </c>
      <c r="I66" s="16" t="s">
        <v>411</v>
      </c>
      <c r="J66" s="60" t="s">
        <v>65</v>
      </c>
      <c r="K66" s="16" t="s">
        <v>193</v>
      </c>
      <c r="L66" s="16" t="s">
        <v>403</v>
      </c>
      <c r="M66" s="16" t="s">
        <v>398</v>
      </c>
      <c r="N66" s="16" t="s">
        <v>405</v>
      </c>
      <c r="O66" s="18" t="s">
        <v>65</v>
      </c>
      <c r="P66" s="18" t="s">
        <v>400</v>
      </c>
      <c r="Q66" s="19"/>
      <c r="R66" s="60" t="s">
        <v>65</v>
      </c>
      <c r="S66" s="16" t="s">
        <v>188</v>
      </c>
      <c r="T66" s="16"/>
      <c r="U66" s="16"/>
      <c r="V66" s="16">
        <v>332</v>
      </c>
      <c r="W66" s="16">
        <f t="shared" si="15"/>
        <v>332</v>
      </c>
      <c r="X66" s="16"/>
      <c r="Y66" s="16">
        <f>ROUNDDOWN(W66/HLOOKUP(D66,Table!$C$3:$D$4,2,0)*8,2)</f>
        <v>5.9</v>
      </c>
      <c r="Z66" s="16"/>
      <c r="AA66" s="16"/>
      <c r="AB66" s="16"/>
      <c r="AC66" s="20">
        <v>43950</v>
      </c>
      <c r="AD66" s="20">
        <v>43957</v>
      </c>
      <c r="AE66" s="20"/>
      <c r="AF66" s="20"/>
      <c r="AG66" s="20"/>
      <c r="AH66" s="32"/>
      <c r="AI66" s="32"/>
      <c r="AJ66" s="32"/>
      <c r="AK66" s="20"/>
      <c r="AL66" s="16"/>
      <c r="AM66" s="16"/>
      <c r="AN66" s="16"/>
    </row>
    <row r="67" spans="2:40" x14ac:dyDescent="0.25">
      <c r="B67" s="103">
        <f t="shared" si="16"/>
        <v>20</v>
      </c>
      <c r="C67" s="17">
        <v>20200429</v>
      </c>
      <c r="D67" s="16" t="s">
        <v>3</v>
      </c>
      <c r="E67" s="16" t="s">
        <v>362</v>
      </c>
      <c r="F67" s="18" t="s">
        <v>408</v>
      </c>
      <c r="G67" s="18">
        <v>1442021</v>
      </c>
      <c r="H67" s="60" t="s">
        <v>65</v>
      </c>
      <c r="I67" s="16" t="s">
        <v>412</v>
      </c>
      <c r="J67" s="60" t="s">
        <v>65</v>
      </c>
      <c r="K67" s="16" t="s">
        <v>193</v>
      </c>
      <c r="L67" s="16" t="s">
        <v>197</v>
      </c>
      <c r="M67" s="16" t="s">
        <v>203</v>
      </c>
      <c r="N67" s="16" t="s">
        <v>208</v>
      </c>
      <c r="O67" s="18" t="s">
        <v>65</v>
      </c>
      <c r="P67" s="18" t="s">
        <v>401</v>
      </c>
      <c r="Q67" s="19"/>
      <c r="R67" s="60" t="s">
        <v>65</v>
      </c>
      <c r="S67" s="16" t="s">
        <v>188</v>
      </c>
      <c r="T67" s="16"/>
      <c r="U67" s="16"/>
      <c r="V67" s="16">
        <v>163</v>
      </c>
      <c r="W67" s="16">
        <f t="shared" si="15"/>
        <v>163</v>
      </c>
      <c r="X67" s="16"/>
      <c r="Y67" s="16">
        <f>ROUNDDOWN(W67/HLOOKUP(D67,Table!$C$3:$D$4,2,0)*8,2)</f>
        <v>2.89</v>
      </c>
      <c r="Z67" s="16"/>
      <c r="AA67" s="16"/>
      <c r="AB67" s="16"/>
      <c r="AC67" s="20">
        <v>43950</v>
      </c>
      <c r="AD67" s="20">
        <v>43957</v>
      </c>
      <c r="AE67" s="20"/>
      <c r="AF67" s="20"/>
      <c r="AG67" s="20"/>
      <c r="AH67" s="32"/>
      <c r="AI67" s="32"/>
      <c r="AJ67" s="32"/>
      <c r="AK67" s="20"/>
      <c r="AL67" s="16"/>
      <c r="AM67" s="16"/>
      <c r="AN67" s="16"/>
    </row>
    <row r="68" spans="2:40" x14ac:dyDescent="0.25">
      <c r="B68" s="21"/>
      <c r="C68" s="17"/>
      <c r="D68" s="16"/>
      <c r="E68" s="16"/>
      <c r="F68" s="18"/>
      <c r="G68" s="18"/>
      <c r="H68" s="16"/>
      <c r="I68" s="16"/>
      <c r="J68" s="16"/>
      <c r="K68" s="16"/>
      <c r="L68" s="16"/>
      <c r="M68" s="16"/>
      <c r="N68" s="16"/>
      <c r="O68" s="18"/>
      <c r="P68" s="18"/>
      <c r="Q68" s="19"/>
      <c r="R68" s="17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20"/>
      <c r="AD68" s="20"/>
      <c r="AE68" s="20"/>
      <c r="AF68" s="20"/>
      <c r="AG68" s="20"/>
      <c r="AH68" s="32"/>
      <c r="AI68" s="32"/>
      <c r="AJ68" s="32"/>
      <c r="AK68" s="20"/>
      <c r="AL68" s="16"/>
      <c r="AM68" s="16"/>
      <c r="AN68" s="16"/>
    </row>
    <row r="69" spans="2:40" x14ac:dyDescent="0.25">
      <c r="B69" s="21"/>
      <c r="C69" s="17"/>
      <c r="D69" s="16"/>
      <c r="E69" s="16"/>
      <c r="F69" s="18"/>
      <c r="G69" s="18"/>
      <c r="H69" s="16"/>
      <c r="I69" s="16"/>
      <c r="J69" s="16"/>
      <c r="K69" s="16"/>
      <c r="L69" s="16"/>
      <c r="M69" s="16"/>
      <c r="N69" s="16"/>
      <c r="O69" s="18"/>
      <c r="P69" s="18"/>
      <c r="Q69" s="19"/>
      <c r="R69" s="17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20"/>
      <c r="AD69" s="20"/>
      <c r="AE69" s="20"/>
      <c r="AF69" s="20"/>
      <c r="AG69" s="20"/>
      <c r="AH69" s="32"/>
      <c r="AI69" s="32"/>
      <c r="AJ69" s="32"/>
      <c r="AK69" s="20"/>
      <c r="AL69" s="16"/>
      <c r="AM69" s="16"/>
      <c r="AN69" s="16"/>
    </row>
    <row r="70" spans="2:40" x14ac:dyDescent="0.25">
      <c r="B70" s="21"/>
      <c r="C70" s="17"/>
      <c r="D70" s="16"/>
      <c r="E70" s="16"/>
      <c r="F70" s="18"/>
      <c r="G70" s="18"/>
      <c r="H70" s="16"/>
      <c r="I70" s="16"/>
      <c r="J70" s="16"/>
      <c r="K70" s="16"/>
      <c r="L70" s="16"/>
      <c r="M70" s="16"/>
      <c r="N70" s="16"/>
      <c r="O70" s="18"/>
      <c r="P70" s="18"/>
      <c r="Q70" s="19"/>
      <c r="R70" s="17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20"/>
      <c r="AD70" s="20"/>
      <c r="AE70" s="20"/>
      <c r="AF70" s="20"/>
      <c r="AG70" s="20"/>
      <c r="AH70" s="32"/>
      <c r="AI70" s="32"/>
      <c r="AJ70" s="32"/>
      <c r="AK70" s="20"/>
      <c r="AL70" s="16"/>
      <c r="AM70" s="16"/>
      <c r="AN70" s="16"/>
    </row>
    <row r="71" spans="2:40" x14ac:dyDescent="0.25">
      <c r="B71" s="21"/>
      <c r="C71" s="17"/>
      <c r="D71" s="16"/>
      <c r="E71" s="16"/>
      <c r="F71" s="18"/>
      <c r="G71" s="18"/>
      <c r="H71" s="16"/>
      <c r="I71" s="16"/>
      <c r="J71" s="16"/>
      <c r="K71" s="16"/>
      <c r="L71" s="16"/>
      <c r="M71" s="16"/>
      <c r="N71" s="16"/>
      <c r="O71" s="18"/>
      <c r="P71" s="18"/>
      <c r="Q71" s="19"/>
      <c r="R71" s="17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20"/>
      <c r="AD71" s="20"/>
      <c r="AE71" s="20"/>
      <c r="AF71" s="20"/>
      <c r="AG71" s="20"/>
      <c r="AH71" s="32"/>
      <c r="AI71" s="32"/>
      <c r="AJ71" s="32"/>
      <c r="AK71" s="20"/>
      <c r="AL71" s="16"/>
      <c r="AM71" s="16"/>
      <c r="AN71" s="16"/>
    </row>
    <row r="72" spans="2:40" x14ac:dyDescent="0.25">
      <c r="B72" s="21"/>
      <c r="C72" s="17"/>
      <c r="D72" s="16"/>
      <c r="E72" s="16"/>
      <c r="F72" s="18"/>
      <c r="G72" s="18"/>
      <c r="H72" s="16"/>
      <c r="I72" s="16"/>
      <c r="J72" s="16"/>
      <c r="K72" s="16"/>
      <c r="L72" s="16"/>
      <c r="M72" s="16"/>
      <c r="N72" s="16"/>
      <c r="O72" s="18"/>
      <c r="P72" s="18"/>
      <c r="Q72" s="19"/>
      <c r="R72" s="17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20"/>
      <c r="AD72" s="20"/>
      <c r="AE72" s="20"/>
      <c r="AF72" s="20"/>
      <c r="AG72" s="20"/>
      <c r="AH72" s="32"/>
      <c r="AI72" s="32"/>
      <c r="AJ72" s="32"/>
      <c r="AK72" s="20"/>
      <c r="AL72" s="16"/>
      <c r="AM72" s="16"/>
      <c r="AN72" s="16"/>
    </row>
    <row r="73" spans="2:40" x14ac:dyDescent="0.25">
      <c r="B73" s="21"/>
      <c r="C73" s="17"/>
      <c r="D73" s="16"/>
      <c r="E73" s="16"/>
      <c r="F73" s="18"/>
      <c r="G73" s="18"/>
      <c r="H73" s="16"/>
      <c r="I73" s="16"/>
      <c r="J73" s="16"/>
      <c r="K73" s="16"/>
      <c r="L73" s="16"/>
      <c r="M73" s="16"/>
      <c r="N73" s="16"/>
      <c r="O73" s="18"/>
      <c r="P73" s="18"/>
      <c r="Q73" s="19"/>
      <c r="R73" s="17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20"/>
      <c r="AD73" s="20"/>
      <c r="AE73" s="20"/>
      <c r="AF73" s="20"/>
      <c r="AG73" s="20"/>
      <c r="AH73" s="32"/>
      <c r="AI73" s="32"/>
      <c r="AJ73" s="32"/>
      <c r="AK73" s="20"/>
      <c r="AL73" s="16"/>
      <c r="AM73" s="16"/>
      <c r="AN73" s="16"/>
    </row>
    <row r="74" spans="2:40" x14ac:dyDescent="0.25">
      <c r="B74" s="21"/>
      <c r="C74" s="17"/>
      <c r="D74" s="16"/>
      <c r="E74" s="16"/>
      <c r="F74" s="18"/>
      <c r="G74" s="18"/>
      <c r="H74" s="16"/>
      <c r="I74" s="16"/>
      <c r="J74" s="16"/>
      <c r="K74" s="16"/>
      <c r="L74" s="16"/>
      <c r="M74" s="16"/>
      <c r="N74" s="16"/>
      <c r="O74" s="18"/>
      <c r="P74" s="18"/>
      <c r="Q74" s="19"/>
      <c r="R74" s="17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20"/>
      <c r="AD74" s="20"/>
      <c r="AE74" s="20"/>
      <c r="AF74" s="20"/>
      <c r="AG74" s="20"/>
      <c r="AH74" s="32"/>
      <c r="AI74" s="32"/>
      <c r="AJ74" s="32"/>
      <c r="AK74" s="20"/>
      <c r="AL74" s="16"/>
      <c r="AM74" s="16"/>
      <c r="AN74" s="16"/>
    </row>
    <row r="75" spans="2:40" x14ac:dyDescent="0.25">
      <c r="B75" s="21"/>
      <c r="C75" s="17"/>
      <c r="D75" s="16"/>
      <c r="E75" s="16"/>
      <c r="F75" s="18"/>
      <c r="G75" s="18"/>
      <c r="H75" s="16"/>
      <c r="I75" s="16"/>
      <c r="J75" s="16"/>
      <c r="K75" s="16"/>
      <c r="L75" s="16"/>
      <c r="M75" s="16"/>
      <c r="N75" s="16"/>
      <c r="O75" s="18"/>
      <c r="P75" s="18"/>
      <c r="Q75" s="19"/>
      <c r="R75" s="17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20"/>
      <c r="AD75" s="20"/>
      <c r="AE75" s="20"/>
      <c r="AF75" s="20"/>
      <c r="AG75" s="20"/>
      <c r="AH75" s="32"/>
      <c r="AI75" s="32"/>
      <c r="AJ75" s="32"/>
      <c r="AK75" s="20"/>
      <c r="AL75" s="16"/>
      <c r="AM75" s="16"/>
      <c r="AN75" s="16"/>
    </row>
    <row r="76" spans="2:40" x14ac:dyDescent="0.25">
      <c r="B76" s="21"/>
      <c r="C76" s="17"/>
      <c r="D76" s="16"/>
      <c r="E76" s="16"/>
      <c r="F76" s="18"/>
      <c r="G76" s="18"/>
      <c r="H76" s="16"/>
      <c r="I76" s="16"/>
      <c r="J76" s="16"/>
      <c r="K76" s="16"/>
      <c r="L76" s="16"/>
      <c r="M76" s="16"/>
      <c r="N76" s="16"/>
      <c r="O76" s="18"/>
      <c r="P76" s="18"/>
      <c r="Q76" s="19"/>
      <c r="R76" s="17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20"/>
      <c r="AD76" s="20"/>
      <c r="AE76" s="20"/>
      <c r="AF76" s="20"/>
      <c r="AG76" s="20"/>
      <c r="AH76" s="32"/>
      <c r="AI76" s="32"/>
      <c r="AJ76" s="32"/>
      <c r="AK76" s="20"/>
      <c r="AL76" s="16"/>
      <c r="AM76" s="16"/>
      <c r="AN76" s="16"/>
    </row>
    <row r="77" spans="2:40" x14ac:dyDescent="0.25">
      <c r="B77" s="21"/>
      <c r="C77" s="17"/>
      <c r="D77" s="16"/>
      <c r="E77" s="16"/>
      <c r="F77" s="18"/>
      <c r="G77" s="18"/>
      <c r="H77" s="16"/>
      <c r="I77" s="16"/>
      <c r="J77" s="16"/>
      <c r="K77" s="16"/>
      <c r="L77" s="16"/>
      <c r="M77" s="16"/>
      <c r="N77" s="16"/>
      <c r="O77" s="18"/>
      <c r="P77" s="18"/>
      <c r="Q77" s="19"/>
      <c r="R77" s="17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20"/>
      <c r="AD77" s="20"/>
      <c r="AE77" s="20"/>
      <c r="AF77" s="20"/>
      <c r="AG77" s="20"/>
      <c r="AH77" s="32"/>
      <c r="AI77" s="32"/>
      <c r="AJ77" s="32"/>
      <c r="AK77" s="20"/>
      <c r="AL77" s="16"/>
      <c r="AM77" s="16"/>
      <c r="AN77" s="16"/>
    </row>
    <row r="78" spans="2:40" x14ac:dyDescent="0.25">
      <c r="B78" s="21"/>
      <c r="C78" s="17"/>
      <c r="D78" s="16"/>
      <c r="E78" s="16"/>
      <c r="F78" s="18"/>
      <c r="G78" s="18"/>
      <c r="H78" s="16"/>
      <c r="I78" s="16"/>
      <c r="J78" s="16"/>
      <c r="K78" s="16"/>
      <c r="L78" s="16"/>
      <c r="M78" s="16"/>
      <c r="N78" s="16"/>
      <c r="O78" s="18"/>
      <c r="P78" s="18"/>
      <c r="Q78" s="19"/>
      <c r="R78" s="17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20"/>
      <c r="AD78" s="20"/>
      <c r="AE78" s="20"/>
      <c r="AF78" s="20"/>
      <c r="AG78" s="20"/>
      <c r="AH78" s="32"/>
      <c r="AI78" s="32"/>
      <c r="AJ78" s="32"/>
      <c r="AK78" s="20"/>
      <c r="AL78" s="16"/>
      <c r="AM78" s="16"/>
      <c r="AN78" s="16"/>
    </row>
    <row r="79" spans="2:40" x14ac:dyDescent="0.25">
      <c r="B79" s="21"/>
      <c r="C79" s="17"/>
      <c r="D79" s="16"/>
      <c r="E79" s="16"/>
      <c r="F79" s="18"/>
      <c r="G79" s="18"/>
      <c r="H79" s="16"/>
      <c r="I79" s="16"/>
      <c r="J79" s="16"/>
      <c r="K79" s="16"/>
      <c r="L79" s="16"/>
      <c r="M79" s="16"/>
      <c r="N79" s="16"/>
      <c r="O79" s="18"/>
      <c r="P79" s="18"/>
      <c r="Q79" s="19"/>
      <c r="R79" s="17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20"/>
      <c r="AD79" s="20"/>
      <c r="AE79" s="20"/>
      <c r="AF79" s="20"/>
      <c r="AG79" s="20"/>
      <c r="AH79" s="32"/>
      <c r="AI79" s="32"/>
      <c r="AJ79" s="32"/>
      <c r="AK79" s="20"/>
      <c r="AL79" s="16"/>
      <c r="AM79" s="16"/>
      <c r="AN79" s="16"/>
    </row>
    <row r="80" spans="2:40" x14ac:dyDescent="0.25">
      <c r="B80" s="21"/>
      <c r="C80" s="17"/>
      <c r="D80" s="16"/>
      <c r="E80" s="16"/>
      <c r="F80" s="18"/>
      <c r="G80" s="18"/>
      <c r="H80" s="16"/>
      <c r="I80" s="16"/>
      <c r="J80" s="16"/>
      <c r="K80" s="16"/>
      <c r="L80" s="16"/>
      <c r="M80" s="16"/>
      <c r="N80" s="16"/>
      <c r="O80" s="18"/>
      <c r="P80" s="18"/>
      <c r="Q80" s="19"/>
      <c r="R80" s="17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20"/>
      <c r="AD80" s="20"/>
      <c r="AE80" s="20"/>
      <c r="AF80" s="20"/>
      <c r="AG80" s="20"/>
      <c r="AH80" s="32"/>
      <c r="AI80" s="32"/>
      <c r="AJ80" s="32"/>
      <c r="AK80" s="20"/>
      <c r="AL80" s="16"/>
      <c r="AM80" s="16"/>
      <c r="AN80" s="16"/>
    </row>
    <row r="81" spans="2:40" x14ac:dyDescent="0.25">
      <c r="B81" s="21"/>
      <c r="C81" s="17"/>
      <c r="D81" s="16"/>
      <c r="E81" s="16"/>
      <c r="F81" s="18"/>
      <c r="G81" s="18"/>
      <c r="H81" s="16"/>
      <c r="I81" s="16"/>
      <c r="J81" s="16"/>
      <c r="K81" s="16"/>
      <c r="L81" s="16"/>
      <c r="M81" s="16"/>
      <c r="N81" s="16"/>
      <c r="O81" s="18"/>
      <c r="P81" s="18"/>
      <c r="Q81" s="19"/>
      <c r="R81" s="17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20"/>
      <c r="AD81" s="20"/>
      <c r="AE81" s="20"/>
      <c r="AF81" s="20"/>
      <c r="AG81" s="20"/>
      <c r="AH81" s="32"/>
      <c r="AI81" s="32"/>
      <c r="AJ81" s="32"/>
      <c r="AK81" s="20"/>
      <c r="AL81" s="16"/>
      <c r="AM81" s="16"/>
      <c r="AN81" s="16"/>
    </row>
    <row r="82" spans="2:40" x14ac:dyDescent="0.25">
      <c r="B82" s="21"/>
      <c r="C82" s="17"/>
      <c r="D82" s="16"/>
      <c r="E82" s="16"/>
      <c r="F82" s="18"/>
      <c r="G82" s="18"/>
      <c r="H82" s="16"/>
      <c r="I82" s="16"/>
      <c r="J82" s="16"/>
      <c r="K82" s="16"/>
      <c r="L82" s="16"/>
      <c r="M82" s="16"/>
      <c r="N82" s="16"/>
      <c r="O82" s="18"/>
      <c r="P82" s="18"/>
      <c r="Q82" s="19"/>
      <c r="R82" s="17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20"/>
      <c r="AD82" s="20"/>
      <c r="AE82" s="20"/>
      <c r="AF82" s="20"/>
      <c r="AG82" s="20"/>
      <c r="AH82" s="32"/>
      <c r="AI82" s="32"/>
      <c r="AJ82" s="32"/>
      <c r="AK82" s="20"/>
      <c r="AL82" s="16"/>
      <c r="AM82" s="16"/>
      <c r="AN82" s="16"/>
    </row>
    <row r="83" spans="2:40" x14ac:dyDescent="0.25">
      <c r="B83" s="21"/>
      <c r="C83" s="17"/>
      <c r="D83" s="16"/>
      <c r="E83" s="16"/>
      <c r="F83" s="18"/>
      <c r="G83" s="18"/>
      <c r="H83" s="16"/>
      <c r="I83" s="16"/>
      <c r="J83" s="16"/>
      <c r="K83" s="16"/>
      <c r="L83" s="16"/>
      <c r="M83" s="16"/>
      <c r="N83" s="16"/>
      <c r="O83" s="18"/>
      <c r="P83" s="18"/>
      <c r="Q83" s="19"/>
      <c r="R83" s="17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20"/>
      <c r="AD83" s="20"/>
      <c r="AE83" s="20"/>
      <c r="AF83" s="20"/>
      <c r="AG83" s="20"/>
      <c r="AH83" s="32"/>
      <c r="AI83" s="32"/>
      <c r="AJ83" s="32"/>
      <c r="AK83" s="20"/>
      <c r="AL83" s="16"/>
      <c r="AM83" s="16"/>
      <c r="AN83" s="16"/>
    </row>
    <row r="84" spans="2:40" x14ac:dyDescent="0.25">
      <c r="B84" s="21"/>
      <c r="C84" s="17"/>
      <c r="D84" s="16"/>
      <c r="E84" s="16"/>
      <c r="F84" s="18"/>
      <c r="G84" s="18"/>
      <c r="H84" s="16"/>
      <c r="I84" s="16"/>
      <c r="J84" s="16"/>
      <c r="K84" s="16"/>
      <c r="L84" s="16"/>
      <c r="M84" s="16"/>
      <c r="N84" s="16"/>
      <c r="O84" s="18"/>
      <c r="P84" s="18"/>
      <c r="Q84" s="19"/>
      <c r="R84" s="17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20"/>
      <c r="AD84" s="20"/>
      <c r="AE84" s="20"/>
      <c r="AF84" s="20"/>
      <c r="AG84" s="20"/>
      <c r="AH84" s="32"/>
      <c r="AI84" s="32"/>
      <c r="AJ84" s="32"/>
      <c r="AK84" s="20"/>
      <c r="AL84" s="16"/>
      <c r="AM84" s="16"/>
      <c r="AN84" s="16"/>
    </row>
    <row r="85" spans="2:40" x14ac:dyDescent="0.25">
      <c r="B85" s="21"/>
      <c r="C85" s="17"/>
      <c r="D85" s="16"/>
      <c r="E85" s="16"/>
      <c r="F85" s="18"/>
      <c r="G85" s="18"/>
      <c r="H85" s="16"/>
      <c r="I85" s="16"/>
      <c r="J85" s="16"/>
      <c r="K85" s="16"/>
      <c r="L85" s="16"/>
      <c r="M85" s="16"/>
      <c r="N85" s="16"/>
      <c r="O85" s="18"/>
      <c r="P85" s="18"/>
      <c r="Q85" s="19"/>
      <c r="R85" s="17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20"/>
      <c r="AD85" s="20"/>
      <c r="AE85" s="20"/>
      <c r="AF85" s="20"/>
      <c r="AG85" s="20"/>
      <c r="AH85" s="32"/>
      <c r="AI85" s="32"/>
      <c r="AJ85" s="32"/>
      <c r="AK85" s="20"/>
      <c r="AL85" s="16"/>
      <c r="AM85" s="16"/>
      <c r="AN85" s="16"/>
    </row>
    <row r="86" spans="2:40" x14ac:dyDescent="0.25">
      <c r="B86" s="21"/>
      <c r="C86" s="17"/>
      <c r="D86" s="16"/>
      <c r="E86" s="16"/>
      <c r="F86" s="18"/>
      <c r="G86" s="18"/>
      <c r="H86" s="16"/>
      <c r="I86" s="16"/>
      <c r="J86" s="16"/>
      <c r="K86" s="16"/>
      <c r="L86" s="16"/>
      <c r="M86" s="16"/>
      <c r="N86" s="16"/>
      <c r="O86" s="18"/>
      <c r="P86" s="18"/>
      <c r="Q86" s="19"/>
      <c r="R86" s="17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20"/>
      <c r="AD86" s="20"/>
      <c r="AE86" s="20"/>
      <c r="AF86" s="20"/>
      <c r="AG86" s="20"/>
      <c r="AH86" s="32"/>
      <c r="AI86" s="32"/>
      <c r="AJ86" s="32"/>
      <c r="AK86" s="20"/>
      <c r="AL86" s="16"/>
      <c r="AM86" s="16"/>
      <c r="AN86" s="16"/>
    </row>
    <row r="87" spans="2:40" x14ac:dyDescent="0.25">
      <c r="B87" s="21"/>
      <c r="C87" s="17"/>
      <c r="D87" s="16"/>
      <c r="E87" s="16"/>
      <c r="F87" s="18"/>
      <c r="G87" s="18"/>
      <c r="H87" s="16"/>
      <c r="I87" s="16"/>
      <c r="J87" s="16"/>
      <c r="K87" s="16"/>
      <c r="L87" s="16"/>
      <c r="M87" s="16"/>
      <c r="N87" s="16"/>
      <c r="O87" s="18"/>
      <c r="P87" s="18"/>
      <c r="Q87" s="19"/>
      <c r="R87" s="17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20"/>
      <c r="AD87" s="20"/>
      <c r="AE87" s="20"/>
      <c r="AF87" s="20"/>
      <c r="AG87" s="20"/>
      <c r="AH87" s="32"/>
      <c r="AI87" s="32"/>
      <c r="AJ87" s="32"/>
      <c r="AK87" s="20"/>
      <c r="AL87" s="16"/>
      <c r="AM87" s="16"/>
      <c r="AN87" s="16"/>
    </row>
    <row r="88" spans="2:40" x14ac:dyDescent="0.25">
      <c r="B88" s="21"/>
      <c r="C88" s="17"/>
      <c r="D88" s="16"/>
      <c r="E88" s="16"/>
      <c r="F88" s="18"/>
      <c r="G88" s="18"/>
      <c r="H88" s="16"/>
      <c r="I88" s="16"/>
      <c r="J88" s="16"/>
      <c r="K88" s="16"/>
      <c r="L88" s="16"/>
      <c r="M88" s="16"/>
      <c r="N88" s="16"/>
      <c r="O88" s="18"/>
      <c r="P88" s="18"/>
      <c r="Q88" s="19"/>
      <c r="R88" s="17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20"/>
      <c r="AD88" s="20"/>
      <c r="AE88" s="20"/>
      <c r="AF88" s="20"/>
      <c r="AG88" s="20"/>
      <c r="AH88" s="32"/>
      <c r="AI88" s="32"/>
      <c r="AJ88" s="32"/>
      <c r="AK88" s="20"/>
      <c r="AL88" s="16"/>
      <c r="AM88" s="16"/>
      <c r="AN88" s="16"/>
    </row>
    <row r="89" spans="2:40" x14ac:dyDescent="0.25">
      <c r="B89" s="21"/>
      <c r="C89" s="17"/>
      <c r="D89" s="16"/>
      <c r="E89" s="16"/>
      <c r="F89" s="18"/>
      <c r="G89" s="18"/>
      <c r="H89" s="16"/>
      <c r="I89" s="16"/>
      <c r="J89" s="16"/>
      <c r="K89" s="16"/>
      <c r="L89" s="16"/>
      <c r="M89" s="16"/>
      <c r="N89" s="16"/>
      <c r="O89" s="18"/>
      <c r="P89" s="18"/>
      <c r="Q89" s="19"/>
      <c r="R89" s="17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20"/>
      <c r="AD89" s="20"/>
      <c r="AE89" s="20"/>
      <c r="AF89" s="20"/>
      <c r="AG89" s="20"/>
      <c r="AH89" s="32"/>
      <c r="AI89" s="32"/>
      <c r="AJ89" s="32"/>
      <c r="AK89" s="20"/>
      <c r="AL89" s="16"/>
      <c r="AM89" s="16"/>
      <c r="AN89" s="16"/>
    </row>
    <row r="90" spans="2:40" x14ac:dyDescent="0.25">
      <c r="B90" s="21"/>
      <c r="C90" s="17"/>
      <c r="D90" s="16"/>
      <c r="E90" s="16"/>
      <c r="F90" s="18"/>
      <c r="G90" s="18"/>
      <c r="H90" s="16"/>
      <c r="I90" s="16"/>
      <c r="J90" s="16"/>
      <c r="K90" s="16"/>
      <c r="L90" s="16"/>
      <c r="M90" s="16"/>
      <c r="N90" s="16"/>
      <c r="O90" s="18"/>
      <c r="P90" s="18"/>
      <c r="Q90" s="19"/>
      <c r="R90" s="17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20"/>
      <c r="AD90" s="20"/>
      <c r="AE90" s="20"/>
      <c r="AF90" s="20"/>
      <c r="AG90" s="20"/>
      <c r="AH90" s="32"/>
      <c r="AI90" s="32"/>
      <c r="AJ90" s="32"/>
      <c r="AK90" s="20"/>
      <c r="AL90" s="16"/>
      <c r="AM90" s="16"/>
      <c r="AN90" s="16"/>
    </row>
    <row r="91" spans="2:40" x14ac:dyDescent="0.25">
      <c r="B91" s="21"/>
      <c r="C91" s="17"/>
      <c r="D91" s="16"/>
      <c r="E91" s="16"/>
      <c r="F91" s="18"/>
      <c r="G91" s="18"/>
      <c r="H91" s="16"/>
      <c r="I91" s="16"/>
      <c r="J91" s="16"/>
      <c r="K91" s="16"/>
      <c r="L91" s="16"/>
      <c r="M91" s="16"/>
      <c r="N91" s="16"/>
      <c r="O91" s="18"/>
      <c r="P91" s="18"/>
      <c r="Q91" s="19"/>
      <c r="R91" s="17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20"/>
      <c r="AD91" s="20"/>
      <c r="AE91" s="20"/>
      <c r="AF91" s="20"/>
      <c r="AG91" s="20"/>
      <c r="AH91" s="32"/>
      <c r="AI91" s="32"/>
      <c r="AJ91" s="32"/>
      <c r="AK91" s="20"/>
      <c r="AL91" s="16"/>
      <c r="AM91" s="16"/>
      <c r="AN91" s="16"/>
    </row>
    <row r="92" spans="2:40" x14ac:dyDescent="0.25">
      <c r="B92" s="21"/>
      <c r="C92" s="17"/>
      <c r="D92" s="16"/>
      <c r="E92" s="16"/>
      <c r="F92" s="18"/>
      <c r="G92" s="18"/>
      <c r="H92" s="16"/>
      <c r="I92" s="16"/>
      <c r="J92" s="16"/>
      <c r="K92" s="16"/>
      <c r="L92" s="16"/>
      <c r="M92" s="16"/>
      <c r="N92" s="16"/>
      <c r="O92" s="18"/>
      <c r="P92" s="18"/>
      <c r="Q92" s="19"/>
      <c r="R92" s="17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20"/>
      <c r="AD92" s="20"/>
      <c r="AE92" s="20"/>
      <c r="AF92" s="20"/>
      <c r="AG92" s="20"/>
      <c r="AH92" s="32"/>
      <c r="AI92" s="32"/>
      <c r="AJ92" s="32"/>
      <c r="AK92" s="20"/>
      <c r="AL92" s="16"/>
      <c r="AM92" s="16"/>
      <c r="AN92" s="16"/>
    </row>
    <row r="93" spans="2:40" x14ac:dyDescent="0.25">
      <c r="B93" s="21"/>
      <c r="C93" s="17"/>
      <c r="D93" s="16"/>
      <c r="E93" s="16"/>
      <c r="F93" s="18"/>
      <c r="G93" s="18"/>
      <c r="H93" s="16"/>
      <c r="I93" s="16"/>
      <c r="J93" s="16"/>
      <c r="K93" s="16"/>
      <c r="L93" s="16"/>
      <c r="M93" s="16"/>
      <c r="N93" s="16"/>
      <c r="O93" s="18"/>
      <c r="P93" s="18"/>
      <c r="Q93" s="19"/>
      <c r="R93" s="17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20"/>
      <c r="AD93" s="20"/>
      <c r="AE93" s="20"/>
      <c r="AF93" s="20"/>
      <c r="AG93" s="20"/>
      <c r="AH93" s="32"/>
      <c r="AI93" s="32"/>
      <c r="AJ93" s="32"/>
      <c r="AK93" s="20"/>
      <c r="AL93" s="16"/>
      <c r="AM93" s="16"/>
      <c r="AN93" s="16"/>
    </row>
    <row r="94" spans="2:40" x14ac:dyDescent="0.25">
      <c r="B94" s="21"/>
      <c r="C94" s="17"/>
      <c r="D94" s="16"/>
      <c r="E94" s="16"/>
      <c r="F94" s="18"/>
      <c r="G94" s="18"/>
      <c r="H94" s="16"/>
      <c r="I94" s="16"/>
      <c r="J94" s="16"/>
      <c r="K94" s="16"/>
      <c r="L94" s="16"/>
      <c r="M94" s="16"/>
      <c r="N94" s="16"/>
      <c r="O94" s="18"/>
      <c r="P94" s="18"/>
      <c r="Q94" s="19"/>
      <c r="R94" s="17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20"/>
      <c r="AD94" s="20"/>
      <c r="AE94" s="20"/>
      <c r="AF94" s="20"/>
      <c r="AG94" s="20"/>
      <c r="AH94" s="32"/>
      <c r="AI94" s="32"/>
      <c r="AJ94" s="32"/>
      <c r="AK94" s="20"/>
      <c r="AL94" s="16"/>
      <c r="AM94" s="16"/>
      <c r="AN94" s="16"/>
    </row>
    <row r="95" spans="2:40" x14ac:dyDescent="0.25">
      <c r="B95" s="21"/>
      <c r="C95" s="17"/>
      <c r="D95" s="16"/>
      <c r="E95" s="16"/>
      <c r="F95" s="18"/>
      <c r="G95" s="18"/>
      <c r="H95" s="16"/>
      <c r="I95" s="16"/>
      <c r="J95" s="16"/>
      <c r="K95" s="16"/>
      <c r="L95" s="16"/>
      <c r="M95" s="16"/>
      <c r="N95" s="16"/>
      <c r="O95" s="18"/>
      <c r="P95" s="18"/>
      <c r="Q95" s="19"/>
      <c r="R95" s="17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20"/>
      <c r="AD95" s="20"/>
      <c r="AE95" s="20"/>
      <c r="AF95" s="20"/>
      <c r="AG95" s="20"/>
      <c r="AH95" s="32"/>
      <c r="AI95" s="32"/>
      <c r="AJ95" s="32"/>
      <c r="AK95" s="20"/>
      <c r="AL95" s="16"/>
      <c r="AM95" s="16"/>
      <c r="AN95" s="16"/>
    </row>
    <row r="96" spans="2:40" x14ac:dyDescent="0.25">
      <c r="B96" s="21"/>
      <c r="C96" s="17"/>
      <c r="D96" s="16"/>
      <c r="E96" s="16"/>
      <c r="F96" s="18"/>
      <c r="G96" s="18"/>
      <c r="H96" s="16"/>
      <c r="I96" s="16"/>
      <c r="J96" s="16"/>
      <c r="K96" s="16"/>
      <c r="L96" s="16"/>
      <c r="M96" s="16"/>
      <c r="N96" s="16"/>
      <c r="O96" s="18"/>
      <c r="P96" s="18"/>
      <c r="Q96" s="19"/>
      <c r="R96" s="17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20"/>
      <c r="AD96" s="20"/>
      <c r="AE96" s="20"/>
      <c r="AF96" s="20"/>
      <c r="AG96" s="20"/>
      <c r="AH96" s="32"/>
      <c r="AI96" s="32"/>
      <c r="AJ96" s="32"/>
      <c r="AK96" s="20"/>
      <c r="AL96" s="16"/>
      <c r="AM96" s="16"/>
      <c r="AN96" s="16"/>
    </row>
    <row r="97" spans="2:40" x14ac:dyDescent="0.25">
      <c r="B97" s="21"/>
      <c r="C97" s="17"/>
      <c r="D97" s="16"/>
      <c r="E97" s="16"/>
      <c r="F97" s="18"/>
      <c r="G97" s="18"/>
      <c r="H97" s="16"/>
      <c r="I97" s="16"/>
      <c r="J97" s="16"/>
      <c r="K97" s="16"/>
      <c r="L97" s="16"/>
      <c r="M97" s="16"/>
      <c r="N97" s="16"/>
      <c r="O97" s="18"/>
      <c r="P97" s="18"/>
      <c r="Q97" s="19"/>
      <c r="R97" s="17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20"/>
      <c r="AD97" s="20"/>
      <c r="AE97" s="20"/>
      <c r="AF97" s="20"/>
      <c r="AG97" s="20"/>
      <c r="AH97" s="32"/>
      <c r="AI97" s="32"/>
      <c r="AJ97" s="32"/>
      <c r="AK97" s="20"/>
      <c r="AL97" s="16"/>
      <c r="AM97" s="16"/>
      <c r="AN97" s="16"/>
    </row>
    <row r="98" spans="2:40" x14ac:dyDescent="0.25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</sheetData>
  <customSheetViews>
    <customSheetView guid="{7ECC2B8E-6A82-42F5-8AB0-4A51C54EA5EC}" scale="70" showAutoFilter="1" topLeftCell="A10">
      <selection activeCell="V56" sqref="V56"/>
      <pageMargins left="0.7" right="0.7" top="0.75" bottom="0.75" header="0.3" footer="0.3"/>
      <pageSetup orientation="portrait" horizontalDpi="300" verticalDpi="0" r:id="rId1"/>
      <autoFilter ref="B47:AN97" xr:uid="{00000000-0000-0000-0000-000000000000}"/>
    </customSheetView>
    <customSheetView guid="{A2C66332-A809-458E-971B-FDB6D62C74C3}" scale="70" filter="1" showAutoFilter="1" topLeftCell="N31">
      <selection activeCell="Z300" sqref="Z300"/>
      <pageMargins left="0.7" right="0.7" top="0.75" bottom="0.75" header="0.3" footer="0.3"/>
      <pageSetup orientation="portrait" horizontalDpi="300" verticalDpi="0" r:id="rId2"/>
      <autoFilter ref="B47:AN360" xr:uid="{00000000-0000-0000-0000-000000000000}">
        <filterColumn colId="17">
          <filters>
            <filter val="bang.nguyen-duy"/>
          </filters>
        </filterColumn>
      </autoFilter>
    </customSheetView>
    <customSheetView guid="{3B3E6719-EACB-4D2C-89C1-05FFAB6020FD}" scale="70" filter="1" showAutoFilter="1" topLeftCell="A112">
      <selection activeCell="F315" sqref="F315"/>
      <pageMargins left="0.7" right="0.7" top="0.75" bottom="0.75" header="0.3" footer="0.3"/>
      <pageSetup orientation="portrait" horizontalDpi="300" verticalDpi="0" r:id="rId3"/>
      <autoFilter ref="B47:AO341" xr:uid="{00000000-0000-0000-0000-000000000000}">
        <filterColumn colId="17">
          <filters>
            <filter val="phuong.nguyen-thanh"/>
          </filters>
        </filterColumn>
      </autoFilter>
    </customSheetView>
    <customSheetView guid="{72A6EB0A-84D5-4B8A-AC51-54CCD061630B}" scale="80" filter="1" showAutoFilter="1" topLeftCell="R26">
      <selection activeCell="AE325" sqref="AE325:AK329"/>
      <pageMargins left="0.7" right="0.7" top="0.75" bottom="0.75" header="0.3" footer="0.3"/>
      <pageSetup orientation="portrait" horizontalDpi="300" verticalDpi="0" r:id="rId4"/>
      <autoFilter ref="B47:AO341" xr:uid="{00000000-0000-0000-0000-000000000000}">
        <filterColumn colId="17">
          <filters>
            <filter val="loc.do-phu"/>
          </filters>
        </filterColumn>
      </autoFilter>
    </customSheetView>
    <customSheetView guid="{336B6883-2145-4B58-921E-CEC7185A847E}" scale="85" showAutoFilter="1" topLeftCell="P217">
      <selection activeCell="AG242" sqref="AG242"/>
      <pageMargins left="0.7" right="0.7" top="0.75" bottom="0.75" header="0.3" footer="0.3"/>
      <pageSetup orientation="portrait" horizontalDpi="300" verticalDpi="0" r:id="rId5"/>
      <autoFilter ref="P62:P328" xr:uid="{00000000-0000-0000-0000-000000000000}"/>
    </customSheetView>
    <customSheetView guid="{D33AC7AF-C8AB-4CE9-94C7-9237011A5FC3}" scale="70" topLeftCell="G50">
      <selection activeCell="M263" sqref="M263"/>
      <pageMargins left="0.7" right="0.7" top="0.75" bottom="0.75" header="0.3" footer="0.3"/>
      <pageSetup orientation="portrait" horizontalDpi="300" verticalDpi="0" r:id="rId6"/>
    </customSheetView>
    <customSheetView guid="{250915DF-0B97-45D7-B29D-7EED4C89C1C1}" scale="70" topLeftCell="B31">
      <selection activeCell="K49" sqref="K49"/>
      <pageMargins left="0.7" right="0.7" top="0.75" bottom="0.75" header="0.3" footer="0.3"/>
      <pageSetup orientation="portrait" horizontalDpi="300" verticalDpi="0" r:id="rId7"/>
    </customSheetView>
  </customSheetViews>
  <conditionalFormatting sqref="H4:H13 H19:H29">
    <cfRule type="cellIs" dxfId="36" priority="99" operator="equal">
      <formula>1</formula>
    </cfRule>
    <cfRule type="cellIs" dxfId="35" priority="100" operator="lessThan">
      <formula>1</formula>
    </cfRule>
  </conditionalFormatting>
  <conditionalFormatting sqref="AK64:AK97 AG64:AG97">
    <cfRule type="cellIs" dxfId="34" priority="97" operator="equal">
      <formula>"OK"</formula>
    </cfRule>
    <cfRule type="cellIs" dxfId="33" priority="98" operator="equal">
      <formula>"NG"</formula>
    </cfRule>
  </conditionalFormatting>
  <conditionalFormatting sqref="O48:P97">
    <cfRule type="cellIs" dxfId="32" priority="96" operator="equal">
      <formula>"PUT_VERSION"</formula>
    </cfRule>
  </conditionalFormatting>
  <conditionalFormatting sqref="D14">
    <cfRule type="expression" dxfId="31" priority="84">
      <formula>$D$14=SUM($D$4:$D$13)</formula>
    </cfRule>
  </conditionalFormatting>
  <conditionalFormatting sqref="E14">
    <cfRule type="expression" dxfId="30" priority="83">
      <formula>$E$14=SUM($E$4:$E$13)</formula>
    </cfRule>
  </conditionalFormatting>
  <conditionalFormatting sqref="F14">
    <cfRule type="expression" dxfId="29" priority="82">
      <formula>$F$14=SUM($F$4:$F$13)</formula>
    </cfRule>
  </conditionalFormatting>
  <conditionalFormatting sqref="D29">
    <cfRule type="expression" dxfId="28" priority="81">
      <formula>$D$29=SUM($D$19:$D$28)</formula>
    </cfRule>
  </conditionalFormatting>
  <conditionalFormatting sqref="E29">
    <cfRule type="expression" dxfId="27" priority="80">
      <formula>$E$29=SUM($E$19:$E$28)</formula>
    </cfRule>
  </conditionalFormatting>
  <conditionalFormatting sqref="H34">
    <cfRule type="cellIs" dxfId="26" priority="65" operator="equal">
      <formula>1</formula>
    </cfRule>
    <cfRule type="cellIs" dxfId="25" priority="66" operator="lessThan">
      <formula>1</formula>
    </cfRule>
  </conditionalFormatting>
  <conditionalFormatting sqref="H35:H43">
    <cfRule type="cellIs" dxfId="24" priority="63" operator="equal">
      <formula>1</formula>
    </cfRule>
    <cfRule type="cellIs" dxfId="23" priority="64" operator="lessThan">
      <formula>1</formula>
    </cfRule>
  </conditionalFormatting>
  <conditionalFormatting sqref="H44">
    <cfRule type="cellIs" dxfId="22" priority="57" operator="equal">
      <formula>1</formula>
    </cfRule>
    <cfRule type="cellIs" dxfId="21" priority="58" operator="lessThan">
      <formula>1</formula>
    </cfRule>
  </conditionalFormatting>
  <conditionalFormatting sqref="F29">
    <cfRule type="expression" dxfId="20" priority="117">
      <formula>$F$29=SUM($F$19:$F$28)</formula>
    </cfRule>
  </conditionalFormatting>
  <conditionalFormatting sqref="AE48:AE63">
    <cfRule type="cellIs" dxfId="19" priority="9" operator="equal">
      <formula>"OK"</formula>
    </cfRule>
    <cfRule type="cellIs" dxfId="18" priority="10" operator="equal">
      <formula>"NG"</formula>
    </cfRule>
  </conditionalFormatting>
  <conditionalFormatting sqref="AG48">
    <cfRule type="cellIs" dxfId="17" priority="7" operator="equal">
      <formula>"OK"</formula>
    </cfRule>
    <cfRule type="cellIs" dxfId="16" priority="8" operator="equal">
      <formula>"NG"</formula>
    </cfRule>
  </conditionalFormatting>
  <conditionalFormatting sqref="AG49:AG63">
    <cfRule type="cellIs" dxfId="15" priority="4" operator="equal">
      <formula>"OK"</formula>
    </cfRule>
    <cfRule type="cellIs" dxfId="14" priority="5" operator="equal">
      <formula>"NG"</formula>
    </cfRule>
  </conditionalFormatting>
  <dataValidations count="2">
    <dataValidation type="list" allowBlank="1" showInputMessage="1" showErrorMessage="1" sqref="AE48:AE63 AG64:AG97 AK64:AK97" xr:uid="{00000000-0002-0000-0000-000000000000}">
      <formula1>"OK,NG"</formula1>
    </dataValidation>
    <dataValidation type="list" allowBlank="1" showInputMessage="1" showErrorMessage="1" sqref="U48:U97" xr:uid="{00000000-0002-0000-0000-000001000000}">
      <formula1>"Yes,No"</formula1>
    </dataValidation>
  </dataValidations>
  <pageMargins left="0.7" right="0.7" top="0.75" bottom="0.75" header="0.3" footer="0.3"/>
  <pageSetup orientation="portrait" horizontalDpi="300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1" operator="greaterThanOrEqual" id="{880EA441-2590-4E05-81FB-030A6B262BA2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2" operator="lessThan" id="{008E8A9C-0A54-48C8-BAA6-2040624D4B14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G19:G29</xm:sqref>
        </x14:conditionalFormatting>
        <x14:conditionalFormatting xmlns:xm="http://schemas.microsoft.com/office/excel/2006/main">
          <x14:cfRule type="cellIs" priority="103" operator="greaterThanOrEqual" id="{055B1730-1858-463E-9B0B-33FF6EF9C729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4" operator="lessThan" id="{9D0890AA-8BE8-4E6A-8479-B03F791D816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G4:G13</xm:sqref>
        </x14:conditionalFormatting>
        <x14:conditionalFormatting xmlns:xm="http://schemas.microsoft.com/office/excel/2006/main">
          <x14:cfRule type="cellIs" priority="77" operator="greaterThanOrEqual" id="{8D99BF4A-D908-47F1-8E24-1697DAA263CD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8" operator="lessThan" id="{64E1D647-CB0B-4B5E-B51F-CD909D56D8B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ellIs" priority="75" operator="greaterThanOrEqual" id="{42805A51-A68C-45B4-950B-7CB2B9B10AB3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6" operator="lessThan" id="{9B93FBAF-A588-4F7B-8232-CC7E656FD59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cellIs" priority="73" operator="greaterThanOrEqual" id="{2AA0948F-74AB-46EC-B255-A7ABEAF4E4D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4" operator="lessThan" id="{B1A166C1-E984-4616-BBDF-3553DC14A7FD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cellIs" priority="71" operator="greaterThanOrEqual" id="{B0B60969-8423-4320-940F-E9B98967463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72" operator="lessThan" id="{BDD78E5B-3530-4B93-BD9F-24457BFDC72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G35:G43</xm:sqref>
        </x14:conditionalFormatting>
        <x14:conditionalFormatting xmlns:xm="http://schemas.microsoft.com/office/excel/2006/main">
          <x14:cfRule type="cellIs" priority="2" operator="equal" id="{49FA013F-6BB2-447B-B4B6-033B25DE33AE}">
            <xm:f>Table!$C$36</xm:f>
            <x14:dxf>
              <font>
                <b/>
                <i val="0"/>
              </font>
              <fill>
                <patternFill>
                  <bgColor rgb="FFFFFF00"/>
                </patternFill>
              </fill>
            </x14:dxf>
          </x14:cfRule>
          <x14:cfRule type="cellIs" priority="1" operator="equal" id="{19639308-71F0-43E5-B386-FDDD54B39B80}">
            <xm:f>Table!$C$37</xm:f>
            <x14:dxf>
              <font>
                <b/>
                <i val="0"/>
              </font>
              <fill>
                <patternFill>
                  <bgColor rgb="FFFF0000"/>
                </patternFill>
              </fill>
            </x14:dxf>
          </x14:cfRule>
          <xm:sqref>AK48:AK97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2000000}">
          <x14:formula1>
            <xm:f>Table!$C$13:$C$22</xm:f>
          </x14:formula1>
          <xm:sqref>S48:T97</xm:sqref>
        </x14:dataValidation>
        <x14:dataValidation type="list" allowBlank="1" showInputMessage="1" showErrorMessage="1" xr:uid="{00000000-0002-0000-0000-000003000000}">
          <x14:formula1>
            <xm:f>Table!$C$26:$C$32</xm:f>
          </x14:formula1>
          <xm:sqref>AA48:AB97</xm:sqref>
        </x14:dataValidation>
        <x14:dataValidation type="list" allowBlank="1" showInputMessage="1" showErrorMessage="1" xr:uid="{00000000-0002-0000-0000-000004000000}">
          <x14:formula1>
            <xm:f>Table!$C$8:$C$9</xm:f>
          </x14:formula1>
          <xm:sqref>D48:D97</xm:sqref>
        </x14:dataValidation>
        <x14:dataValidation type="list" allowBlank="1" showInputMessage="1" showErrorMessage="1" xr:uid="{00000000-0002-0000-0000-000005000000}">
          <x14:formula1>
            <xm:f>Table!$C$36:$C$38</xm:f>
          </x14:formula1>
          <xm:sqref>AK48:AK63</xm:sqref>
        </x14:dataValidation>
        <x14:dataValidation type="list" allowBlank="1" showInputMessage="1" showErrorMessage="1" xr:uid="{00000000-0002-0000-0000-000006000000}">
          <x14:formula1>
            <xm:f>Table!$C$42:$C$43</xm:f>
          </x14:formula1>
          <xm:sqref>AG48:AG63</xm:sqref>
        </x14:dataValidation>
        <x14:dataValidation type="list" allowBlank="1" showInputMessage="1" showErrorMessage="1" xr:uid="{00000000-0002-0000-0000-000007000000}">
          <x14:formula1>
            <xm:f>Table!$C$47:$C$48</xm:f>
          </x14:formula1>
          <xm:sqref>K48:K97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50"/>
  </sheetPr>
  <dimension ref="A1:AN158"/>
  <sheetViews>
    <sheetView workbookViewId="0">
      <selection activeCell="C8" sqref="C8"/>
    </sheetView>
  </sheetViews>
  <sheetFormatPr defaultRowHeight="15" x14ac:dyDescent="0.25"/>
  <cols>
    <col min="3" max="3" width="21" bestFit="1" customWidth="1"/>
    <col min="5" max="5" width="24.28515625" bestFit="1" customWidth="1"/>
    <col min="6" max="6" width="35.85546875" bestFit="1" customWidth="1"/>
    <col min="11" max="11" width="12.42578125" customWidth="1"/>
    <col min="13" max="13" width="12.85546875" customWidth="1"/>
    <col min="14" max="14" width="36.140625" bestFit="1" customWidth="1"/>
    <col min="29" max="29" width="12.85546875" bestFit="1" customWidth="1"/>
    <col min="30" max="30" width="12" bestFit="1" customWidth="1"/>
    <col min="37" max="37" width="11.140625" bestFit="1" customWidth="1"/>
  </cols>
  <sheetData>
    <row r="1" spans="1:13" x14ac:dyDescent="0.25">
      <c r="A1" s="92" t="s">
        <v>179</v>
      </c>
    </row>
    <row r="2" spans="1:13" x14ac:dyDescent="0.25">
      <c r="B2" s="92" t="s">
        <v>56</v>
      </c>
      <c r="C2" s="24"/>
      <c r="D2" s="24"/>
      <c r="E2" s="24"/>
      <c r="F2" s="24"/>
      <c r="G2" s="24"/>
      <c r="H2" s="24"/>
    </row>
    <row r="3" spans="1:13" x14ac:dyDescent="0.25">
      <c r="B3" s="85" t="s">
        <v>0</v>
      </c>
      <c r="C3" s="85" t="s">
        <v>8</v>
      </c>
      <c r="D3" s="85" t="s">
        <v>137</v>
      </c>
      <c r="E3" s="85" t="s">
        <v>57</v>
      </c>
      <c r="F3" s="85" t="s">
        <v>147</v>
      </c>
      <c r="G3" s="85" t="s">
        <v>22</v>
      </c>
      <c r="H3" s="86" t="s">
        <v>24</v>
      </c>
      <c r="J3" s="92" t="s">
        <v>43</v>
      </c>
    </row>
    <row r="4" spans="1:13" x14ac:dyDescent="0.25">
      <c r="B4" s="87">
        <v>1</v>
      </c>
      <c r="C4" s="98" t="s">
        <v>6</v>
      </c>
      <c r="D4" s="89">
        <f>SUMIFS($W$48:$W$158,$D$48:$D$158,Table!$D$3,$S$48:$S$158,C4)</f>
        <v>0</v>
      </c>
      <c r="E4" s="89">
        <f>SUMIFS($W$48:$W$158,$D$48:$D$158,Table!$D$3,$S$48:$S$158,C4)-SUM(SUMIFS($W$48:$W$158,$D$48:$D$158,Table!$D$3,$S$48:$S$158,C4,$AA$48:$AA$158,{"Ongoing","N/A",""}))</f>
        <v>0</v>
      </c>
      <c r="F4" s="89">
        <f>1/8*(SUMIFS($Z$48:$Z$158,$D$48:$D$158,Table!$D$3,$S$48:$S$158,C4)-SUM(SUMIFS($Z$48:$Z$158,$D$48:$D$158,Table!$D$3,$S$48:$S$158,C4,$AA$48:$AA$158,{"Ongoing","N/A",""})))</f>
        <v>0</v>
      </c>
      <c r="G4" s="89" t="str">
        <f>IF(ISERROR(E4/(F4)),"N/A",E4/F4)</f>
        <v>N/A</v>
      </c>
      <c r="H4" s="90" t="str">
        <f>IF(ISERROR(E4/D4),"N/A",E4/D4)</f>
        <v>N/A</v>
      </c>
      <c r="K4" s="92" t="s">
        <v>45</v>
      </c>
    </row>
    <row r="5" spans="1:13" x14ac:dyDescent="0.25">
      <c r="B5" s="87">
        <v>2</v>
      </c>
      <c r="C5" s="98" t="s">
        <v>68</v>
      </c>
      <c r="D5" s="89">
        <f>SUMIFS($W$48:$W$158,$D$48:$D$158,Table!$D$3,$S$48:$S$158,C5)</f>
        <v>0</v>
      </c>
      <c r="E5" s="89">
        <f>SUMIFS($W$48:$W$158,$D$48:$D$158,Table!$D$3,$S$48:$S$158,C5)-SUM(SUMIFS($W$48:$W$158,$D$48:$D$158,Table!$D$3,$S$48:$S$158,C5,$AA$48:$AA$158,{"Ongoing","N/A",""}))</f>
        <v>0</v>
      </c>
      <c r="F5" s="89">
        <f>1/8*(SUMIFS($Z$48:$Z$158,$D$48:$D$158,Table!$D$3,$S$48:$S$158,C5)-SUM(SUMIFS($Z$48:$Z$158,$D$48:$D$158,Table!$D$3,$S$48:$S$158,C5,$AA$48:$AA$158,{"Ongoing","N/A",""})))</f>
        <v>0</v>
      </c>
      <c r="G5" s="89" t="str">
        <f t="shared" ref="G5:G13" si="0">IF(ISERROR(E5/(F5)),"N/A",E5/F5)</f>
        <v>N/A</v>
      </c>
      <c r="H5" s="90" t="str">
        <f t="shared" ref="H5:H14" si="1">IF(ISERROR(E5/D5),"N/A",E5/D5)</f>
        <v>N/A</v>
      </c>
      <c r="L5" s="24" t="s">
        <v>44</v>
      </c>
    </row>
    <row r="6" spans="1:13" x14ac:dyDescent="0.25">
      <c r="B6" s="87">
        <v>3</v>
      </c>
      <c r="C6" s="98" t="s">
        <v>69</v>
      </c>
      <c r="D6" s="89">
        <f>SUMIFS($W$48:$W$158,$D$48:$D$158,Table!$D$3,$S$48:$S$158,C6)</f>
        <v>0</v>
      </c>
      <c r="E6" s="89">
        <f>SUMIFS($W$48:$W$158,$D$48:$D$158,Table!$D$3,$S$48:$S$158,C6)-SUM(SUMIFS($W$48:$W$158,$D$48:$D$158,Table!$D$3,$S$48:$S$158,C6,$AA$48:$AA$158,{"Ongoing","N/A",""}))</f>
        <v>0</v>
      </c>
      <c r="F6" s="89">
        <f>1/8*(SUMIFS($Z$48:$Z$158,$D$48:$D$158,Table!$D$3,$S$48:$S$158,C6)-SUM(SUMIFS($Z$48:$Z$158,$D$48:$D$158,Table!$D$3,$S$48:$S$158,C6,$AA$48:$AA$158,{"Ongoing","N/A",""})))</f>
        <v>0</v>
      </c>
      <c r="G6" s="89" t="str">
        <f t="shared" si="0"/>
        <v>N/A</v>
      </c>
      <c r="H6" s="90" t="str">
        <f t="shared" si="1"/>
        <v>N/A</v>
      </c>
      <c r="L6" s="24" t="s">
        <v>104</v>
      </c>
    </row>
    <row r="7" spans="1:13" x14ac:dyDescent="0.25">
      <c r="B7" s="87">
        <v>4</v>
      </c>
      <c r="C7" s="98" t="s">
        <v>70</v>
      </c>
      <c r="D7" s="89">
        <f>SUMIFS($W$48:$W$158,$D$48:$D$158,Table!$D$3,$S$48:$S$158,C7)</f>
        <v>3852.2249999999999</v>
      </c>
      <c r="E7" s="89">
        <f>SUMIFS($W$48:$W$158,$D$48:$D$158,Table!$D$3,$S$48:$S$158,C7)-SUM(SUMIFS($W$48:$W$158,$D$48:$D$158,Table!$D$3,$S$48:$S$158,C7,$AA$48:$AA$158,{"Ongoing","N/A",""}))</f>
        <v>0</v>
      </c>
      <c r="F7" s="89">
        <f>1/8*(SUMIFS($Z$48:$Z$158,$D$48:$D$158,Table!$D$3,$S$48:$S$158,C7)-SUM(SUMIFS($Z$48:$Z$158,$D$48:$D$158,Table!$D$3,$S$48:$S$158,C7,$AA$48:$AA$158,{"Ongoing","N/A",""})))</f>
        <v>0</v>
      </c>
      <c r="G7" s="89" t="str">
        <f t="shared" si="0"/>
        <v>N/A</v>
      </c>
      <c r="H7" s="90">
        <f t="shared" si="1"/>
        <v>0</v>
      </c>
      <c r="K7" s="92" t="s">
        <v>46</v>
      </c>
    </row>
    <row r="8" spans="1:13" x14ac:dyDescent="0.25">
      <c r="B8" s="87">
        <v>5</v>
      </c>
      <c r="C8" s="88" t="s">
        <v>71</v>
      </c>
      <c r="D8" s="89">
        <f>SUMIFS($W$48:$W$158,$D$48:$D$158,Table!$D$3,$S$48:$S$158,C8)</f>
        <v>0</v>
      </c>
      <c r="E8" s="89">
        <f>SUMIFS($W$48:$W$158,$D$48:$D$158,Table!$D$3,$S$48:$S$158,C8)-SUM(SUMIFS($W$48:$W$158,$D$48:$D$158,Table!$D$3,$S$48:$S$158,C8,$AA$48:$AA$158,{"Ongoing","N/A",""}))</f>
        <v>0</v>
      </c>
      <c r="F8" s="89">
        <f>1/8*(SUMIFS($Z$48:$Z$158,$D$48:$D$158,Table!$D$3,$S$48:$S$158,C8)-SUM(SUMIFS($Z$48:$Z$158,$D$48:$D$158,Table!$D$3,$S$48:$S$158,C8,$AA$48:$AA$158,{"Ongoing","N/A",""})))</f>
        <v>0</v>
      </c>
      <c r="G8" s="89" t="str">
        <f t="shared" si="0"/>
        <v>N/A</v>
      </c>
      <c r="H8" s="90" t="str">
        <f t="shared" si="1"/>
        <v>N/A</v>
      </c>
      <c r="L8" s="24" t="s">
        <v>47</v>
      </c>
    </row>
    <row r="9" spans="1:13" x14ac:dyDescent="0.25">
      <c r="B9" s="87">
        <v>6</v>
      </c>
      <c r="C9" s="88" t="s">
        <v>72</v>
      </c>
      <c r="D9" s="89">
        <f>SUMIFS($W$48:$W$158,$D$48:$D$158,Table!$D$3,$S$48:$S$158,C9)</f>
        <v>0</v>
      </c>
      <c r="E9" s="89">
        <f>SUMIFS($W$48:$W$158,$D$48:$D$158,Table!$D$3,$S$48:$S$158,C9)-SUM(SUMIFS($W$48:$W$158,$D$48:$D$158,Table!$D$3,$S$48:$S$158,C9,$AA$48:$AA$158,{"Ongoing","N/A",""}))</f>
        <v>0</v>
      </c>
      <c r="F9" s="89">
        <f>1/8*(SUMIFS($Z$48:$Z$158,$D$48:$D$158,Table!$D$3,$S$48:$S$158,C9)-SUM(SUMIFS($Z$48:$Z$158,$D$48:$D$158,Table!$D$3,$S$48:$S$158,C9,$AA$48:$AA$158,{"Ongoing","N/A",""})))</f>
        <v>0</v>
      </c>
      <c r="G9" s="89" t="str">
        <f t="shared" si="0"/>
        <v>N/A</v>
      </c>
      <c r="H9" s="90" t="str">
        <f t="shared" si="1"/>
        <v>N/A</v>
      </c>
      <c r="L9" s="24" t="s">
        <v>48</v>
      </c>
    </row>
    <row r="10" spans="1:13" x14ac:dyDescent="0.25">
      <c r="B10" s="87">
        <v>7</v>
      </c>
      <c r="C10" s="88" t="s">
        <v>73</v>
      </c>
      <c r="D10" s="89">
        <f>SUMIFS($W$48:$W$158,$D$48:$D$158,Table!$D$3,$S$48:$S$158,C10)</f>
        <v>0</v>
      </c>
      <c r="E10" s="89">
        <f>SUMIFS($W$48:$W$158,$D$48:$D$158,Table!$D$3,$S$48:$S$158,C10)-SUM(SUMIFS($W$48:$W$158,$D$48:$D$158,Table!$D$3,$S$48:$S$158,C10,$AA$48:$AA$158,{"Ongoing","N/A",""}))</f>
        <v>0</v>
      </c>
      <c r="F10" s="89">
        <f>1/8*(SUMIFS($Z$48:$Z$158,$D$48:$D$158,Table!$D$3,$S$48:$S$158,C10)-SUM(SUMIFS($Z$48:$Z$158,$D$48:$D$158,Table!$D$3,$S$48:$S$158,C10,$AA$48:$AA$158,{"Ongoing","N/A",""})))</f>
        <v>0</v>
      </c>
      <c r="G10" s="89" t="str">
        <f t="shared" si="0"/>
        <v>N/A</v>
      </c>
      <c r="H10" s="90" t="str">
        <f t="shared" si="1"/>
        <v>N/A</v>
      </c>
    </row>
    <row r="11" spans="1:13" x14ac:dyDescent="0.25">
      <c r="B11" s="87">
        <v>8</v>
      </c>
      <c r="C11" s="88" t="s">
        <v>74</v>
      </c>
      <c r="D11" s="89">
        <f>SUMIFS($W$48:$W$158,$D$48:$D$158,Table!$D$3,$S$48:$S$158,C11)</f>
        <v>0</v>
      </c>
      <c r="E11" s="89">
        <f>SUMIFS($W$48:$W$158,$D$48:$D$158,Table!$D$3,$S$48:$S$158,C11)-SUM(SUMIFS($W$48:$W$158,$D$48:$D$158,Table!$D$3,$S$48:$S$158,C11,$AA$48:$AA$158,{"Ongoing","N/A",""}))</f>
        <v>0</v>
      </c>
      <c r="F11" s="89">
        <f>1/8*(SUMIFS($Z$48:$Z$158,$D$48:$D$158,Table!$D$3,$S$48:$S$158,C11)-SUM(SUMIFS($Z$48:$Z$158,$D$48:$D$158,Table!$D$3,$S$48:$S$158,C11,$AA$48:$AA$158,{"Ongoing","N/A",""})))</f>
        <v>0</v>
      </c>
      <c r="G11" s="89" t="str">
        <f t="shared" si="0"/>
        <v>N/A</v>
      </c>
      <c r="H11" s="90" t="str">
        <f t="shared" si="1"/>
        <v>N/A</v>
      </c>
    </row>
    <row r="12" spans="1:13" x14ac:dyDescent="0.25">
      <c r="B12" s="87">
        <v>9</v>
      </c>
      <c r="C12" s="88" t="s">
        <v>187</v>
      </c>
      <c r="D12" s="89">
        <f>SUMIFS($W$48:$W$158,$D$48:$D$158,Table!$D$3,$S$48:$S$158,C12)</f>
        <v>0</v>
      </c>
      <c r="E12" s="89">
        <f>SUMIFS($W$48:$W$158,$D$48:$D$158,Table!$D$3,$S$48:$S$158,C12)-SUM(SUMIFS($W$48:$W$158,$D$48:$D$158,Table!$D$3,$S$48:$S$158,C12,$AA$48:$AA$158,{"Ongoing","N/A",""}))</f>
        <v>0</v>
      </c>
      <c r="F12" s="89">
        <f>1/8*(SUMIFS($Z$48:$Z$158,$D$48:$D$158,Table!$D$3,$S$48:$S$158,C12)-SUM(SUMIFS($Z$48:$Z$158,$D$48:$D$158,Table!$D$3,$S$48:$S$158,C12,$AA$48:$AA$158,{"Ongoing","N/A",""})))</f>
        <v>0</v>
      </c>
      <c r="G12" s="89" t="str">
        <f t="shared" si="0"/>
        <v>N/A</v>
      </c>
      <c r="H12" s="90" t="str">
        <f t="shared" si="1"/>
        <v>N/A</v>
      </c>
    </row>
    <row r="13" spans="1:13" x14ac:dyDescent="0.25">
      <c r="B13" s="87">
        <v>10</v>
      </c>
      <c r="C13" s="98" t="s">
        <v>188</v>
      </c>
      <c r="D13" s="89">
        <f>SUMIFS($W$48:$W$158,$D$48:$D$158,Table!$D$3,$S$48:$S$158,C13)</f>
        <v>0</v>
      </c>
      <c r="E13" s="89">
        <f>SUMIFS($W$48:$W$158,$D$48:$D$158,Table!$D$3,$S$48:$S$158,C13)-SUM(SUMIFS($W$48:$W$158,$D$48:$D$158,Table!$D$3,$S$48:$S$158,C13,$AA$48:$AA$158,{"Ongoing","N/A",""}))</f>
        <v>0</v>
      </c>
      <c r="F13" s="89">
        <f>1/8*(SUMIFS($Z$48:$Z$158,$D$48:$D$158,Table!$D$3,$S$48:$S$158,C13)-SUM(SUMIFS($Z$48:$Z$158,$D$48:$D$158,Table!$D$3,$S$48:$S$158,C13,$AA$48:$AA$158,{"Ongoing","N/A",""})))</f>
        <v>0</v>
      </c>
      <c r="G13" s="89" t="str">
        <f t="shared" si="0"/>
        <v>N/A</v>
      </c>
      <c r="H13" s="90" t="str">
        <f t="shared" si="1"/>
        <v>N/A</v>
      </c>
      <c r="J13" s="92" t="s">
        <v>42</v>
      </c>
      <c r="K13" s="94">
        <v>43949</v>
      </c>
      <c r="M13" s="94">
        <f ca="1">TODAY()</f>
        <v>43953</v>
      </c>
    </row>
    <row r="14" spans="1:13" x14ac:dyDescent="0.25">
      <c r="B14" s="85" t="s">
        <v>114</v>
      </c>
      <c r="C14" s="91"/>
      <c r="D14" s="93">
        <f>SUMIFS($W$48:$W$158,$D$48:$D$158,Table!$D$3)</f>
        <v>3852.2249999999999</v>
      </c>
      <c r="E14" s="93">
        <f>SUMIFS($W$48:$W$158,$D$48:$D$158,Table!$D$3)-SUM(SUMIFS($W$48:$W$158,$D$48:$D$158,Table!$D$3,$AA$48:$AA$158,{"Ongoing","N/A",""}))</f>
        <v>0</v>
      </c>
      <c r="F14" s="93">
        <f>1/8*(SUMIFS($Z$48:$Z$158,$D$48:$D$158,Table!$D$3)-SUM(SUMIFS($Z$48:$Z$158,$D$48:$D$158,Table!$D$3,$AA$48:$AA$158,{"Ongoing","N/A",""})))</f>
        <v>0</v>
      </c>
      <c r="G14" s="89" t="str">
        <f>IF(ISERROR(E14/(F14)),"N/A",E14/F14)</f>
        <v>N/A</v>
      </c>
      <c r="H14" s="90">
        <f t="shared" si="1"/>
        <v>0</v>
      </c>
      <c r="J14" s="92" t="s">
        <v>30</v>
      </c>
      <c r="K14" s="95">
        <f ca="1">SUM(INT((WEEKDAY(K13-{2,3,4,5,6}) +M13-K13)/7))</f>
        <v>4</v>
      </c>
    </row>
    <row r="15" spans="1:13" x14ac:dyDescent="0.25">
      <c r="J15" s="92" t="s">
        <v>163</v>
      </c>
      <c r="K15" s="95">
        <v>1</v>
      </c>
      <c r="L15" s="96" t="s">
        <v>359</v>
      </c>
    </row>
    <row r="16" spans="1:13" x14ac:dyDescent="0.25">
      <c r="J16" s="92" t="s">
        <v>116</v>
      </c>
      <c r="K16" s="24">
        <f ca="1">IF(TODAY()&lt;M13,SUM(INT((WEEKDAY(K13-{2,3,4,5,6})+TODAY()-K13)/7)),SUM(INT((WEEKDAY(K13-{2,3,4,5,6})+M13-K13)/7)))-K15</f>
        <v>3</v>
      </c>
    </row>
    <row r="17" spans="2:12" x14ac:dyDescent="0.25">
      <c r="B17" s="92" t="s">
        <v>55</v>
      </c>
    </row>
    <row r="18" spans="2:12" x14ac:dyDescent="0.25">
      <c r="B18" s="85" t="s">
        <v>0</v>
      </c>
      <c r="C18" s="85" t="s">
        <v>8</v>
      </c>
      <c r="D18" s="85" t="s">
        <v>137</v>
      </c>
      <c r="E18" s="85" t="s">
        <v>57</v>
      </c>
      <c r="F18" s="85" t="s">
        <v>147</v>
      </c>
      <c r="G18" s="85" t="s">
        <v>22</v>
      </c>
      <c r="H18" s="86" t="s">
        <v>24</v>
      </c>
    </row>
    <row r="19" spans="2:12" x14ac:dyDescent="0.25">
      <c r="B19" s="87">
        <v>1</v>
      </c>
      <c r="C19" s="98" t="s">
        <v>6</v>
      </c>
      <c r="D19" s="89">
        <f>SUMIFS($W$48:$W$158,$D$48:$D$158,Table!$C$3,$S$48:$S$158,C19)</f>
        <v>0</v>
      </c>
      <c r="E19" s="89">
        <f>SUMIFS($X$48:$X$158,$D$48:$D$158,Table!$C$3,$S$48:$S$158,C19)-SUM(SUMIFS($X$48:$X$158,$D$48:$D$158,Table!$C$3,$S$48:$S$158,C19,$AA$48:$AA$158,{"Ongoing","N/A",""}))</f>
        <v>0</v>
      </c>
      <c r="F19" s="89">
        <f>1/8*(SUMIFS($Z$48:$Z$158,$D$48:$D$158,Table!$C$3,$S$48:$S$158,C19)-SUM(SUMIFS($Z$48:$Z$158,$D$48:$D$158,Table!$C$3,$S$48:$S$158,C19,$AA$48:$AA$158,{"Ongoing","N/A",""})))</f>
        <v>0</v>
      </c>
      <c r="G19" s="89" t="str">
        <f>IF(ISERROR(E19/(F19)),"N/A",E19/F19)</f>
        <v>N/A</v>
      </c>
      <c r="H19" s="90" t="str">
        <f>IF(ISERROR(E19/D19),"N/A",E19/D19)</f>
        <v>N/A</v>
      </c>
    </row>
    <row r="20" spans="2:12" x14ac:dyDescent="0.25">
      <c r="B20" s="87">
        <v>2</v>
      </c>
      <c r="C20" s="98" t="s">
        <v>68</v>
      </c>
      <c r="D20" s="89">
        <f>SUMIFS($W$48:$W$158,$D$48:$D$158,Table!$C$3,$S$48:$S$158,C20)</f>
        <v>0</v>
      </c>
      <c r="E20" s="89">
        <f>SUMIFS($X$48:$X$158,$D$48:$D$158,Table!$C$3,$S$48:$S$158,C20)-SUM(SUMIFS($X$48:$X$158,$D$48:$D$158,Table!$C$3,$S$48:$S$158,C20,$AA$48:$AA$158,{"Ongoing","N/A",""}))</f>
        <v>0</v>
      </c>
      <c r="F20" s="89">
        <f>1/8*(SUMIFS($Z$48:$Z$158,$D$48:$D$158,Table!$C$3,$S$48:$S$158,C20)-SUM(SUMIFS($Z$48:$Z$158,$D$48:$D$158,Table!$C$3,$S$48:$S$158,C20,$AA$48:$AA$158,{"Ongoing","N/A",""})))</f>
        <v>0</v>
      </c>
      <c r="G20" s="89" t="str">
        <f t="shared" ref="G20:G29" si="2">IF(ISERROR(E20/(F20)),"N/A",E20/F20)</f>
        <v>N/A</v>
      </c>
      <c r="H20" s="90" t="str">
        <f t="shared" ref="H20:H29" si="3">IF(ISERROR(E20/D20),"N/A",E20/D20)</f>
        <v>N/A</v>
      </c>
    </row>
    <row r="21" spans="2:12" x14ac:dyDescent="0.25">
      <c r="B21" s="87">
        <v>3</v>
      </c>
      <c r="C21" s="98" t="s">
        <v>69</v>
      </c>
      <c r="D21" s="89">
        <f>SUMIFS($W$48:$W$158,$D$48:$D$158,Table!$C$3,$S$48:$S$158,C21)</f>
        <v>0</v>
      </c>
      <c r="E21" s="89">
        <f>SUMIFS($X$48:$X$158,$D$48:$D$158,Table!$C$3,$S$48:$S$158,C21)-SUM(SUMIFS($X$48:$X$158,$D$48:$D$158,Table!$C$3,$S$48:$S$158,C21,$AA$48:$AA$158,{"Ongoing","N/A",""}))</f>
        <v>0</v>
      </c>
      <c r="F21" s="89">
        <f>1/8*(SUMIFS($Z$48:$Z$158,$D$48:$D$158,Table!$C$3,$S$48:$S$158,C21)-SUM(SUMIFS($Z$48:$Z$158,$D$48:$D$158,Table!$C$3,$S$48:$S$158,C21,$AA$48:$AA$158,{"Ongoing","N/A",""})))</f>
        <v>0</v>
      </c>
      <c r="G21" s="89" t="str">
        <f t="shared" si="2"/>
        <v>N/A</v>
      </c>
      <c r="H21" s="90" t="str">
        <f t="shared" si="3"/>
        <v>N/A</v>
      </c>
    </row>
    <row r="22" spans="2:12" x14ac:dyDescent="0.25">
      <c r="B22" s="87">
        <v>4</v>
      </c>
      <c r="C22" s="98" t="s">
        <v>70</v>
      </c>
      <c r="D22" s="89">
        <f>SUMIFS($W$48:$W$158,$D$48:$D$158,Table!$C$3,$S$48:$S$158,C22)</f>
        <v>299</v>
      </c>
      <c r="E22" s="89">
        <f>SUMIFS($X$48:$X$158,$D$48:$D$158,Table!$C$3,$S$48:$S$158,C22)-SUM(SUMIFS($X$48:$X$158,$D$48:$D$158,Table!$C$3,$S$48:$S$158,C22,$AA$48:$AA$158,{"Ongoing","N/A",""}))</f>
        <v>0</v>
      </c>
      <c r="F22" s="89">
        <f>1/8*(SUMIFS($Z$48:$Z$158,$D$48:$D$158,Table!$C$3,$S$48:$S$158,C22)-SUM(SUMIFS($Z$48:$Z$158,$D$48:$D$158,Table!$C$3,$S$48:$S$158,C22,$AA$48:$AA$158,{"Ongoing","N/A",""})))</f>
        <v>0</v>
      </c>
      <c r="G22" s="89" t="str">
        <f t="shared" si="2"/>
        <v>N/A</v>
      </c>
      <c r="H22" s="90">
        <f t="shared" si="3"/>
        <v>0</v>
      </c>
    </row>
    <row r="23" spans="2:12" x14ac:dyDescent="0.25">
      <c r="B23" s="87">
        <v>5</v>
      </c>
      <c r="C23" s="88" t="s">
        <v>71</v>
      </c>
      <c r="D23" s="89">
        <f>SUMIFS($W$48:$W$158,$D$48:$D$158,Table!$C$3,$S$48:$S$158,C23)</f>
        <v>0</v>
      </c>
      <c r="E23" s="89">
        <f>SUMIFS($X$48:$X$158,$D$48:$D$158,Table!$C$3,$S$48:$S$158,C23)-SUM(SUMIFS($X$48:$X$158,$D$48:$D$158,Table!$C$3,$S$48:$S$158,C23,$AA$48:$AA$158,{"Ongoing","N/A",""}))</f>
        <v>0</v>
      </c>
      <c r="F23" s="89">
        <f>1/8*(SUMIFS($Z$48:$Z$158,$D$48:$D$158,Table!$C$3,$S$48:$S$158,C23)-SUM(SUMIFS($Z$48:$Z$158,$D$48:$D$158,Table!$C$3,$S$48:$S$158,C23,$AA$48:$AA$158,{"Ongoing","N/A",""})))</f>
        <v>0</v>
      </c>
      <c r="G23" s="89" t="str">
        <f t="shared" si="2"/>
        <v>N/A</v>
      </c>
      <c r="H23" s="90" t="str">
        <f t="shared" si="3"/>
        <v>N/A</v>
      </c>
    </row>
    <row r="24" spans="2:12" x14ac:dyDescent="0.25">
      <c r="B24" s="87">
        <v>6</v>
      </c>
      <c r="C24" s="88" t="s">
        <v>72</v>
      </c>
      <c r="D24" s="89">
        <f>SUMIFS($W$48:$W$158,$D$48:$D$158,Table!$C$3,$S$48:$S$158,C24)</f>
        <v>0</v>
      </c>
      <c r="E24" s="89">
        <f>SUMIFS($X$48:$X$158,$D$48:$D$158,Table!$C$3,$S$48:$S$158,C24)-SUM(SUMIFS($X$48:$X$158,$D$48:$D$158,Table!$C$3,$S$48:$S$158,C24,$AA$48:$AA$158,{"Ongoing","N/A",""}))</f>
        <v>0</v>
      </c>
      <c r="F24" s="89">
        <f>1/8*(SUMIFS($Z$48:$Z$158,$D$48:$D$158,Table!$C$3,$S$48:$S$158,C24)-SUM(SUMIFS($Z$48:$Z$158,$D$48:$D$158,Table!$C$3,$S$48:$S$158,C24,$AA$48:$AA$158,{"Ongoing","N/A",""})))</f>
        <v>0</v>
      </c>
      <c r="G24" s="89" t="str">
        <f t="shared" si="2"/>
        <v>N/A</v>
      </c>
      <c r="H24" s="90" t="str">
        <f t="shared" si="3"/>
        <v>N/A</v>
      </c>
    </row>
    <row r="25" spans="2:12" x14ac:dyDescent="0.25">
      <c r="B25" s="87">
        <v>7</v>
      </c>
      <c r="C25" s="88" t="s">
        <v>73</v>
      </c>
      <c r="D25" s="89">
        <f>SUMIFS($W$48:$W$158,$D$48:$D$158,Table!$C$3,$S$48:$S$158,C25)</f>
        <v>0</v>
      </c>
      <c r="E25" s="89">
        <f>SUMIFS($X$48:$X$158,$D$48:$D$158,Table!$C$3,$S$48:$S$158,C25)-SUM(SUMIFS($X$48:$X$158,$D$48:$D$158,Table!$C$3,$S$48:$S$158,C25,$AA$48:$AA$158,{"Ongoing","N/A",""}))</f>
        <v>0</v>
      </c>
      <c r="F25" s="89">
        <f>1/8*(SUMIFS($Z$48:$Z$158,$D$48:$D$158,Table!$C$3,$S$48:$S$158,C25)-SUM(SUMIFS($Z$48:$Z$158,$D$48:$D$158,Table!$C$3,$S$48:$S$158,C25,$AA$48:$AA$158,{"Ongoing","N/A",""})))</f>
        <v>0</v>
      </c>
      <c r="G25" s="89" t="str">
        <f t="shared" si="2"/>
        <v>N/A</v>
      </c>
      <c r="H25" s="90" t="str">
        <f t="shared" si="3"/>
        <v>N/A</v>
      </c>
    </row>
    <row r="26" spans="2:12" x14ac:dyDescent="0.25">
      <c r="B26" s="87">
        <v>8</v>
      </c>
      <c r="C26" s="88" t="s">
        <v>74</v>
      </c>
      <c r="D26" s="89">
        <f>SUMIFS($W$48:$W$158,$D$48:$D$158,Table!$C$3,$S$48:$S$158,C26)</f>
        <v>0</v>
      </c>
      <c r="E26" s="89">
        <f>SUMIFS($X$48:$X$158,$D$48:$D$158,Table!$C$3,$S$48:$S$158,C26)-SUM(SUMIFS($X$48:$X$158,$D$48:$D$158,Table!$C$3,$S$48:$S$158,C26,$AA$48:$AA$158,{"Ongoing","N/A",""}))</f>
        <v>0</v>
      </c>
      <c r="F26" s="89">
        <f>1/8*(SUMIFS($Z$48:$Z$158,$D$48:$D$158,Table!$C$3,$S$48:$S$158,C26)-SUM(SUMIFS($Z$48:$Z$158,$D$48:$D$158,Table!$C$3,$S$48:$S$158,C26,$AA$48:$AA$158,{"Ongoing","N/A",""})))</f>
        <v>0</v>
      </c>
      <c r="G26" s="89" t="str">
        <f t="shared" si="2"/>
        <v>N/A</v>
      </c>
      <c r="H26" s="90" t="str">
        <f t="shared" si="3"/>
        <v>N/A</v>
      </c>
    </row>
    <row r="27" spans="2:12" x14ac:dyDescent="0.25">
      <c r="B27" s="87">
        <v>9</v>
      </c>
      <c r="C27" s="88" t="s">
        <v>187</v>
      </c>
      <c r="D27" s="89">
        <f>SUMIFS($W$48:$W$158,$D$48:$D$158,Table!$C$3,$S$48:$S$158,C27)</f>
        <v>0</v>
      </c>
      <c r="E27" s="89">
        <f>SUMIFS($X$48:$X$158,$D$48:$D$158,Table!$C$3,$S$48:$S$158,C27)-SUM(SUMIFS($X$48:$X$158,$D$48:$D$158,Table!$C$3,$S$48:$S$158,C27,$AA$48:$AA$158,{"Ongoing","N/A",""}))</f>
        <v>0</v>
      </c>
      <c r="F27" s="89">
        <f>1/8*(SUMIFS($Z$48:$Z$158,$D$48:$D$158,Table!$C$3,$S$48:$S$158,C27)-SUM(SUMIFS($Z$48:$Z$158,$D$48:$D$158,Table!$C$3,$S$48:$S$158,C27,$AA$48:$AA$158,{"Ongoing","N/A",""})))</f>
        <v>0</v>
      </c>
      <c r="G27" s="89" t="str">
        <f t="shared" si="2"/>
        <v>N/A</v>
      </c>
      <c r="H27" s="90" t="str">
        <f t="shared" si="3"/>
        <v>N/A</v>
      </c>
    </row>
    <row r="28" spans="2:12" x14ac:dyDescent="0.25">
      <c r="B28" s="87">
        <v>10</v>
      </c>
      <c r="C28" s="98" t="s">
        <v>188</v>
      </c>
      <c r="D28" s="89">
        <f>SUMIFS($W$48:$W$158,$D$48:$D$158,Table!$C$3,$S$48:$S$158,C28)</f>
        <v>0</v>
      </c>
      <c r="E28" s="89">
        <f>SUMIFS($X$48:$X$158,$D$48:$D$158,Table!$C$3,$S$48:$S$158,C28)-SUM(SUMIFS($X$48:$X$158,$D$48:$D$158,Table!$C$3,$S$48:$S$158,C28,$AA$48:$AA$158,{"Ongoing","N/A",""}))</f>
        <v>0</v>
      </c>
      <c r="F28" s="89">
        <f>1/8*(SUMIFS($Z$48:$Z$158,$D$48:$D$158,Table!$C$3,$S$48:$S$158,C28)-SUM(SUMIFS($Z$48:$Z$158,$D$48:$D$158,Table!$C$3,$S$48:$S$158,C28,$AA$48:$AA$158,{"Ongoing","N/A",""})))</f>
        <v>0</v>
      </c>
      <c r="G28" s="89" t="str">
        <f t="shared" si="2"/>
        <v>N/A</v>
      </c>
      <c r="H28" s="90" t="str">
        <f t="shared" si="3"/>
        <v>N/A</v>
      </c>
    </row>
    <row r="29" spans="2:12" x14ac:dyDescent="0.25">
      <c r="B29" s="85" t="s">
        <v>114</v>
      </c>
      <c r="C29" s="91"/>
      <c r="D29" s="93">
        <f>ROUND(SUMIFS($W$48:$W$158,$D$48:$D$158,Table!$C$3),3)</f>
        <v>299</v>
      </c>
      <c r="E29" s="93">
        <f>ROUND(SUMIFS($W$48:$W$158,$D$48:$D$158,Table!$C$3)-SUM(SUMIFS($W$48:$W$158,$D$48:$D$158,Table!$C$3,$AA$48:$AA$158,{"Ongoing","N/A",""})),3)</f>
        <v>0</v>
      </c>
      <c r="F29" s="93">
        <f>1/8*(SUMIFS($Z$48:$Z$158,$D$48:$D$158,Table!$C$3)-SUM(SUMIFS($Z$48:$Z$158,$D$48:$D$158,Table!$C$3,$AA$48:$AA$158,{"Ongoing","N/A",""})))</f>
        <v>0</v>
      </c>
      <c r="G29" s="89" t="str">
        <f t="shared" si="2"/>
        <v>N/A</v>
      </c>
      <c r="H29" s="90">
        <f t="shared" si="3"/>
        <v>0</v>
      </c>
      <c r="L29" s="6"/>
    </row>
    <row r="32" spans="2:12" x14ac:dyDescent="0.25">
      <c r="B32" s="92" t="s">
        <v>115</v>
      </c>
    </row>
    <row r="33" spans="2:40" x14ac:dyDescent="0.25">
      <c r="B33" s="85" t="s">
        <v>0</v>
      </c>
      <c r="C33" s="85" t="s">
        <v>8</v>
      </c>
      <c r="D33" s="85" t="s">
        <v>137</v>
      </c>
      <c r="E33" s="85" t="s">
        <v>57</v>
      </c>
      <c r="F33" s="85" t="s">
        <v>106</v>
      </c>
      <c r="G33" s="85" t="s">
        <v>22</v>
      </c>
      <c r="H33" s="86" t="s">
        <v>24</v>
      </c>
      <c r="I33" s="86" t="s">
        <v>178</v>
      </c>
      <c r="J33" s="86" t="s">
        <v>196</v>
      </c>
    </row>
    <row r="34" spans="2:40" x14ac:dyDescent="0.25">
      <c r="B34" s="87">
        <v>1</v>
      </c>
      <c r="C34" s="98" t="s">
        <v>6</v>
      </c>
      <c r="D34" s="89">
        <f>SUM(D19*Table!$D$4/Table!$C$4,D4)</f>
        <v>0</v>
      </c>
      <c r="E34" s="89">
        <f>SUM(E19*Table!$D$4/Table!$C$4,E4)</f>
        <v>0</v>
      </c>
      <c r="F34" s="89">
        <f t="shared" ref="F34:F43" ca="1" si="4">$K$16</f>
        <v>3</v>
      </c>
      <c r="G34" s="89">
        <f t="shared" ref="G34" ca="1" si="5">IF(ISERROR(E34/(F34)),"N/A",E34/F34)</f>
        <v>0</v>
      </c>
      <c r="H34" s="90" t="str">
        <f t="shared" ref="H34:H44" si="6">IF(ISERROR(E34/D34),"N/A",E34/D34)</f>
        <v>N/A</v>
      </c>
      <c r="I34" s="3">
        <f>COUNTIFS($S$48:$S$158,C34,$AK$48:$AK$158,Table!$C$36)</f>
        <v>0</v>
      </c>
      <c r="J34" s="3">
        <f>COUNTIFS($S$48:$S$158,C34,$AK$48:$AK$158,Table!$C$37)</f>
        <v>0</v>
      </c>
    </row>
    <row r="35" spans="2:40" x14ac:dyDescent="0.25">
      <c r="B35" s="87">
        <v>2</v>
      </c>
      <c r="C35" s="98" t="s">
        <v>68</v>
      </c>
      <c r="D35" s="89">
        <f>SUM(D20*Table!$D$4/Table!$C$4,D5)</f>
        <v>0</v>
      </c>
      <c r="E35" s="89">
        <f>SUM(E20*Table!$D$4/Table!$C$4,E5)</f>
        <v>0</v>
      </c>
      <c r="F35" s="89">
        <f t="shared" ca="1" si="4"/>
        <v>3</v>
      </c>
      <c r="G35" s="89">
        <f ca="1">IF(ISERROR(E35/(F35)),"N/A",E35/F35)</f>
        <v>0</v>
      </c>
      <c r="H35" s="90" t="str">
        <f t="shared" si="6"/>
        <v>N/A</v>
      </c>
      <c r="I35" s="3">
        <f>COUNTIFS($S$48:$S$158,C35,$AK$48:$AK$158,Table!$C$36)</f>
        <v>0</v>
      </c>
      <c r="J35" s="3">
        <f>COUNTIFS($S$48:$S$158,C35,$AK$48:$AK$158,Table!$C$37)</f>
        <v>0</v>
      </c>
    </row>
    <row r="36" spans="2:40" x14ac:dyDescent="0.25">
      <c r="B36" s="87">
        <v>3</v>
      </c>
      <c r="C36" s="98" t="s">
        <v>69</v>
      </c>
      <c r="D36" s="89">
        <f>SUM(D21*Table!$D$4/Table!$C$4,D6)</f>
        <v>0</v>
      </c>
      <c r="E36" s="89">
        <f>SUM(E21*Table!$D$4/Table!$C$4,E6)</f>
        <v>0</v>
      </c>
      <c r="F36" s="89">
        <f t="shared" ca="1" si="4"/>
        <v>3</v>
      </c>
      <c r="G36" s="89">
        <f t="shared" ref="G36:G43" ca="1" si="7">IF(ISERROR(E36/(F36)),"N/A",E36/F36)</f>
        <v>0</v>
      </c>
      <c r="H36" s="90" t="str">
        <f t="shared" si="6"/>
        <v>N/A</v>
      </c>
      <c r="I36" s="3">
        <f>COUNTIFS($S$48:$S$158,C36,$AK$48:$AK$158,Table!$C$36)</f>
        <v>0</v>
      </c>
      <c r="J36" s="3">
        <f>COUNTIFS($S$48:$S$158,C36,$AK$48:$AK$158,Table!$C$37)</f>
        <v>0</v>
      </c>
    </row>
    <row r="37" spans="2:40" x14ac:dyDescent="0.25">
      <c r="B37" s="87">
        <v>4</v>
      </c>
      <c r="C37" s="98" t="s">
        <v>70</v>
      </c>
      <c r="D37" s="89">
        <f>SUM(D22*Table!$D$4/Table!$C$4,D7)</f>
        <v>4887.2250000000004</v>
      </c>
      <c r="E37" s="89">
        <f>SUM(E22*Table!$D$4/Table!$C$4,E7)</f>
        <v>0</v>
      </c>
      <c r="F37" s="89">
        <f t="shared" ca="1" si="4"/>
        <v>3</v>
      </c>
      <c r="G37" s="89">
        <f t="shared" ca="1" si="7"/>
        <v>0</v>
      </c>
      <c r="H37" s="90">
        <f t="shared" si="6"/>
        <v>0</v>
      </c>
      <c r="I37" s="3">
        <f>COUNTIFS($S$48:$S$158,C37,$AK$48:$AK$158,Table!$C$36)</f>
        <v>0</v>
      </c>
      <c r="J37" s="3">
        <f>COUNTIFS($S$48:$S$158,C37,$AK$48:$AK$158,Table!$C$37)</f>
        <v>0</v>
      </c>
    </row>
    <row r="38" spans="2:40" x14ac:dyDescent="0.25">
      <c r="B38" s="87">
        <v>5</v>
      </c>
      <c r="C38" s="88" t="s">
        <v>71</v>
      </c>
      <c r="D38" s="89">
        <f>SUM(D23*Table!$D$4/Table!$C$4,D8)</f>
        <v>0</v>
      </c>
      <c r="E38" s="89">
        <f>SUM(E23*Table!$D$4/Table!$C$4,E8)</f>
        <v>0</v>
      </c>
      <c r="F38" s="89">
        <f t="shared" ca="1" si="4"/>
        <v>3</v>
      </c>
      <c r="G38" s="89">
        <f t="shared" ca="1" si="7"/>
        <v>0</v>
      </c>
      <c r="H38" s="90" t="str">
        <f t="shared" si="6"/>
        <v>N/A</v>
      </c>
      <c r="I38" s="3">
        <f>COUNTIFS($S$48:$S$158,C38,$AK$48:$AK$158,Table!$C$36)</f>
        <v>0</v>
      </c>
      <c r="J38" s="3">
        <f>COUNTIFS($S$48:$S$158,C38,$AK$48:$AK$158,Table!$C$37)</f>
        <v>0</v>
      </c>
    </row>
    <row r="39" spans="2:40" x14ac:dyDescent="0.25">
      <c r="B39" s="87">
        <v>6</v>
      </c>
      <c r="C39" s="88" t="s">
        <v>72</v>
      </c>
      <c r="D39" s="89">
        <f>SUM(D24*Table!$D$4/Table!$C$4,D9)</f>
        <v>0</v>
      </c>
      <c r="E39" s="89">
        <f>SUM(E24*Table!$D$4/Table!$C$4,E9)</f>
        <v>0</v>
      </c>
      <c r="F39" s="89">
        <f t="shared" ca="1" si="4"/>
        <v>3</v>
      </c>
      <c r="G39" s="89">
        <f t="shared" ca="1" si="7"/>
        <v>0</v>
      </c>
      <c r="H39" s="90" t="str">
        <f t="shared" si="6"/>
        <v>N/A</v>
      </c>
      <c r="I39" s="3">
        <f>COUNTIFS($S$48:$S$158,C39,$AK$48:$AK$158,Table!$C$36)</f>
        <v>0</v>
      </c>
      <c r="J39" s="3">
        <f>COUNTIFS($S$48:$S$158,C39,$AK$48:$AK$158,Table!$C$37)</f>
        <v>0</v>
      </c>
    </row>
    <row r="40" spans="2:40" x14ac:dyDescent="0.25">
      <c r="B40" s="87">
        <v>7</v>
      </c>
      <c r="C40" s="88" t="s">
        <v>73</v>
      </c>
      <c r="D40" s="89">
        <f>SUM(D25*Table!$D$4/Table!$C$4,D10)</f>
        <v>0</v>
      </c>
      <c r="E40" s="89">
        <f>SUM(E25*Table!$D$4/Table!$C$4,E10)</f>
        <v>0</v>
      </c>
      <c r="F40" s="89">
        <f t="shared" ca="1" si="4"/>
        <v>3</v>
      </c>
      <c r="G40" s="89">
        <f t="shared" ca="1" si="7"/>
        <v>0</v>
      </c>
      <c r="H40" s="90" t="str">
        <f t="shared" si="6"/>
        <v>N/A</v>
      </c>
      <c r="I40" s="3">
        <f>COUNTIFS($S$48:$S$158,C40,$AK$48:$AK$158,Table!$C$36)</f>
        <v>0</v>
      </c>
      <c r="J40" s="3">
        <f>COUNTIFS($S$48:$S$158,C40,$AK$48:$AK$158,Table!$C$37)</f>
        <v>0</v>
      </c>
    </row>
    <row r="41" spans="2:40" x14ac:dyDescent="0.25">
      <c r="B41" s="87">
        <v>8</v>
      </c>
      <c r="C41" s="88" t="s">
        <v>74</v>
      </c>
      <c r="D41" s="89">
        <f>SUM(D26*Table!$D$4/Table!$C$4,D11)</f>
        <v>0</v>
      </c>
      <c r="E41" s="89">
        <f>SUM(E26*Table!$D$4/Table!$C$4,E11)</f>
        <v>0</v>
      </c>
      <c r="F41" s="89">
        <f t="shared" ca="1" si="4"/>
        <v>3</v>
      </c>
      <c r="G41" s="89">
        <f t="shared" ca="1" si="7"/>
        <v>0</v>
      </c>
      <c r="H41" s="90" t="str">
        <f t="shared" si="6"/>
        <v>N/A</v>
      </c>
      <c r="I41" s="3">
        <f>COUNTIFS($S$48:$S$158,C41,$AK$48:$AK$158,Table!$C$36)</f>
        <v>0</v>
      </c>
      <c r="J41" s="3">
        <f>COUNTIFS($S$48:$S$158,C41,$AK$48:$AK$158,Table!$C$37)</f>
        <v>0</v>
      </c>
    </row>
    <row r="42" spans="2:40" x14ac:dyDescent="0.25">
      <c r="B42" s="87">
        <v>9</v>
      </c>
      <c r="C42" s="88" t="s">
        <v>187</v>
      </c>
      <c r="D42" s="89">
        <f>SUM(D27*Table!$D$4/Table!$C$4,D12)</f>
        <v>0</v>
      </c>
      <c r="E42" s="89">
        <f>SUM(E27*Table!$D$4/Table!$C$4,E12)</f>
        <v>0</v>
      </c>
      <c r="F42" s="89">
        <f t="shared" ca="1" si="4"/>
        <v>3</v>
      </c>
      <c r="G42" s="89">
        <f t="shared" ca="1" si="7"/>
        <v>0</v>
      </c>
      <c r="H42" s="90" t="str">
        <f t="shared" si="6"/>
        <v>N/A</v>
      </c>
      <c r="I42" s="3">
        <f>COUNTIFS($S$48:$S$158,C42,$AK$48:$AK$158,Table!$C$36)</f>
        <v>0</v>
      </c>
      <c r="J42" s="3">
        <f>COUNTIFS($S$48:$S$158,C42,$AK$48:$AK$158,Table!$C$37)</f>
        <v>0</v>
      </c>
    </row>
    <row r="43" spans="2:40" x14ac:dyDescent="0.25">
      <c r="B43" s="87">
        <v>10</v>
      </c>
      <c r="C43" s="98" t="s">
        <v>188</v>
      </c>
      <c r="D43" s="89">
        <f>SUM(D28*Table!$D$4/Table!$C$4,D13)</f>
        <v>0</v>
      </c>
      <c r="E43" s="89">
        <f>SUM(E28*Table!$D$4/Table!$C$4,E13)</f>
        <v>0</v>
      </c>
      <c r="F43" s="89">
        <f t="shared" ca="1" si="4"/>
        <v>3</v>
      </c>
      <c r="G43" s="89">
        <f t="shared" ca="1" si="7"/>
        <v>0</v>
      </c>
      <c r="H43" s="90" t="str">
        <f t="shared" si="6"/>
        <v>N/A</v>
      </c>
      <c r="I43" s="3">
        <f>COUNTIFS($S$48:$S$158,C43,$AK$48:$AK$158,Table!$C$36)</f>
        <v>0</v>
      </c>
      <c r="J43" s="3">
        <f>COUNTIFS($S$48:$S$158,C43,$AK$48:$AK$158,Table!$C$37)</f>
        <v>0</v>
      </c>
    </row>
    <row r="44" spans="2:40" x14ac:dyDescent="0.25">
      <c r="B44" s="85" t="s">
        <v>114</v>
      </c>
      <c r="C44" s="91"/>
      <c r="D44" s="89">
        <f>SUM(D34:D43)</f>
        <v>4887.2250000000004</v>
      </c>
      <c r="E44" s="89">
        <f>SUM(E34:E43)</f>
        <v>0</v>
      </c>
      <c r="F44" s="89">
        <f ca="1">$K$16*5</f>
        <v>15</v>
      </c>
      <c r="G44" s="89">
        <f ca="1">IF(ISERROR(E44/(F44)),"N/A",E44/F44)</f>
        <v>0</v>
      </c>
      <c r="H44" s="90">
        <f t="shared" si="6"/>
        <v>0</v>
      </c>
      <c r="I44" s="3">
        <f>SUM(I34:I43)</f>
        <v>0</v>
      </c>
      <c r="J44" s="3">
        <f>SUM(J34:J43)</f>
        <v>0</v>
      </c>
    </row>
    <row r="47" spans="2:40" x14ac:dyDescent="0.25">
      <c r="B47" s="80" t="s">
        <v>0</v>
      </c>
      <c r="C47" s="80" t="s">
        <v>67</v>
      </c>
      <c r="D47" s="80" t="s">
        <v>1</v>
      </c>
      <c r="E47" s="80" t="s">
        <v>60</v>
      </c>
      <c r="F47" s="80" t="s">
        <v>61</v>
      </c>
      <c r="G47" s="80" t="s">
        <v>190</v>
      </c>
      <c r="H47" s="80" t="s">
        <v>118</v>
      </c>
      <c r="I47" s="80" t="s">
        <v>62</v>
      </c>
      <c r="J47" s="80" t="s">
        <v>117</v>
      </c>
      <c r="K47" s="80" t="s">
        <v>191</v>
      </c>
      <c r="L47" s="80" t="s">
        <v>76</v>
      </c>
      <c r="M47" s="80" t="s">
        <v>194</v>
      </c>
      <c r="N47" s="80" t="s">
        <v>75</v>
      </c>
      <c r="O47" s="80" t="s">
        <v>66</v>
      </c>
      <c r="P47" s="80" t="s">
        <v>84</v>
      </c>
      <c r="Q47" s="61" t="s">
        <v>59</v>
      </c>
      <c r="R47" s="81" t="s">
        <v>7</v>
      </c>
      <c r="S47" s="81" t="s">
        <v>8</v>
      </c>
      <c r="T47" s="81" t="s">
        <v>82</v>
      </c>
      <c r="U47" s="81" t="s">
        <v>96</v>
      </c>
      <c r="V47" s="81" t="s">
        <v>79</v>
      </c>
      <c r="W47" s="81" t="s">
        <v>80</v>
      </c>
      <c r="X47" s="81" t="s">
        <v>57</v>
      </c>
      <c r="Y47" s="81" t="s">
        <v>83</v>
      </c>
      <c r="Z47" s="81" t="s">
        <v>58</v>
      </c>
      <c r="AA47" s="81" t="s">
        <v>17</v>
      </c>
      <c r="AB47" s="81" t="s">
        <v>222</v>
      </c>
      <c r="AC47" s="81" t="s">
        <v>63</v>
      </c>
      <c r="AD47" s="81" t="s">
        <v>64</v>
      </c>
      <c r="AE47" s="80" t="s">
        <v>12</v>
      </c>
      <c r="AF47" s="80" t="s">
        <v>13</v>
      </c>
      <c r="AG47" s="80" t="s">
        <v>81</v>
      </c>
      <c r="AH47" s="80" t="s">
        <v>14</v>
      </c>
      <c r="AI47" s="80" t="s">
        <v>15</v>
      </c>
      <c r="AJ47" s="81" t="s">
        <v>16</v>
      </c>
      <c r="AK47" s="80" t="s">
        <v>192</v>
      </c>
      <c r="AL47" s="81" t="s">
        <v>166</v>
      </c>
      <c r="AM47" s="81" t="s">
        <v>165</v>
      </c>
      <c r="AN47" s="81" t="s">
        <v>85</v>
      </c>
    </row>
    <row r="48" spans="2:40" x14ac:dyDescent="0.25">
      <c r="B48" s="46">
        <v>1</v>
      </c>
      <c r="C48" s="17">
        <v>20200427</v>
      </c>
      <c r="D48" s="16" t="s">
        <v>2</v>
      </c>
      <c r="E48" s="16" t="s">
        <v>296</v>
      </c>
      <c r="F48" s="18" t="s">
        <v>297</v>
      </c>
      <c r="G48" s="60" t="s">
        <v>65</v>
      </c>
      <c r="H48" s="16" t="s">
        <v>239</v>
      </c>
      <c r="I48" s="16" t="s">
        <v>301</v>
      </c>
      <c r="J48" s="16" t="s">
        <v>237</v>
      </c>
      <c r="K48" s="60" t="s">
        <v>65</v>
      </c>
      <c r="L48" s="60" t="s">
        <v>65</v>
      </c>
      <c r="M48" s="60" t="s">
        <v>65</v>
      </c>
      <c r="N48" s="16" t="s">
        <v>357</v>
      </c>
      <c r="O48" s="18" t="s">
        <v>233</v>
      </c>
      <c r="P48" s="18" t="s">
        <v>358</v>
      </c>
      <c r="Q48" s="19"/>
      <c r="R48" s="17" t="s">
        <v>238</v>
      </c>
      <c r="S48" s="16" t="s">
        <v>70</v>
      </c>
      <c r="T48" s="16"/>
      <c r="U48" s="16"/>
      <c r="V48" s="16">
        <v>36</v>
      </c>
      <c r="W48" s="16">
        <f>ROUND(IF(D48=Table!$C$3,Y48*Table!$C$4/8,Y48*Table!$D$4/8),3)</f>
        <v>26</v>
      </c>
      <c r="X48" s="16"/>
      <c r="Y48" s="16">
        <v>1.6</v>
      </c>
      <c r="Z48" s="16"/>
      <c r="AA48" s="16"/>
      <c r="AB48" s="16"/>
      <c r="AC48" s="20">
        <v>43946</v>
      </c>
      <c r="AD48" s="20">
        <v>43958</v>
      </c>
      <c r="AE48" s="20"/>
      <c r="AF48" s="20"/>
      <c r="AG48" s="20"/>
      <c r="AH48" s="32"/>
      <c r="AI48" s="32"/>
      <c r="AJ48" s="32"/>
      <c r="AK48" s="20"/>
      <c r="AL48" s="16"/>
      <c r="AM48" s="16"/>
      <c r="AN48" s="16"/>
    </row>
    <row r="49" spans="2:40" x14ac:dyDescent="0.25">
      <c r="B49" s="46">
        <f>B48+1</f>
        <v>2</v>
      </c>
      <c r="C49" s="17">
        <v>20200427</v>
      </c>
      <c r="D49" s="16" t="s">
        <v>2</v>
      </c>
      <c r="E49" s="16" t="s">
        <v>296</v>
      </c>
      <c r="F49" s="18" t="s">
        <v>297</v>
      </c>
      <c r="G49" s="60" t="s">
        <v>65</v>
      </c>
      <c r="H49" s="16" t="s">
        <v>240</v>
      </c>
      <c r="I49" s="16" t="s">
        <v>302</v>
      </c>
      <c r="J49" s="16" t="s">
        <v>237</v>
      </c>
      <c r="K49" s="60" t="s">
        <v>65</v>
      </c>
      <c r="L49" s="60" t="s">
        <v>65</v>
      </c>
      <c r="M49" s="60" t="s">
        <v>65</v>
      </c>
      <c r="N49" s="16" t="s">
        <v>357</v>
      </c>
      <c r="O49" s="18" t="s">
        <v>234</v>
      </c>
      <c r="P49" s="18" t="s">
        <v>358</v>
      </c>
      <c r="Q49" s="19"/>
      <c r="R49" s="17" t="s">
        <v>238</v>
      </c>
      <c r="S49" s="16" t="s">
        <v>70</v>
      </c>
      <c r="T49" s="16"/>
      <c r="U49" s="16"/>
      <c r="V49" s="16">
        <v>82</v>
      </c>
      <c r="W49" s="16">
        <f>ROUND(IF(D49=Table!$C$3,Y49*Table!$C$4/8,Y49*Table!$D$4/8),3)</f>
        <v>71.5</v>
      </c>
      <c r="X49" s="16"/>
      <c r="Y49" s="16">
        <v>4.4000000000000004</v>
      </c>
      <c r="Z49" s="16"/>
      <c r="AA49" s="16"/>
      <c r="AB49" s="16"/>
      <c r="AC49" s="20">
        <v>43946</v>
      </c>
      <c r="AD49" s="20">
        <v>43958</v>
      </c>
      <c r="AE49" s="20"/>
      <c r="AF49" s="20"/>
      <c r="AG49" s="20"/>
      <c r="AH49" s="32"/>
      <c r="AI49" s="32"/>
      <c r="AJ49" s="32"/>
      <c r="AK49" s="20"/>
      <c r="AL49" s="16"/>
      <c r="AM49" s="16"/>
      <c r="AN49" s="16"/>
    </row>
    <row r="50" spans="2:40" x14ac:dyDescent="0.25">
      <c r="B50" s="46">
        <f t="shared" ref="B50:B108" si="8">B49+1</f>
        <v>3</v>
      </c>
      <c r="C50" s="17">
        <v>20200427</v>
      </c>
      <c r="D50" s="16" t="s">
        <v>2</v>
      </c>
      <c r="E50" s="16" t="s">
        <v>296</v>
      </c>
      <c r="F50" s="18" t="s">
        <v>298</v>
      </c>
      <c r="G50" s="60" t="s">
        <v>65</v>
      </c>
      <c r="H50" s="16" t="s">
        <v>241</v>
      </c>
      <c r="I50" s="16" t="s">
        <v>303</v>
      </c>
      <c r="J50" s="16" t="s">
        <v>126</v>
      </c>
      <c r="K50" s="60" t="s">
        <v>65</v>
      </c>
      <c r="L50" s="60" t="s">
        <v>65</v>
      </c>
      <c r="M50" s="60" t="s">
        <v>65</v>
      </c>
      <c r="N50" s="16" t="s">
        <v>357</v>
      </c>
      <c r="O50" s="18" t="s">
        <v>235</v>
      </c>
      <c r="P50" s="18" t="s">
        <v>358</v>
      </c>
      <c r="Q50" s="19"/>
      <c r="R50" s="17" t="s">
        <v>238</v>
      </c>
      <c r="S50" s="16" t="s">
        <v>70</v>
      </c>
      <c r="T50" s="16"/>
      <c r="U50" s="16"/>
      <c r="V50" s="16">
        <v>179</v>
      </c>
      <c r="W50" s="16">
        <f>ROUND(IF(D50=Table!$C$3,Y50*Table!$C$4/8,Y50*Table!$D$4/8),3)</f>
        <v>84.5</v>
      </c>
      <c r="X50" s="16"/>
      <c r="Y50" s="16">
        <v>5.2</v>
      </c>
      <c r="Z50" s="16"/>
      <c r="AA50" s="16"/>
      <c r="AB50" s="16"/>
      <c r="AC50" s="20">
        <v>43946</v>
      </c>
      <c r="AD50" s="20">
        <v>43958</v>
      </c>
      <c r="AE50" s="20"/>
      <c r="AF50" s="20"/>
      <c r="AG50" s="20"/>
      <c r="AH50" s="32"/>
      <c r="AI50" s="32"/>
      <c r="AJ50" s="32"/>
      <c r="AK50" s="20"/>
      <c r="AL50" s="16"/>
      <c r="AM50" s="16"/>
      <c r="AN50" s="16"/>
    </row>
    <row r="51" spans="2:40" x14ac:dyDescent="0.25">
      <c r="B51" s="46">
        <f t="shared" si="8"/>
        <v>4</v>
      </c>
      <c r="C51" s="17">
        <v>20200427</v>
      </c>
      <c r="D51" s="16" t="s">
        <v>2</v>
      </c>
      <c r="E51" s="16" t="s">
        <v>296</v>
      </c>
      <c r="F51" s="18" t="s">
        <v>299</v>
      </c>
      <c r="G51" s="60" t="s">
        <v>65</v>
      </c>
      <c r="H51" s="16" t="s">
        <v>242</v>
      </c>
      <c r="I51" s="16" t="s">
        <v>304</v>
      </c>
      <c r="J51" s="16" t="s">
        <v>126</v>
      </c>
      <c r="K51" s="60" t="s">
        <v>65</v>
      </c>
      <c r="L51" s="60" t="s">
        <v>65</v>
      </c>
      <c r="M51" s="60" t="s">
        <v>65</v>
      </c>
      <c r="N51" s="16" t="s">
        <v>357</v>
      </c>
      <c r="O51" s="18" t="s">
        <v>160</v>
      </c>
      <c r="P51" s="18" t="s">
        <v>358</v>
      </c>
      <c r="Q51" s="19"/>
      <c r="R51" s="17" t="s">
        <v>238</v>
      </c>
      <c r="S51" s="16" t="s">
        <v>70</v>
      </c>
      <c r="T51" s="16"/>
      <c r="U51" s="16"/>
      <c r="V51" s="16">
        <v>10</v>
      </c>
      <c r="W51" s="16">
        <f>ROUND(IF(D51=Table!$C$3,Y51*Table!$C$4/8,Y51*Table!$D$4/8),3)</f>
        <v>26</v>
      </c>
      <c r="X51" s="16"/>
      <c r="Y51" s="16">
        <v>1.6</v>
      </c>
      <c r="Z51" s="16"/>
      <c r="AA51" s="16"/>
      <c r="AB51" s="16"/>
      <c r="AC51" s="20">
        <v>43946</v>
      </c>
      <c r="AD51" s="20">
        <v>43958</v>
      </c>
      <c r="AE51" s="20"/>
      <c r="AF51" s="20"/>
      <c r="AG51" s="20"/>
      <c r="AH51" s="32"/>
      <c r="AI51" s="32"/>
      <c r="AJ51" s="32"/>
      <c r="AK51" s="20"/>
      <c r="AL51" s="16"/>
      <c r="AM51" s="16"/>
      <c r="AN51" s="16"/>
    </row>
    <row r="52" spans="2:40" x14ac:dyDescent="0.25">
      <c r="B52" s="46">
        <f t="shared" si="8"/>
        <v>5</v>
      </c>
      <c r="C52" s="17">
        <v>20200427</v>
      </c>
      <c r="D52" s="16" t="s">
        <v>2</v>
      </c>
      <c r="E52" s="16" t="s">
        <v>296</v>
      </c>
      <c r="F52" s="18" t="s">
        <v>299</v>
      </c>
      <c r="G52" s="60" t="s">
        <v>65</v>
      </c>
      <c r="H52" s="16" t="s">
        <v>243</v>
      </c>
      <c r="I52" s="16" t="s">
        <v>305</v>
      </c>
      <c r="J52" s="16" t="s">
        <v>126</v>
      </c>
      <c r="K52" s="60" t="s">
        <v>65</v>
      </c>
      <c r="L52" s="60" t="s">
        <v>65</v>
      </c>
      <c r="M52" s="60" t="s">
        <v>65</v>
      </c>
      <c r="N52" s="16" t="s">
        <v>357</v>
      </c>
      <c r="O52" s="18" t="s">
        <v>160</v>
      </c>
      <c r="P52" s="18" t="s">
        <v>358</v>
      </c>
      <c r="Q52" s="19"/>
      <c r="R52" s="17" t="s">
        <v>238</v>
      </c>
      <c r="S52" s="16" t="s">
        <v>70</v>
      </c>
      <c r="T52" s="16"/>
      <c r="U52" s="16"/>
      <c r="V52" s="16">
        <v>10</v>
      </c>
      <c r="W52" s="16">
        <f>ROUND(IF(D52=Table!$C$3,Y52*Table!$C$4/8,Y52*Table!$D$4/8),3)</f>
        <v>26</v>
      </c>
      <c r="X52" s="16"/>
      <c r="Y52" s="16">
        <v>1.6</v>
      </c>
      <c r="Z52" s="16"/>
      <c r="AA52" s="16"/>
      <c r="AB52" s="16"/>
      <c r="AC52" s="20">
        <v>43946</v>
      </c>
      <c r="AD52" s="20">
        <v>43958</v>
      </c>
      <c r="AE52" s="20"/>
      <c r="AF52" s="20"/>
      <c r="AG52" s="20"/>
      <c r="AH52" s="32"/>
      <c r="AI52" s="32"/>
      <c r="AJ52" s="32"/>
      <c r="AK52" s="20"/>
      <c r="AL52" s="16"/>
      <c r="AM52" s="16"/>
      <c r="AN52" s="16"/>
    </row>
    <row r="53" spans="2:40" x14ac:dyDescent="0.25">
      <c r="B53" s="46">
        <f t="shared" si="8"/>
        <v>6</v>
      </c>
      <c r="C53" s="17">
        <v>20200427</v>
      </c>
      <c r="D53" s="16" t="s">
        <v>2</v>
      </c>
      <c r="E53" s="16" t="s">
        <v>296</v>
      </c>
      <c r="F53" s="18" t="s">
        <v>299</v>
      </c>
      <c r="G53" s="60" t="s">
        <v>65</v>
      </c>
      <c r="H53" s="16" t="s">
        <v>244</v>
      </c>
      <c r="I53" s="16" t="s">
        <v>306</v>
      </c>
      <c r="J53" s="16" t="s">
        <v>126</v>
      </c>
      <c r="K53" s="60" t="s">
        <v>65</v>
      </c>
      <c r="L53" s="60" t="s">
        <v>65</v>
      </c>
      <c r="M53" s="60" t="s">
        <v>65</v>
      </c>
      <c r="N53" s="16" t="s">
        <v>357</v>
      </c>
      <c r="O53" s="18" t="s">
        <v>236</v>
      </c>
      <c r="P53" s="18" t="s">
        <v>358</v>
      </c>
      <c r="Q53" s="19"/>
      <c r="R53" s="17" t="s">
        <v>238</v>
      </c>
      <c r="S53" s="16" t="s">
        <v>70</v>
      </c>
      <c r="T53" s="16"/>
      <c r="U53" s="16"/>
      <c r="V53" s="16">
        <v>90</v>
      </c>
      <c r="W53" s="16">
        <f>ROUND(IF(D53=Table!$C$3,Y53*Table!$C$4/8,Y53*Table!$D$4/8),3)</f>
        <v>65</v>
      </c>
      <c r="X53" s="16"/>
      <c r="Y53" s="16">
        <v>4</v>
      </c>
      <c r="Z53" s="16"/>
      <c r="AA53" s="16"/>
      <c r="AB53" s="16"/>
      <c r="AC53" s="20">
        <v>43946</v>
      </c>
      <c r="AD53" s="20">
        <v>43958</v>
      </c>
      <c r="AE53" s="20"/>
      <c r="AF53" s="20"/>
      <c r="AG53" s="20"/>
      <c r="AH53" s="32"/>
      <c r="AI53" s="32"/>
      <c r="AJ53" s="32"/>
      <c r="AK53" s="20"/>
      <c r="AL53" s="16"/>
      <c r="AM53" s="16"/>
      <c r="AN53" s="16"/>
    </row>
    <row r="54" spans="2:40" x14ac:dyDescent="0.25">
      <c r="B54" s="46">
        <f t="shared" si="8"/>
        <v>7</v>
      </c>
      <c r="C54" s="17">
        <v>20200427</v>
      </c>
      <c r="D54" s="16" t="s">
        <v>3</v>
      </c>
      <c r="E54" s="16" t="s">
        <v>296</v>
      </c>
      <c r="F54" s="18" t="s">
        <v>300</v>
      </c>
      <c r="G54" s="60" t="s">
        <v>65</v>
      </c>
      <c r="H54" s="16" t="s">
        <v>154</v>
      </c>
      <c r="I54" s="16" t="s">
        <v>307</v>
      </c>
      <c r="J54" s="16" t="s">
        <v>126</v>
      </c>
      <c r="K54" s="60" t="s">
        <v>65</v>
      </c>
      <c r="L54" s="60" t="s">
        <v>65</v>
      </c>
      <c r="M54" s="60" t="s">
        <v>65</v>
      </c>
      <c r="N54" s="16" t="s">
        <v>171</v>
      </c>
      <c r="O54" s="18" t="s">
        <v>65</v>
      </c>
      <c r="P54" s="18" t="s">
        <v>358</v>
      </c>
      <c r="Q54" s="19"/>
      <c r="R54" s="17" t="s">
        <v>238</v>
      </c>
      <c r="S54" s="16" t="s">
        <v>70</v>
      </c>
      <c r="T54" s="16"/>
      <c r="U54" s="16"/>
      <c r="V54" s="16">
        <v>66</v>
      </c>
      <c r="W54" s="16">
        <f>ROUND(IF(D54=Table!$C$3,Y54*Table!$C$4/8,Y54*Table!$D$4/8),3)</f>
        <v>6.75</v>
      </c>
      <c r="X54" s="16"/>
      <c r="Y54" s="16">
        <v>0.12</v>
      </c>
      <c r="Z54" s="16"/>
      <c r="AA54" s="16"/>
      <c r="AB54" s="16"/>
      <c r="AC54" s="20">
        <v>43946</v>
      </c>
      <c r="AD54" s="20">
        <v>43958</v>
      </c>
      <c r="AE54" s="20"/>
      <c r="AF54" s="20"/>
      <c r="AG54" s="20"/>
      <c r="AH54" s="32"/>
      <c r="AI54" s="32"/>
      <c r="AJ54" s="32"/>
      <c r="AK54" s="20"/>
      <c r="AL54" s="16"/>
      <c r="AM54" s="16"/>
      <c r="AN54" s="16"/>
    </row>
    <row r="55" spans="2:40" x14ac:dyDescent="0.25">
      <c r="B55" s="46">
        <f t="shared" si="8"/>
        <v>8</v>
      </c>
      <c r="C55" s="17">
        <v>20200427</v>
      </c>
      <c r="D55" s="16" t="s">
        <v>3</v>
      </c>
      <c r="E55" s="16" t="s">
        <v>296</v>
      </c>
      <c r="F55" s="18" t="s">
        <v>300</v>
      </c>
      <c r="G55" s="60" t="s">
        <v>65</v>
      </c>
      <c r="H55" s="16" t="s">
        <v>98</v>
      </c>
      <c r="I55" s="16" t="s">
        <v>308</v>
      </c>
      <c r="J55" s="16" t="s">
        <v>126</v>
      </c>
      <c r="K55" s="60" t="s">
        <v>65</v>
      </c>
      <c r="L55" s="60" t="s">
        <v>65</v>
      </c>
      <c r="M55" s="60" t="s">
        <v>65</v>
      </c>
      <c r="N55" s="16" t="s">
        <v>171</v>
      </c>
      <c r="O55" s="18" t="s">
        <v>65</v>
      </c>
      <c r="P55" s="18" t="s">
        <v>358</v>
      </c>
      <c r="Q55" s="19"/>
      <c r="R55" s="17" t="s">
        <v>238</v>
      </c>
      <c r="S55" s="16" t="s">
        <v>70</v>
      </c>
      <c r="T55" s="16"/>
      <c r="U55" s="16"/>
      <c r="V55" s="16">
        <v>15</v>
      </c>
      <c r="W55" s="16">
        <f>ROUND(IF(D55=Table!$C$3,Y55*Table!$C$4/8,Y55*Table!$D$4/8),3)</f>
        <v>6.75</v>
      </c>
      <c r="X55" s="16"/>
      <c r="Y55" s="16">
        <v>0.12</v>
      </c>
      <c r="Z55" s="16"/>
      <c r="AA55" s="16"/>
      <c r="AB55" s="16"/>
      <c r="AC55" s="20">
        <v>43946</v>
      </c>
      <c r="AD55" s="20">
        <v>43958</v>
      </c>
      <c r="AE55" s="20"/>
      <c r="AF55" s="20"/>
      <c r="AG55" s="20"/>
      <c r="AH55" s="32"/>
      <c r="AI55" s="32"/>
      <c r="AJ55" s="32"/>
      <c r="AK55" s="20"/>
      <c r="AL55" s="16"/>
      <c r="AM55" s="16"/>
      <c r="AN55" s="16"/>
    </row>
    <row r="56" spans="2:40" x14ac:dyDescent="0.25">
      <c r="B56" s="46">
        <f t="shared" si="8"/>
        <v>9</v>
      </c>
      <c r="C56" s="17">
        <v>20200427</v>
      </c>
      <c r="D56" s="16" t="s">
        <v>3</v>
      </c>
      <c r="E56" s="16" t="s">
        <v>296</v>
      </c>
      <c r="F56" s="18" t="s">
        <v>300</v>
      </c>
      <c r="G56" s="60" t="s">
        <v>65</v>
      </c>
      <c r="H56" s="16" t="s">
        <v>99</v>
      </c>
      <c r="I56" s="16" t="s">
        <v>309</v>
      </c>
      <c r="J56" s="16" t="s">
        <v>126</v>
      </c>
      <c r="K56" s="60" t="s">
        <v>65</v>
      </c>
      <c r="L56" s="60" t="s">
        <v>65</v>
      </c>
      <c r="M56" s="60" t="s">
        <v>65</v>
      </c>
      <c r="N56" s="16" t="s">
        <v>171</v>
      </c>
      <c r="O56" s="18" t="s">
        <v>65</v>
      </c>
      <c r="P56" s="18" t="s">
        <v>358</v>
      </c>
      <c r="Q56" s="19"/>
      <c r="R56" s="17" t="s">
        <v>238</v>
      </c>
      <c r="S56" s="16" t="s">
        <v>70</v>
      </c>
      <c r="T56" s="16"/>
      <c r="U56" s="16"/>
      <c r="V56" s="16">
        <v>12</v>
      </c>
      <c r="W56" s="16">
        <f>ROUND(IF(D56=Table!$C$3,Y56*Table!$C$4/8,Y56*Table!$D$4/8),3)</f>
        <v>6.75</v>
      </c>
      <c r="X56" s="16"/>
      <c r="Y56" s="16">
        <v>0.12</v>
      </c>
      <c r="Z56" s="16"/>
      <c r="AA56" s="16"/>
      <c r="AB56" s="16"/>
      <c r="AC56" s="20">
        <v>43946</v>
      </c>
      <c r="AD56" s="20">
        <v>43958</v>
      </c>
      <c r="AE56" s="20"/>
      <c r="AF56" s="20"/>
      <c r="AG56" s="20"/>
      <c r="AH56" s="32"/>
      <c r="AI56" s="32"/>
      <c r="AJ56" s="32"/>
      <c r="AK56" s="20"/>
      <c r="AL56" s="16"/>
      <c r="AM56" s="16"/>
      <c r="AN56" s="16"/>
    </row>
    <row r="57" spans="2:40" x14ac:dyDescent="0.25">
      <c r="B57" s="46">
        <f t="shared" si="8"/>
        <v>10</v>
      </c>
      <c r="C57" s="17">
        <v>20200427</v>
      </c>
      <c r="D57" s="16" t="s">
        <v>3</v>
      </c>
      <c r="E57" s="16" t="s">
        <v>296</v>
      </c>
      <c r="F57" s="18" t="s">
        <v>300</v>
      </c>
      <c r="G57" s="60" t="s">
        <v>65</v>
      </c>
      <c r="H57" s="16" t="s">
        <v>100</v>
      </c>
      <c r="I57" s="16" t="s">
        <v>310</v>
      </c>
      <c r="J57" s="16" t="s">
        <v>126</v>
      </c>
      <c r="K57" s="60" t="s">
        <v>65</v>
      </c>
      <c r="L57" s="60" t="s">
        <v>65</v>
      </c>
      <c r="M57" s="60" t="s">
        <v>65</v>
      </c>
      <c r="N57" s="16" t="s">
        <v>171</v>
      </c>
      <c r="O57" s="18" t="s">
        <v>65</v>
      </c>
      <c r="P57" s="18" t="s">
        <v>358</v>
      </c>
      <c r="Q57" s="19"/>
      <c r="R57" s="17" t="s">
        <v>238</v>
      </c>
      <c r="S57" s="16" t="s">
        <v>70</v>
      </c>
      <c r="T57" s="16"/>
      <c r="U57" s="16"/>
      <c r="V57" s="16">
        <v>9</v>
      </c>
      <c r="W57" s="16">
        <f>ROUND(IF(D57=Table!$C$3,Y57*Table!$C$4/8,Y57*Table!$D$4/8),3)</f>
        <v>6.75</v>
      </c>
      <c r="X57" s="16"/>
      <c r="Y57" s="16">
        <v>0.12</v>
      </c>
      <c r="Z57" s="16"/>
      <c r="AA57" s="16"/>
      <c r="AB57" s="16"/>
      <c r="AC57" s="20">
        <v>43946</v>
      </c>
      <c r="AD57" s="20">
        <v>43958</v>
      </c>
      <c r="AE57" s="20"/>
      <c r="AF57" s="20"/>
      <c r="AG57" s="20"/>
      <c r="AH57" s="32"/>
      <c r="AI57" s="32"/>
      <c r="AJ57" s="32"/>
      <c r="AK57" s="20"/>
      <c r="AL57" s="16"/>
      <c r="AM57" s="16"/>
      <c r="AN57" s="16"/>
    </row>
    <row r="58" spans="2:40" x14ac:dyDescent="0.25">
      <c r="B58" s="46">
        <f t="shared" si="8"/>
        <v>11</v>
      </c>
      <c r="C58" s="17">
        <v>20200427</v>
      </c>
      <c r="D58" s="16" t="s">
        <v>3</v>
      </c>
      <c r="E58" s="16" t="s">
        <v>296</v>
      </c>
      <c r="F58" s="18" t="s">
        <v>300</v>
      </c>
      <c r="G58" s="60" t="s">
        <v>65</v>
      </c>
      <c r="H58" s="16" t="s">
        <v>245</v>
      </c>
      <c r="I58" s="16" t="s">
        <v>311</v>
      </c>
      <c r="J58" s="16" t="s">
        <v>126</v>
      </c>
      <c r="K58" s="60" t="s">
        <v>65</v>
      </c>
      <c r="L58" s="60" t="s">
        <v>65</v>
      </c>
      <c r="M58" s="60" t="s">
        <v>65</v>
      </c>
      <c r="N58" s="16" t="s">
        <v>171</v>
      </c>
      <c r="O58" s="18" t="s">
        <v>65</v>
      </c>
      <c r="P58" s="18" t="s">
        <v>358</v>
      </c>
      <c r="Q58" s="19"/>
      <c r="R58" s="17" t="s">
        <v>238</v>
      </c>
      <c r="S58" s="16" t="s">
        <v>70</v>
      </c>
      <c r="T58" s="16"/>
      <c r="U58" s="16"/>
      <c r="V58" s="16">
        <v>12</v>
      </c>
      <c r="W58" s="16">
        <f>ROUND(IF(D58=Table!$C$3,Y58*Table!$C$4/8,Y58*Table!$D$4/8),3)</f>
        <v>67.5</v>
      </c>
      <c r="X58" s="16"/>
      <c r="Y58" s="16">
        <v>1.2</v>
      </c>
      <c r="Z58" s="16"/>
      <c r="AA58" s="16"/>
      <c r="AB58" s="16"/>
      <c r="AC58" s="20">
        <v>43946</v>
      </c>
      <c r="AD58" s="20">
        <v>43958</v>
      </c>
      <c r="AE58" s="20"/>
      <c r="AF58" s="20"/>
      <c r="AG58" s="20"/>
      <c r="AH58" s="32"/>
      <c r="AI58" s="32"/>
      <c r="AJ58" s="32"/>
      <c r="AK58" s="20"/>
      <c r="AL58" s="16"/>
      <c r="AM58" s="16"/>
      <c r="AN58" s="16"/>
    </row>
    <row r="59" spans="2:40" x14ac:dyDescent="0.25">
      <c r="B59" s="46">
        <f t="shared" si="8"/>
        <v>12</v>
      </c>
      <c r="C59" s="17">
        <v>20200427</v>
      </c>
      <c r="D59" s="16" t="s">
        <v>3</v>
      </c>
      <c r="E59" s="16" t="s">
        <v>296</v>
      </c>
      <c r="F59" s="18" t="s">
        <v>300</v>
      </c>
      <c r="G59" s="60" t="s">
        <v>65</v>
      </c>
      <c r="H59" s="16" t="s">
        <v>246</v>
      </c>
      <c r="I59" s="16" t="s">
        <v>312</v>
      </c>
      <c r="J59" s="16" t="s">
        <v>126</v>
      </c>
      <c r="K59" s="60" t="s">
        <v>65</v>
      </c>
      <c r="L59" s="60" t="s">
        <v>65</v>
      </c>
      <c r="M59" s="60" t="s">
        <v>65</v>
      </c>
      <c r="N59" s="16" t="s">
        <v>171</v>
      </c>
      <c r="O59" s="18" t="s">
        <v>65</v>
      </c>
      <c r="P59" s="18" t="s">
        <v>358</v>
      </c>
      <c r="Q59" s="19"/>
      <c r="R59" s="17" t="s">
        <v>238</v>
      </c>
      <c r="S59" s="16" t="s">
        <v>70</v>
      </c>
      <c r="T59" s="16"/>
      <c r="U59" s="16"/>
      <c r="V59" s="16">
        <v>14</v>
      </c>
      <c r="W59" s="16">
        <f>ROUND(IF(D59=Table!$C$3,Y59*Table!$C$4/8,Y59*Table!$D$4/8),3)</f>
        <v>6.75</v>
      </c>
      <c r="X59" s="16"/>
      <c r="Y59" s="16">
        <v>0.12</v>
      </c>
      <c r="Z59" s="16"/>
      <c r="AA59" s="16"/>
      <c r="AB59" s="16"/>
      <c r="AC59" s="20">
        <v>43946</v>
      </c>
      <c r="AD59" s="20">
        <v>43958</v>
      </c>
      <c r="AE59" s="20"/>
      <c r="AF59" s="20"/>
      <c r="AG59" s="20"/>
      <c r="AH59" s="32"/>
      <c r="AI59" s="32"/>
      <c r="AJ59" s="32"/>
      <c r="AK59" s="20"/>
      <c r="AL59" s="16"/>
      <c r="AM59" s="16"/>
      <c r="AN59" s="16"/>
    </row>
    <row r="60" spans="2:40" x14ac:dyDescent="0.25">
      <c r="B60" s="46">
        <f t="shared" si="8"/>
        <v>13</v>
      </c>
      <c r="C60" s="17">
        <v>20200427</v>
      </c>
      <c r="D60" s="16" t="s">
        <v>3</v>
      </c>
      <c r="E60" s="16" t="s">
        <v>296</v>
      </c>
      <c r="F60" s="18" t="s">
        <v>300</v>
      </c>
      <c r="G60" s="60" t="s">
        <v>65</v>
      </c>
      <c r="H60" s="16" t="s">
        <v>247</v>
      </c>
      <c r="I60" s="16" t="s">
        <v>313</v>
      </c>
      <c r="J60" s="16" t="s">
        <v>126</v>
      </c>
      <c r="K60" s="60" t="s">
        <v>65</v>
      </c>
      <c r="L60" s="60" t="s">
        <v>65</v>
      </c>
      <c r="M60" s="60" t="s">
        <v>65</v>
      </c>
      <c r="N60" s="16" t="s">
        <v>171</v>
      </c>
      <c r="O60" s="18" t="s">
        <v>65</v>
      </c>
      <c r="P60" s="18" t="s">
        <v>358</v>
      </c>
      <c r="Q60" s="19"/>
      <c r="R60" s="17" t="s">
        <v>238</v>
      </c>
      <c r="S60" s="16" t="s">
        <v>70</v>
      </c>
      <c r="T60" s="16"/>
      <c r="U60" s="16"/>
      <c r="V60" s="16">
        <v>12</v>
      </c>
      <c r="W60" s="16">
        <f>ROUND(IF(D60=Table!$C$3,Y60*Table!$C$4/8,Y60*Table!$D$4/8),3)</f>
        <v>6.75</v>
      </c>
      <c r="X60" s="16"/>
      <c r="Y60" s="16">
        <v>0.12</v>
      </c>
      <c r="Z60" s="16"/>
      <c r="AA60" s="16"/>
      <c r="AB60" s="16"/>
      <c r="AC60" s="20">
        <v>43946</v>
      </c>
      <c r="AD60" s="20">
        <v>43958</v>
      </c>
      <c r="AE60" s="20"/>
      <c r="AF60" s="20"/>
      <c r="AG60" s="20"/>
      <c r="AH60" s="32"/>
      <c r="AI60" s="32"/>
      <c r="AJ60" s="32"/>
      <c r="AK60" s="20"/>
      <c r="AL60" s="16"/>
      <c r="AM60" s="16"/>
      <c r="AN60" s="16"/>
    </row>
    <row r="61" spans="2:40" x14ac:dyDescent="0.25">
      <c r="B61" s="46">
        <f t="shared" si="8"/>
        <v>14</v>
      </c>
      <c r="C61" s="17">
        <v>20200427</v>
      </c>
      <c r="D61" s="16" t="s">
        <v>3</v>
      </c>
      <c r="E61" s="16" t="s">
        <v>296</v>
      </c>
      <c r="F61" s="18" t="s">
        <v>300</v>
      </c>
      <c r="G61" s="60" t="s">
        <v>65</v>
      </c>
      <c r="H61" s="16" t="s">
        <v>248</v>
      </c>
      <c r="I61" s="16" t="s">
        <v>314</v>
      </c>
      <c r="J61" s="16" t="s">
        <v>126</v>
      </c>
      <c r="K61" s="60" t="s">
        <v>65</v>
      </c>
      <c r="L61" s="60" t="s">
        <v>65</v>
      </c>
      <c r="M61" s="60" t="s">
        <v>65</v>
      </c>
      <c r="N61" s="16" t="s">
        <v>171</v>
      </c>
      <c r="O61" s="18" t="s">
        <v>65</v>
      </c>
      <c r="P61" s="18" t="s">
        <v>358</v>
      </c>
      <c r="Q61" s="19"/>
      <c r="R61" s="17" t="s">
        <v>238</v>
      </c>
      <c r="S61" s="16" t="s">
        <v>70</v>
      </c>
      <c r="T61" s="16"/>
      <c r="U61" s="16"/>
      <c r="V61" s="16">
        <v>9</v>
      </c>
      <c r="W61" s="16">
        <f>ROUND(IF(D61=Table!$C$3,Y61*Table!$C$4/8,Y61*Table!$D$4/8),3)</f>
        <v>6.75</v>
      </c>
      <c r="X61" s="16"/>
      <c r="Y61" s="16">
        <v>0.12</v>
      </c>
      <c r="Z61" s="16"/>
      <c r="AA61" s="16"/>
      <c r="AB61" s="16"/>
      <c r="AC61" s="20">
        <v>43946</v>
      </c>
      <c r="AD61" s="20">
        <v>43958</v>
      </c>
      <c r="AE61" s="20"/>
      <c r="AF61" s="20"/>
      <c r="AG61" s="20"/>
      <c r="AH61" s="32"/>
      <c r="AI61" s="32"/>
      <c r="AJ61" s="32"/>
      <c r="AK61" s="20"/>
      <c r="AL61" s="16"/>
      <c r="AM61" s="16"/>
      <c r="AN61" s="16"/>
    </row>
    <row r="62" spans="2:40" x14ac:dyDescent="0.25">
      <c r="B62" s="46">
        <f t="shared" si="8"/>
        <v>15</v>
      </c>
      <c r="C62" s="17">
        <v>20200427</v>
      </c>
      <c r="D62" s="16" t="s">
        <v>3</v>
      </c>
      <c r="E62" s="16" t="s">
        <v>296</v>
      </c>
      <c r="F62" s="18" t="s">
        <v>300</v>
      </c>
      <c r="G62" s="60" t="s">
        <v>65</v>
      </c>
      <c r="H62" s="16" t="s">
        <v>249</v>
      </c>
      <c r="I62" s="16" t="s">
        <v>315</v>
      </c>
      <c r="J62" s="16" t="s">
        <v>126</v>
      </c>
      <c r="K62" s="60" t="s">
        <v>65</v>
      </c>
      <c r="L62" s="60" t="s">
        <v>65</v>
      </c>
      <c r="M62" s="60" t="s">
        <v>65</v>
      </c>
      <c r="N62" s="16" t="s">
        <v>171</v>
      </c>
      <c r="O62" s="18" t="s">
        <v>65</v>
      </c>
      <c r="P62" s="18" t="s">
        <v>358</v>
      </c>
      <c r="Q62" s="19"/>
      <c r="R62" s="17" t="s">
        <v>238</v>
      </c>
      <c r="S62" s="16" t="s">
        <v>70</v>
      </c>
      <c r="T62" s="16"/>
      <c r="U62" s="16"/>
      <c r="V62" s="16">
        <v>67</v>
      </c>
      <c r="W62" s="16">
        <f>ROUND(IF(D62=Table!$C$3,Y62*Table!$C$4/8,Y62*Table!$D$4/8),3)</f>
        <v>6.75</v>
      </c>
      <c r="X62" s="16"/>
      <c r="Y62" s="16">
        <v>0.12</v>
      </c>
      <c r="Z62" s="16"/>
      <c r="AA62" s="16"/>
      <c r="AB62" s="16"/>
      <c r="AC62" s="20">
        <v>43946</v>
      </c>
      <c r="AD62" s="20">
        <v>43958</v>
      </c>
      <c r="AE62" s="20"/>
      <c r="AF62" s="20"/>
      <c r="AG62" s="20"/>
      <c r="AH62" s="32"/>
      <c r="AI62" s="32"/>
      <c r="AJ62" s="32"/>
      <c r="AK62" s="20"/>
      <c r="AL62" s="16"/>
      <c r="AM62" s="16"/>
      <c r="AN62" s="16"/>
    </row>
    <row r="63" spans="2:40" x14ac:dyDescent="0.25">
      <c r="B63" s="46">
        <f t="shared" si="8"/>
        <v>16</v>
      </c>
      <c r="C63" s="17">
        <v>20200427</v>
      </c>
      <c r="D63" s="16" t="s">
        <v>3</v>
      </c>
      <c r="E63" s="16" t="s">
        <v>296</v>
      </c>
      <c r="F63" s="18" t="s">
        <v>300</v>
      </c>
      <c r="G63" s="60" t="s">
        <v>65</v>
      </c>
      <c r="H63" s="16" t="s">
        <v>250</v>
      </c>
      <c r="I63" s="16" t="s">
        <v>316</v>
      </c>
      <c r="J63" s="16" t="s">
        <v>126</v>
      </c>
      <c r="K63" s="60" t="s">
        <v>65</v>
      </c>
      <c r="L63" s="60" t="s">
        <v>65</v>
      </c>
      <c r="M63" s="60" t="s">
        <v>65</v>
      </c>
      <c r="N63" s="16" t="s">
        <v>171</v>
      </c>
      <c r="O63" s="18" t="s">
        <v>65</v>
      </c>
      <c r="P63" s="18" t="s">
        <v>358</v>
      </c>
      <c r="Q63" s="19"/>
      <c r="R63" s="17" t="s">
        <v>238</v>
      </c>
      <c r="S63" s="16" t="s">
        <v>70</v>
      </c>
      <c r="T63" s="16"/>
      <c r="U63" s="16"/>
      <c r="V63" s="16">
        <v>43</v>
      </c>
      <c r="W63" s="16">
        <f>ROUND(IF(D63=Table!$C$3,Y63*Table!$C$4/8,Y63*Table!$D$4/8),3)</f>
        <v>67.5</v>
      </c>
      <c r="X63" s="16"/>
      <c r="Y63" s="16">
        <v>1.2</v>
      </c>
      <c r="Z63" s="16"/>
      <c r="AA63" s="16"/>
      <c r="AB63" s="16"/>
      <c r="AC63" s="20">
        <v>43946</v>
      </c>
      <c r="AD63" s="20">
        <v>43958</v>
      </c>
      <c r="AE63" s="20"/>
      <c r="AF63" s="20"/>
      <c r="AG63" s="20"/>
      <c r="AH63" s="32"/>
      <c r="AI63" s="32"/>
      <c r="AJ63" s="32"/>
      <c r="AK63" s="20"/>
      <c r="AL63" s="16"/>
      <c r="AM63" s="16"/>
      <c r="AN63" s="16"/>
    </row>
    <row r="64" spans="2:40" x14ac:dyDescent="0.25">
      <c r="B64" s="46">
        <f t="shared" si="8"/>
        <v>17</v>
      </c>
      <c r="C64" s="17">
        <v>20200427</v>
      </c>
      <c r="D64" s="16" t="s">
        <v>3</v>
      </c>
      <c r="E64" s="16" t="s">
        <v>296</v>
      </c>
      <c r="F64" s="18" t="s">
        <v>300</v>
      </c>
      <c r="G64" s="60" t="s">
        <v>65</v>
      </c>
      <c r="H64" s="16" t="s">
        <v>251</v>
      </c>
      <c r="I64" s="16" t="s">
        <v>317</v>
      </c>
      <c r="J64" s="16" t="s">
        <v>126</v>
      </c>
      <c r="K64" s="60" t="s">
        <v>65</v>
      </c>
      <c r="L64" s="60" t="s">
        <v>65</v>
      </c>
      <c r="M64" s="60" t="s">
        <v>65</v>
      </c>
      <c r="N64" s="16" t="s">
        <v>171</v>
      </c>
      <c r="O64" s="18" t="s">
        <v>65</v>
      </c>
      <c r="P64" s="18" t="s">
        <v>358</v>
      </c>
      <c r="Q64" s="19"/>
      <c r="R64" s="17" t="s">
        <v>238</v>
      </c>
      <c r="S64" s="16" t="s">
        <v>70</v>
      </c>
      <c r="T64" s="16"/>
      <c r="U64" s="16"/>
      <c r="V64" s="16">
        <v>7</v>
      </c>
      <c r="W64" s="16">
        <f>ROUND(IF(D64=Table!$C$3,Y64*Table!$C$4/8,Y64*Table!$D$4/8),3)</f>
        <v>6.75</v>
      </c>
      <c r="X64" s="16"/>
      <c r="Y64" s="16">
        <v>0.12</v>
      </c>
      <c r="Z64" s="16"/>
      <c r="AA64" s="16"/>
      <c r="AB64" s="16"/>
      <c r="AC64" s="20">
        <v>43946</v>
      </c>
      <c r="AD64" s="20">
        <v>43958</v>
      </c>
      <c r="AE64" s="20"/>
      <c r="AF64" s="20"/>
      <c r="AG64" s="20"/>
      <c r="AH64" s="32"/>
      <c r="AI64" s="32"/>
      <c r="AJ64" s="32"/>
      <c r="AK64" s="20"/>
      <c r="AL64" s="16"/>
      <c r="AM64" s="16"/>
      <c r="AN64" s="16"/>
    </row>
    <row r="65" spans="2:40" x14ac:dyDescent="0.25">
      <c r="B65" s="46">
        <f t="shared" si="8"/>
        <v>18</v>
      </c>
      <c r="C65" s="17">
        <v>20200427</v>
      </c>
      <c r="D65" s="16" t="s">
        <v>3</v>
      </c>
      <c r="E65" s="16" t="s">
        <v>296</v>
      </c>
      <c r="F65" s="18" t="s">
        <v>300</v>
      </c>
      <c r="G65" s="60" t="s">
        <v>65</v>
      </c>
      <c r="H65" s="16" t="s">
        <v>252</v>
      </c>
      <c r="I65" s="16" t="s">
        <v>318</v>
      </c>
      <c r="J65" s="16" t="s">
        <v>126</v>
      </c>
      <c r="K65" s="60" t="s">
        <v>65</v>
      </c>
      <c r="L65" s="60" t="s">
        <v>65</v>
      </c>
      <c r="M65" s="60" t="s">
        <v>65</v>
      </c>
      <c r="N65" s="16" t="s">
        <v>171</v>
      </c>
      <c r="O65" s="18" t="s">
        <v>65</v>
      </c>
      <c r="P65" s="18" t="s">
        <v>358</v>
      </c>
      <c r="Q65" s="19"/>
      <c r="R65" s="17" t="s">
        <v>238</v>
      </c>
      <c r="S65" s="16" t="s">
        <v>70</v>
      </c>
      <c r="T65" s="16"/>
      <c r="U65" s="16"/>
      <c r="V65" s="16">
        <v>16</v>
      </c>
      <c r="W65" s="16">
        <f>ROUND(IF(D65=Table!$C$3,Y65*Table!$C$4/8,Y65*Table!$D$4/8),3)</f>
        <v>6.75</v>
      </c>
      <c r="X65" s="16"/>
      <c r="Y65" s="16">
        <v>0.12</v>
      </c>
      <c r="Z65" s="16"/>
      <c r="AA65" s="16"/>
      <c r="AB65" s="16"/>
      <c r="AC65" s="20">
        <v>43946</v>
      </c>
      <c r="AD65" s="20">
        <v>43958</v>
      </c>
      <c r="AE65" s="20"/>
      <c r="AF65" s="20"/>
      <c r="AG65" s="20"/>
      <c r="AH65" s="32"/>
      <c r="AI65" s="32"/>
      <c r="AJ65" s="32"/>
      <c r="AK65" s="20"/>
      <c r="AL65" s="16"/>
      <c r="AM65" s="16"/>
      <c r="AN65" s="16"/>
    </row>
    <row r="66" spans="2:40" x14ac:dyDescent="0.25">
      <c r="B66" s="46">
        <f t="shared" si="8"/>
        <v>19</v>
      </c>
      <c r="C66" s="17">
        <v>20200427</v>
      </c>
      <c r="D66" s="16" t="s">
        <v>3</v>
      </c>
      <c r="E66" s="16" t="s">
        <v>296</v>
      </c>
      <c r="F66" s="18" t="s">
        <v>300</v>
      </c>
      <c r="G66" s="60" t="s">
        <v>65</v>
      </c>
      <c r="H66" s="16" t="s">
        <v>253</v>
      </c>
      <c r="I66" s="16" t="s">
        <v>319</v>
      </c>
      <c r="J66" s="16" t="s">
        <v>126</v>
      </c>
      <c r="K66" s="60" t="s">
        <v>65</v>
      </c>
      <c r="L66" s="60" t="s">
        <v>65</v>
      </c>
      <c r="M66" s="60" t="s">
        <v>65</v>
      </c>
      <c r="N66" s="16" t="s">
        <v>171</v>
      </c>
      <c r="O66" s="18" t="s">
        <v>65</v>
      </c>
      <c r="P66" s="18" t="s">
        <v>358</v>
      </c>
      <c r="Q66" s="19"/>
      <c r="R66" s="17" t="s">
        <v>238</v>
      </c>
      <c r="S66" s="16" t="s">
        <v>70</v>
      </c>
      <c r="T66" s="16"/>
      <c r="U66" s="16"/>
      <c r="V66" s="16">
        <v>4</v>
      </c>
      <c r="W66" s="16">
        <f>ROUND(IF(D66=Table!$C$3,Y66*Table!$C$4/8,Y66*Table!$D$4/8),3)</f>
        <v>6.75</v>
      </c>
      <c r="X66" s="16"/>
      <c r="Y66" s="16">
        <v>0.12</v>
      </c>
      <c r="Z66" s="16"/>
      <c r="AA66" s="16"/>
      <c r="AB66" s="16"/>
      <c r="AC66" s="20">
        <v>43946</v>
      </c>
      <c r="AD66" s="20">
        <v>43958</v>
      </c>
      <c r="AE66" s="20"/>
      <c r="AF66" s="20"/>
      <c r="AG66" s="20"/>
      <c r="AH66" s="32"/>
      <c r="AI66" s="32"/>
      <c r="AJ66" s="32"/>
      <c r="AK66" s="20"/>
      <c r="AL66" s="16"/>
      <c r="AM66" s="16"/>
      <c r="AN66" s="16"/>
    </row>
    <row r="67" spans="2:40" x14ac:dyDescent="0.25">
      <c r="B67" s="46">
        <f t="shared" si="8"/>
        <v>20</v>
      </c>
      <c r="C67" s="17">
        <v>20200427</v>
      </c>
      <c r="D67" s="16" t="s">
        <v>3</v>
      </c>
      <c r="E67" s="16" t="s">
        <v>296</v>
      </c>
      <c r="F67" s="18" t="s">
        <v>300</v>
      </c>
      <c r="G67" s="60" t="s">
        <v>65</v>
      </c>
      <c r="H67" s="16" t="s">
        <v>254</v>
      </c>
      <c r="I67" s="16" t="s">
        <v>320</v>
      </c>
      <c r="J67" s="16" t="s">
        <v>126</v>
      </c>
      <c r="K67" s="60" t="s">
        <v>65</v>
      </c>
      <c r="L67" s="60" t="s">
        <v>65</v>
      </c>
      <c r="M67" s="60" t="s">
        <v>65</v>
      </c>
      <c r="N67" s="16" t="s">
        <v>171</v>
      </c>
      <c r="O67" s="18" t="s">
        <v>65</v>
      </c>
      <c r="P67" s="18" t="s">
        <v>358</v>
      </c>
      <c r="Q67" s="19"/>
      <c r="R67" s="17" t="s">
        <v>238</v>
      </c>
      <c r="S67" s="16" t="s">
        <v>70</v>
      </c>
      <c r="T67" s="16"/>
      <c r="U67" s="16"/>
      <c r="V67" s="16">
        <v>42</v>
      </c>
      <c r="W67" s="16">
        <f>ROUND(IF(D67=Table!$C$3,Y67*Table!$C$4/8,Y67*Table!$D$4/8),3)</f>
        <v>67.5</v>
      </c>
      <c r="X67" s="16"/>
      <c r="Y67" s="16">
        <v>1.2</v>
      </c>
      <c r="Z67" s="16"/>
      <c r="AA67" s="16"/>
      <c r="AB67" s="16"/>
      <c r="AC67" s="20">
        <v>43946</v>
      </c>
      <c r="AD67" s="20">
        <v>43958</v>
      </c>
      <c r="AE67" s="20"/>
      <c r="AF67" s="20"/>
      <c r="AG67" s="20"/>
      <c r="AH67" s="32"/>
      <c r="AI67" s="32"/>
      <c r="AJ67" s="32"/>
      <c r="AK67" s="20"/>
      <c r="AL67" s="16"/>
      <c r="AM67" s="16"/>
      <c r="AN67" s="16"/>
    </row>
    <row r="68" spans="2:40" x14ac:dyDescent="0.25">
      <c r="B68" s="46">
        <f t="shared" si="8"/>
        <v>21</v>
      </c>
      <c r="C68" s="17">
        <v>20200427</v>
      </c>
      <c r="D68" s="16" t="s">
        <v>3</v>
      </c>
      <c r="E68" s="16" t="s">
        <v>296</v>
      </c>
      <c r="F68" s="18" t="s">
        <v>300</v>
      </c>
      <c r="G68" s="60" t="s">
        <v>65</v>
      </c>
      <c r="H68" s="16" t="s">
        <v>255</v>
      </c>
      <c r="I68" s="16" t="s">
        <v>181</v>
      </c>
      <c r="J68" s="16" t="s">
        <v>126</v>
      </c>
      <c r="K68" s="60" t="s">
        <v>65</v>
      </c>
      <c r="L68" s="60" t="s">
        <v>65</v>
      </c>
      <c r="M68" s="60" t="s">
        <v>65</v>
      </c>
      <c r="N68" s="16" t="s">
        <v>171</v>
      </c>
      <c r="O68" s="18" t="s">
        <v>65</v>
      </c>
      <c r="P68" s="18" t="s">
        <v>358</v>
      </c>
      <c r="Q68" s="19"/>
      <c r="R68" s="17" t="s">
        <v>238</v>
      </c>
      <c r="S68" s="16" t="s">
        <v>70</v>
      </c>
      <c r="T68" s="16"/>
      <c r="U68" s="16"/>
      <c r="V68" s="16">
        <v>360</v>
      </c>
      <c r="W68" s="16">
        <f>ROUND(IF(D68=Table!$C$3,Y68*Table!$C$4/8,Y68*Table!$D$4/8),3)</f>
        <v>202.5</v>
      </c>
      <c r="X68" s="16"/>
      <c r="Y68" s="16">
        <v>3.6</v>
      </c>
      <c r="Z68" s="16"/>
      <c r="AA68" s="16"/>
      <c r="AB68" s="16"/>
      <c r="AC68" s="20">
        <v>43946</v>
      </c>
      <c r="AD68" s="20">
        <v>43958</v>
      </c>
      <c r="AE68" s="20"/>
      <c r="AF68" s="20"/>
      <c r="AG68" s="20"/>
      <c r="AH68" s="32"/>
      <c r="AI68" s="32"/>
      <c r="AJ68" s="32"/>
      <c r="AK68" s="20"/>
      <c r="AL68" s="16"/>
      <c r="AM68" s="16"/>
      <c r="AN68" s="16"/>
    </row>
    <row r="69" spans="2:40" x14ac:dyDescent="0.25">
      <c r="B69" s="46">
        <f t="shared" si="8"/>
        <v>22</v>
      </c>
      <c r="C69" s="17">
        <v>20200427</v>
      </c>
      <c r="D69" s="16" t="s">
        <v>3</v>
      </c>
      <c r="E69" s="16" t="s">
        <v>296</v>
      </c>
      <c r="F69" s="18" t="s">
        <v>300</v>
      </c>
      <c r="G69" s="60" t="s">
        <v>65</v>
      </c>
      <c r="H69" s="16" t="s">
        <v>256</v>
      </c>
      <c r="I69" s="16" t="s">
        <v>321</v>
      </c>
      <c r="J69" s="16" t="s">
        <v>126</v>
      </c>
      <c r="K69" s="60" t="s">
        <v>65</v>
      </c>
      <c r="L69" s="60" t="s">
        <v>65</v>
      </c>
      <c r="M69" s="60" t="s">
        <v>65</v>
      </c>
      <c r="N69" s="16" t="s">
        <v>171</v>
      </c>
      <c r="O69" s="18" t="s">
        <v>65</v>
      </c>
      <c r="P69" s="18" t="s">
        <v>358</v>
      </c>
      <c r="Q69" s="19"/>
      <c r="R69" s="17" t="s">
        <v>238</v>
      </c>
      <c r="S69" s="16" t="s">
        <v>70</v>
      </c>
      <c r="T69" s="16"/>
      <c r="U69" s="16"/>
      <c r="V69" s="16">
        <v>202</v>
      </c>
      <c r="W69" s="16">
        <f>ROUND(IF(D69=Table!$C$3,Y69*Table!$C$4/8,Y69*Table!$D$4/8),3)</f>
        <v>202.5</v>
      </c>
      <c r="X69" s="16"/>
      <c r="Y69" s="16">
        <v>3.6</v>
      </c>
      <c r="Z69" s="16"/>
      <c r="AA69" s="16"/>
      <c r="AB69" s="16"/>
      <c r="AC69" s="20">
        <v>43946</v>
      </c>
      <c r="AD69" s="20">
        <v>43958</v>
      </c>
      <c r="AE69" s="20"/>
      <c r="AF69" s="20"/>
      <c r="AG69" s="20"/>
      <c r="AH69" s="32"/>
      <c r="AI69" s="32"/>
      <c r="AJ69" s="32"/>
      <c r="AK69" s="20"/>
      <c r="AL69" s="16"/>
      <c r="AM69" s="16"/>
      <c r="AN69" s="16"/>
    </row>
    <row r="70" spans="2:40" x14ac:dyDescent="0.25">
      <c r="B70" s="46">
        <f t="shared" si="8"/>
        <v>23</v>
      </c>
      <c r="C70" s="17">
        <v>20200427</v>
      </c>
      <c r="D70" s="16" t="s">
        <v>3</v>
      </c>
      <c r="E70" s="16" t="s">
        <v>296</v>
      </c>
      <c r="F70" s="18" t="s">
        <v>300</v>
      </c>
      <c r="G70" s="60" t="s">
        <v>65</v>
      </c>
      <c r="H70" s="16" t="s">
        <v>257</v>
      </c>
      <c r="I70" s="16" t="s">
        <v>322</v>
      </c>
      <c r="J70" s="16" t="s">
        <v>126</v>
      </c>
      <c r="K70" s="60" t="s">
        <v>65</v>
      </c>
      <c r="L70" s="60" t="s">
        <v>65</v>
      </c>
      <c r="M70" s="60" t="s">
        <v>65</v>
      </c>
      <c r="N70" s="16" t="s">
        <v>171</v>
      </c>
      <c r="O70" s="18" t="s">
        <v>65</v>
      </c>
      <c r="P70" s="18" t="s">
        <v>358</v>
      </c>
      <c r="Q70" s="19"/>
      <c r="R70" s="17" t="s">
        <v>238</v>
      </c>
      <c r="S70" s="16" t="s">
        <v>70</v>
      </c>
      <c r="T70" s="16"/>
      <c r="U70" s="16"/>
      <c r="V70" s="16">
        <v>65</v>
      </c>
      <c r="W70" s="16">
        <f>ROUND(IF(D70=Table!$C$3,Y70*Table!$C$4/8,Y70*Table!$D$4/8),3)</f>
        <v>95.625</v>
      </c>
      <c r="X70" s="16"/>
      <c r="Y70" s="16">
        <v>1.7</v>
      </c>
      <c r="Z70" s="16"/>
      <c r="AA70" s="16"/>
      <c r="AB70" s="16"/>
      <c r="AC70" s="20">
        <v>43946</v>
      </c>
      <c r="AD70" s="20">
        <v>43958</v>
      </c>
      <c r="AE70" s="20"/>
      <c r="AF70" s="20"/>
      <c r="AG70" s="20"/>
      <c r="AH70" s="32"/>
      <c r="AI70" s="32"/>
      <c r="AJ70" s="32"/>
      <c r="AK70" s="20"/>
      <c r="AL70" s="16"/>
      <c r="AM70" s="16"/>
      <c r="AN70" s="16"/>
    </row>
    <row r="71" spans="2:40" x14ac:dyDescent="0.25">
      <c r="B71" s="46">
        <f t="shared" si="8"/>
        <v>24</v>
      </c>
      <c r="C71" s="17">
        <v>20200427</v>
      </c>
      <c r="D71" s="16" t="s">
        <v>3</v>
      </c>
      <c r="E71" s="16" t="s">
        <v>296</v>
      </c>
      <c r="F71" s="18" t="s">
        <v>300</v>
      </c>
      <c r="G71" s="60" t="s">
        <v>65</v>
      </c>
      <c r="H71" s="16" t="s">
        <v>258</v>
      </c>
      <c r="I71" s="16" t="s">
        <v>323</v>
      </c>
      <c r="J71" s="16" t="s">
        <v>126</v>
      </c>
      <c r="K71" s="60" t="s">
        <v>65</v>
      </c>
      <c r="L71" s="60" t="s">
        <v>65</v>
      </c>
      <c r="M71" s="60" t="s">
        <v>65</v>
      </c>
      <c r="N71" s="16" t="s">
        <v>171</v>
      </c>
      <c r="O71" s="18" t="s">
        <v>65</v>
      </c>
      <c r="P71" s="18" t="s">
        <v>358</v>
      </c>
      <c r="Q71" s="19"/>
      <c r="R71" s="17" t="s">
        <v>238</v>
      </c>
      <c r="S71" s="16" t="s">
        <v>70</v>
      </c>
      <c r="T71" s="16"/>
      <c r="U71" s="16"/>
      <c r="V71" s="16">
        <v>47</v>
      </c>
      <c r="W71" s="16">
        <f>ROUND(IF(D71=Table!$C$3,Y71*Table!$C$4/8,Y71*Table!$D$4/8),3)</f>
        <v>76.5</v>
      </c>
      <c r="X71" s="16"/>
      <c r="Y71" s="16">
        <v>1.36</v>
      </c>
      <c r="Z71" s="16"/>
      <c r="AA71" s="16"/>
      <c r="AB71" s="16"/>
      <c r="AC71" s="20">
        <v>43946</v>
      </c>
      <c r="AD71" s="20">
        <v>43958</v>
      </c>
      <c r="AE71" s="20"/>
      <c r="AF71" s="20"/>
      <c r="AG71" s="20"/>
      <c r="AH71" s="32"/>
      <c r="AI71" s="32"/>
      <c r="AJ71" s="32"/>
      <c r="AK71" s="20"/>
      <c r="AL71" s="16"/>
      <c r="AM71" s="16"/>
      <c r="AN71" s="16"/>
    </row>
    <row r="72" spans="2:40" x14ac:dyDescent="0.25">
      <c r="B72" s="46">
        <f t="shared" si="8"/>
        <v>25</v>
      </c>
      <c r="C72" s="17">
        <v>20200427</v>
      </c>
      <c r="D72" s="16" t="s">
        <v>3</v>
      </c>
      <c r="E72" s="16" t="s">
        <v>296</v>
      </c>
      <c r="F72" s="18" t="s">
        <v>300</v>
      </c>
      <c r="G72" s="60" t="s">
        <v>65</v>
      </c>
      <c r="H72" s="16" t="s">
        <v>259</v>
      </c>
      <c r="I72" s="16" t="s">
        <v>324</v>
      </c>
      <c r="J72" s="16" t="s">
        <v>126</v>
      </c>
      <c r="K72" s="60" t="s">
        <v>65</v>
      </c>
      <c r="L72" s="60" t="s">
        <v>65</v>
      </c>
      <c r="M72" s="60" t="s">
        <v>65</v>
      </c>
      <c r="N72" s="16" t="s">
        <v>171</v>
      </c>
      <c r="O72" s="18" t="s">
        <v>65</v>
      </c>
      <c r="P72" s="18" t="s">
        <v>358</v>
      </c>
      <c r="Q72" s="19"/>
      <c r="R72" s="17" t="s">
        <v>238</v>
      </c>
      <c r="S72" s="16" t="s">
        <v>70</v>
      </c>
      <c r="T72" s="16"/>
      <c r="U72" s="16"/>
      <c r="V72" s="16">
        <v>160</v>
      </c>
      <c r="W72" s="16">
        <f>ROUND(IF(D72=Table!$C$3,Y72*Table!$C$4/8,Y72*Table!$D$4/8),3)</f>
        <v>157.5</v>
      </c>
      <c r="X72" s="16"/>
      <c r="Y72" s="16">
        <v>2.8</v>
      </c>
      <c r="Z72" s="16"/>
      <c r="AA72" s="16"/>
      <c r="AB72" s="16"/>
      <c r="AC72" s="20">
        <v>43946</v>
      </c>
      <c r="AD72" s="20">
        <v>43958</v>
      </c>
      <c r="AE72" s="20"/>
      <c r="AF72" s="20"/>
      <c r="AG72" s="20"/>
      <c r="AH72" s="32"/>
      <c r="AI72" s="32"/>
      <c r="AJ72" s="32"/>
      <c r="AK72" s="20"/>
      <c r="AL72" s="16"/>
      <c r="AM72" s="16"/>
      <c r="AN72" s="16"/>
    </row>
    <row r="73" spans="2:40" x14ac:dyDescent="0.25">
      <c r="B73" s="46">
        <f t="shared" si="8"/>
        <v>26</v>
      </c>
      <c r="C73" s="17">
        <v>20200427</v>
      </c>
      <c r="D73" s="16" t="s">
        <v>3</v>
      </c>
      <c r="E73" s="16" t="s">
        <v>296</v>
      </c>
      <c r="F73" s="18" t="s">
        <v>300</v>
      </c>
      <c r="G73" s="60" t="s">
        <v>65</v>
      </c>
      <c r="H73" s="16" t="s">
        <v>260</v>
      </c>
      <c r="I73" s="16" t="s">
        <v>185</v>
      </c>
      <c r="J73" s="16" t="s">
        <v>126</v>
      </c>
      <c r="K73" s="60" t="s">
        <v>65</v>
      </c>
      <c r="L73" s="60" t="s">
        <v>65</v>
      </c>
      <c r="M73" s="60" t="s">
        <v>65</v>
      </c>
      <c r="N73" s="16" t="s">
        <v>171</v>
      </c>
      <c r="O73" s="18" t="s">
        <v>65</v>
      </c>
      <c r="P73" s="18" t="s">
        <v>358</v>
      </c>
      <c r="Q73" s="19"/>
      <c r="R73" s="17" t="s">
        <v>238</v>
      </c>
      <c r="S73" s="16" t="s">
        <v>70</v>
      </c>
      <c r="T73" s="16"/>
      <c r="U73" s="16"/>
      <c r="V73" s="16">
        <v>246</v>
      </c>
      <c r="W73" s="16">
        <f>ROUND(IF(D73=Table!$C$3,Y73*Table!$C$4/8,Y73*Table!$D$4/8),3)</f>
        <v>247.5</v>
      </c>
      <c r="X73" s="16"/>
      <c r="Y73" s="16">
        <v>4.4000000000000004</v>
      </c>
      <c r="Z73" s="16"/>
      <c r="AA73" s="16"/>
      <c r="AB73" s="16"/>
      <c r="AC73" s="20">
        <v>43946</v>
      </c>
      <c r="AD73" s="20">
        <v>43958</v>
      </c>
      <c r="AE73" s="20"/>
      <c r="AF73" s="20"/>
      <c r="AG73" s="20"/>
      <c r="AH73" s="32"/>
      <c r="AI73" s="32"/>
      <c r="AJ73" s="32"/>
      <c r="AK73" s="20"/>
      <c r="AL73" s="16"/>
      <c r="AM73" s="16"/>
      <c r="AN73" s="16"/>
    </row>
    <row r="74" spans="2:40" x14ac:dyDescent="0.25">
      <c r="B74" s="46">
        <f t="shared" si="8"/>
        <v>27</v>
      </c>
      <c r="C74" s="17">
        <v>20200427</v>
      </c>
      <c r="D74" s="16" t="s">
        <v>3</v>
      </c>
      <c r="E74" s="16" t="s">
        <v>296</v>
      </c>
      <c r="F74" s="18" t="s">
        <v>300</v>
      </c>
      <c r="G74" s="60" t="s">
        <v>65</v>
      </c>
      <c r="H74" s="16" t="s">
        <v>261</v>
      </c>
      <c r="I74" s="16" t="s">
        <v>325</v>
      </c>
      <c r="J74" s="16" t="s">
        <v>126</v>
      </c>
      <c r="K74" s="60" t="s">
        <v>65</v>
      </c>
      <c r="L74" s="60" t="s">
        <v>65</v>
      </c>
      <c r="M74" s="60" t="s">
        <v>65</v>
      </c>
      <c r="N74" s="16" t="s">
        <v>171</v>
      </c>
      <c r="O74" s="18" t="s">
        <v>65</v>
      </c>
      <c r="P74" s="18" t="s">
        <v>358</v>
      </c>
      <c r="Q74" s="19"/>
      <c r="R74" s="17" t="s">
        <v>238</v>
      </c>
      <c r="S74" s="16" t="s">
        <v>70</v>
      </c>
      <c r="T74" s="16"/>
      <c r="U74" s="16"/>
      <c r="V74" s="16">
        <v>23</v>
      </c>
      <c r="W74" s="16">
        <f>ROUND(IF(D74=Table!$C$3,Y74*Table!$C$4/8,Y74*Table!$D$4/8),3)</f>
        <v>67.5</v>
      </c>
      <c r="X74" s="16"/>
      <c r="Y74" s="16">
        <v>1.2</v>
      </c>
      <c r="Z74" s="16"/>
      <c r="AA74" s="16"/>
      <c r="AB74" s="16"/>
      <c r="AC74" s="20">
        <v>43946</v>
      </c>
      <c r="AD74" s="20">
        <v>43958</v>
      </c>
      <c r="AE74" s="20"/>
      <c r="AF74" s="20"/>
      <c r="AG74" s="20"/>
      <c r="AH74" s="32"/>
      <c r="AI74" s="32"/>
      <c r="AJ74" s="32"/>
      <c r="AK74" s="20"/>
      <c r="AL74" s="16"/>
      <c r="AM74" s="16"/>
      <c r="AN74" s="16"/>
    </row>
    <row r="75" spans="2:40" x14ac:dyDescent="0.25">
      <c r="B75" s="46">
        <f t="shared" si="8"/>
        <v>28</v>
      </c>
      <c r="C75" s="17">
        <v>20200427</v>
      </c>
      <c r="D75" s="16" t="s">
        <v>3</v>
      </c>
      <c r="E75" s="16" t="s">
        <v>296</v>
      </c>
      <c r="F75" s="18" t="s">
        <v>300</v>
      </c>
      <c r="G75" s="60" t="s">
        <v>65</v>
      </c>
      <c r="H75" s="16" t="s">
        <v>262</v>
      </c>
      <c r="I75" s="16" t="s">
        <v>326</v>
      </c>
      <c r="J75" s="16" t="s">
        <v>126</v>
      </c>
      <c r="K75" s="60" t="s">
        <v>65</v>
      </c>
      <c r="L75" s="60" t="s">
        <v>65</v>
      </c>
      <c r="M75" s="60" t="s">
        <v>65</v>
      </c>
      <c r="N75" s="16" t="s">
        <v>171</v>
      </c>
      <c r="O75" s="18" t="s">
        <v>65</v>
      </c>
      <c r="P75" s="18" t="s">
        <v>358</v>
      </c>
      <c r="Q75" s="19"/>
      <c r="R75" s="17" t="s">
        <v>238</v>
      </c>
      <c r="S75" s="16" t="s">
        <v>70</v>
      </c>
      <c r="T75" s="16"/>
      <c r="U75" s="16"/>
      <c r="V75" s="16">
        <v>126</v>
      </c>
      <c r="W75" s="16">
        <f>ROUND(IF(D75=Table!$C$3,Y75*Table!$C$4/8,Y75*Table!$D$4/8),3)</f>
        <v>114.75</v>
      </c>
      <c r="X75" s="16"/>
      <c r="Y75" s="16">
        <v>2.04</v>
      </c>
      <c r="Z75" s="16"/>
      <c r="AA75" s="16"/>
      <c r="AB75" s="16"/>
      <c r="AC75" s="20">
        <v>43946</v>
      </c>
      <c r="AD75" s="20">
        <v>43958</v>
      </c>
      <c r="AE75" s="20"/>
      <c r="AF75" s="20"/>
      <c r="AG75" s="20"/>
      <c r="AH75" s="32"/>
      <c r="AI75" s="32"/>
      <c r="AJ75" s="32"/>
      <c r="AK75" s="20"/>
      <c r="AL75" s="16"/>
      <c r="AM75" s="16"/>
      <c r="AN75" s="16"/>
    </row>
    <row r="76" spans="2:40" x14ac:dyDescent="0.25">
      <c r="B76" s="46">
        <f t="shared" si="8"/>
        <v>29</v>
      </c>
      <c r="C76" s="17">
        <v>20200427</v>
      </c>
      <c r="D76" s="16" t="s">
        <v>3</v>
      </c>
      <c r="E76" s="16" t="s">
        <v>296</v>
      </c>
      <c r="F76" s="18" t="s">
        <v>300</v>
      </c>
      <c r="G76" s="60" t="s">
        <v>65</v>
      </c>
      <c r="H76" s="16" t="s">
        <v>263</v>
      </c>
      <c r="I76" s="16" t="s">
        <v>327</v>
      </c>
      <c r="J76" s="16" t="s">
        <v>126</v>
      </c>
      <c r="K76" s="60" t="s">
        <v>65</v>
      </c>
      <c r="L76" s="60" t="s">
        <v>65</v>
      </c>
      <c r="M76" s="60" t="s">
        <v>65</v>
      </c>
      <c r="N76" s="16" t="s">
        <v>171</v>
      </c>
      <c r="O76" s="18" t="s">
        <v>65</v>
      </c>
      <c r="P76" s="18" t="s">
        <v>358</v>
      </c>
      <c r="Q76" s="19"/>
      <c r="R76" s="17" t="s">
        <v>238</v>
      </c>
      <c r="S76" s="16" t="s">
        <v>70</v>
      </c>
      <c r="T76" s="16"/>
      <c r="U76" s="16"/>
      <c r="V76" s="16">
        <v>50</v>
      </c>
      <c r="W76" s="16">
        <f>ROUND(IF(D76=Table!$C$3,Y76*Table!$C$4/8,Y76*Table!$D$4/8),3)</f>
        <v>67.5</v>
      </c>
      <c r="X76" s="16"/>
      <c r="Y76" s="16">
        <v>1.2</v>
      </c>
      <c r="Z76" s="16"/>
      <c r="AA76" s="16"/>
      <c r="AB76" s="16"/>
      <c r="AC76" s="20">
        <v>43946</v>
      </c>
      <c r="AD76" s="20">
        <v>43958</v>
      </c>
      <c r="AE76" s="20"/>
      <c r="AF76" s="20"/>
      <c r="AG76" s="20"/>
      <c r="AH76" s="32"/>
      <c r="AI76" s="32"/>
      <c r="AJ76" s="32"/>
      <c r="AK76" s="20"/>
      <c r="AL76" s="16"/>
      <c r="AM76" s="16"/>
      <c r="AN76" s="16"/>
    </row>
    <row r="77" spans="2:40" x14ac:dyDescent="0.25">
      <c r="B77" s="46">
        <f t="shared" si="8"/>
        <v>30</v>
      </c>
      <c r="C77" s="17">
        <v>20200427</v>
      </c>
      <c r="D77" s="16" t="s">
        <v>3</v>
      </c>
      <c r="E77" s="16" t="s">
        <v>296</v>
      </c>
      <c r="F77" s="18" t="s">
        <v>300</v>
      </c>
      <c r="G77" s="60" t="s">
        <v>65</v>
      </c>
      <c r="H77" s="16" t="s">
        <v>264</v>
      </c>
      <c r="I77" s="16" t="s">
        <v>328</v>
      </c>
      <c r="J77" s="16" t="s">
        <v>126</v>
      </c>
      <c r="K77" s="60" t="s">
        <v>65</v>
      </c>
      <c r="L77" s="60" t="s">
        <v>65</v>
      </c>
      <c r="M77" s="60" t="s">
        <v>65</v>
      </c>
      <c r="N77" s="16" t="s">
        <v>171</v>
      </c>
      <c r="O77" s="18" t="s">
        <v>65</v>
      </c>
      <c r="P77" s="18" t="s">
        <v>358</v>
      </c>
      <c r="Q77" s="19"/>
      <c r="R77" s="17" t="s">
        <v>238</v>
      </c>
      <c r="S77" s="16" t="s">
        <v>70</v>
      </c>
      <c r="T77" s="16"/>
      <c r="U77" s="16"/>
      <c r="V77" s="16">
        <v>206</v>
      </c>
      <c r="W77" s="16">
        <f>ROUND(IF(D77=Table!$C$3,Y77*Table!$C$4/8,Y77*Table!$D$4/8),3)</f>
        <v>202.5</v>
      </c>
      <c r="X77" s="16"/>
      <c r="Y77" s="16">
        <v>3.6</v>
      </c>
      <c r="Z77" s="16"/>
      <c r="AA77" s="16"/>
      <c r="AB77" s="16"/>
      <c r="AC77" s="20">
        <v>43946</v>
      </c>
      <c r="AD77" s="20">
        <v>43958</v>
      </c>
      <c r="AE77" s="20"/>
      <c r="AF77" s="20"/>
      <c r="AG77" s="20"/>
      <c r="AH77" s="32"/>
      <c r="AI77" s="32"/>
      <c r="AJ77" s="32"/>
      <c r="AK77" s="20"/>
      <c r="AL77" s="16"/>
      <c r="AM77" s="16"/>
      <c r="AN77" s="16"/>
    </row>
    <row r="78" spans="2:40" x14ac:dyDescent="0.25">
      <c r="B78" s="46">
        <f t="shared" si="8"/>
        <v>31</v>
      </c>
      <c r="C78" s="17">
        <v>20200427</v>
      </c>
      <c r="D78" s="16" t="s">
        <v>3</v>
      </c>
      <c r="E78" s="16" t="s">
        <v>296</v>
      </c>
      <c r="F78" s="18" t="s">
        <v>300</v>
      </c>
      <c r="G78" s="60" t="s">
        <v>65</v>
      </c>
      <c r="H78" s="16" t="s">
        <v>265</v>
      </c>
      <c r="I78" s="16" t="s">
        <v>329</v>
      </c>
      <c r="J78" s="16" t="s">
        <v>126</v>
      </c>
      <c r="K78" s="60" t="s">
        <v>65</v>
      </c>
      <c r="L78" s="60" t="s">
        <v>65</v>
      </c>
      <c r="M78" s="60" t="s">
        <v>65</v>
      </c>
      <c r="N78" s="16" t="s">
        <v>171</v>
      </c>
      <c r="O78" s="18" t="s">
        <v>65</v>
      </c>
      <c r="P78" s="18" t="s">
        <v>358</v>
      </c>
      <c r="Q78" s="19"/>
      <c r="R78" s="17" t="s">
        <v>238</v>
      </c>
      <c r="S78" s="16" t="s">
        <v>70</v>
      </c>
      <c r="T78" s="16"/>
      <c r="U78" s="16"/>
      <c r="V78" s="16">
        <v>131</v>
      </c>
      <c r="W78" s="16">
        <f>ROUND(IF(D78=Table!$C$3,Y78*Table!$C$4/8,Y78*Table!$D$4/8),3)</f>
        <v>135</v>
      </c>
      <c r="X78" s="16"/>
      <c r="Y78" s="16">
        <v>2.4</v>
      </c>
      <c r="Z78" s="16"/>
      <c r="AA78" s="16"/>
      <c r="AB78" s="16"/>
      <c r="AC78" s="20">
        <v>43946</v>
      </c>
      <c r="AD78" s="20">
        <v>43958</v>
      </c>
      <c r="AE78" s="20"/>
      <c r="AF78" s="20"/>
      <c r="AG78" s="20"/>
      <c r="AH78" s="32"/>
      <c r="AI78" s="32"/>
      <c r="AJ78" s="32"/>
      <c r="AK78" s="20"/>
      <c r="AL78" s="16"/>
      <c r="AM78" s="16"/>
      <c r="AN78" s="16"/>
    </row>
    <row r="79" spans="2:40" x14ac:dyDescent="0.25">
      <c r="B79" s="46">
        <f t="shared" si="8"/>
        <v>32</v>
      </c>
      <c r="C79" s="17">
        <v>20200427</v>
      </c>
      <c r="D79" s="16" t="s">
        <v>3</v>
      </c>
      <c r="E79" s="16" t="s">
        <v>296</v>
      </c>
      <c r="F79" s="18" t="s">
        <v>300</v>
      </c>
      <c r="G79" s="60" t="s">
        <v>65</v>
      </c>
      <c r="H79" s="16" t="s">
        <v>266</v>
      </c>
      <c r="I79" s="16" t="s">
        <v>330</v>
      </c>
      <c r="J79" s="16" t="s">
        <v>126</v>
      </c>
      <c r="K79" s="60" t="s">
        <v>65</v>
      </c>
      <c r="L79" s="60" t="s">
        <v>65</v>
      </c>
      <c r="M79" s="60" t="s">
        <v>65</v>
      </c>
      <c r="N79" s="16" t="s">
        <v>171</v>
      </c>
      <c r="O79" s="18" t="s">
        <v>65</v>
      </c>
      <c r="P79" s="18" t="s">
        <v>358</v>
      </c>
      <c r="Q79" s="19"/>
      <c r="R79" s="17" t="s">
        <v>238</v>
      </c>
      <c r="S79" s="16" t="s">
        <v>70</v>
      </c>
      <c r="T79" s="16"/>
      <c r="U79" s="16"/>
      <c r="V79" s="16">
        <v>146</v>
      </c>
      <c r="W79" s="16">
        <f>ROUND(IF(D79=Table!$C$3,Y79*Table!$C$4/8,Y79*Table!$D$4/8),3)</f>
        <v>76.5</v>
      </c>
      <c r="X79" s="16"/>
      <c r="Y79" s="16">
        <v>1.36</v>
      </c>
      <c r="Z79" s="16"/>
      <c r="AA79" s="16"/>
      <c r="AB79" s="16"/>
      <c r="AC79" s="20">
        <v>43946</v>
      </c>
      <c r="AD79" s="20">
        <v>43958</v>
      </c>
      <c r="AE79" s="20"/>
      <c r="AF79" s="20"/>
      <c r="AG79" s="20"/>
      <c r="AH79" s="32"/>
      <c r="AI79" s="32"/>
      <c r="AJ79" s="32"/>
      <c r="AK79" s="20"/>
      <c r="AL79" s="16"/>
      <c r="AM79" s="16"/>
      <c r="AN79" s="16"/>
    </row>
    <row r="80" spans="2:40" x14ac:dyDescent="0.25">
      <c r="B80" s="46">
        <f t="shared" si="8"/>
        <v>33</v>
      </c>
      <c r="C80" s="17">
        <v>20200427</v>
      </c>
      <c r="D80" s="16" t="s">
        <v>3</v>
      </c>
      <c r="E80" s="16" t="s">
        <v>296</v>
      </c>
      <c r="F80" s="18" t="s">
        <v>300</v>
      </c>
      <c r="G80" s="60" t="s">
        <v>65</v>
      </c>
      <c r="H80" s="16" t="s">
        <v>267</v>
      </c>
      <c r="I80" s="16" t="s">
        <v>331</v>
      </c>
      <c r="J80" s="16" t="s">
        <v>126</v>
      </c>
      <c r="K80" s="60" t="s">
        <v>65</v>
      </c>
      <c r="L80" s="60" t="s">
        <v>65</v>
      </c>
      <c r="M80" s="60" t="s">
        <v>65</v>
      </c>
      <c r="N80" s="16" t="s">
        <v>171</v>
      </c>
      <c r="O80" s="18" t="s">
        <v>65</v>
      </c>
      <c r="P80" s="18" t="s">
        <v>358</v>
      </c>
      <c r="Q80" s="19"/>
      <c r="R80" s="17" t="s">
        <v>238</v>
      </c>
      <c r="S80" s="16" t="s">
        <v>70</v>
      </c>
      <c r="T80" s="16"/>
      <c r="U80" s="16"/>
      <c r="V80" s="16">
        <v>94</v>
      </c>
      <c r="W80" s="16">
        <f>ROUND(IF(D80=Table!$C$3,Y80*Table!$C$4/8,Y80*Table!$D$4/8),3)</f>
        <v>107.1</v>
      </c>
      <c r="X80" s="16"/>
      <c r="Y80" s="16">
        <v>1.9040000000000001</v>
      </c>
      <c r="Z80" s="16"/>
      <c r="AA80" s="16"/>
      <c r="AB80" s="16"/>
      <c r="AC80" s="20">
        <v>43946</v>
      </c>
      <c r="AD80" s="20">
        <v>43958</v>
      </c>
      <c r="AE80" s="20"/>
      <c r="AF80" s="20"/>
      <c r="AG80" s="20"/>
      <c r="AH80" s="32"/>
      <c r="AI80" s="32"/>
      <c r="AJ80" s="32"/>
      <c r="AK80" s="20"/>
      <c r="AL80" s="16"/>
      <c r="AM80" s="16"/>
      <c r="AN80" s="16"/>
    </row>
    <row r="81" spans="2:40" x14ac:dyDescent="0.25">
      <c r="B81" s="46">
        <f t="shared" si="8"/>
        <v>34</v>
      </c>
      <c r="C81" s="17">
        <v>20200427</v>
      </c>
      <c r="D81" s="16" t="s">
        <v>3</v>
      </c>
      <c r="E81" s="16" t="s">
        <v>296</v>
      </c>
      <c r="F81" s="18" t="s">
        <v>300</v>
      </c>
      <c r="G81" s="60" t="s">
        <v>65</v>
      </c>
      <c r="H81" s="16" t="s">
        <v>268</v>
      </c>
      <c r="I81" s="16" t="s">
        <v>332</v>
      </c>
      <c r="J81" s="16" t="s">
        <v>126</v>
      </c>
      <c r="K81" s="60" t="s">
        <v>65</v>
      </c>
      <c r="L81" s="60" t="s">
        <v>65</v>
      </c>
      <c r="M81" s="60" t="s">
        <v>65</v>
      </c>
      <c r="N81" s="16" t="s">
        <v>171</v>
      </c>
      <c r="O81" s="18" t="s">
        <v>65</v>
      </c>
      <c r="P81" s="18" t="s">
        <v>358</v>
      </c>
      <c r="Q81" s="19"/>
      <c r="R81" s="17" t="s">
        <v>238</v>
      </c>
      <c r="S81" s="16" t="s">
        <v>70</v>
      </c>
      <c r="T81" s="16"/>
      <c r="U81" s="16"/>
      <c r="V81" s="16">
        <v>149</v>
      </c>
      <c r="W81" s="16">
        <f>ROUND(IF(D81=Table!$C$3,Y81*Table!$C$4/8,Y81*Table!$D$4/8),3)</f>
        <v>157.5</v>
      </c>
      <c r="X81" s="16"/>
      <c r="Y81" s="16">
        <v>2.8</v>
      </c>
      <c r="Z81" s="16"/>
      <c r="AA81" s="16"/>
      <c r="AB81" s="16"/>
      <c r="AC81" s="20">
        <v>43946</v>
      </c>
      <c r="AD81" s="20">
        <v>43958</v>
      </c>
      <c r="AE81" s="20"/>
      <c r="AF81" s="20"/>
      <c r="AG81" s="20"/>
      <c r="AH81" s="32"/>
      <c r="AI81" s="32"/>
      <c r="AJ81" s="32"/>
      <c r="AK81" s="20"/>
      <c r="AL81" s="16"/>
      <c r="AM81" s="16"/>
      <c r="AN81" s="16"/>
    </row>
    <row r="82" spans="2:40" x14ac:dyDescent="0.25">
      <c r="B82" s="46">
        <f t="shared" si="8"/>
        <v>35</v>
      </c>
      <c r="C82" s="17">
        <v>20200427</v>
      </c>
      <c r="D82" s="16" t="s">
        <v>3</v>
      </c>
      <c r="E82" s="16" t="s">
        <v>296</v>
      </c>
      <c r="F82" s="18" t="s">
        <v>300</v>
      </c>
      <c r="G82" s="60" t="s">
        <v>65</v>
      </c>
      <c r="H82" s="16" t="s">
        <v>269</v>
      </c>
      <c r="I82" s="16" t="s">
        <v>333</v>
      </c>
      <c r="J82" s="16" t="s">
        <v>126</v>
      </c>
      <c r="K82" s="60" t="s">
        <v>65</v>
      </c>
      <c r="L82" s="60" t="s">
        <v>65</v>
      </c>
      <c r="M82" s="60" t="s">
        <v>65</v>
      </c>
      <c r="N82" s="16" t="s">
        <v>171</v>
      </c>
      <c r="O82" s="18" t="s">
        <v>65</v>
      </c>
      <c r="P82" s="18" t="s">
        <v>358</v>
      </c>
      <c r="Q82" s="19"/>
      <c r="R82" s="17" t="s">
        <v>238</v>
      </c>
      <c r="S82" s="16" t="s">
        <v>70</v>
      </c>
      <c r="T82" s="16"/>
      <c r="U82" s="16"/>
      <c r="V82" s="16">
        <v>27</v>
      </c>
      <c r="W82" s="16">
        <f>ROUND(IF(D82=Table!$C$3,Y82*Table!$C$4/8,Y82*Table!$D$4/8),3)</f>
        <v>67.5</v>
      </c>
      <c r="X82" s="16"/>
      <c r="Y82" s="16">
        <v>1.2</v>
      </c>
      <c r="Z82" s="16"/>
      <c r="AA82" s="16"/>
      <c r="AB82" s="16"/>
      <c r="AC82" s="20">
        <v>43946</v>
      </c>
      <c r="AD82" s="20">
        <v>43958</v>
      </c>
      <c r="AE82" s="20"/>
      <c r="AF82" s="20"/>
      <c r="AG82" s="20"/>
      <c r="AH82" s="32"/>
      <c r="AI82" s="32"/>
      <c r="AJ82" s="32"/>
      <c r="AK82" s="20"/>
      <c r="AL82" s="16"/>
      <c r="AM82" s="16"/>
      <c r="AN82" s="16"/>
    </row>
    <row r="83" spans="2:40" x14ac:dyDescent="0.25">
      <c r="B83" s="46">
        <f t="shared" si="8"/>
        <v>36</v>
      </c>
      <c r="C83" s="17">
        <v>20200427</v>
      </c>
      <c r="D83" s="16" t="s">
        <v>3</v>
      </c>
      <c r="E83" s="16" t="s">
        <v>296</v>
      </c>
      <c r="F83" s="18" t="s">
        <v>300</v>
      </c>
      <c r="G83" s="60" t="s">
        <v>65</v>
      </c>
      <c r="H83" s="16" t="s">
        <v>270</v>
      </c>
      <c r="I83" s="16" t="s">
        <v>334</v>
      </c>
      <c r="J83" s="16" t="s">
        <v>126</v>
      </c>
      <c r="K83" s="60" t="s">
        <v>65</v>
      </c>
      <c r="L83" s="60" t="s">
        <v>65</v>
      </c>
      <c r="M83" s="60" t="s">
        <v>65</v>
      </c>
      <c r="N83" s="16" t="s">
        <v>171</v>
      </c>
      <c r="O83" s="18" t="s">
        <v>65</v>
      </c>
      <c r="P83" s="18" t="s">
        <v>358</v>
      </c>
      <c r="Q83" s="19"/>
      <c r="R83" s="17" t="s">
        <v>238</v>
      </c>
      <c r="S83" s="16" t="s">
        <v>70</v>
      </c>
      <c r="T83" s="16"/>
      <c r="U83" s="16"/>
      <c r="V83" s="16">
        <v>21</v>
      </c>
      <c r="W83" s="16">
        <f>ROUND(IF(D83=Table!$C$3,Y83*Table!$C$4/8,Y83*Table!$D$4/8),3)</f>
        <v>67.5</v>
      </c>
      <c r="X83" s="16"/>
      <c r="Y83" s="16">
        <v>1.2</v>
      </c>
      <c r="Z83" s="16"/>
      <c r="AA83" s="16"/>
      <c r="AB83" s="16"/>
      <c r="AC83" s="20">
        <v>43946</v>
      </c>
      <c r="AD83" s="20">
        <v>43958</v>
      </c>
      <c r="AE83" s="20"/>
      <c r="AF83" s="20"/>
      <c r="AG83" s="20"/>
      <c r="AH83" s="32"/>
      <c r="AI83" s="32"/>
      <c r="AJ83" s="32"/>
      <c r="AK83" s="20"/>
      <c r="AL83" s="16"/>
      <c r="AM83" s="16"/>
      <c r="AN83" s="16"/>
    </row>
    <row r="84" spans="2:40" x14ac:dyDescent="0.25">
      <c r="B84" s="46">
        <f t="shared" si="8"/>
        <v>37</v>
      </c>
      <c r="C84" s="17">
        <v>20200427</v>
      </c>
      <c r="D84" s="16" t="s">
        <v>3</v>
      </c>
      <c r="E84" s="16" t="s">
        <v>296</v>
      </c>
      <c r="F84" s="18" t="s">
        <v>300</v>
      </c>
      <c r="G84" s="60" t="s">
        <v>65</v>
      </c>
      <c r="H84" s="16" t="s">
        <v>271</v>
      </c>
      <c r="I84" s="16" t="s">
        <v>335</v>
      </c>
      <c r="J84" s="16" t="s">
        <v>126</v>
      </c>
      <c r="K84" s="60" t="s">
        <v>65</v>
      </c>
      <c r="L84" s="60" t="s">
        <v>65</v>
      </c>
      <c r="M84" s="60" t="s">
        <v>65</v>
      </c>
      <c r="N84" s="16" t="s">
        <v>171</v>
      </c>
      <c r="O84" s="18" t="s">
        <v>65</v>
      </c>
      <c r="P84" s="18" t="s">
        <v>358</v>
      </c>
      <c r="Q84" s="19"/>
      <c r="R84" s="17" t="s">
        <v>238</v>
      </c>
      <c r="S84" s="16" t="s">
        <v>70</v>
      </c>
      <c r="T84" s="16"/>
      <c r="U84" s="16"/>
      <c r="V84" s="16">
        <v>113</v>
      </c>
      <c r="W84" s="16">
        <f>ROUND(IF(D84=Table!$C$3,Y84*Table!$C$4/8,Y84*Table!$D$4/8),3)</f>
        <v>67.5</v>
      </c>
      <c r="X84" s="16"/>
      <c r="Y84" s="16">
        <v>1.2</v>
      </c>
      <c r="Z84" s="16"/>
      <c r="AA84" s="16"/>
      <c r="AB84" s="16"/>
      <c r="AC84" s="20">
        <v>43946</v>
      </c>
      <c r="AD84" s="20">
        <v>43958</v>
      </c>
      <c r="AE84" s="20"/>
      <c r="AF84" s="20"/>
      <c r="AG84" s="20"/>
      <c r="AH84" s="32"/>
      <c r="AI84" s="32"/>
      <c r="AJ84" s="32"/>
      <c r="AK84" s="20"/>
      <c r="AL84" s="16"/>
      <c r="AM84" s="16"/>
      <c r="AN84" s="16"/>
    </row>
    <row r="85" spans="2:40" x14ac:dyDescent="0.25">
      <c r="B85" s="46">
        <f t="shared" si="8"/>
        <v>38</v>
      </c>
      <c r="C85" s="17">
        <v>20200427</v>
      </c>
      <c r="D85" s="16" t="s">
        <v>3</v>
      </c>
      <c r="E85" s="16" t="s">
        <v>296</v>
      </c>
      <c r="F85" s="18" t="s">
        <v>300</v>
      </c>
      <c r="G85" s="60" t="s">
        <v>65</v>
      </c>
      <c r="H85" s="16" t="s">
        <v>272</v>
      </c>
      <c r="I85" s="16" t="s">
        <v>336</v>
      </c>
      <c r="J85" s="16" t="s">
        <v>126</v>
      </c>
      <c r="K85" s="60" t="s">
        <v>65</v>
      </c>
      <c r="L85" s="60" t="s">
        <v>65</v>
      </c>
      <c r="M85" s="60" t="s">
        <v>65</v>
      </c>
      <c r="N85" s="16" t="s">
        <v>171</v>
      </c>
      <c r="O85" s="18" t="s">
        <v>65</v>
      </c>
      <c r="P85" s="18" t="s">
        <v>358</v>
      </c>
      <c r="Q85" s="19"/>
      <c r="R85" s="17" t="s">
        <v>238</v>
      </c>
      <c r="S85" s="16" t="s">
        <v>70</v>
      </c>
      <c r="T85" s="16"/>
      <c r="U85" s="16"/>
      <c r="V85" s="16">
        <v>82</v>
      </c>
      <c r="W85" s="16">
        <f>ROUND(IF(D85=Table!$C$3,Y85*Table!$C$4/8,Y85*Table!$D$4/8),3)</f>
        <v>6.75</v>
      </c>
      <c r="X85" s="16"/>
      <c r="Y85" s="16">
        <v>0.12</v>
      </c>
      <c r="Z85" s="16"/>
      <c r="AA85" s="16"/>
      <c r="AB85" s="16"/>
      <c r="AC85" s="20">
        <v>43946</v>
      </c>
      <c r="AD85" s="20">
        <v>43958</v>
      </c>
      <c r="AE85" s="20"/>
      <c r="AF85" s="20"/>
      <c r="AG85" s="20"/>
      <c r="AH85" s="32"/>
      <c r="AI85" s="32"/>
      <c r="AJ85" s="32"/>
      <c r="AK85" s="20"/>
      <c r="AL85" s="16"/>
      <c r="AM85" s="16"/>
      <c r="AN85" s="16"/>
    </row>
    <row r="86" spans="2:40" x14ac:dyDescent="0.25">
      <c r="B86" s="46">
        <f t="shared" si="8"/>
        <v>39</v>
      </c>
      <c r="C86" s="17">
        <v>20200427</v>
      </c>
      <c r="D86" s="16" t="s">
        <v>3</v>
      </c>
      <c r="E86" s="16" t="s">
        <v>296</v>
      </c>
      <c r="F86" s="18" t="s">
        <v>300</v>
      </c>
      <c r="G86" s="60" t="s">
        <v>65</v>
      </c>
      <c r="H86" s="16" t="s">
        <v>273</v>
      </c>
      <c r="I86" s="16" t="s">
        <v>337</v>
      </c>
      <c r="J86" s="16" t="s">
        <v>126</v>
      </c>
      <c r="K86" s="60" t="s">
        <v>65</v>
      </c>
      <c r="L86" s="60" t="s">
        <v>65</v>
      </c>
      <c r="M86" s="60" t="s">
        <v>65</v>
      </c>
      <c r="N86" s="16" t="s">
        <v>171</v>
      </c>
      <c r="O86" s="18" t="s">
        <v>65</v>
      </c>
      <c r="P86" s="18" t="s">
        <v>358</v>
      </c>
      <c r="Q86" s="19"/>
      <c r="R86" s="17" t="s">
        <v>238</v>
      </c>
      <c r="S86" s="16" t="s">
        <v>70</v>
      </c>
      <c r="T86" s="16"/>
      <c r="U86" s="16"/>
      <c r="V86" s="16">
        <v>57</v>
      </c>
      <c r="W86" s="16">
        <f>ROUND(IF(D86=Table!$C$3,Y86*Table!$C$4/8,Y86*Table!$D$4/8),3)</f>
        <v>67.5</v>
      </c>
      <c r="X86" s="16"/>
      <c r="Y86" s="16">
        <v>1.2</v>
      </c>
      <c r="Z86" s="16"/>
      <c r="AA86" s="16"/>
      <c r="AB86" s="16"/>
      <c r="AC86" s="20">
        <v>43946</v>
      </c>
      <c r="AD86" s="20">
        <v>43958</v>
      </c>
      <c r="AE86" s="20"/>
      <c r="AF86" s="20"/>
      <c r="AG86" s="20"/>
      <c r="AH86" s="32"/>
      <c r="AI86" s="32"/>
      <c r="AJ86" s="32"/>
      <c r="AK86" s="20"/>
      <c r="AL86" s="16"/>
      <c r="AM86" s="16"/>
      <c r="AN86" s="16"/>
    </row>
    <row r="87" spans="2:40" x14ac:dyDescent="0.25">
      <c r="B87" s="46">
        <f t="shared" si="8"/>
        <v>40</v>
      </c>
      <c r="C87" s="17">
        <v>20200427</v>
      </c>
      <c r="D87" s="16" t="s">
        <v>3</v>
      </c>
      <c r="E87" s="16" t="s">
        <v>296</v>
      </c>
      <c r="F87" s="18" t="s">
        <v>300</v>
      </c>
      <c r="G87" s="60" t="s">
        <v>65</v>
      </c>
      <c r="H87" s="16" t="s">
        <v>274</v>
      </c>
      <c r="I87" s="16" t="s">
        <v>338</v>
      </c>
      <c r="J87" s="16" t="s">
        <v>126</v>
      </c>
      <c r="K87" s="60" t="s">
        <v>65</v>
      </c>
      <c r="L87" s="60" t="s">
        <v>65</v>
      </c>
      <c r="M87" s="60" t="s">
        <v>65</v>
      </c>
      <c r="N87" s="16" t="s">
        <v>171</v>
      </c>
      <c r="O87" s="18" t="s">
        <v>65</v>
      </c>
      <c r="P87" s="18" t="s">
        <v>358</v>
      </c>
      <c r="Q87" s="19"/>
      <c r="R87" s="17" t="s">
        <v>238</v>
      </c>
      <c r="S87" s="16" t="s">
        <v>70</v>
      </c>
      <c r="T87" s="16"/>
      <c r="U87" s="16"/>
      <c r="V87" s="16">
        <v>103</v>
      </c>
      <c r="W87" s="16">
        <f>ROUND(IF(D87=Table!$C$3,Y87*Table!$C$4/8,Y87*Table!$D$4/8),3)</f>
        <v>6.75</v>
      </c>
      <c r="X87" s="16"/>
      <c r="Y87" s="16">
        <v>0.12</v>
      </c>
      <c r="Z87" s="16"/>
      <c r="AA87" s="16"/>
      <c r="AB87" s="16"/>
      <c r="AC87" s="20">
        <v>43946</v>
      </c>
      <c r="AD87" s="20">
        <v>43958</v>
      </c>
      <c r="AE87" s="20"/>
      <c r="AF87" s="20"/>
      <c r="AG87" s="20"/>
      <c r="AH87" s="32"/>
      <c r="AI87" s="32"/>
      <c r="AJ87" s="32"/>
      <c r="AK87" s="20"/>
      <c r="AL87" s="16"/>
      <c r="AM87" s="16"/>
      <c r="AN87" s="16"/>
    </row>
    <row r="88" spans="2:40" x14ac:dyDescent="0.25">
      <c r="B88" s="46">
        <f t="shared" si="8"/>
        <v>41</v>
      </c>
      <c r="C88" s="17">
        <v>20200427</v>
      </c>
      <c r="D88" s="16" t="s">
        <v>3</v>
      </c>
      <c r="E88" s="16" t="s">
        <v>296</v>
      </c>
      <c r="F88" s="18" t="s">
        <v>300</v>
      </c>
      <c r="G88" s="60" t="s">
        <v>65</v>
      </c>
      <c r="H88" s="16" t="s">
        <v>275</v>
      </c>
      <c r="I88" s="16" t="s">
        <v>339</v>
      </c>
      <c r="J88" s="16" t="s">
        <v>126</v>
      </c>
      <c r="K88" s="60" t="s">
        <v>65</v>
      </c>
      <c r="L88" s="60" t="s">
        <v>65</v>
      </c>
      <c r="M88" s="60" t="s">
        <v>65</v>
      </c>
      <c r="N88" s="16" t="s">
        <v>171</v>
      </c>
      <c r="O88" s="18" t="s">
        <v>65</v>
      </c>
      <c r="P88" s="18" t="s">
        <v>358</v>
      </c>
      <c r="Q88" s="19"/>
      <c r="R88" s="17" t="s">
        <v>238</v>
      </c>
      <c r="S88" s="16" t="s">
        <v>70</v>
      </c>
      <c r="T88" s="16"/>
      <c r="U88" s="16"/>
      <c r="V88" s="16">
        <v>59</v>
      </c>
      <c r="W88" s="16">
        <f>ROUND(IF(D88=Table!$C$3,Y88*Table!$C$4/8,Y88*Table!$D$4/8),3)</f>
        <v>6.75</v>
      </c>
      <c r="X88" s="16"/>
      <c r="Y88" s="16">
        <v>0.12</v>
      </c>
      <c r="Z88" s="16"/>
      <c r="AA88" s="16"/>
      <c r="AB88" s="16"/>
      <c r="AC88" s="20">
        <v>43946</v>
      </c>
      <c r="AD88" s="20">
        <v>43958</v>
      </c>
      <c r="AE88" s="20"/>
      <c r="AF88" s="20"/>
      <c r="AG88" s="20"/>
      <c r="AH88" s="32"/>
      <c r="AI88" s="32"/>
      <c r="AJ88" s="32"/>
      <c r="AK88" s="20"/>
      <c r="AL88" s="16"/>
      <c r="AM88" s="16"/>
      <c r="AN88" s="16"/>
    </row>
    <row r="89" spans="2:40" x14ac:dyDescent="0.25">
      <c r="B89" s="46">
        <f t="shared" si="8"/>
        <v>42</v>
      </c>
      <c r="C89" s="17">
        <v>20200427</v>
      </c>
      <c r="D89" s="16" t="s">
        <v>3</v>
      </c>
      <c r="E89" s="16" t="s">
        <v>296</v>
      </c>
      <c r="F89" s="18" t="s">
        <v>300</v>
      </c>
      <c r="G89" s="60" t="s">
        <v>65</v>
      </c>
      <c r="H89" s="16" t="s">
        <v>276</v>
      </c>
      <c r="I89" s="16" t="s">
        <v>340</v>
      </c>
      <c r="J89" s="16" t="s">
        <v>126</v>
      </c>
      <c r="K89" s="60" t="s">
        <v>65</v>
      </c>
      <c r="L89" s="60" t="s">
        <v>65</v>
      </c>
      <c r="M89" s="60" t="s">
        <v>65</v>
      </c>
      <c r="N89" s="16" t="s">
        <v>171</v>
      </c>
      <c r="O89" s="18" t="s">
        <v>65</v>
      </c>
      <c r="P89" s="18" t="s">
        <v>358</v>
      </c>
      <c r="Q89" s="19"/>
      <c r="R89" s="17" t="s">
        <v>238</v>
      </c>
      <c r="S89" s="16" t="s">
        <v>70</v>
      </c>
      <c r="T89" s="16"/>
      <c r="U89" s="16"/>
      <c r="V89" s="16">
        <v>101</v>
      </c>
      <c r="W89" s="16">
        <f>ROUND(IF(D89=Table!$C$3,Y89*Table!$C$4/8,Y89*Table!$D$4/8),3)</f>
        <v>67.5</v>
      </c>
      <c r="X89" s="16"/>
      <c r="Y89" s="16">
        <v>1.2</v>
      </c>
      <c r="Z89" s="16"/>
      <c r="AA89" s="16"/>
      <c r="AB89" s="16"/>
      <c r="AC89" s="20">
        <v>43946</v>
      </c>
      <c r="AD89" s="20">
        <v>43958</v>
      </c>
      <c r="AE89" s="20"/>
      <c r="AF89" s="20"/>
      <c r="AG89" s="20"/>
      <c r="AH89" s="32"/>
      <c r="AI89" s="32"/>
      <c r="AJ89" s="32"/>
      <c r="AK89" s="20"/>
      <c r="AL89" s="16"/>
      <c r="AM89" s="16"/>
      <c r="AN89" s="16"/>
    </row>
    <row r="90" spans="2:40" x14ac:dyDescent="0.25">
      <c r="B90" s="46">
        <f t="shared" si="8"/>
        <v>43</v>
      </c>
      <c r="C90" s="17">
        <v>20200427</v>
      </c>
      <c r="D90" s="16" t="s">
        <v>3</v>
      </c>
      <c r="E90" s="16" t="s">
        <v>296</v>
      </c>
      <c r="F90" s="18" t="s">
        <v>300</v>
      </c>
      <c r="G90" s="60" t="s">
        <v>65</v>
      </c>
      <c r="H90" s="16" t="s">
        <v>277</v>
      </c>
      <c r="I90" s="16" t="s">
        <v>341</v>
      </c>
      <c r="J90" s="16" t="s">
        <v>126</v>
      </c>
      <c r="K90" s="60" t="s">
        <v>65</v>
      </c>
      <c r="L90" s="60" t="s">
        <v>65</v>
      </c>
      <c r="M90" s="60" t="s">
        <v>65</v>
      </c>
      <c r="N90" s="16" t="s">
        <v>171</v>
      </c>
      <c r="O90" s="18" t="s">
        <v>65</v>
      </c>
      <c r="P90" s="18" t="s">
        <v>358</v>
      </c>
      <c r="Q90" s="19"/>
      <c r="R90" s="17" t="s">
        <v>238</v>
      </c>
      <c r="S90" s="16" t="s">
        <v>70</v>
      </c>
      <c r="T90" s="16"/>
      <c r="U90" s="16"/>
      <c r="V90" s="16">
        <v>626</v>
      </c>
      <c r="W90" s="16">
        <f>ROUND(IF(D90=Table!$C$3,Y90*Table!$C$4/8,Y90*Table!$D$4/8),3)</f>
        <v>6.75</v>
      </c>
      <c r="X90" s="16"/>
      <c r="Y90" s="16">
        <v>0.12</v>
      </c>
      <c r="Z90" s="16"/>
      <c r="AA90" s="16"/>
      <c r="AB90" s="16"/>
      <c r="AC90" s="20">
        <v>43946</v>
      </c>
      <c r="AD90" s="20">
        <v>43958</v>
      </c>
      <c r="AE90" s="20"/>
      <c r="AF90" s="20"/>
      <c r="AG90" s="20"/>
      <c r="AH90" s="32"/>
      <c r="AI90" s="32"/>
      <c r="AJ90" s="32"/>
      <c r="AK90" s="20"/>
      <c r="AL90" s="16"/>
      <c r="AM90" s="16"/>
      <c r="AN90" s="16"/>
    </row>
    <row r="91" spans="2:40" x14ac:dyDescent="0.25">
      <c r="B91" s="46">
        <f t="shared" si="8"/>
        <v>44</v>
      </c>
      <c r="C91" s="17">
        <v>20200427</v>
      </c>
      <c r="D91" s="16" t="s">
        <v>3</v>
      </c>
      <c r="E91" s="16" t="s">
        <v>296</v>
      </c>
      <c r="F91" s="18" t="s">
        <v>300</v>
      </c>
      <c r="G91" s="60" t="s">
        <v>65</v>
      </c>
      <c r="H91" s="16" t="s">
        <v>278</v>
      </c>
      <c r="I91" s="16" t="s">
        <v>342</v>
      </c>
      <c r="J91" s="16" t="s">
        <v>126</v>
      </c>
      <c r="K91" s="60" t="s">
        <v>65</v>
      </c>
      <c r="L91" s="60" t="s">
        <v>65</v>
      </c>
      <c r="M91" s="60" t="s">
        <v>65</v>
      </c>
      <c r="N91" s="16" t="s">
        <v>171</v>
      </c>
      <c r="O91" s="18" t="s">
        <v>65</v>
      </c>
      <c r="P91" s="18" t="s">
        <v>358</v>
      </c>
      <c r="Q91" s="19"/>
      <c r="R91" s="17" t="s">
        <v>238</v>
      </c>
      <c r="S91" s="16" t="s">
        <v>70</v>
      </c>
      <c r="T91" s="16"/>
      <c r="U91" s="16"/>
      <c r="V91" s="16">
        <v>90</v>
      </c>
      <c r="W91" s="16">
        <f>ROUND(IF(D91=Table!$C$3,Y91*Table!$C$4/8,Y91*Table!$D$4/8),3)</f>
        <v>95.625</v>
      </c>
      <c r="X91" s="16"/>
      <c r="Y91" s="16">
        <v>1.7</v>
      </c>
      <c r="Z91" s="16"/>
      <c r="AA91" s="16"/>
      <c r="AB91" s="16"/>
      <c r="AC91" s="20">
        <v>43946</v>
      </c>
      <c r="AD91" s="20">
        <v>43958</v>
      </c>
      <c r="AE91" s="20"/>
      <c r="AF91" s="20"/>
      <c r="AG91" s="20"/>
      <c r="AH91" s="32"/>
      <c r="AI91" s="32"/>
      <c r="AJ91" s="32"/>
      <c r="AK91" s="20"/>
      <c r="AL91" s="16"/>
      <c r="AM91" s="16"/>
      <c r="AN91" s="16"/>
    </row>
    <row r="92" spans="2:40" x14ac:dyDescent="0.25">
      <c r="B92" s="46">
        <f t="shared" si="8"/>
        <v>45</v>
      </c>
      <c r="C92" s="17">
        <v>20200427</v>
      </c>
      <c r="D92" s="16" t="s">
        <v>3</v>
      </c>
      <c r="E92" s="16" t="s">
        <v>296</v>
      </c>
      <c r="F92" s="18" t="s">
        <v>300</v>
      </c>
      <c r="G92" s="60" t="s">
        <v>65</v>
      </c>
      <c r="H92" s="16" t="s">
        <v>279</v>
      </c>
      <c r="I92" s="16" t="s">
        <v>343</v>
      </c>
      <c r="J92" s="16" t="s">
        <v>126</v>
      </c>
      <c r="K92" s="60" t="s">
        <v>65</v>
      </c>
      <c r="L92" s="60" t="s">
        <v>65</v>
      </c>
      <c r="M92" s="60" t="s">
        <v>65</v>
      </c>
      <c r="N92" s="16" t="s">
        <v>171</v>
      </c>
      <c r="O92" s="18" t="s">
        <v>65</v>
      </c>
      <c r="P92" s="18" t="s">
        <v>358</v>
      </c>
      <c r="Q92" s="19"/>
      <c r="R92" s="17" t="s">
        <v>238</v>
      </c>
      <c r="S92" s="16" t="s">
        <v>70</v>
      </c>
      <c r="T92" s="16"/>
      <c r="U92" s="16"/>
      <c r="V92" s="16">
        <v>59</v>
      </c>
      <c r="W92" s="16">
        <f>ROUND(IF(D92=Table!$C$3,Y92*Table!$C$4/8,Y92*Table!$D$4/8),3)</f>
        <v>67.5</v>
      </c>
      <c r="X92" s="16"/>
      <c r="Y92" s="16">
        <v>1.2</v>
      </c>
      <c r="Z92" s="16"/>
      <c r="AA92" s="16"/>
      <c r="AB92" s="16"/>
      <c r="AC92" s="20">
        <v>43946</v>
      </c>
      <c r="AD92" s="20">
        <v>43958</v>
      </c>
      <c r="AE92" s="20"/>
      <c r="AF92" s="20"/>
      <c r="AG92" s="20"/>
      <c r="AH92" s="32"/>
      <c r="AI92" s="32"/>
      <c r="AJ92" s="32"/>
      <c r="AK92" s="20"/>
      <c r="AL92" s="16"/>
      <c r="AM92" s="16"/>
      <c r="AN92" s="16"/>
    </row>
    <row r="93" spans="2:40" x14ac:dyDescent="0.25">
      <c r="B93" s="46">
        <f t="shared" si="8"/>
        <v>46</v>
      </c>
      <c r="C93" s="17">
        <v>20200427</v>
      </c>
      <c r="D93" s="16" t="s">
        <v>3</v>
      </c>
      <c r="E93" s="16" t="s">
        <v>296</v>
      </c>
      <c r="F93" s="18" t="s">
        <v>300</v>
      </c>
      <c r="G93" s="60" t="s">
        <v>65</v>
      </c>
      <c r="H93" s="16" t="s">
        <v>280</v>
      </c>
      <c r="I93" s="16" t="s">
        <v>182</v>
      </c>
      <c r="J93" s="16" t="s">
        <v>126</v>
      </c>
      <c r="K93" s="60" t="s">
        <v>65</v>
      </c>
      <c r="L93" s="60" t="s">
        <v>65</v>
      </c>
      <c r="M93" s="60" t="s">
        <v>65</v>
      </c>
      <c r="N93" s="16" t="s">
        <v>171</v>
      </c>
      <c r="O93" s="18" t="s">
        <v>65</v>
      </c>
      <c r="P93" s="18" t="s">
        <v>358</v>
      </c>
      <c r="Q93" s="19"/>
      <c r="R93" s="17" t="s">
        <v>238</v>
      </c>
      <c r="S93" s="16" t="s">
        <v>70</v>
      </c>
      <c r="T93" s="16"/>
      <c r="U93" s="16"/>
      <c r="V93" s="16">
        <v>459</v>
      </c>
      <c r="W93" s="16">
        <f>ROUND(IF(D93=Table!$C$3,Y93*Table!$C$4/8,Y93*Table!$D$4/8),3)</f>
        <v>6.75</v>
      </c>
      <c r="X93" s="16"/>
      <c r="Y93" s="16">
        <v>0.12</v>
      </c>
      <c r="Z93" s="16"/>
      <c r="AA93" s="16"/>
      <c r="AB93" s="16"/>
      <c r="AC93" s="20">
        <v>43946</v>
      </c>
      <c r="AD93" s="20">
        <v>43958</v>
      </c>
      <c r="AE93" s="20"/>
      <c r="AF93" s="20"/>
      <c r="AG93" s="20"/>
      <c r="AH93" s="32"/>
      <c r="AI93" s="32"/>
      <c r="AJ93" s="32"/>
      <c r="AK93" s="20"/>
      <c r="AL93" s="16"/>
      <c r="AM93" s="16"/>
      <c r="AN93" s="16"/>
    </row>
    <row r="94" spans="2:40" x14ac:dyDescent="0.25">
      <c r="B94" s="46">
        <f t="shared" si="8"/>
        <v>47</v>
      </c>
      <c r="C94" s="17">
        <v>20200427</v>
      </c>
      <c r="D94" s="16" t="s">
        <v>3</v>
      </c>
      <c r="E94" s="16" t="s">
        <v>296</v>
      </c>
      <c r="F94" s="18" t="s">
        <v>300</v>
      </c>
      <c r="G94" s="60" t="s">
        <v>65</v>
      </c>
      <c r="H94" s="16" t="s">
        <v>281</v>
      </c>
      <c r="I94" s="16" t="s">
        <v>344</v>
      </c>
      <c r="J94" s="16" t="s">
        <v>126</v>
      </c>
      <c r="K94" s="60" t="s">
        <v>65</v>
      </c>
      <c r="L94" s="60" t="s">
        <v>65</v>
      </c>
      <c r="M94" s="60" t="s">
        <v>65</v>
      </c>
      <c r="N94" s="16" t="s">
        <v>171</v>
      </c>
      <c r="O94" s="18" t="s">
        <v>65</v>
      </c>
      <c r="P94" s="18" t="s">
        <v>358</v>
      </c>
      <c r="Q94" s="19"/>
      <c r="R94" s="17" t="s">
        <v>238</v>
      </c>
      <c r="S94" s="16" t="s">
        <v>70</v>
      </c>
      <c r="T94" s="16"/>
      <c r="U94" s="16"/>
      <c r="V94" s="16">
        <v>72</v>
      </c>
      <c r="W94" s="16">
        <f>ROUND(IF(D94=Table!$C$3,Y94*Table!$C$4/8,Y94*Table!$D$4/8),3)</f>
        <v>84.15</v>
      </c>
      <c r="X94" s="16"/>
      <c r="Y94" s="16">
        <v>1.496</v>
      </c>
      <c r="Z94" s="16"/>
      <c r="AA94" s="16"/>
      <c r="AB94" s="16"/>
      <c r="AC94" s="20">
        <v>43946</v>
      </c>
      <c r="AD94" s="20">
        <v>43958</v>
      </c>
      <c r="AE94" s="20"/>
      <c r="AF94" s="20"/>
      <c r="AG94" s="20"/>
      <c r="AH94" s="32"/>
      <c r="AI94" s="32"/>
      <c r="AJ94" s="32"/>
      <c r="AK94" s="20"/>
      <c r="AL94" s="16"/>
      <c r="AM94" s="16"/>
      <c r="AN94" s="16"/>
    </row>
    <row r="95" spans="2:40" x14ac:dyDescent="0.25">
      <c r="B95" s="46">
        <f t="shared" si="8"/>
        <v>48</v>
      </c>
      <c r="C95" s="17">
        <v>20200427</v>
      </c>
      <c r="D95" s="16" t="s">
        <v>3</v>
      </c>
      <c r="E95" s="16" t="s">
        <v>296</v>
      </c>
      <c r="F95" s="18" t="s">
        <v>300</v>
      </c>
      <c r="G95" s="60" t="s">
        <v>65</v>
      </c>
      <c r="H95" s="16" t="s">
        <v>282</v>
      </c>
      <c r="I95" s="16" t="s">
        <v>183</v>
      </c>
      <c r="J95" s="16" t="s">
        <v>126</v>
      </c>
      <c r="K95" s="60" t="s">
        <v>65</v>
      </c>
      <c r="L95" s="60" t="s">
        <v>65</v>
      </c>
      <c r="M95" s="60" t="s">
        <v>65</v>
      </c>
      <c r="N95" s="16" t="s">
        <v>171</v>
      </c>
      <c r="O95" s="18" t="s">
        <v>65</v>
      </c>
      <c r="P95" s="18" t="s">
        <v>358</v>
      </c>
      <c r="Q95" s="19"/>
      <c r="R95" s="17" t="s">
        <v>238</v>
      </c>
      <c r="S95" s="16" t="s">
        <v>70</v>
      </c>
      <c r="T95" s="16"/>
      <c r="U95" s="16"/>
      <c r="V95" s="16">
        <v>89</v>
      </c>
      <c r="W95" s="16">
        <f>ROUND(IF(D95=Table!$C$3,Y95*Table!$C$4/8,Y95*Table!$D$4/8),3)</f>
        <v>76.5</v>
      </c>
      <c r="X95" s="16"/>
      <c r="Y95" s="16">
        <v>1.36</v>
      </c>
      <c r="Z95" s="16"/>
      <c r="AA95" s="16"/>
      <c r="AB95" s="16"/>
      <c r="AC95" s="20">
        <v>43946</v>
      </c>
      <c r="AD95" s="20">
        <v>43958</v>
      </c>
      <c r="AE95" s="20"/>
      <c r="AF95" s="20"/>
      <c r="AG95" s="20"/>
      <c r="AH95" s="32"/>
      <c r="AI95" s="32"/>
      <c r="AJ95" s="32"/>
      <c r="AK95" s="20"/>
      <c r="AL95" s="16"/>
      <c r="AM95" s="16"/>
      <c r="AN95" s="16"/>
    </row>
    <row r="96" spans="2:40" x14ac:dyDescent="0.25">
      <c r="B96" s="46">
        <f t="shared" si="8"/>
        <v>49</v>
      </c>
      <c r="C96" s="17">
        <v>20200427</v>
      </c>
      <c r="D96" s="16" t="s">
        <v>3</v>
      </c>
      <c r="E96" s="16" t="s">
        <v>296</v>
      </c>
      <c r="F96" s="18" t="s">
        <v>300</v>
      </c>
      <c r="G96" s="60" t="s">
        <v>65</v>
      </c>
      <c r="H96" s="16" t="s">
        <v>283</v>
      </c>
      <c r="I96" s="16" t="s">
        <v>345</v>
      </c>
      <c r="J96" s="16" t="s">
        <v>126</v>
      </c>
      <c r="K96" s="60" t="s">
        <v>65</v>
      </c>
      <c r="L96" s="60" t="s">
        <v>65</v>
      </c>
      <c r="M96" s="60" t="s">
        <v>65</v>
      </c>
      <c r="N96" s="16" t="s">
        <v>171</v>
      </c>
      <c r="O96" s="18" t="s">
        <v>65</v>
      </c>
      <c r="P96" s="18" t="s">
        <v>358</v>
      </c>
      <c r="Q96" s="19"/>
      <c r="R96" s="17" t="s">
        <v>238</v>
      </c>
      <c r="S96" s="16" t="s">
        <v>70</v>
      </c>
      <c r="T96" s="16"/>
      <c r="U96" s="16"/>
      <c r="V96" s="16">
        <v>171</v>
      </c>
      <c r="W96" s="16">
        <f>ROUND(IF(D96=Table!$C$3,Y96*Table!$C$4/8,Y96*Table!$D$4/8),3)</f>
        <v>114.75</v>
      </c>
      <c r="X96" s="16"/>
      <c r="Y96" s="16">
        <v>2.04</v>
      </c>
      <c r="Z96" s="16"/>
      <c r="AA96" s="16"/>
      <c r="AB96" s="16"/>
      <c r="AC96" s="20">
        <v>43946</v>
      </c>
      <c r="AD96" s="20">
        <v>43958</v>
      </c>
      <c r="AE96" s="20"/>
      <c r="AF96" s="20"/>
      <c r="AG96" s="20"/>
      <c r="AH96" s="32"/>
      <c r="AI96" s="32"/>
      <c r="AJ96" s="32"/>
      <c r="AK96" s="20"/>
      <c r="AL96" s="16"/>
      <c r="AM96" s="16"/>
      <c r="AN96" s="16"/>
    </row>
    <row r="97" spans="2:40" x14ac:dyDescent="0.25">
      <c r="B97" s="46">
        <f t="shared" si="8"/>
        <v>50</v>
      </c>
      <c r="C97" s="17">
        <v>20200427</v>
      </c>
      <c r="D97" s="16" t="s">
        <v>3</v>
      </c>
      <c r="E97" s="16" t="s">
        <v>296</v>
      </c>
      <c r="F97" s="18" t="s">
        <v>300</v>
      </c>
      <c r="G97" s="60" t="s">
        <v>65</v>
      </c>
      <c r="H97" s="16" t="s">
        <v>284</v>
      </c>
      <c r="I97" s="16" t="s">
        <v>346</v>
      </c>
      <c r="J97" s="16" t="s">
        <v>126</v>
      </c>
      <c r="K97" s="60" t="s">
        <v>65</v>
      </c>
      <c r="L97" s="60" t="s">
        <v>65</v>
      </c>
      <c r="M97" s="60" t="s">
        <v>65</v>
      </c>
      <c r="N97" s="16" t="s">
        <v>171</v>
      </c>
      <c r="O97" s="18" t="s">
        <v>65</v>
      </c>
      <c r="P97" s="18" t="s">
        <v>358</v>
      </c>
      <c r="Q97" s="19"/>
      <c r="R97" s="17" t="s">
        <v>238</v>
      </c>
      <c r="S97" s="16" t="s">
        <v>70</v>
      </c>
      <c r="T97" s="16"/>
      <c r="U97" s="16"/>
      <c r="V97" s="16">
        <v>97</v>
      </c>
      <c r="W97" s="16">
        <f>ROUND(IF(D97=Table!$C$3,Y97*Table!$C$4/8,Y97*Table!$D$4/8),3)</f>
        <v>95.625</v>
      </c>
      <c r="X97" s="16"/>
      <c r="Y97" s="16">
        <v>1.7</v>
      </c>
      <c r="Z97" s="16"/>
      <c r="AA97" s="16"/>
      <c r="AB97" s="16"/>
      <c r="AC97" s="20">
        <v>43946</v>
      </c>
      <c r="AD97" s="20">
        <v>43958</v>
      </c>
      <c r="AE97" s="20"/>
      <c r="AF97" s="20"/>
      <c r="AG97" s="20"/>
      <c r="AH97" s="32"/>
      <c r="AI97" s="32"/>
      <c r="AJ97" s="32"/>
      <c r="AK97" s="20"/>
      <c r="AL97" s="16"/>
      <c r="AM97" s="16"/>
      <c r="AN97" s="16"/>
    </row>
    <row r="98" spans="2:40" x14ac:dyDescent="0.25">
      <c r="B98" s="46">
        <f t="shared" si="8"/>
        <v>51</v>
      </c>
      <c r="C98" s="17">
        <v>20200427</v>
      </c>
      <c r="D98" s="16" t="s">
        <v>3</v>
      </c>
      <c r="E98" s="16" t="s">
        <v>296</v>
      </c>
      <c r="F98" s="18" t="s">
        <v>300</v>
      </c>
      <c r="G98" s="60" t="s">
        <v>65</v>
      </c>
      <c r="H98" s="16" t="s">
        <v>285</v>
      </c>
      <c r="I98" s="16" t="s">
        <v>347</v>
      </c>
      <c r="J98" s="16" t="s">
        <v>126</v>
      </c>
      <c r="K98" s="60" t="s">
        <v>65</v>
      </c>
      <c r="L98" s="60" t="s">
        <v>65</v>
      </c>
      <c r="M98" s="60" t="s">
        <v>65</v>
      </c>
      <c r="N98" s="16" t="s">
        <v>171</v>
      </c>
      <c r="O98" s="18" t="s">
        <v>65</v>
      </c>
      <c r="P98" s="18" t="s">
        <v>358</v>
      </c>
      <c r="Q98" s="19"/>
      <c r="R98" s="17" t="s">
        <v>238</v>
      </c>
      <c r="S98" s="16" t="s">
        <v>70</v>
      </c>
      <c r="T98" s="16"/>
      <c r="U98" s="16"/>
      <c r="V98" s="16">
        <v>91</v>
      </c>
      <c r="W98" s="16">
        <f>ROUND(IF(D98=Table!$C$3,Y98*Table!$C$4/8,Y98*Table!$D$4/8),3)</f>
        <v>107.1</v>
      </c>
      <c r="X98" s="16"/>
      <c r="Y98" s="16">
        <v>1.9040000000000001</v>
      </c>
      <c r="Z98" s="16"/>
      <c r="AA98" s="16"/>
      <c r="AB98" s="16"/>
      <c r="AC98" s="20">
        <v>43946</v>
      </c>
      <c r="AD98" s="20">
        <v>43958</v>
      </c>
      <c r="AE98" s="20"/>
      <c r="AF98" s="20"/>
      <c r="AG98" s="20"/>
      <c r="AH98" s="32"/>
      <c r="AI98" s="32"/>
      <c r="AJ98" s="32"/>
      <c r="AK98" s="20"/>
      <c r="AL98" s="16"/>
      <c r="AM98" s="16"/>
      <c r="AN98" s="16"/>
    </row>
    <row r="99" spans="2:40" x14ac:dyDescent="0.25">
      <c r="B99" s="46">
        <f t="shared" si="8"/>
        <v>52</v>
      </c>
      <c r="C99" s="17">
        <v>20200427</v>
      </c>
      <c r="D99" s="16" t="s">
        <v>3</v>
      </c>
      <c r="E99" s="16" t="s">
        <v>296</v>
      </c>
      <c r="F99" s="18" t="s">
        <v>300</v>
      </c>
      <c r="G99" s="60" t="s">
        <v>65</v>
      </c>
      <c r="H99" s="16" t="s">
        <v>286</v>
      </c>
      <c r="I99" s="16" t="s">
        <v>348</v>
      </c>
      <c r="J99" s="16" t="s">
        <v>126</v>
      </c>
      <c r="K99" s="60" t="s">
        <v>65</v>
      </c>
      <c r="L99" s="60" t="s">
        <v>65</v>
      </c>
      <c r="M99" s="60" t="s">
        <v>65</v>
      </c>
      <c r="N99" s="16" t="s">
        <v>171</v>
      </c>
      <c r="O99" s="18" t="s">
        <v>65</v>
      </c>
      <c r="P99" s="18" t="s">
        <v>358</v>
      </c>
      <c r="Q99" s="19"/>
      <c r="R99" s="17" t="s">
        <v>238</v>
      </c>
      <c r="S99" s="16" t="s">
        <v>70</v>
      </c>
      <c r="T99" s="16"/>
      <c r="U99" s="16"/>
      <c r="V99" s="16">
        <v>66</v>
      </c>
      <c r="W99" s="16">
        <f>ROUND(IF(D99=Table!$C$3,Y99*Table!$C$4/8,Y99*Table!$D$4/8),3)</f>
        <v>67.5</v>
      </c>
      <c r="X99" s="16"/>
      <c r="Y99" s="16">
        <v>1.2</v>
      </c>
      <c r="Z99" s="16"/>
      <c r="AA99" s="16"/>
      <c r="AB99" s="16"/>
      <c r="AC99" s="20">
        <v>43946</v>
      </c>
      <c r="AD99" s="20">
        <v>43958</v>
      </c>
      <c r="AE99" s="20"/>
      <c r="AF99" s="20"/>
      <c r="AG99" s="20"/>
      <c r="AH99" s="32"/>
      <c r="AI99" s="32"/>
      <c r="AJ99" s="32"/>
      <c r="AK99" s="20"/>
      <c r="AL99" s="16"/>
      <c r="AM99" s="16"/>
      <c r="AN99" s="16"/>
    </row>
    <row r="100" spans="2:40" x14ac:dyDescent="0.25">
      <c r="B100" s="46">
        <f t="shared" si="8"/>
        <v>53</v>
      </c>
      <c r="C100" s="17">
        <v>20200427</v>
      </c>
      <c r="D100" s="16" t="s">
        <v>3</v>
      </c>
      <c r="E100" s="16" t="s">
        <v>296</v>
      </c>
      <c r="F100" s="18" t="s">
        <v>300</v>
      </c>
      <c r="G100" s="60" t="s">
        <v>65</v>
      </c>
      <c r="H100" s="16" t="s">
        <v>287</v>
      </c>
      <c r="I100" s="16" t="s">
        <v>349</v>
      </c>
      <c r="J100" s="16" t="s">
        <v>126</v>
      </c>
      <c r="K100" s="60" t="s">
        <v>65</v>
      </c>
      <c r="L100" s="60" t="s">
        <v>65</v>
      </c>
      <c r="M100" s="60" t="s">
        <v>65</v>
      </c>
      <c r="N100" s="16" t="s">
        <v>171</v>
      </c>
      <c r="O100" s="18" t="s">
        <v>65</v>
      </c>
      <c r="P100" s="18" t="s">
        <v>358</v>
      </c>
      <c r="Q100" s="19"/>
      <c r="R100" s="17" t="s">
        <v>238</v>
      </c>
      <c r="S100" s="16" t="s">
        <v>70</v>
      </c>
      <c r="T100" s="16"/>
      <c r="U100" s="16"/>
      <c r="V100" s="16">
        <v>118</v>
      </c>
      <c r="W100" s="16">
        <f>ROUND(IF(D100=Table!$C$3,Y100*Table!$C$4/8,Y100*Table!$D$4/8),3)</f>
        <v>114.75</v>
      </c>
      <c r="X100" s="16"/>
      <c r="Y100" s="16">
        <v>2.04</v>
      </c>
      <c r="Z100" s="16"/>
      <c r="AA100" s="16"/>
      <c r="AB100" s="16"/>
      <c r="AC100" s="20">
        <v>43946</v>
      </c>
      <c r="AD100" s="20">
        <v>43958</v>
      </c>
      <c r="AE100" s="20"/>
      <c r="AF100" s="20"/>
      <c r="AG100" s="20"/>
      <c r="AH100" s="32"/>
      <c r="AI100" s="32"/>
      <c r="AJ100" s="32"/>
      <c r="AK100" s="20"/>
      <c r="AL100" s="16"/>
      <c r="AM100" s="16"/>
      <c r="AN100" s="16"/>
    </row>
    <row r="101" spans="2:40" x14ac:dyDescent="0.25">
      <c r="B101" s="46">
        <f t="shared" si="8"/>
        <v>54</v>
      </c>
      <c r="C101" s="17">
        <v>20200427</v>
      </c>
      <c r="D101" s="16" t="s">
        <v>3</v>
      </c>
      <c r="E101" s="16" t="s">
        <v>296</v>
      </c>
      <c r="F101" s="18" t="s">
        <v>300</v>
      </c>
      <c r="G101" s="60" t="s">
        <v>65</v>
      </c>
      <c r="H101" s="16" t="s">
        <v>288</v>
      </c>
      <c r="I101" s="16" t="s">
        <v>350</v>
      </c>
      <c r="J101" s="16" t="s">
        <v>126</v>
      </c>
      <c r="K101" s="60" t="s">
        <v>65</v>
      </c>
      <c r="L101" s="60" t="s">
        <v>65</v>
      </c>
      <c r="M101" s="60" t="s">
        <v>65</v>
      </c>
      <c r="N101" s="16" t="s">
        <v>171</v>
      </c>
      <c r="O101" s="18" t="s">
        <v>65</v>
      </c>
      <c r="P101" s="18" t="s">
        <v>358</v>
      </c>
      <c r="Q101" s="19"/>
      <c r="R101" s="17" t="s">
        <v>238</v>
      </c>
      <c r="S101" s="16" t="s">
        <v>70</v>
      </c>
      <c r="T101" s="16"/>
      <c r="U101" s="16"/>
      <c r="V101" s="16">
        <v>145</v>
      </c>
      <c r="W101" s="16">
        <f>ROUND(IF(D101=Table!$C$3,Y101*Table!$C$4/8,Y101*Table!$D$4/8),3)</f>
        <v>67.5</v>
      </c>
      <c r="X101" s="16"/>
      <c r="Y101" s="16">
        <v>1.2</v>
      </c>
      <c r="Z101" s="16"/>
      <c r="AA101" s="16"/>
      <c r="AB101" s="16"/>
      <c r="AC101" s="20">
        <v>43946</v>
      </c>
      <c r="AD101" s="20">
        <v>43958</v>
      </c>
      <c r="AE101" s="20"/>
      <c r="AF101" s="20"/>
      <c r="AG101" s="20"/>
      <c r="AH101" s="32"/>
      <c r="AI101" s="32"/>
      <c r="AJ101" s="32"/>
      <c r="AK101" s="20"/>
      <c r="AL101" s="16"/>
      <c r="AM101" s="16"/>
      <c r="AN101" s="16"/>
    </row>
    <row r="102" spans="2:40" x14ac:dyDescent="0.25">
      <c r="B102" s="46">
        <f t="shared" si="8"/>
        <v>55</v>
      </c>
      <c r="C102" s="17">
        <v>20200427</v>
      </c>
      <c r="D102" s="16" t="s">
        <v>3</v>
      </c>
      <c r="E102" s="16" t="s">
        <v>296</v>
      </c>
      <c r="F102" s="18" t="s">
        <v>300</v>
      </c>
      <c r="G102" s="60" t="s">
        <v>65</v>
      </c>
      <c r="H102" s="16" t="s">
        <v>289</v>
      </c>
      <c r="I102" s="16" t="s">
        <v>351</v>
      </c>
      <c r="J102" s="16" t="s">
        <v>126</v>
      </c>
      <c r="K102" s="60" t="s">
        <v>65</v>
      </c>
      <c r="L102" s="60" t="s">
        <v>65</v>
      </c>
      <c r="M102" s="60" t="s">
        <v>65</v>
      </c>
      <c r="N102" s="16" t="s">
        <v>171</v>
      </c>
      <c r="O102" s="18" t="s">
        <v>65</v>
      </c>
      <c r="P102" s="18" t="s">
        <v>358</v>
      </c>
      <c r="Q102" s="19"/>
      <c r="R102" s="17" t="s">
        <v>238</v>
      </c>
      <c r="S102" s="16" t="s">
        <v>70</v>
      </c>
      <c r="T102" s="16"/>
      <c r="U102" s="16"/>
      <c r="V102" s="16">
        <v>26</v>
      </c>
      <c r="W102" s="16">
        <f>ROUND(IF(D102=Table!$C$3,Y102*Table!$C$4/8,Y102*Table!$D$4/8),3)</f>
        <v>67.5</v>
      </c>
      <c r="X102" s="16"/>
      <c r="Y102" s="16">
        <v>1.2</v>
      </c>
      <c r="Z102" s="16"/>
      <c r="AA102" s="16"/>
      <c r="AB102" s="16"/>
      <c r="AC102" s="20">
        <v>43946</v>
      </c>
      <c r="AD102" s="20">
        <v>43958</v>
      </c>
      <c r="AE102" s="20"/>
      <c r="AF102" s="20"/>
      <c r="AG102" s="20"/>
      <c r="AH102" s="32"/>
      <c r="AI102" s="32"/>
      <c r="AJ102" s="32"/>
      <c r="AK102" s="20"/>
      <c r="AL102" s="16"/>
      <c r="AM102" s="16"/>
      <c r="AN102" s="16"/>
    </row>
    <row r="103" spans="2:40" x14ac:dyDescent="0.25">
      <c r="B103" s="46">
        <f t="shared" si="8"/>
        <v>56</v>
      </c>
      <c r="C103" s="17">
        <v>20200427</v>
      </c>
      <c r="D103" s="16" t="s">
        <v>3</v>
      </c>
      <c r="E103" s="16" t="s">
        <v>296</v>
      </c>
      <c r="F103" s="18" t="s">
        <v>300</v>
      </c>
      <c r="G103" s="60" t="s">
        <v>65</v>
      </c>
      <c r="H103" s="16" t="s">
        <v>290</v>
      </c>
      <c r="I103" s="16" t="s">
        <v>184</v>
      </c>
      <c r="J103" s="16" t="s">
        <v>126</v>
      </c>
      <c r="K103" s="60" t="s">
        <v>65</v>
      </c>
      <c r="L103" s="60" t="s">
        <v>65</v>
      </c>
      <c r="M103" s="60" t="s">
        <v>65</v>
      </c>
      <c r="N103" s="16" t="s">
        <v>171</v>
      </c>
      <c r="O103" s="18" t="s">
        <v>65</v>
      </c>
      <c r="P103" s="18" t="s">
        <v>358</v>
      </c>
      <c r="Q103" s="19"/>
      <c r="R103" s="17" t="s">
        <v>238</v>
      </c>
      <c r="S103" s="16" t="s">
        <v>70</v>
      </c>
      <c r="T103" s="16"/>
      <c r="U103" s="16"/>
      <c r="V103" s="16">
        <v>45</v>
      </c>
      <c r="W103" s="16">
        <f>ROUND(IF(D103=Table!$C$3,Y103*Table!$C$4/8,Y103*Table!$D$4/8),3)</f>
        <v>67.5</v>
      </c>
      <c r="X103" s="16"/>
      <c r="Y103" s="16">
        <v>1.2</v>
      </c>
      <c r="Z103" s="16"/>
      <c r="AA103" s="16"/>
      <c r="AB103" s="16"/>
      <c r="AC103" s="20">
        <v>43946</v>
      </c>
      <c r="AD103" s="20">
        <v>43958</v>
      </c>
      <c r="AE103" s="20"/>
      <c r="AF103" s="20"/>
      <c r="AG103" s="20"/>
      <c r="AH103" s="32"/>
      <c r="AI103" s="32"/>
      <c r="AJ103" s="32"/>
      <c r="AK103" s="20"/>
      <c r="AL103" s="16"/>
      <c r="AM103" s="16"/>
      <c r="AN103" s="16"/>
    </row>
    <row r="104" spans="2:40" x14ac:dyDescent="0.25">
      <c r="B104" s="46">
        <f t="shared" si="8"/>
        <v>57</v>
      </c>
      <c r="C104" s="17">
        <v>20200427</v>
      </c>
      <c r="D104" s="16" t="s">
        <v>3</v>
      </c>
      <c r="E104" s="16" t="s">
        <v>296</v>
      </c>
      <c r="F104" s="18" t="s">
        <v>300</v>
      </c>
      <c r="G104" s="60" t="s">
        <v>65</v>
      </c>
      <c r="H104" s="16" t="s">
        <v>291</v>
      </c>
      <c r="I104" s="16" t="s">
        <v>352</v>
      </c>
      <c r="J104" s="16" t="s">
        <v>126</v>
      </c>
      <c r="K104" s="60" t="s">
        <v>65</v>
      </c>
      <c r="L104" s="60" t="s">
        <v>65</v>
      </c>
      <c r="M104" s="60" t="s">
        <v>65</v>
      </c>
      <c r="N104" s="16" t="s">
        <v>171</v>
      </c>
      <c r="O104" s="18" t="s">
        <v>65</v>
      </c>
      <c r="P104" s="18" t="s">
        <v>358</v>
      </c>
      <c r="Q104" s="19"/>
      <c r="R104" s="17" t="s">
        <v>238</v>
      </c>
      <c r="S104" s="16" t="s">
        <v>70</v>
      </c>
      <c r="T104" s="16"/>
      <c r="U104" s="16"/>
      <c r="V104" s="16">
        <v>8</v>
      </c>
      <c r="W104" s="16">
        <f>ROUND(IF(D104=Table!$C$3,Y104*Table!$C$4/8,Y104*Table!$D$4/8),3)</f>
        <v>6.75</v>
      </c>
      <c r="X104" s="16"/>
      <c r="Y104" s="16">
        <v>0.12</v>
      </c>
      <c r="Z104" s="16"/>
      <c r="AA104" s="16"/>
      <c r="AB104" s="16"/>
      <c r="AC104" s="20">
        <v>43946</v>
      </c>
      <c r="AD104" s="20">
        <v>43958</v>
      </c>
      <c r="AE104" s="20"/>
      <c r="AF104" s="20"/>
      <c r="AG104" s="20"/>
      <c r="AH104" s="32"/>
      <c r="AI104" s="32"/>
      <c r="AJ104" s="32"/>
      <c r="AK104" s="20"/>
      <c r="AL104" s="16"/>
      <c r="AM104" s="16"/>
      <c r="AN104" s="16"/>
    </row>
    <row r="105" spans="2:40" x14ac:dyDescent="0.25">
      <c r="B105" s="46">
        <f t="shared" si="8"/>
        <v>58</v>
      </c>
      <c r="C105" s="17">
        <v>20200427</v>
      </c>
      <c r="D105" s="16" t="s">
        <v>3</v>
      </c>
      <c r="E105" s="16" t="s">
        <v>296</v>
      </c>
      <c r="F105" s="18" t="s">
        <v>300</v>
      </c>
      <c r="G105" s="60" t="s">
        <v>65</v>
      </c>
      <c r="H105" s="16" t="s">
        <v>292</v>
      </c>
      <c r="I105" s="16" t="s">
        <v>353</v>
      </c>
      <c r="J105" s="16" t="s">
        <v>126</v>
      </c>
      <c r="K105" s="60" t="s">
        <v>65</v>
      </c>
      <c r="L105" s="60" t="s">
        <v>65</v>
      </c>
      <c r="M105" s="60" t="s">
        <v>65</v>
      </c>
      <c r="N105" s="16" t="s">
        <v>171</v>
      </c>
      <c r="O105" s="18" t="s">
        <v>65</v>
      </c>
      <c r="P105" s="18" t="s">
        <v>358</v>
      </c>
      <c r="Q105" s="19"/>
      <c r="R105" s="17" t="s">
        <v>238</v>
      </c>
      <c r="S105" s="16" t="s">
        <v>70</v>
      </c>
      <c r="T105" s="16"/>
      <c r="U105" s="16"/>
      <c r="V105" s="16">
        <v>113</v>
      </c>
      <c r="W105" s="16">
        <f>ROUND(IF(D105=Table!$C$3,Y105*Table!$C$4/8,Y105*Table!$D$4/8),3)</f>
        <v>114.75</v>
      </c>
      <c r="X105" s="16"/>
      <c r="Y105" s="16">
        <v>2.04</v>
      </c>
      <c r="Z105" s="16"/>
      <c r="AA105" s="16"/>
      <c r="AB105" s="16"/>
      <c r="AC105" s="20">
        <v>43946</v>
      </c>
      <c r="AD105" s="20">
        <v>43958</v>
      </c>
      <c r="AE105" s="20"/>
      <c r="AF105" s="20"/>
      <c r="AG105" s="20"/>
      <c r="AH105" s="32"/>
      <c r="AI105" s="32"/>
      <c r="AJ105" s="32"/>
      <c r="AK105" s="20"/>
      <c r="AL105" s="16"/>
      <c r="AM105" s="16"/>
      <c r="AN105" s="16"/>
    </row>
    <row r="106" spans="2:40" x14ac:dyDescent="0.25">
      <c r="B106" s="46">
        <f t="shared" si="8"/>
        <v>59</v>
      </c>
      <c r="C106" s="17">
        <v>20200427</v>
      </c>
      <c r="D106" s="16" t="s">
        <v>3</v>
      </c>
      <c r="E106" s="16" t="s">
        <v>296</v>
      </c>
      <c r="F106" s="18" t="s">
        <v>300</v>
      </c>
      <c r="G106" s="60" t="s">
        <v>65</v>
      </c>
      <c r="H106" s="16" t="s">
        <v>293</v>
      </c>
      <c r="I106" s="16" t="s">
        <v>354</v>
      </c>
      <c r="J106" s="16" t="s">
        <v>126</v>
      </c>
      <c r="K106" s="60" t="s">
        <v>65</v>
      </c>
      <c r="L106" s="60" t="s">
        <v>65</v>
      </c>
      <c r="M106" s="60" t="s">
        <v>65</v>
      </c>
      <c r="N106" s="16" t="s">
        <v>171</v>
      </c>
      <c r="O106" s="18" t="s">
        <v>65</v>
      </c>
      <c r="P106" s="18" t="s">
        <v>358</v>
      </c>
      <c r="Q106" s="19"/>
      <c r="R106" s="17" t="s">
        <v>238</v>
      </c>
      <c r="S106" s="16" t="s">
        <v>70</v>
      </c>
      <c r="T106" s="16"/>
      <c r="U106" s="16"/>
      <c r="V106" s="16">
        <v>19</v>
      </c>
      <c r="W106" s="16">
        <f>ROUND(IF(D106=Table!$C$3,Y106*Table!$C$4/8,Y106*Table!$D$4/8),3)</f>
        <v>6.75</v>
      </c>
      <c r="X106" s="16"/>
      <c r="Y106" s="16">
        <v>0.12</v>
      </c>
      <c r="Z106" s="16"/>
      <c r="AA106" s="16"/>
      <c r="AB106" s="16"/>
      <c r="AC106" s="20">
        <v>43946</v>
      </c>
      <c r="AD106" s="20">
        <v>43958</v>
      </c>
      <c r="AE106" s="20"/>
      <c r="AF106" s="20"/>
      <c r="AG106" s="20"/>
      <c r="AH106" s="32"/>
      <c r="AI106" s="32"/>
      <c r="AJ106" s="32"/>
      <c r="AK106" s="20"/>
      <c r="AL106" s="16"/>
      <c r="AM106" s="16"/>
      <c r="AN106" s="16"/>
    </row>
    <row r="107" spans="2:40" x14ac:dyDescent="0.25">
      <c r="B107" s="46">
        <f t="shared" si="8"/>
        <v>60</v>
      </c>
      <c r="C107" s="17">
        <v>20200427</v>
      </c>
      <c r="D107" s="16" t="s">
        <v>3</v>
      </c>
      <c r="E107" s="16" t="s">
        <v>296</v>
      </c>
      <c r="F107" s="18" t="s">
        <v>300</v>
      </c>
      <c r="G107" s="60" t="s">
        <v>65</v>
      </c>
      <c r="H107" s="16" t="s">
        <v>294</v>
      </c>
      <c r="I107" s="16" t="s">
        <v>355</v>
      </c>
      <c r="J107" s="16" t="s">
        <v>126</v>
      </c>
      <c r="K107" s="60" t="s">
        <v>65</v>
      </c>
      <c r="L107" s="60" t="s">
        <v>65</v>
      </c>
      <c r="M107" s="60" t="s">
        <v>65</v>
      </c>
      <c r="N107" s="16" t="s">
        <v>171</v>
      </c>
      <c r="O107" s="18" t="s">
        <v>65</v>
      </c>
      <c r="P107" s="18" t="s">
        <v>358</v>
      </c>
      <c r="Q107" s="19"/>
      <c r="R107" s="17" t="s">
        <v>238</v>
      </c>
      <c r="S107" s="16" t="s">
        <v>70</v>
      </c>
      <c r="T107" s="16"/>
      <c r="U107" s="16"/>
      <c r="V107" s="16">
        <v>53</v>
      </c>
      <c r="W107" s="16">
        <f>ROUND(IF(D107=Table!$C$3,Y107*Table!$C$4/8,Y107*Table!$D$4/8),3)</f>
        <v>67.5</v>
      </c>
      <c r="X107" s="16"/>
      <c r="Y107" s="16">
        <v>1.2</v>
      </c>
      <c r="Z107" s="16"/>
      <c r="AA107" s="16"/>
      <c r="AB107" s="16"/>
      <c r="AC107" s="20">
        <v>43946</v>
      </c>
      <c r="AD107" s="20">
        <v>43958</v>
      </c>
      <c r="AE107" s="20"/>
      <c r="AF107" s="20"/>
      <c r="AG107" s="20"/>
      <c r="AH107" s="32"/>
      <c r="AI107" s="32"/>
      <c r="AJ107" s="32"/>
      <c r="AK107" s="20"/>
      <c r="AL107" s="16"/>
      <c r="AM107" s="16"/>
      <c r="AN107" s="16"/>
    </row>
    <row r="108" spans="2:40" x14ac:dyDescent="0.25">
      <c r="B108" s="46">
        <f t="shared" si="8"/>
        <v>61</v>
      </c>
      <c r="C108" s="17">
        <v>20200427</v>
      </c>
      <c r="D108" s="16" t="s">
        <v>3</v>
      </c>
      <c r="E108" s="16" t="s">
        <v>296</v>
      </c>
      <c r="F108" s="18" t="s">
        <v>300</v>
      </c>
      <c r="G108" s="60" t="s">
        <v>65</v>
      </c>
      <c r="H108" s="16" t="s">
        <v>295</v>
      </c>
      <c r="I108" s="16" t="s">
        <v>356</v>
      </c>
      <c r="J108" s="16" t="s">
        <v>126</v>
      </c>
      <c r="K108" s="60" t="s">
        <v>65</v>
      </c>
      <c r="L108" s="60" t="s">
        <v>65</v>
      </c>
      <c r="M108" s="60" t="s">
        <v>65</v>
      </c>
      <c r="N108" s="16" t="s">
        <v>171</v>
      </c>
      <c r="O108" s="18" t="s">
        <v>65</v>
      </c>
      <c r="P108" s="18" t="s">
        <v>358</v>
      </c>
      <c r="Q108" s="19"/>
      <c r="R108" s="17" t="s">
        <v>238</v>
      </c>
      <c r="S108" s="16" t="s">
        <v>70</v>
      </c>
      <c r="T108" s="16"/>
      <c r="U108" s="16"/>
      <c r="V108" s="16">
        <v>54</v>
      </c>
      <c r="W108" s="16">
        <f>ROUND(IF(D108=Table!$C$3,Y108*Table!$C$4/8,Y108*Table!$D$4/8),3)</f>
        <v>72</v>
      </c>
      <c r="X108" s="16"/>
      <c r="Y108" s="16">
        <v>1.28</v>
      </c>
      <c r="Z108" s="16"/>
      <c r="AA108" s="16"/>
      <c r="AB108" s="16"/>
      <c r="AC108" s="20">
        <v>43946</v>
      </c>
      <c r="AD108" s="20">
        <v>43958</v>
      </c>
      <c r="AE108" s="20"/>
      <c r="AF108" s="20"/>
      <c r="AG108" s="20"/>
      <c r="AH108" s="32"/>
      <c r="AI108" s="32"/>
      <c r="AJ108" s="32"/>
      <c r="AK108" s="20"/>
      <c r="AL108" s="16"/>
      <c r="AM108" s="16"/>
      <c r="AN108" s="16"/>
    </row>
    <row r="109" spans="2:40" x14ac:dyDescent="0.25">
      <c r="B109" s="21"/>
      <c r="C109" s="17"/>
      <c r="D109" s="16"/>
      <c r="E109" s="16"/>
      <c r="F109" s="18"/>
      <c r="G109" s="18"/>
      <c r="H109" s="16"/>
      <c r="I109" s="16"/>
      <c r="J109" s="16"/>
      <c r="K109" s="16"/>
      <c r="L109" s="16"/>
      <c r="M109" s="16"/>
      <c r="N109" s="16"/>
      <c r="O109" s="18"/>
      <c r="P109" s="18"/>
      <c r="Q109" s="19"/>
      <c r="R109" s="17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20"/>
      <c r="AD109" s="20"/>
      <c r="AE109" s="20"/>
      <c r="AF109" s="20"/>
      <c r="AG109" s="20"/>
      <c r="AH109" s="32"/>
      <c r="AI109" s="32"/>
      <c r="AJ109" s="32"/>
      <c r="AK109" s="20"/>
      <c r="AL109" s="16"/>
      <c r="AM109" s="16"/>
      <c r="AN109" s="16"/>
    </row>
    <row r="110" spans="2:40" x14ac:dyDescent="0.25">
      <c r="B110" s="21"/>
      <c r="C110" s="17"/>
      <c r="D110" s="16"/>
      <c r="E110" s="16"/>
      <c r="F110" s="18"/>
      <c r="G110" s="18"/>
      <c r="H110" s="16"/>
      <c r="I110" s="16"/>
      <c r="J110" s="16"/>
      <c r="K110" s="16"/>
      <c r="L110" s="16"/>
      <c r="M110" s="16"/>
      <c r="N110" s="16"/>
      <c r="O110" s="18"/>
      <c r="P110" s="18"/>
      <c r="Q110" s="19"/>
      <c r="R110" s="17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20"/>
      <c r="AD110" s="20"/>
      <c r="AE110" s="20"/>
      <c r="AF110" s="20"/>
      <c r="AG110" s="20"/>
      <c r="AH110" s="32"/>
      <c r="AI110" s="32"/>
      <c r="AJ110" s="32"/>
      <c r="AK110" s="20"/>
      <c r="AL110" s="16"/>
      <c r="AM110" s="16"/>
      <c r="AN110" s="16"/>
    </row>
    <row r="111" spans="2:40" x14ac:dyDescent="0.25">
      <c r="B111" s="21"/>
      <c r="C111" s="17"/>
      <c r="D111" s="16"/>
      <c r="E111" s="16"/>
      <c r="F111" s="18"/>
      <c r="G111" s="18"/>
      <c r="H111" s="16"/>
      <c r="I111" s="16"/>
      <c r="J111" s="16"/>
      <c r="K111" s="16"/>
      <c r="L111" s="16"/>
      <c r="M111" s="16"/>
      <c r="N111" s="16"/>
      <c r="O111" s="18"/>
      <c r="P111" s="18"/>
      <c r="Q111" s="19"/>
      <c r="R111" s="17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20"/>
      <c r="AD111" s="20"/>
      <c r="AE111" s="20"/>
      <c r="AF111" s="20"/>
      <c r="AG111" s="20"/>
      <c r="AH111" s="32"/>
      <c r="AI111" s="32"/>
      <c r="AJ111" s="32"/>
      <c r="AK111" s="20"/>
      <c r="AL111" s="16"/>
      <c r="AM111" s="16"/>
      <c r="AN111" s="16"/>
    </row>
    <row r="112" spans="2:40" x14ac:dyDescent="0.25">
      <c r="B112" s="21"/>
      <c r="C112" s="17"/>
      <c r="D112" s="16"/>
      <c r="E112" s="16"/>
      <c r="F112" s="18"/>
      <c r="G112" s="18"/>
      <c r="H112" s="16"/>
      <c r="I112" s="16"/>
      <c r="J112" s="16"/>
      <c r="K112" s="16"/>
      <c r="L112" s="16"/>
      <c r="M112" s="16"/>
      <c r="N112" s="16"/>
      <c r="O112" s="18"/>
      <c r="P112" s="18"/>
      <c r="Q112" s="19"/>
      <c r="R112" s="17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20"/>
      <c r="AD112" s="20"/>
      <c r="AE112" s="20"/>
      <c r="AF112" s="20"/>
      <c r="AG112" s="20"/>
      <c r="AH112" s="32"/>
      <c r="AI112" s="32"/>
      <c r="AJ112" s="32"/>
      <c r="AK112" s="20"/>
      <c r="AL112" s="16"/>
      <c r="AM112" s="16"/>
      <c r="AN112" s="16"/>
    </row>
    <row r="113" spans="2:40" x14ac:dyDescent="0.25">
      <c r="B113" s="21"/>
      <c r="C113" s="17"/>
      <c r="D113" s="16"/>
      <c r="E113" s="16"/>
      <c r="F113" s="18"/>
      <c r="G113" s="18"/>
      <c r="H113" s="16"/>
      <c r="I113" s="16"/>
      <c r="J113" s="16"/>
      <c r="K113" s="16"/>
      <c r="L113" s="16"/>
      <c r="M113" s="16"/>
      <c r="N113" s="16"/>
      <c r="O113" s="18"/>
      <c r="P113" s="18"/>
      <c r="Q113" s="19"/>
      <c r="R113" s="17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20"/>
      <c r="AD113" s="20"/>
      <c r="AE113" s="20"/>
      <c r="AF113" s="20"/>
      <c r="AG113" s="20"/>
      <c r="AH113" s="32"/>
      <c r="AI113" s="32"/>
      <c r="AJ113" s="32"/>
      <c r="AK113" s="20"/>
      <c r="AL113" s="16"/>
      <c r="AM113" s="16"/>
      <c r="AN113" s="16"/>
    </row>
    <row r="114" spans="2:40" x14ac:dyDescent="0.25">
      <c r="B114" s="21"/>
      <c r="C114" s="17"/>
      <c r="D114" s="16"/>
      <c r="E114" s="16"/>
      <c r="F114" s="18"/>
      <c r="G114" s="18"/>
      <c r="H114" s="16"/>
      <c r="I114" s="16"/>
      <c r="J114" s="16"/>
      <c r="K114" s="16"/>
      <c r="L114" s="16"/>
      <c r="M114" s="16"/>
      <c r="N114" s="16"/>
      <c r="O114" s="18"/>
      <c r="P114" s="18"/>
      <c r="Q114" s="19"/>
      <c r="R114" s="17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20"/>
      <c r="AD114" s="20"/>
      <c r="AE114" s="20"/>
      <c r="AF114" s="20"/>
      <c r="AG114" s="20"/>
      <c r="AH114" s="32"/>
      <c r="AI114" s="32"/>
      <c r="AJ114" s="32"/>
      <c r="AK114" s="20"/>
      <c r="AL114" s="16"/>
      <c r="AM114" s="16"/>
      <c r="AN114" s="16"/>
    </row>
    <row r="115" spans="2:40" x14ac:dyDescent="0.25">
      <c r="B115" s="21"/>
      <c r="C115" s="17"/>
      <c r="D115" s="16"/>
      <c r="E115" s="16"/>
      <c r="F115" s="18"/>
      <c r="G115" s="18"/>
      <c r="H115" s="16"/>
      <c r="I115" s="16"/>
      <c r="J115" s="16"/>
      <c r="K115" s="16"/>
      <c r="L115" s="16"/>
      <c r="M115" s="16"/>
      <c r="N115" s="16"/>
      <c r="O115" s="18"/>
      <c r="P115" s="18"/>
      <c r="Q115" s="19"/>
      <c r="R115" s="17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20"/>
      <c r="AD115" s="20"/>
      <c r="AE115" s="20"/>
      <c r="AF115" s="20"/>
      <c r="AG115" s="20"/>
      <c r="AH115" s="32"/>
      <c r="AI115" s="32"/>
      <c r="AJ115" s="32"/>
      <c r="AK115" s="20"/>
      <c r="AL115" s="16"/>
      <c r="AM115" s="16"/>
      <c r="AN115" s="16"/>
    </row>
    <row r="116" spans="2:40" x14ac:dyDescent="0.25">
      <c r="B116" s="21"/>
      <c r="C116" s="17"/>
      <c r="D116" s="16"/>
      <c r="E116" s="16"/>
      <c r="F116" s="18"/>
      <c r="G116" s="18"/>
      <c r="H116" s="16"/>
      <c r="I116" s="16"/>
      <c r="J116" s="16"/>
      <c r="K116" s="16"/>
      <c r="L116" s="16"/>
      <c r="M116" s="16"/>
      <c r="N116" s="16"/>
      <c r="O116" s="18"/>
      <c r="P116" s="18"/>
      <c r="Q116" s="19"/>
      <c r="R116" s="17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20"/>
      <c r="AD116" s="20"/>
      <c r="AE116" s="20"/>
      <c r="AF116" s="20"/>
      <c r="AG116" s="20"/>
      <c r="AH116" s="32"/>
      <c r="AI116" s="32"/>
      <c r="AJ116" s="32"/>
      <c r="AK116" s="20"/>
      <c r="AL116" s="16"/>
      <c r="AM116" s="16"/>
      <c r="AN116" s="16"/>
    </row>
    <row r="117" spans="2:40" x14ac:dyDescent="0.25">
      <c r="B117" s="21"/>
      <c r="C117" s="17"/>
      <c r="D117" s="16"/>
      <c r="E117" s="16"/>
      <c r="F117" s="18"/>
      <c r="G117" s="18"/>
      <c r="H117" s="16"/>
      <c r="I117" s="16"/>
      <c r="J117" s="16"/>
      <c r="K117" s="16"/>
      <c r="L117" s="16"/>
      <c r="M117" s="16"/>
      <c r="N117" s="16"/>
      <c r="O117" s="18"/>
      <c r="P117" s="18"/>
      <c r="Q117" s="19"/>
      <c r="R117" s="17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20"/>
      <c r="AD117" s="20"/>
      <c r="AE117" s="20"/>
      <c r="AF117" s="20"/>
      <c r="AG117" s="20"/>
      <c r="AH117" s="32"/>
      <c r="AI117" s="32"/>
      <c r="AJ117" s="32"/>
      <c r="AK117" s="20"/>
      <c r="AL117" s="16"/>
      <c r="AM117" s="16"/>
      <c r="AN117" s="16"/>
    </row>
    <row r="118" spans="2:40" x14ac:dyDescent="0.25">
      <c r="B118" s="21"/>
      <c r="C118" s="17"/>
      <c r="D118" s="16"/>
      <c r="E118" s="16"/>
      <c r="F118" s="18"/>
      <c r="G118" s="18"/>
      <c r="H118" s="16"/>
      <c r="I118" s="16"/>
      <c r="J118" s="16"/>
      <c r="K118" s="16"/>
      <c r="L118" s="16"/>
      <c r="M118" s="16"/>
      <c r="N118" s="16"/>
      <c r="O118" s="18"/>
      <c r="P118" s="18"/>
      <c r="Q118" s="19"/>
      <c r="R118" s="17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20"/>
      <c r="AD118" s="20"/>
      <c r="AE118" s="20"/>
      <c r="AF118" s="20"/>
      <c r="AG118" s="20"/>
      <c r="AH118" s="32"/>
      <c r="AI118" s="32"/>
      <c r="AJ118" s="32"/>
      <c r="AK118" s="20"/>
      <c r="AL118" s="16"/>
      <c r="AM118" s="16"/>
      <c r="AN118" s="16"/>
    </row>
    <row r="119" spans="2:40" x14ac:dyDescent="0.25">
      <c r="B119" s="21"/>
      <c r="C119" s="17"/>
      <c r="D119" s="16"/>
      <c r="E119" s="16"/>
      <c r="F119" s="18"/>
      <c r="G119" s="18"/>
      <c r="H119" s="16"/>
      <c r="I119" s="16"/>
      <c r="J119" s="16"/>
      <c r="K119" s="16"/>
      <c r="L119" s="16"/>
      <c r="M119" s="16"/>
      <c r="N119" s="16"/>
      <c r="O119" s="18"/>
      <c r="P119" s="18"/>
      <c r="Q119" s="19"/>
      <c r="R119" s="17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20"/>
      <c r="AD119" s="20"/>
      <c r="AE119" s="20"/>
      <c r="AF119" s="20"/>
      <c r="AG119" s="20"/>
      <c r="AH119" s="32"/>
      <c r="AI119" s="32"/>
      <c r="AJ119" s="32"/>
      <c r="AK119" s="20"/>
      <c r="AL119" s="16"/>
      <c r="AM119" s="16"/>
      <c r="AN119" s="16"/>
    </row>
    <row r="120" spans="2:40" x14ac:dyDescent="0.25">
      <c r="B120" s="21"/>
      <c r="C120" s="17"/>
      <c r="D120" s="16"/>
      <c r="E120" s="16"/>
      <c r="F120" s="18"/>
      <c r="G120" s="18"/>
      <c r="H120" s="16"/>
      <c r="I120" s="16"/>
      <c r="J120" s="16"/>
      <c r="K120" s="16"/>
      <c r="L120" s="16"/>
      <c r="M120" s="16"/>
      <c r="N120" s="16"/>
      <c r="O120" s="18"/>
      <c r="P120" s="18"/>
      <c r="Q120" s="19"/>
      <c r="R120" s="17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20"/>
      <c r="AD120" s="20"/>
      <c r="AE120" s="20"/>
      <c r="AF120" s="20"/>
      <c r="AG120" s="20"/>
      <c r="AH120" s="32"/>
      <c r="AI120" s="32"/>
      <c r="AJ120" s="32"/>
      <c r="AK120" s="20"/>
      <c r="AL120" s="16"/>
      <c r="AM120" s="16"/>
      <c r="AN120" s="16"/>
    </row>
    <row r="121" spans="2:40" x14ac:dyDescent="0.25">
      <c r="B121" s="21"/>
      <c r="C121" s="17"/>
      <c r="D121" s="16"/>
      <c r="E121" s="16"/>
      <c r="F121" s="18"/>
      <c r="G121" s="18"/>
      <c r="H121" s="16"/>
      <c r="I121" s="16"/>
      <c r="J121" s="16"/>
      <c r="K121" s="16"/>
      <c r="L121" s="16"/>
      <c r="M121" s="16"/>
      <c r="N121" s="16"/>
      <c r="O121" s="18"/>
      <c r="P121" s="18"/>
      <c r="Q121" s="19"/>
      <c r="R121" s="17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20"/>
      <c r="AD121" s="20"/>
      <c r="AE121" s="20"/>
      <c r="AF121" s="20"/>
      <c r="AG121" s="20"/>
      <c r="AH121" s="32"/>
      <c r="AI121" s="32"/>
      <c r="AJ121" s="32"/>
      <c r="AK121" s="20"/>
      <c r="AL121" s="16"/>
      <c r="AM121" s="16"/>
      <c r="AN121" s="16"/>
    </row>
    <row r="122" spans="2:40" x14ac:dyDescent="0.25">
      <c r="B122" s="21"/>
      <c r="C122" s="17"/>
      <c r="D122" s="16"/>
      <c r="E122" s="16"/>
      <c r="F122" s="18"/>
      <c r="G122" s="18"/>
      <c r="H122" s="16"/>
      <c r="I122" s="16"/>
      <c r="J122" s="16"/>
      <c r="K122" s="16"/>
      <c r="L122" s="16"/>
      <c r="M122" s="16"/>
      <c r="N122" s="16"/>
      <c r="O122" s="18"/>
      <c r="P122" s="18"/>
      <c r="Q122" s="19"/>
      <c r="R122" s="17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20"/>
      <c r="AD122" s="20"/>
      <c r="AE122" s="20"/>
      <c r="AF122" s="20"/>
      <c r="AG122" s="20"/>
      <c r="AH122" s="32"/>
      <c r="AI122" s="32"/>
      <c r="AJ122" s="32"/>
      <c r="AK122" s="20"/>
      <c r="AL122" s="16"/>
      <c r="AM122" s="16"/>
      <c r="AN122" s="16"/>
    </row>
    <row r="123" spans="2:40" x14ac:dyDescent="0.25">
      <c r="B123" s="21"/>
      <c r="C123" s="17"/>
      <c r="D123" s="16"/>
      <c r="E123" s="16"/>
      <c r="F123" s="18"/>
      <c r="G123" s="18"/>
      <c r="H123" s="16"/>
      <c r="I123" s="16"/>
      <c r="J123" s="16"/>
      <c r="K123" s="16"/>
      <c r="L123" s="16"/>
      <c r="M123" s="16"/>
      <c r="N123" s="16"/>
      <c r="O123" s="18"/>
      <c r="P123" s="18"/>
      <c r="Q123" s="19"/>
      <c r="R123" s="17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20"/>
      <c r="AD123" s="20"/>
      <c r="AE123" s="20"/>
      <c r="AF123" s="20"/>
      <c r="AG123" s="20"/>
      <c r="AH123" s="32"/>
      <c r="AI123" s="32"/>
      <c r="AJ123" s="32"/>
      <c r="AK123" s="20"/>
      <c r="AL123" s="16"/>
      <c r="AM123" s="16"/>
      <c r="AN123" s="16"/>
    </row>
    <row r="124" spans="2:40" x14ac:dyDescent="0.25">
      <c r="B124" s="21"/>
      <c r="C124" s="17"/>
      <c r="D124" s="16"/>
      <c r="E124" s="16"/>
      <c r="F124" s="18"/>
      <c r="G124" s="18"/>
      <c r="H124" s="16"/>
      <c r="I124" s="16"/>
      <c r="J124" s="16"/>
      <c r="K124" s="16"/>
      <c r="L124" s="16"/>
      <c r="M124" s="16"/>
      <c r="N124" s="16"/>
      <c r="O124" s="18"/>
      <c r="P124" s="18"/>
      <c r="Q124" s="19"/>
      <c r="R124" s="17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20"/>
      <c r="AD124" s="20"/>
      <c r="AE124" s="20"/>
      <c r="AF124" s="20"/>
      <c r="AG124" s="20"/>
      <c r="AH124" s="32"/>
      <c r="AI124" s="32"/>
      <c r="AJ124" s="32"/>
      <c r="AK124" s="20"/>
      <c r="AL124" s="16"/>
      <c r="AM124" s="16"/>
      <c r="AN124" s="16"/>
    </row>
    <row r="125" spans="2:40" x14ac:dyDescent="0.25">
      <c r="B125" s="21"/>
      <c r="C125" s="17"/>
      <c r="D125" s="16"/>
      <c r="E125" s="16"/>
      <c r="F125" s="18"/>
      <c r="G125" s="18"/>
      <c r="H125" s="16"/>
      <c r="I125" s="16"/>
      <c r="J125" s="16"/>
      <c r="K125" s="16"/>
      <c r="L125" s="16"/>
      <c r="M125" s="16"/>
      <c r="N125" s="16"/>
      <c r="O125" s="18"/>
      <c r="P125" s="18"/>
      <c r="Q125" s="19"/>
      <c r="R125" s="17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20"/>
      <c r="AD125" s="20"/>
      <c r="AE125" s="20"/>
      <c r="AF125" s="20"/>
      <c r="AG125" s="20"/>
      <c r="AH125" s="32"/>
      <c r="AI125" s="32"/>
      <c r="AJ125" s="32"/>
      <c r="AK125" s="20"/>
      <c r="AL125" s="16"/>
      <c r="AM125" s="16"/>
      <c r="AN125" s="16"/>
    </row>
    <row r="126" spans="2:40" x14ac:dyDescent="0.25">
      <c r="B126" s="21"/>
      <c r="C126" s="17"/>
      <c r="D126" s="16"/>
      <c r="E126" s="16"/>
      <c r="F126" s="18"/>
      <c r="G126" s="18"/>
      <c r="H126" s="16"/>
      <c r="I126" s="16"/>
      <c r="J126" s="16"/>
      <c r="K126" s="16"/>
      <c r="L126" s="16"/>
      <c r="M126" s="16"/>
      <c r="N126" s="16"/>
      <c r="O126" s="18"/>
      <c r="P126" s="18"/>
      <c r="Q126" s="19"/>
      <c r="R126" s="17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20"/>
      <c r="AD126" s="20"/>
      <c r="AE126" s="20"/>
      <c r="AF126" s="20"/>
      <c r="AG126" s="20"/>
      <c r="AH126" s="32"/>
      <c r="AI126" s="32"/>
      <c r="AJ126" s="32"/>
      <c r="AK126" s="20"/>
      <c r="AL126" s="16"/>
      <c r="AM126" s="16"/>
      <c r="AN126" s="16"/>
    </row>
    <row r="127" spans="2:40" x14ac:dyDescent="0.25">
      <c r="B127" s="21"/>
      <c r="C127" s="17"/>
      <c r="D127" s="16"/>
      <c r="E127" s="16"/>
      <c r="F127" s="18"/>
      <c r="G127" s="18"/>
      <c r="H127" s="16"/>
      <c r="I127" s="16"/>
      <c r="J127" s="16"/>
      <c r="K127" s="16"/>
      <c r="L127" s="16"/>
      <c r="M127" s="16"/>
      <c r="N127" s="16"/>
      <c r="O127" s="18"/>
      <c r="P127" s="18"/>
      <c r="Q127" s="19"/>
      <c r="R127" s="17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20"/>
      <c r="AD127" s="20"/>
      <c r="AE127" s="20"/>
      <c r="AF127" s="20"/>
      <c r="AG127" s="20"/>
      <c r="AH127" s="32"/>
      <c r="AI127" s="32"/>
      <c r="AJ127" s="32"/>
      <c r="AK127" s="20"/>
      <c r="AL127" s="16"/>
      <c r="AM127" s="16"/>
      <c r="AN127" s="16"/>
    </row>
    <row r="128" spans="2:40" x14ac:dyDescent="0.25">
      <c r="B128" s="21"/>
      <c r="C128" s="17"/>
      <c r="D128" s="16"/>
      <c r="E128" s="16"/>
      <c r="F128" s="18"/>
      <c r="G128" s="18"/>
      <c r="H128" s="16"/>
      <c r="I128" s="16"/>
      <c r="J128" s="16"/>
      <c r="K128" s="16"/>
      <c r="L128" s="16"/>
      <c r="M128" s="16"/>
      <c r="N128" s="16"/>
      <c r="O128" s="18"/>
      <c r="P128" s="18"/>
      <c r="Q128" s="19"/>
      <c r="R128" s="17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20"/>
      <c r="AD128" s="20"/>
      <c r="AE128" s="20"/>
      <c r="AF128" s="20"/>
      <c r="AG128" s="20"/>
      <c r="AH128" s="32"/>
      <c r="AI128" s="32"/>
      <c r="AJ128" s="32"/>
      <c r="AK128" s="20"/>
      <c r="AL128" s="16"/>
      <c r="AM128" s="16"/>
      <c r="AN128" s="16"/>
    </row>
    <row r="129" spans="2:40" x14ac:dyDescent="0.25">
      <c r="B129" s="21"/>
      <c r="C129" s="17"/>
      <c r="D129" s="16"/>
      <c r="E129" s="16"/>
      <c r="F129" s="18"/>
      <c r="G129" s="18"/>
      <c r="H129" s="16"/>
      <c r="I129" s="16"/>
      <c r="J129" s="16"/>
      <c r="K129" s="16"/>
      <c r="L129" s="16"/>
      <c r="M129" s="16"/>
      <c r="N129" s="16"/>
      <c r="O129" s="18"/>
      <c r="P129" s="18"/>
      <c r="Q129" s="19"/>
      <c r="R129" s="17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20"/>
      <c r="AD129" s="20"/>
      <c r="AE129" s="20"/>
      <c r="AF129" s="20"/>
      <c r="AG129" s="20"/>
      <c r="AH129" s="32"/>
      <c r="AI129" s="32"/>
      <c r="AJ129" s="32"/>
      <c r="AK129" s="20"/>
      <c r="AL129" s="16"/>
      <c r="AM129" s="16"/>
      <c r="AN129" s="16"/>
    </row>
    <row r="130" spans="2:40" x14ac:dyDescent="0.25">
      <c r="B130" s="21"/>
      <c r="C130" s="17"/>
      <c r="D130" s="16"/>
      <c r="E130" s="16"/>
      <c r="F130" s="18"/>
      <c r="G130" s="18"/>
      <c r="H130" s="16"/>
      <c r="I130" s="16"/>
      <c r="J130" s="16"/>
      <c r="K130" s="16"/>
      <c r="L130" s="16"/>
      <c r="M130" s="16"/>
      <c r="N130" s="16"/>
      <c r="O130" s="18"/>
      <c r="P130" s="18"/>
      <c r="Q130" s="19"/>
      <c r="R130" s="17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20"/>
      <c r="AD130" s="20"/>
      <c r="AE130" s="20"/>
      <c r="AF130" s="20"/>
      <c r="AG130" s="20"/>
      <c r="AH130" s="32"/>
      <c r="AI130" s="32"/>
      <c r="AJ130" s="32"/>
      <c r="AK130" s="20"/>
      <c r="AL130" s="16"/>
      <c r="AM130" s="16"/>
      <c r="AN130" s="16"/>
    </row>
    <row r="131" spans="2:40" x14ac:dyDescent="0.25">
      <c r="B131" s="21"/>
      <c r="C131" s="17"/>
      <c r="D131" s="16"/>
      <c r="E131" s="16"/>
      <c r="F131" s="18"/>
      <c r="G131" s="18"/>
      <c r="H131" s="16"/>
      <c r="I131" s="16"/>
      <c r="J131" s="16"/>
      <c r="K131" s="16"/>
      <c r="L131" s="16"/>
      <c r="M131" s="16"/>
      <c r="N131" s="16"/>
      <c r="O131" s="18"/>
      <c r="P131" s="18"/>
      <c r="Q131" s="19"/>
      <c r="R131" s="17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20"/>
      <c r="AD131" s="20"/>
      <c r="AE131" s="20"/>
      <c r="AF131" s="20"/>
      <c r="AG131" s="20"/>
      <c r="AH131" s="32"/>
      <c r="AI131" s="32"/>
      <c r="AJ131" s="32"/>
      <c r="AK131" s="20"/>
      <c r="AL131" s="16"/>
      <c r="AM131" s="16"/>
      <c r="AN131" s="16"/>
    </row>
    <row r="132" spans="2:40" x14ac:dyDescent="0.25">
      <c r="B132" s="21"/>
      <c r="C132" s="17"/>
      <c r="D132" s="16"/>
      <c r="E132" s="16"/>
      <c r="F132" s="18"/>
      <c r="G132" s="18"/>
      <c r="H132" s="16"/>
      <c r="I132" s="16"/>
      <c r="J132" s="16"/>
      <c r="K132" s="16"/>
      <c r="L132" s="16"/>
      <c r="M132" s="16"/>
      <c r="N132" s="16"/>
      <c r="O132" s="18"/>
      <c r="P132" s="18"/>
      <c r="Q132" s="19"/>
      <c r="R132" s="17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20"/>
      <c r="AD132" s="20"/>
      <c r="AE132" s="20"/>
      <c r="AF132" s="20"/>
      <c r="AG132" s="20"/>
      <c r="AH132" s="32"/>
      <c r="AI132" s="32"/>
      <c r="AJ132" s="32"/>
      <c r="AK132" s="20"/>
      <c r="AL132" s="16"/>
      <c r="AM132" s="16"/>
      <c r="AN132" s="16"/>
    </row>
    <row r="133" spans="2:40" x14ac:dyDescent="0.25">
      <c r="B133" s="21"/>
      <c r="C133" s="17"/>
      <c r="D133" s="16"/>
      <c r="E133" s="16"/>
      <c r="F133" s="18"/>
      <c r="G133" s="18"/>
      <c r="H133" s="16"/>
      <c r="I133" s="16"/>
      <c r="J133" s="16"/>
      <c r="K133" s="16"/>
      <c r="L133" s="16"/>
      <c r="M133" s="16"/>
      <c r="N133" s="16"/>
      <c r="O133" s="18"/>
      <c r="P133" s="18"/>
      <c r="Q133" s="19"/>
      <c r="R133" s="17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20"/>
      <c r="AD133" s="20"/>
      <c r="AE133" s="20"/>
      <c r="AF133" s="20"/>
      <c r="AG133" s="20"/>
      <c r="AH133" s="32"/>
      <c r="AI133" s="32"/>
      <c r="AJ133" s="32"/>
      <c r="AK133" s="20"/>
      <c r="AL133" s="16"/>
      <c r="AM133" s="16"/>
      <c r="AN133" s="16"/>
    </row>
    <row r="134" spans="2:40" x14ac:dyDescent="0.25">
      <c r="B134" s="21"/>
      <c r="C134" s="17"/>
      <c r="D134" s="16"/>
      <c r="E134" s="16"/>
      <c r="F134" s="18"/>
      <c r="G134" s="18"/>
      <c r="H134" s="16"/>
      <c r="I134" s="16"/>
      <c r="J134" s="16"/>
      <c r="K134" s="16"/>
      <c r="L134" s="16"/>
      <c r="M134" s="16"/>
      <c r="N134" s="16"/>
      <c r="O134" s="18"/>
      <c r="P134" s="18"/>
      <c r="Q134" s="19"/>
      <c r="R134" s="17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20"/>
      <c r="AD134" s="20"/>
      <c r="AE134" s="20"/>
      <c r="AF134" s="20"/>
      <c r="AG134" s="20"/>
      <c r="AH134" s="32"/>
      <c r="AI134" s="32"/>
      <c r="AJ134" s="32"/>
      <c r="AK134" s="20"/>
      <c r="AL134" s="16"/>
      <c r="AM134" s="16"/>
      <c r="AN134" s="16"/>
    </row>
    <row r="135" spans="2:40" x14ac:dyDescent="0.25">
      <c r="B135" s="21"/>
      <c r="C135" s="17"/>
      <c r="D135" s="16"/>
      <c r="E135" s="16"/>
      <c r="F135" s="18"/>
      <c r="G135" s="18"/>
      <c r="H135" s="16"/>
      <c r="I135" s="16"/>
      <c r="J135" s="16"/>
      <c r="K135" s="16"/>
      <c r="L135" s="16"/>
      <c r="M135" s="16"/>
      <c r="N135" s="16"/>
      <c r="O135" s="18"/>
      <c r="P135" s="18"/>
      <c r="Q135" s="19"/>
      <c r="R135" s="17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20"/>
      <c r="AD135" s="20"/>
      <c r="AE135" s="20"/>
      <c r="AF135" s="20"/>
      <c r="AG135" s="20"/>
      <c r="AH135" s="32"/>
      <c r="AI135" s="32"/>
      <c r="AJ135" s="32"/>
      <c r="AK135" s="20"/>
      <c r="AL135" s="16"/>
      <c r="AM135" s="16"/>
      <c r="AN135" s="16"/>
    </row>
    <row r="136" spans="2:40" x14ac:dyDescent="0.25">
      <c r="B136" s="21"/>
      <c r="C136" s="17"/>
      <c r="D136" s="16"/>
      <c r="E136" s="16"/>
      <c r="F136" s="18"/>
      <c r="G136" s="18"/>
      <c r="H136" s="16"/>
      <c r="I136" s="16"/>
      <c r="J136" s="16"/>
      <c r="K136" s="16"/>
      <c r="L136" s="16"/>
      <c r="M136" s="16"/>
      <c r="N136" s="16"/>
      <c r="O136" s="18"/>
      <c r="P136" s="18"/>
      <c r="Q136" s="19"/>
      <c r="R136" s="17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20"/>
      <c r="AD136" s="20"/>
      <c r="AE136" s="20"/>
      <c r="AF136" s="20"/>
      <c r="AG136" s="20"/>
      <c r="AH136" s="32"/>
      <c r="AI136" s="32"/>
      <c r="AJ136" s="32"/>
      <c r="AK136" s="20"/>
      <c r="AL136" s="16"/>
      <c r="AM136" s="16"/>
      <c r="AN136" s="16"/>
    </row>
    <row r="137" spans="2:40" x14ac:dyDescent="0.25">
      <c r="B137" s="21"/>
      <c r="C137" s="17"/>
      <c r="D137" s="16"/>
      <c r="E137" s="16"/>
      <c r="F137" s="18"/>
      <c r="G137" s="18"/>
      <c r="H137" s="16"/>
      <c r="I137" s="16"/>
      <c r="J137" s="16"/>
      <c r="K137" s="16"/>
      <c r="L137" s="16"/>
      <c r="M137" s="16"/>
      <c r="N137" s="16"/>
      <c r="O137" s="18"/>
      <c r="P137" s="18"/>
      <c r="Q137" s="19"/>
      <c r="R137" s="17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20"/>
      <c r="AD137" s="20"/>
      <c r="AE137" s="20"/>
      <c r="AF137" s="20"/>
      <c r="AG137" s="20"/>
      <c r="AH137" s="32"/>
      <c r="AI137" s="32"/>
      <c r="AJ137" s="32"/>
      <c r="AK137" s="20"/>
      <c r="AL137" s="16"/>
      <c r="AM137" s="16"/>
      <c r="AN137" s="16"/>
    </row>
    <row r="138" spans="2:40" x14ac:dyDescent="0.25">
      <c r="B138" s="21"/>
      <c r="C138" s="17"/>
      <c r="D138" s="16"/>
      <c r="E138" s="16"/>
      <c r="F138" s="18"/>
      <c r="G138" s="18"/>
      <c r="H138" s="16"/>
      <c r="I138" s="16"/>
      <c r="J138" s="16"/>
      <c r="K138" s="16"/>
      <c r="L138" s="16"/>
      <c r="M138" s="16"/>
      <c r="N138" s="16"/>
      <c r="O138" s="18"/>
      <c r="P138" s="18"/>
      <c r="Q138" s="19"/>
      <c r="R138" s="17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20"/>
      <c r="AD138" s="20"/>
      <c r="AE138" s="20"/>
      <c r="AF138" s="20"/>
      <c r="AG138" s="20"/>
      <c r="AH138" s="32"/>
      <c r="AI138" s="32"/>
      <c r="AJ138" s="32"/>
      <c r="AK138" s="20"/>
      <c r="AL138" s="16"/>
      <c r="AM138" s="16"/>
      <c r="AN138" s="16"/>
    </row>
    <row r="139" spans="2:40" x14ac:dyDescent="0.25">
      <c r="B139" s="21"/>
      <c r="C139" s="17"/>
      <c r="D139" s="16"/>
      <c r="E139" s="16"/>
      <c r="F139" s="18"/>
      <c r="G139" s="18"/>
      <c r="H139" s="16"/>
      <c r="I139" s="16"/>
      <c r="J139" s="16"/>
      <c r="K139" s="16"/>
      <c r="L139" s="16"/>
      <c r="M139" s="16"/>
      <c r="N139" s="16"/>
      <c r="O139" s="18"/>
      <c r="P139" s="18"/>
      <c r="Q139" s="19"/>
      <c r="R139" s="17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20"/>
      <c r="AD139" s="20"/>
      <c r="AE139" s="20"/>
      <c r="AF139" s="20"/>
      <c r="AG139" s="20"/>
      <c r="AH139" s="32"/>
      <c r="AI139" s="32"/>
      <c r="AJ139" s="32"/>
      <c r="AK139" s="20"/>
      <c r="AL139" s="16"/>
      <c r="AM139" s="16"/>
      <c r="AN139" s="16"/>
    </row>
    <row r="140" spans="2:40" x14ac:dyDescent="0.25">
      <c r="B140" s="21"/>
      <c r="C140" s="17"/>
      <c r="D140" s="16"/>
      <c r="E140" s="16"/>
      <c r="F140" s="18"/>
      <c r="G140" s="18"/>
      <c r="H140" s="16"/>
      <c r="I140" s="16"/>
      <c r="J140" s="16"/>
      <c r="K140" s="16"/>
      <c r="L140" s="16"/>
      <c r="M140" s="16"/>
      <c r="N140" s="16"/>
      <c r="O140" s="18"/>
      <c r="P140" s="18"/>
      <c r="Q140" s="19"/>
      <c r="R140" s="17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20"/>
      <c r="AD140" s="20"/>
      <c r="AE140" s="20"/>
      <c r="AF140" s="20"/>
      <c r="AG140" s="20"/>
      <c r="AH140" s="32"/>
      <c r="AI140" s="32"/>
      <c r="AJ140" s="32"/>
      <c r="AK140" s="20"/>
      <c r="AL140" s="16"/>
      <c r="AM140" s="16"/>
      <c r="AN140" s="16"/>
    </row>
    <row r="141" spans="2:40" x14ac:dyDescent="0.25">
      <c r="B141" s="21"/>
      <c r="C141" s="17"/>
      <c r="D141" s="16"/>
      <c r="E141" s="16"/>
      <c r="F141" s="18"/>
      <c r="G141" s="18"/>
      <c r="H141" s="16"/>
      <c r="I141" s="16"/>
      <c r="J141" s="16"/>
      <c r="K141" s="16"/>
      <c r="L141" s="16"/>
      <c r="M141" s="16"/>
      <c r="N141" s="16"/>
      <c r="O141" s="18"/>
      <c r="P141" s="18"/>
      <c r="Q141" s="19"/>
      <c r="R141" s="17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20"/>
      <c r="AD141" s="20"/>
      <c r="AE141" s="20"/>
      <c r="AF141" s="20"/>
      <c r="AG141" s="20"/>
      <c r="AH141" s="32"/>
      <c r="AI141" s="32"/>
      <c r="AJ141" s="32"/>
      <c r="AK141" s="20"/>
      <c r="AL141" s="16"/>
      <c r="AM141" s="16"/>
      <c r="AN141" s="16"/>
    </row>
    <row r="142" spans="2:40" x14ac:dyDescent="0.25">
      <c r="B142" s="21"/>
      <c r="C142" s="17"/>
      <c r="D142" s="16"/>
      <c r="E142" s="16"/>
      <c r="F142" s="18"/>
      <c r="G142" s="18"/>
      <c r="H142" s="16"/>
      <c r="I142" s="16"/>
      <c r="J142" s="16"/>
      <c r="K142" s="16"/>
      <c r="L142" s="16"/>
      <c r="M142" s="16"/>
      <c r="N142" s="16"/>
      <c r="O142" s="18"/>
      <c r="P142" s="18"/>
      <c r="Q142" s="19"/>
      <c r="R142" s="17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20"/>
      <c r="AD142" s="20"/>
      <c r="AE142" s="20"/>
      <c r="AF142" s="20"/>
      <c r="AG142" s="20"/>
      <c r="AH142" s="32"/>
      <c r="AI142" s="32"/>
      <c r="AJ142" s="32"/>
      <c r="AK142" s="20"/>
      <c r="AL142" s="16"/>
      <c r="AM142" s="16"/>
      <c r="AN142" s="16"/>
    </row>
    <row r="143" spans="2:40" x14ac:dyDescent="0.25">
      <c r="B143" s="21"/>
      <c r="C143" s="17"/>
      <c r="D143" s="16"/>
      <c r="E143" s="16"/>
      <c r="F143" s="18"/>
      <c r="G143" s="18"/>
      <c r="H143" s="16"/>
      <c r="I143" s="16"/>
      <c r="J143" s="16"/>
      <c r="K143" s="16"/>
      <c r="L143" s="16"/>
      <c r="M143" s="16"/>
      <c r="N143" s="16"/>
      <c r="O143" s="18"/>
      <c r="P143" s="18"/>
      <c r="Q143" s="19"/>
      <c r="R143" s="17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20"/>
      <c r="AD143" s="20"/>
      <c r="AE143" s="20"/>
      <c r="AF143" s="20"/>
      <c r="AG143" s="20"/>
      <c r="AH143" s="32"/>
      <c r="AI143" s="32"/>
      <c r="AJ143" s="32"/>
      <c r="AK143" s="20"/>
      <c r="AL143" s="16"/>
      <c r="AM143" s="16"/>
      <c r="AN143" s="16"/>
    </row>
    <row r="144" spans="2:40" x14ac:dyDescent="0.25">
      <c r="B144" s="21"/>
      <c r="C144" s="17"/>
      <c r="D144" s="16"/>
      <c r="E144" s="16"/>
      <c r="F144" s="18"/>
      <c r="G144" s="18"/>
      <c r="H144" s="16"/>
      <c r="I144" s="16"/>
      <c r="J144" s="16"/>
      <c r="K144" s="16"/>
      <c r="L144" s="16"/>
      <c r="M144" s="16"/>
      <c r="N144" s="16"/>
      <c r="O144" s="18"/>
      <c r="P144" s="18"/>
      <c r="Q144" s="19"/>
      <c r="R144" s="17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20"/>
      <c r="AD144" s="20"/>
      <c r="AE144" s="20"/>
      <c r="AF144" s="20"/>
      <c r="AG144" s="20"/>
      <c r="AH144" s="32"/>
      <c r="AI144" s="32"/>
      <c r="AJ144" s="32"/>
      <c r="AK144" s="20"/>
      <c r="AL144" s="16"/>
      <c r="AM144" s="16"/>
      <c r="AN144" s="16"/>
    </row>
    <row r="145" spans="2:40" x14ac:dyDescent="0.25">
      <c r="B145" s="21"/>
      <c r="C145" s="17"/>
      <c r="D145" s="16"/>
      <c r="E145" s="16"/>
      <c r="F145" s="18"/>
      <c r="G145" s="18"/>
      <c r="H145" s="16"/>
      <c r="I145" s="16"/>
      <c r="J145" s="16"/>
      <c r="K145" s="16"/>
      <c r="L145" s="16"/>
      <c r="M145" s="16"/>
      <c r="N145" s="16"/>
      <c r="O145" s="18"/>
      <c r="P145" s="18"/>
      <c r="Q145" s="19"/>
      <c r="R145" s="17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20"/>
      <c r="AD145" s="20"/>
      <c r="AE145" s="20"/>
      <c r="AF145" s="20"/>
      <c r="AG145" s="20"/>
      <c r="AH145" s="32"/>
      <c r="AI145" s="32"/>
      <c r="AJ145" s="32"/>
      <c r="AK145" s="20"/>
      <c r="AL145" s="16"/>
      <c r="AM145" s="16"/>
      <c r="AN145" s="16"/>
    </row>
    <row r="146" spans="2:40" x14ac:dyDescent="0.25">
      <c r="B146" s="21"/>
      <c r="C146" s="17"/>
      <c r="D146" s="16"/>
      <c r="E146" s="16"/>
      <c r="F146" s="18"/>
      <c r="G146" s="18"/>
      <c r="H146" s="16"/>
      <c r="I146" s="16"/>
      <c r="J146" s="16"/>
      <c r="K146" s="16"/>
      <c r="L146" s="16"/>
      <c r="M146" s="16"/>
      <c r="N146" s="16"/>
      <c r="O146" s="18"/>
      <c r="P146" s="18"/>
      <c r="Q146" s="19"/>
      <c r="R146" s="17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20"/>
      <c r="AD146" s="20"/>
      <c r="AE146" s="20"/>
      <c r="AF146" s="20"/>
      <c r="AG146" s="20"/>
      <c r="AH146" s="32"/>
      <c r="AI146" s="32"/>
      <c r="AJ146" s="32"/>
      <c r="AK146" s="20"/>
      <c r="AL146" s="16"/>
      <c r="AM146" s="16"/>
      <c r="AN146" s="16"/>
    </row>
    <row r="147" spans="2:40" x14ac:dyDescent="0.25">
      <c r="B147" s="21"/>
      <c r="C147" s="17"/>
      <c r="D147" s="16"/>
      <c r="E147" s="16"/>
      <c r="F147" s="18"/>
      <c r="G147" s="18"/>
      <c r="H147" s="16"/>
      <c r="I147" s="16"/>
      <c r="J147" s="16"/>
      <c r="K147" s="16"/>
      <c r="L147" s="16"/>
      <c r="M147" s="16"/>
      <c r="N147" s="16"/>
      <c r="O147" s="18"/>
      <c r="P147" s="18"/>
      <c r="Q147" s="19"/>
      <c r="R147" s="17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20"/>
      <c r="AD147" s="20"/>
      <c r="AE147" s="20"/>
      <c r="AF147" s="20"/>
      <c r="AG147" s="20"/>
      <c r="AH147" s="32"/>
      <c r="AI147" s="32"/>
      <c r="AJ147" s="32"/>
      <c r="AK147" s="20"/>
      <c r="AL147" s="16"/>
      <c r="AM147" s="16"/>
      <c r="AN147" s="16"/>
    </row>
    <row r="148" spans="2:40" x14ac:dyDescent="0.25">
      <c r="B148" s="21"/>
      <c r="C148" s="17"/>
      <c r="D148" s="16"/>
      <c r="E148" s="16"/>
      <c r="F148" s="18"/>
      <c r="G148" s="18"/>
      <c r="H148" s="16"/>
      <c r="I148" s="16"/>
      <c r="J148" s="16"/>
      <c r="K148" s="16"/>
      <c r="L148" s="16"/>
      <c r="M148" s="16"/>
      <c r="N148" s="16"/>
      <c r="O148" s="18"/>
      <c r="P148" s="18"/>
      <c r="Q148" s="19"/>
      <c r="R148" s="17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20"/>
      <c r="AD148" s="20"/>
      <c r="AE148" s="20"/>
      <c r="AF148" s="20"/>
      <c r="AG148" s="20"/>
      <c r="AH148" s="32"/>
      <c r="AI148" s="32"/>
      <c r="AJ148" s="32"/>
      <c r="AK148" s="20"/>
      <c r="AL148" s="16"/>
      <c r="AM148" s="16"/>
      <c r="AN148" s="16"/>
    </row>
    <row r="149" spans="2:40" x14ac:dyDescent="0.25">
      <c r="B149" s="21"/>
      <c r="C149" s="17"/>
      <c r="D149" s="16"/>
      <c r="E149" s="16"/>
      <c r="F149" s="18"/>
      <c r="G149" s="18"/>
      <c r="H149" s="16"/>
      <c r="I149" s="16"/>
      <c r="J149" s="16"/>
      <c r="K149" s="16"/>
      <c r="L149" s="16"/>
      <c r="M149" s="16"/>
      <c r="N149" s="16"/>
      <c r="O149" s="18"/>
      <c r="P149" s="18"/>
      <c r="Q149" s="19"/>
      <c r="R149" s="17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20"/>
      <c r="AD149" s="20"/>
      <c r="AE149" s="20"/>
      <c r="AF149" s="20"/>
      <c r="AG149" s="20"/>
      <c r="AH149" s="32"/>
      <c r="AI149" s="32"/>
      <c r="AJ149" s="32"/>
      <c r="AK149" s="20"/>
      <c r="AL149" s="16"/>
      <c r="AM149" s="16"/>
      <c r="AN149" s="16"/>
    </row>
    <row r="150" spans="2:40" x14ac:dyDescent="0.25">
      <c r="B150" s="21"/>
      <c r="C150" s="17"/>
      <c r="D150" s="16"/>
      <c r="E150" s="16"/>
      <c r="F150" s="18"/>
      <c r="G150" s="18"/>
      <c r="H150" s="16"/>
      <c r="I150" s="16"/>
      <c r="J150" s="16"/>
      <c r="K150" s="16"/>
      <c r="L150" s="16"/>
      <c r="M150" s="16"/>
      <c r="N150" s="16"/>
      <c r="O150" s="18"/>
      <c r="P150" s="18"/>
      <c r="Q150" s="19"/>
      <c r="R150" s="17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20"/>
      <c r="AD150" s="20"/>
      <c r="AE150" s="20"/>
      <c r="AF150" s="20"/>
      <c r="AG150" s="20"/>
      <c r="AH150" s="32"/>
      <c r="AI150" s="32"/>
      <c r="AJ150" s="32"/>
      <c r="AK150" s="20"/>
      <c r="AL150" s="16"/>
      <c r="AM150" s="16"/>
      <c r="AN150" s="16"/>
    </row>
    <row r="151" spans="2:40" x14ac:dyDescent="0.25">
      <c r="B151" s="21"/>
      <c r="C151" s="17"/>
      <c r="D151" s="16"/>
      <c r="E151" s="16"/>
      <c r="F151" s="18"/>
      <c r="G151" s="18"/>
      <c r="H151" s="16"/>
      <c r="I151" s="16"/>
      <c r="J151" s="16"/>
      <c r="K151" s="16"/>
      <c r="L151" s="16"/>
      <c r="M151" s="16"/>
      <c r="N151" s="16"/>
      <c r="O151" s="18"/>
      <c r="P151" s="18"/>
      <c r="Q151" s="19"/>
      <c r="R151" s="17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20"/>
      <c r="AD151" s="20"/>
      <c r="AE151" s="20"/>
      <c r="AF151" s="20"/>
      <c r="AG151" s="20"/>
      <c r="AH151" s="32"/>
      <c r="AI151" s="32"/>
      <c r="AJ151" s="32"/>
      <c r="AK151" s="20"/>
      <c r="AL151" s="16"/>
      <c r="AM151" s="16"/>
      <c r="AN151" s="16"/>
    </row>
    <row r="152" spans="2:40" x14ac:dyDescent="0.25">
      <c r="B152" s="21"/>
      <c r="C152" s="17"/>
      <c r="D152" s="16"/>
      <c r="E152" s="16"/>
      <c r="F152" s="18"/>
      <c r="G152" s="18"/>
      <c r="H152" s="16"/>
      <c r="I152" s="16"/>
      <c r="J152" s="16"/>
      <c r="K152" s="16"/>
      <c r="L152" s="16"/>
      <c r="M152" s="16"/>
      <c r="N152" s="16"/>
      <c r="O152" s="18"/>
      <c r="P152" s="18"/>
      <c r="Q152" s="19"/>
      <c r="R152" s="17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20"/>
      <c r="AD152" s="20"/>
      <c r="AE152" s="20"/>
      <c r="AF152" s="20"/>
      <c r="AG152" s="20"/>
      <c r="AH152" s="32"/>
      <c r="AI152" s="32"/>
      <c r="AJ152" s="32"/>
      <c r="AK152" s="20"/>
      <c r="AL152" s="16"/>
      <c r="AM152" s="16"/>
      <c r="AN152" s="16"/>
    </row>
    <row r="153" spans="2:40" x14ac:dyDescent="0.25">
      <c r="B153" s="21"/>
      <c r="C153" s="17"/>
      <c r="D153" s="16"/>
      <c r="E153" s="16"/>
      <c r="F153" s="18"/>
      <c r="G153" s="18"/>
      <c r="H153" s="16"/>
      <c r="I153" s="16"/>
      <c r="J153" s="16"/>
      <c r="K153" s="16"/>
      <c r="L153" s="16"/>
      <c r="M153" s="16"/>
      <c r="N153" s="16"/>
      <c r="O153" s="18"/>
      <c r="P153" s="18"/>
      <c r="Q153" s="19"/>
      <c r="R153" s="17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20"/>
      <c r="AD153" s="20"/>
      <c r="AE153" s="20"/>
      <c r="AF153" s="20"/>
      <c r="AG153" s="20"/>
      <c r="AH153" s="32"/>
      <c r="AI153" s="32"/>
      <c r="AJ153" s="32"/>
      <c r="AK153" s="20"/>
      <c r="AL153" s="16"/>
      <c r="AM153" s="16"/>
      <c r="AN153" s="16"/>
    </row>
    <row r="154" spans="2:40" x14ac:dyDescent="0.25">
      <c r="B154" s="21"/>
      <c r="C154" s="17"/>
      <c r="D154" s="16"/>
      <c r="E154" s="16"/>
      <c r="F154" s="18"/>
      <c r="G154" s="18"/>
      <c r="H154" s="16"/>
      <c r="I154" s="16"/>
      <c r="J154" s="16"/>
      <c r="K154" s="16"/>
      <c r="L154" s="16"/>
      <c r="M154" s="16"/>
      <c r="N154" s="16"/>
      <c r="O154" s="18"/>
      <c r="P154" s="18"/>
      <c r="Q154" s="19"/>
      <c r="R154" s="17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20"/>
      <c r="AD154" s="20"/>
      <c r="AE154" s="20"/>
      <c r="AF154" s="20"/>
      <c r="AG154" s="20"/>
      <c r="AH154" s="32"/>
      <c r="AI154" s="32"/>
      <c r="AJ154" s="32"/>
      <c r="AK154" s="20"/>
      <c r="AL154" s="16"/>
      <c r="AM154" s="16"/>
      <c r="AN154" s="16"/>
    </row>
    <row r="155" spans="2:40" x14ac:dyDescent="0.25">
      <c r="B155" s="21"/>
      <c r="C155" s="17"/>
      <c r="D155" s="16"/>
      <c r="E155" s="16"/>
      <c r="F155" s="18"/>
      <c r="G155" s="18"/>
      <c r="H155" s="16"/>
      <c r="I155" s="16"/>
      <c r="J155" s="16"/>
      <c r="K155" s="16"/>
      <c r="L155" s="16"/>
      <c r="M155" s="16"/>
      <c r="N155" s="16"/>
      <c r="O155" s="18"/>
      <c r="P155" s="18"/>
      <c r="Q155" s="19"/>
      <c r="R155" s="17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20"/>
      <c r="AD155" s="20"/>
      <c r="AE155" s="20"/>
      <c r="AF155" s="20"/>
      <c r="AG155" s="20"/>
      <c r="AH155" s="32"/>
      <c r="AI155" s="32"/>
      <c r="AJ155" s="32"/>
      <c r="AK155" s="20"/>
      <c r="AL155" s="16"/>
      <c r="AM155" s="16"/>
      <c r="AN155" s="16"/>
    </row>
    <row r="156" spans="2:40" x14ac:dyDescent="0.25">
      <c r="B156" s="21"/>
      <c r="C156" s="17"/>
      <c r="D156" s="16"/>
      <c r="E156" s="16"/>
      <c r="F156" s="18"/>
      <c r="G156" s="18"/>
      <c r="H156" s="16"/>
      <c r="I156" s="16"/>
      <c r="J156" s="16"/>
      <c r="K156" s="16"/>
      <c r="L156" s="16"/>
      <c r="M156" s="16"/>
      <c r="N156" s="16"/>
      <c r="O156" s="18"/>
      <c r="P156" s="18"/>
      <c r="Q156" s="19"/>
      <c r="R156" s="17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20"/>
      <c r="AD156" s="20"/>
      <c r="AE156" s="20"/>
      <c r="AF156" s="20"/>
      <c r="AG156" s="20"/>
      <c r="AH156" s="32"/>
      <c r="AI156" s="32"/>
      <c r="AJ156" s="32"/>
      <c r="AK156" s="20"/>
      <c r="AL156" s="16"/>
      <c r="AM156" s="16"/>
      <c r="AN156" s="16"/>
    </row>
    <row r="157" spans="2:40" x14ac:dyDescent="0.25">
      <c r="B157" s="21"/>
      <c r="C157" s="17"/>
      <c r="D157" s="16"/>
      <c r="E157" s="16"/>
      <c r="F157" s="18"/>
      <c r="G157" s="18"/>
      <c r="H157" s="16"/>
      <c r="I157" s="16"/>
      <c r="J157" s="16"/>
      <c r="K157" s="16"/>
      <c r="L157" s="16"/>
      <c r="M157" s="16"/>
      <c r="N157" s="16"/>
      <c r="O157" s="18"/>
      <c r="P157" s="18"/>
      <c r="Q157" s="19"/>
      <c r="R157" s="17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20"/>
      <c r="AD157" s="20"/>
      <c r="AE157" s="20"/>
      <c r="AF157" s="20"/>
      <c r="AG157" s="20"/>
      <c r="AH157" s="32"/>
      <c r="AI157" s="32"/>
      <c r="AJ157" s="32"/>
      <c r="AK157" s="20"/>
      <c r="AL157" s="16"/>
      <c r="AM157" s="16"/>
      <c r="AN157" s="16"/>
    </row>
    <row r="158" spans="2:40" x14ac:dyDescent="0.25">
      <c r="B158" s="21"/>
      <c r="C158" s="17"/>
      <c r="D158" s="16"/>
      <c r="E158" s="16"/>
      <c r="F158" s="18"/>
      <c r="G158" s="18"/>
      <c r="H158" s="16"/>
      <c r="I158" s="16"/>
      <c r="J158" s="16"/>
      <c r="K158" s="16"/>
      <c r="L158" s="16"/>
      <c r="M158" s="16"/>
      <c r="N158" s="16"/>
      <c r="O158" s="18"/>
      <c r="P158" s="18"/>
      <c r="Q158" s="19"/>
      <c r="R158" s="17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20"/>
      <c r="AD158" s="20"/>
      <c r="AE158" s="20"/>
      <c r="AF158" s="20"/>
      <c r="AG158" s="20"/>
      <c r="AH158" s="32"/>
      <c r="AI158" s="32"/>
      <c r="AJ158" s="32"/>
      <c r="AK158" s="20"/>
      <c r="AL158" s="16"/>
      <c r="AM158" s="16"/>
      <c r="AN158" s="16"/>
    </row>
  </sheetData>
  <customSheetViews>
    <customSheetView guid="{7ECC2B8E-6A82-42F5-8AB0-4A51C54EA5EC}" topLeftCell="L70">
      <selection activeCell="Y52" sqref="Y52"/>
      <pageMargins left="0.7" right="0.7" top="0.75" bottom="0.75" header="0.3" footer="0.3"/>
    </customSheetView>
    <customSheetView guid="{250915DF-0B97-45D7-B29D-7EED4C89C1C1}" topLeftCell="A39">
      <selection activeCell="F80" sqref="F80"/>
      <pageMargins left="0.7" right="0.7" top="0.75" bottom="0.75" header="0.3" footer="0.3"/>
    </customSheetView>
  </customSheetViews>
  <conditionalFormatting sqref="H4:H13 H19:H29">
    <cfRule type="cellIs" dxfId="95" priority="37" operator="equal">
      <formula>1</formula>
    </cfRule>
    <cfRule type="cellIs" dxfId="94" priority="38" operator="lessThan">
      <formula>1</formula>
    </cfRule>
  </conditionalFormatting>
  <conditionalFormatting sqref="AK109:AK158 AG103:AG158">
    <cfRule type="cellIs" dxfId="93" priority="35" operator="equal">
      <formula>"OK"</formula>
    </cfRule>
    <cfRule type="cellIs" dxfId="92" priority="36" operator="equal">
      <formula>"NG"</formula>
    </cfRule>
  </conditionalFormatting>
  <conditionalFormatting sqref="O109:P158">
    <cfRule type="cellIs" dxfId="91" priority="34" operator="equal">
      <formula>"PUT_VERSION"</formula>
    </cfRule>
  </conditionalFormatting>
  <conditionalFormatting sqref="D14">
    <cfRule type="expression" dxfId="90" priority="33">
      <formula>$D$14=SUM($D$4:$D$13)</formula>
    </cfRule>
  </conditionalFormatting>
  <conditionalFormatting sqref="E14">
    <cfRule type="expression" dxfId="89" priority="32">
      <formula>$E$14=SUM($E$4:$E$13)</formula>
    </cfRule>
  </conditionalFormatting>
  <conditionalFormatting sqref="F14">
    <cfRule type="expression" dxfId="88" priority="31">
      <formula>$F$14=SUM($F$4:$F$13)</formula>
    </cfRule>
  </conditionalFormatting>
  <conditionalFormatting sqref="D29">
    <cfRule type="expression" dxfId="87" priority="30">
      <formula>$D$29=SUM($D$19:$D$28)</formula>
    </cfRule>
  </conditionalFormatting>
  <conditionalFormatting sqref="E29">
    <cfRule type="expression" dxfId="86" priority="29">
      <formula>$E$29=SUM($E$19:$E$28)</formula>
    </cfRule>
  </conditionalFormatting>
  <conditionalFormatting sqref="H34">
    <cfRule type="cellIs" dxfId="85" priority="19" operator="equal">
      <formula>1</formula>
    </cfRule>
    <cfRule type="cellIs" dxfId="84" priority="20" operator="lessThan">
      <formula>1</formula>
    </cfRule>
  </conditionalFormatting>
  <conditionalFormatting sqref="H35:H43">
    <cfRule type="cellIs" dxfId="83" priority="17" operator="equal">
      <formula>1</formula>
    </cfRule>
    <cfRule type="cellIs" dxfId="82" priority="18" operator="lessThan">
      <formula>1</formula>
    </cfRule>
  </conditionalFormatting>
  <conditionalFormatting sqref="H44">
    <cfRule type="cellIs" dxfId="81" priority="15" operator="equal">
      <formula>1</formula>
    </cfRule>
    <cfRule type="cellIs" dxfId="80" priority="16" operator="lessThan">
      <formula>1</formula>
    </cfRule>
  </conditionalFormatting>
  <conditionalFormatting sqref="F29">
    <cfRule type="expression" dxfId="79" priority="43">
      <formula>$F$29=SUM($F$19:$F$28)</formula>
    </cfRule>
  </conditionalFormatting>
  <conditionalFormatting sqref="AG48:AG158">
    <cfRule type="cellIs" dxfId="78" priority="13" operator="equal">
      <formula>"OK"</formula>
    </cfRule>
    <cfRule type="cellIs" dxfId="77" priority="14" operator="equal">
      <formula>"NG"</formula>
    </cfRule>
  </conditionalFormatting>
  <conditionalFormatting sqref="AG49">
    <cfRule type="cellIs" dxfId="76" priority="10" operator="equal">
      <formula>"OK"</formula>
    </cfRule>
    <cfRule type="cellIs" dxfId="75" priority="11" operator="equal">
      <formula>"NG"</formula>
    </cfRule>
  </conditionalFormatting>
  <conditionalFormatting sqref="AG50">
    <cfRule type="cellIs" dxfId="74" priority="7" operator="equal">
      <formula>"OK"</formula>
    </cfRule>
    <cfRule type="cellIs" dxfId="73" priority="8" operator="equal">
      <formula>"NG"</formula>
    </cfRule>
  </conditionalFormatting>
  <conditionalFormatting sqref="AG51">
    <cfRule type="cellIs" dxfId="72" priority="4" operator="equal">
      <formula>"OK"</formula>
    </cfRule>
    <cfRule type="cellIs" dxfId="71" priority="5" operator="equal">
      <formula>"NG"</formula>
    </cfRule>
  </conditionalFormatting>
  <conditionalFormatting sqref="AG102">
    <cfRule type="cellIs" dxfId="70" priority="1" operator="equal">
      <formula>"OK"</formula>
    </cfRule>
    <cfRule type="cellIs" dxfId="69" priority="2" operator="equal">
      <formula>"NG"</formula>
    </cfRule>
  </conditionalFormatting>
  <dataValidations disablePrompts="1" count="2">
    <dataValidation type="list" allowBlank="1" showInputMessage="1" showErrorMessage="1" sqref="K48:K108" xr:uid="{00000000-0002-0000-0100-000000000000}">
      <formula1>"Auto,Manual"</formula1>
    </dataValidation>
    <dataValidation type="list" allowBlank="1" showInputMessage="1" showErrorMessage="1" sqref="U109:U158" xr:uid="{00000000-0002-0000-0100-000001000000}">
      <formula1>"Yes,No"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9" operator="greaterThanOrEqual" id="{0E75E3B3-EDB5-45F5-833F-9302836CD5B4}">
            <xm:f>Table!$C$4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0" operator="lessThan" id="{5EDCB94B-7F83-46C9-97C1-081A0B02B98A}">
            <xm:f>Table!$C$4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G19:G29</xm:sqref>
        </x14:conditionalFormatting>
        <x14:conditionalFormatting xmlns:xm="http://schemas.microsoft.com/office/excel/2006/main">
          <x14:cfRule type="cellIs" priority="41" operator="greaterThanOrEqual" id="{A9231A75-2EB5-402E-97C4-323D56C068D8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2" operator="lessThan" id="{A35A63F4-C373-4CDB-9228-9F67841E418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G4:G13</xm:sqref>
        </x14:conditionalFormatting>
        <x14:conditionalFormatting xmlns:xm="http://schemas.microsoft.com/office/excel/2006/main">
          <x14:cfRule type="cellIs" priority="27" operator="greaterThanOrEqual" id="{8F20301B-8681-44B2-92CC-21C4975A5416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8" operator="lessThan" id="{2C7E4EDD-E31B-41EE-A2B8-F67241C142BF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ellIs" priority="25" operator="greaterThanOrEqual" id="{204839CC-E17E-4053-9244-2AE05B7C201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6" operator="lessThan" id="{73361177-A4E2-41C7-AA2E-23A98DE24BE9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G44</xm:sqref>
        </x14:conditionalFormatting>
        <x14:conditionalFormatting xmlns:xm="http://schemas.microsoft.com/office/excel/2006/main">
          <x14:cfRule type="cellIs" priority="23" operator="greaterThanOrEqual" id="{5955973F-691E-4017-996D-C9584C4AAF3E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4" operator="lessThan" id="{AA433256-96E5-4BC8-B426-6A146C35C3CB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G34</xm:sqref>
        </x14:conditionalFormatting>
        <x14:conditionalFormatting xmlns:xm="http://schemas.microsoft.com/office/excel/2006/main">
          <x14:cfRule type="cellIs" priority="21" operator="greaterThanOrEqual" id="{9428B70D-F52A-41BF-B3CE-DB3CFC9C4AB0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2" operator="lessThan" id="{F9FD8B01-16E0-4854-844B-16232675D977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G35:G43</xm:sqref>
        </x14:conditionalFormatting>
        <x14:conditionalFormatting xmlns:xm="http://schemas.microsoft.com/office/excel/2006/main">
          <x14:cfRule type="expression" priority="12" id="{8014DC86-9045-4B22-9DB2-C6E76B610B95}">
            <xm:f>OR(AK48=Table!$C$36,AK48=Table!$C$37)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AK48:AK158</xm:sqref>
        </x14:conditionalFormatting>
        <x14:conditionalFormatting xmlns:xm="http://schemas.microsoft.com/office/excel/2006/main">
          <x14:cfRule type="expression" priority="9" id="{CBE0B9FF-9960-4C29-8944-EAA7FBFEC0E9}">
            <xm:f>OR(AK49=Table!$C$36,AK49=Table!$C$37)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AK49</xm:sqref>
        </x14:conditionalFormatting>
        <x14:conditionalFormatting xmlns:xm="http://schemas.microsoft.com/office/excel/2006/main">
          <x14:cfRule type="expression" priority="6" id="{D52019BA-1FD8-4EC3-BF5F-9E6AA062F321}">
            <xm:f>OR(AK50=Table!$C$36,AK50=Table!$C$37)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AK50</xm:sqref>
        </x14:conditionalFormatting>
        <x14:conditionalFormatting xmlns:xm="http://schemas.microsoft.com/office/excel/2006/main">
          <x14:cfRule type="expression" priority="3" id="{65785BBE-F975-4ED2-B541-13D1D62F0F36}">
            <xm:f>OR(AK51=Table!$C$36,AK51=Table!$C$37)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AK51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00000000-0002-0000-0100-000002000000}">
          <x14:formula1>
            <xm:f>Table!$C$36:$C$38</xm:f>
          </x14:formula1>
          <xm:sqref>AK48:AK158</xm:sqref>
        </x14:dataValidation>
        <x14:dataValidation type="list" allowBlank="1" showInputMessage="1" showErrorMessage="1" xr:uid="{00000000-0002-0000-0100-000003000000}">
          <x14:formula1>
            <xm:f>Table!$C$26:$C$32</xm:f>
          </x14:formula1>
          <xm:sqref>AB109:AB158 AA48:AA158</xm:sqref>
        </x14:dataValidation>
        <x14:dataValidation type="list" allowBlank="1" showInputMessage="1" showErrorMessage="1" xr:uid="{00000000-0002-0000-0100-000004000000}">
          <x14:formula1>
            <xm:f>Table!$C$13:$C$22</xm:f>
          </x14:formula1>
          <xm:sqref>S48:S108 S109:T158</xm:sqref>
        </x14:dataValidation>
        <x14:dataValidation type="list" allowBlank="1" showInputMessage="1" showErrorMessage="1" xr:uid="{00000000-0002-0000-0100-000005000000}">
          <x14:formula1>
            <xm:f>Table!$C$8:$C$9</xm:f>
          </x14:formula1>
          <xm:sqref>D48:D158</xm:sqref>
        </x14:dataValidation>
        <x14:dataValidation type="list" allowBlank="1" showInputMessage="1" showErrorMessage="1" xr:uid="{00000000-0002-0000-0100-000006000000}">
          <x14:formula1>
            <xm:f>Table!$C$42:$C$43</xm:f>
          </x14:formula1>
          <xm:sqref>AG48:AG158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activeCell="J38" sqref="J38"/>
    </sheetView>
  </sheetViews>
  <sheetFormatPr defaultRowHeight="15" x14ac:dyDescent="0.25"/>
  <sheetData/>
  <customSheetViews>
    <customSheetView guid="{7ECC2B8E-6A82-42F5-8AB0-4A51C54EA5EC}">
      <selection activeCell="J38" sqref="J38"/>
      <pageMargins left="0.7" right="0.7" top="0.75" bottom="0.75" header="0.3" footer="0.3"/>
    </customSheetView>
    <customSheetView guid="{A2C66332-A809-458E-971B-FDB6D62C74C3}">
      <selection activeCell="J38" sqref="J38"/>
      <pageMargins left="0.7" right="0.7" top="0.75" bottom="0.75" header="0.3" footer="0.3"/>
    </customSheetView>
    <customSheetView guid="{3B3E6719-EACB-4D2C-89C1-05FFAB6020FD}">
      <selection activeCell="J38" sqref="J38"/>
      <pageMargins left="0.7" right="0.7" top="0.75" bottom="0.75" header="0.3" footer="0.3"/>
    </customSheetView>
    <customSheetView guid="{72A6EB0A-84D5-4B8A-AC51-54CCD061630B}">
      <selection activeCell="C39" sqref="C39"/>
      <pageMargins left="0.7" right="0.7" top="0.75" bottom="0.75" header="0.3" footer="0.3"/>
    </customSheetView>
    <customSheetView guid="{4E06BDBF-2CED-473B-850B-2A6C7311FF41}">
      <selection activeCell="C39" sqref="C39"/>
      <pageMargins left="0.7" right="0.7" top="0.75" bottom="0.75" header="0.3" footer="0.3"/>
    </customSheetView>
    <customSheetView guid="{7E0EA425-A420-4443-B9E0-CDF0AA9E5D09}">
      <selection activeCell="C39" sqref="C39"/>
      <pageMargins left="0.7" right="0.7" top="0.75" bottom="0.75" header="0.3" footer="0.3"/>
    </customSheetView>
    <customSheetView guid="{60D2C030-4E31-4E07-8E1C-44D2EE84B177}">
      <selection activeCell="C39" sqref="C39"/>
      <pageMargins left="0.7" right="0.7" top="0.75" bottom="0.75" header="0.3" footer="0.3"/>
    </customSheetView>
    <customSheetView guid="{336B6883-2145-4B58-921E-CEC7185A847E}">
      <selection activeCell="C39" sqref="C39"/>
      <pageMargins left="0.7" right="0.7" top="0.75" bottom="0.75" header="0.3" footer="0.3"/>
    </customSheetView>
    <customSheetView guid="{D33AC7AF-C8AB-4CE9-94C7-9237011A5FC3}">
      <selection activeCell="J38" sqref="J38"/>
      <pageMargins left="0.7" right="0.7" top="0.75" bottom="0.75" header="0.3" footer="0.3"/>
    </customSheetView>
    <customSheetView guid="{250915DF-0B97-45D7-B29D-7EED4C89C1C1}">
      <selection activeCell="J38" sqref="J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2:V13"/>
  <sheetViews>
    <sheetView zoomScale="85" zoomScaleNormal="85" workbookViewId="0">
      <selection activeCell="R10" sqref="R10"/>
    </sheetView>
  </sheetViews>
  <sheetFormatPr defaultRowHeight="15" x14ac:dyDescent="0.25"/>
  <cols>
    <col min="2" max="2" width="16.28515625" bestFit="1" customWidth="1"/>
    <col min="3" max="3" width="17.28515625" bestFit="1" customWidth="1"/>
    <col min="4" max="4" width="9.7109375" bestFit="1" customWidth="1"/>
    <col min="5" max="5" width="10" bestFit="1" customWidth="1"/>
    <col min="6" max="6" width="10.85546875" bestFit="1" customWidth="1"/>
    <col min="7" max="7" width="9" bestFit="1" customWidth="1"/>
    <col min="8" max="8" width="12" bestFit="1" customWidth="1"/>
    <col min="9" max="9" width="21.5703125" bestFit="1" customWidth="1"/>
  </cols>
  <sheetData>
    <row r="2" spans="1:22" x14ac:dyDescent="0.25">
      <c r="A2" s="48">
        <v>1</v>
      </c>
      <c r="B2" s="48" t="s">
        <v>60</v>
      </c>
      <c r="C2" s="48">
        <v>20200428</v>
      </c>
      <c r="N2" s="48"/>
      <c r="O2" s="48" t="s">
        <v>60</v>
      </c>
      <c r="P2" s="48" t="s">
        <v>360</v>
      </c>
    </row>
    <row r="3" spans="1:22" x14ac:dyDescent="0.25">
      <c r="B3" s="48" t="s">
        <v>131</v>
      </c>
      <c r="C3">
        <f>SUM(G9:G10)</f>
        <v>8.5662499999999984</v>
      </c>
      <c r="D3" t="s">
        <v>132</v>
      </c>
      <c r="O3" s="48" t="s">
        <v>131</v>
      </c>
      <c r="P3">
        <f>SUM(T9:T10)</f>
        <v>2.0574999999999997</v>
      </c>
      <c r="Q3" t="s">
        <v>132</v>
      </c>
    </row>
    <row r="4" spans="1:22" x14ac:dyDescent="0.25">
      <c r="B4" s="48" t="s">
        <v>142</v>
      </c>
      <c r="C4">
        <f>SUM(INT((WEEKDAY(F4-{2,3,4,5,6})+H4-F4)/7))-2</f>
        <v>4</v>
      </c>
      <c r="D4" t="s">
        <v>132</v>
      </c>
      <c r="E4" t="s">
        <v>198</v>
      </c>
      <c r="F4" s="6">
        <v>43949</v>
      </c>
      <c r="G4" s="6" t="s">
        <v>128</v>
      </c>
      <c r="H4" s="6">
        <v>43956</v>
      </c>
      <c r="O4" s="48" t="s">
        <v>142</v>
      </c>
      <c r="P4">
        <f>SUM(INT((WEEKDAY(S4-{2,3,4,5,6})+U4-S4)/7))</f>
        <v>4</v>
      </c>
      <c r="Q4" t="s">
        <v>132</v>
      </c>
      <c r="R4" t="s">
        <v>198</v>
      </c>
      <c r="S4" s="6">
        <v>43935</v>
      </c>
      <c r="T4" s="6" t="s">
        <v>128</v>
      </c>
      <c r="U4" s="6">
        <v>43938</v>
      </c>
    </row>
    <row r="5" spans="1:22" x14ac:dyDescent="0.25">
      <c r="B5" s="48" t="s">
        <v>143</v>
      </c>
      <c r="C5">
        <f>SUM(INT((WEEKDAY(F5-{2,3,4,5,6})+H5-F5)/7))-2</f>
        <v>4</v>
      </c>
      <c r="D5" t="s">
        <v>132</v>
      </c>
      <c r="E5" t="s">
        <v>161</v>
      </c>
      <c r="F5" s="6">
        <v>43949</v>
      </c>
      <c r="G5" s="6" t="s">
        <v>128</v>
      </c>
      <c r="H5" s="6">
        <v>43956</v>
      </c>
      <c r="O5" s="48" t="s">
        <v>143</v>
      </c>
      <c r="P5">
        <f>SUM(INT((WEEKDAY(S5-{2,3,4,5,6})+U5-S5)/7))</f>
        <v>4</v>
      </c>
      <c r="Q5" t="s">
        <v>132</v>
      </c>
      <c r="R5" t="s">
        <v>141</v>
      </c>
      <c r="S5" s="6">
        <v>43935</v>
      </c>
      <c r="T5" s="6" t="s">
        <v>128</v>
      </c>
      <c r="U5" s="6">
        <v>43938</v>
      </c>
    </row>
    <row r="6" spans="1:22" x14ac:dyDescent="0.25">
      <c r="B6" s="48" t="s">
        <v>17</v>
      </c>
      <c r="F6" s="6"/>
      <c r="G6" s="6"/>
      <c r="H6" s="6"/>
      <c r="O6" s="48" t="s">
        <v>17</v>
      </c>
      <c r="S6" s="6"/>
      <c r="T6" s="6"/>
      <c r="U6" s="6"/>
    </row>
    <row r="8" spans="1:22" ht="75" x14ac:dyDescent="0.25">
      <c r="C8" s="49" t="s">
        <v>25</v>
      </c>
      <c r="D8" s="49" t="s">
        <v>26</v>
      </c>
      <c r="E8" s="50" t="s">
        <v>133</v>
      </c>
      <c r="F8" s="50" t="s">
        <v>134</v>
      </c>
      <c r="G8" s="50" t="s">
        <v>135</v>
      </c>
      <c r="H8" s="50" t="s">
        <v>136</v>
      </c>
      <c r="I8" s="50" t="s">
        <v>29</v>
      </c>
      <c r="P8" s="49" t="s">
        <v>25</v>
      </c>
      <c r="Q8" s="49" t="s">
        <v>26</v>
      </c>
      <c r="R8" s="50" t="s">
        <v>133</v>
      </c>
      <c r="S8" s="50" t="s">
        <v>134</v>
      </c>
      <c r="T8" s="50" t="s">
        <v>135</v>
      </c>
      <c r="U8" s="50" t="s">
        <v>136</v>
      </c>
      <c r="V8" s="50" t="s">
        <v>29</v>
      </c>
    </row>
    <row r="9" spans="1:22" x14ac:dyDescent="0.25">
      <c r="C9" s="51">
        <v>1</v>
      </c>
      <c r="D9" s="41" t="s">
        <v>3</v>
      </c>
      <c r="E9" s="41">
        <f>SUMIFS(Merged_COEM!$W$48:$W$97,Merged_COEM!$D$48:$D$97,Table!$D$3, Merged_COEM!$C$48:$C$97,Report_For_Each_Project_COEM!C2)</f>
        <v>3859</v>
      </c>
      <c r="F9" s="41">
        <f>SUMIFS(Merged_COEM!$X$48:$X$97,Merged_COEM!$D$48:$D$97,Table!$D$3, Merged_COEM!$C$48:$C$97,Report_For_Each_Project_COEM!C2)</f>
        <v>0</v>
      </c>
      <c r="G9" s="41">
        <f>1/8*(SUMIFS(Merged_COEM!$Y$48:$Y$97,Merged_COEM!$D$48:$D$97,Table!$D$3, Merged_COEM!$C$48:$C$97,Report_For_Each_Project_COEM!C2))</f>
        <v>8.5662499999999984</v>
      </c>
      <c r="H9" s="83">
        <f>1/8*(SUMIFS(Merged_COEM!$Z$48:$Z$97,Merged_COEM!$D$48:$D$97,Table!$D$3, Merged_COEM!$C$48:$C$97,Report_For_Each_Project_COEM!C2)-SUM(SUMIFS(Merged_COEM!$Z$48:$Z$97,Merged_COEM!$D$48:$D$97,Table!$D$3,Merged_COEM!$AA$48:$AA$97,{"Ongoing","N/A",""},Merged_COEM!$C$48:$C$97,Report_For_Each_Project_COEM!C2)))</f>
        <v>0</v>
      </c>
      <c r="I9" s="42">
        <f>IFERROR(F9/E9,"N/A")</f>
        <v>0</v>
      </c>
      <c r="P9" s="51">
        <v>1</v>
      </c>
      <c r="Q9" s="41" t="s">
        <v>3</v>
      </c>
      <c r="R9" s="41">
        <f>SUMIFS(Merged_COEM!$W$48:$W$97,Merged_COEM!$D$48:$D$97,Table!$D$3, Merged_COEM!$E$48:$E$97,Report_For_Each_Project_COEM!P2)</f>
        <v>928</v>
      </c>
      <c r="S9" s="41">
        <f>SUMIFS(Merged_COEM!$X$48:$X$97,Merged_COEM!$D$48:$D$97,Table!$D$3, Merged_COEM!$E$48:$E$97,Report_For_Each_Project_COEM!P2)</f>
        <v>0</v>
      </c>
      <c r="T9" s="41">
        <f>1/8*(SUMIFS(Merged_COEM!$Y$48:$Y$97,Merged_COEM!$D$48:$D$97,Table!$D$3, Merged_COEM!$E$48:$E$97,Report_For_Each_Project_COEM!P2))</f>
        <v>2.0574999999999997</v>
      </c>
      <c r="U9" s="83">
        <f>1/8*(SUMIFS(Merged_COEM!$Z$48:$Z$97,Merged_COEM!$D$48:$D$97,Table!$D$3, Merged_COEM!$E$48:$E$97,Report_For_Each_Project_COEM!P2)-SUM(SUMIFS(Merged_COEM!$Z$48:$Z$97,Merged_COEM!$D$48:$D$97,Table!$D$3,Merged_COEM!$AA$48:$AA$97,{"Ongoing","N/A",""},Merged_COEM!$E$48:$E$97,Report_For_Each_Project_COEM!P2)))</f>
        <v>0</v>
      </c>
      <c r="V9" s="42">
        <f>IFERROR(S9/R9,"N/A")</f>
        <v>0</v>
      </c>
    </row>
    <row r="10" spans="1:22" x14ac:dyDescent="0.25">
      <c r="C10" s="51">
        <v>2</v>
      </c>
      <c r="D10" s="41" t="s">
        <v>2</v>
      </c>
      <c r="E10" s="41">
        <f>SUMIFS(Merged_COEM!$W$48:$W$97,Merged_COEM!$D$48:$D$97,Table!$D$3, Merged_COEM!$C$48:$C$97,Report_For_Each_Project_COEM!C3)</f>
        <v>0</v>
      </c>
      <c r="F10" s="41">
        <f>SUMIFS(Merged_COEM!$X$48:$X$97,Merged_COEM!$D$48:$D$97,Table!$D$3, Merged_COEM!$C$48:$C$97,Report_For_Each_Project_COEM!C3)</f>
        <v>0</v>
      </c>
      <c r="G10" s="41">
        <f>1/8*(SUMIFS(Merged_COEM!$Y$48:$Y$97,Merged_COEM!$D$48:$D$97,Table!$C$3, Merged_COEM!$E$48:$E$97,Report_For_Each_Project_COEM!C2))</f>
        <v>0</v>
      </c>
      <c r="H10" s="83">
        <f>1/8*(SUMIFS(Merged_COEM!$Z$48:$Z$97,Merged_COEM!$D$48:$D$97,Table!$C$3, Merged_COEM!$E$48:$E$97,Report_For_Each_Project_COEM!C2)-SUM(SUMIFS(Merged_COEM!$Z$48:$Z$97,Merged_COEM!$D$48:$D$97,Table!$C$3,Merged_COEM!$AA$48:$AA$97,{"Ongoing","N/A",""},Merged_COEM!$E$48:$E$97,Report_For_Each_Project_COEM!C2)))</f>
        <v>0</v>
      </c>
      <c r="I10" s="42" t="str">
        <f>IFERROR(F10/E10,"N/A")</f>
        <v>N/A</v>
      </c>
      <c r="P10" s="51">
        <v>2</v>
      </c>
      <c r="Q10" s="41" t="s">
        <v>2</v>
      </c>
      <c r="R10" s="41">
        <f>SUMIFS(Merged_COEM!$W$48:$W$97,Merged_COEM!$D$48:$D$97,Table!$C$3, Merged_COEM!$E$48:$E$97,Report_For_Each_Project_COEM!P2)</f>
        <v>0</v>
      </c>
      <c r="S10" s="41">
        <f>SUMIFS(Merged_COEM!$X$48:$X$97,Merged_COEM!$D$48:$D$97,Table!$C$3, Merged_COEM!$E$48:$E$97,Report_For_Each_Project_COEM!P2)-SUM(SUMIFS(Merged_COEM!$X$48:$X$97,Merged_COEM!$D$48:$D$97,Table!$C$3,Merged_COEM!$AA$48:$AA$97,{"Ongoing","N/A",""},Merged_COEM!$E$48:$E$97,Report_For_Each_Project_COEM!P2))</f>
        <v>0</v>
      </c>
      <c r="T10" s="41">
        <f>1/8*(SUMIFS(Merged_COEM!$Y$48:$Y$97,Merged_COEM!$D$48:$D$97,Table!$C$3, Merged_COEM!$E$48:$E$97,Report_For_Each_Project_COEM!P2))</f>
        <v>0</v>
      </c>
      <c r="U10" s="83">
        <f>1/8*(SUMIFS(Merged_COEM!$Z$48:$Z$97,Merged_COEM!$D$48:$D$97,Table!$C$3, Merged_COEM!$E$48:$E$97,Report_For_Each_Project_COEM!P2)-SUM(SUMIFS(Merged_COEM!$Z$48:$Z$97,Merged_COEM!$D$48:$D$97,Table!$C$3,Merged_COEM!$AA$48:$AA$97,{"Ongoing","N/A",""},Merged_COEM!$E$48:$E$97,Report_For_Each_Project_COEM!P2)))</f>
        <v>0</v>
      </c>
      <c r="V10" s="42" t="str">
        <f>IFERROR(S10/R10,"N/A")</f>
        <v>N/A</v>
      </c>
    </row>
    <row r="12" spans="1:22" x14ac:dyDescent="0.25">
      <c r="C12" t="s">
        <v>138</v>
      </c>
      <c r="P12" t="s">
        <v>138</v>
      </c>
    </row>
    <row r="13" spans="1:22" x14ac:dyDescent="0.25">
      <c r="D13" s="37" t="s">
        <v>145</v>
      </c>
    </row>
  </sheetData>
  <customSheetViews>
    <customSheetView guid="{7ECC2B8E-6A82-42F5-8AB0-4A51C54EA5EC}" scale="85">
      <selection activeCell="R8" sqref="R8"/>
      <pageMargins left="0.7" right="0.7" top="0.75" bottom="0.75" header="0.3" footer="0.3"/>
      <pageSetup orientation="portrait" r:id="rId1"/>
    </customSheetView>
    <customSheetView guid="{A2C66332-A809-458E-971B-FDB6D62C74C3}" scale="85">
      <selection activeCell="G160" sqref="G160"/>
      <pageMargins left="0.7" right="0.7" top="0.75" bottom="0.75" header="0.3" footer="0.3"/>
      <pageSetup orientation="portrait" r:id="rId2"/>
    </customSheetView>
    <customSheetView guid="{3B3E6719-EACB-4D2C-89C1-05FFAB6020FD}" scale="85" topLeftCell="A151">
      <selection activeCell="A178" sqref="A178:XFD178"/>
      <pageMargins left="0.7" right="0.7" top="0.75" bottom="0.75" header="0.3" footer="0.3"/>
      <pageSetup orientation="portrait" r:id="rId3"/>
    </customSheetView>
    <customSheetView guid="{72A6EB0A-84D5-4B8A-AC51-54CCD061630B}" topLeftCell="A22">
      <selection activeCell="C60" sqref="C60"/>
      <pageMargins left="0.7" right="0.7" top="0.75" bottom="0.75" header="0.3" footer="0.3"/>
    </customSheetView>
    <customSheetView guid="{336B6883-2145-4B58-921E-CEC7185A847E}" topLeftCell="A10">
      <selection activeCell="L50" sqref="L50"/>
      <pageMargins left="0.7" right="0.7" top="0.75" bottom="0.75" header="0.3" footer="0.3"/>
    </customSheetView>
    <customSheetView guid="{D33AC7AF-C8AB-4CE9-94C7-9237011A5FC3}" scale="85" topLeftCell="A151">
      <selection activeCell="A177" sqref="A177:I187"/>
      <pageMargins left="0.7" right="0.7" top="0.75" bottom="0.75" header="0.3" footer="0.3"/>
      <pageSetup orientation="portrait" r:id="rId4"/>
    </customSheetView>
    <customSheetView guid="{250915DF-0B97-45D7-B29D-7EED4C89C1C1}" scale="85">
      <selection activeCell="R10" sqref="R10"/>
      <pageMargins left="0.7" right="0.7" top="0.75" bottom="0.75" header="0.3" footer="0.3"/>
      <pageSetup orientation="portrait" r:id="rId5"/>
    </customSheetView>
  </customSheetViews>
  <pageMargins left="0.7" right="0.7" top="0.75" bottom="0.75" header="0.3" footer="0.3"/>
  <pageSetup orientation="portrait"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I13"/>
  <sheetViews>
    <sheetView workbookViewId="0">
      <selection activeCell="E9" sqref="E9"/>
    </sheetView>
  </sheetViews>
  <sheetFormatPr defaultRowHeight="15" x14ac:dyDescent="0.25"/>
  <cols>
    <col min="3" max="3" width="24.5703125" bestFit="1" customWidth="1"/>
    <col min="6" max="6" width="10.28515625" customWidth="1"/>
  </cols>
  <sheetData>
    <row r="2" spans="1:9" x14ac:dyDescent="0.25">
      <c r="A2" s="1">
        <f>1</f>
        <v>1</v>
      </c>
      <c r="B2" s="1" t="s">
        <v>60</v>
      </c>
      <c r="C2" s="1" t="s">
        <v>296</v>
      </c>
    </row>
    <row r="3" spans="1:9" x14ac:dyDescent="0.25">
      <c r="B3" s="1" t="s">
        <v>131</v>
      </c>
      <c r="C3" s="35">
        <f>SUM(G9:G10)</f>
        <v>10.860500000000005</v>
      </c>
      <c r="D3" t="s">
        <v>132</v>
      </c>
    </row>
    <row r="4" spans="1:9" x14ac:dyDescent="0.25">
      <c r="B4" s="1" t="s">
        <v>142</v>
      </c>
      <c r="C4">
        <f>SUM(INT((WEEKDAY(F4-{2,3,4,5,6})+H4-F4)/7))-2</f>
        <v>7</v>
      </c>
      <c r="D4" t="s">
        <v>132</v>
      </c>
      <c r="E4" t="s">
        <v>139</v>
      </c>
      <c r="F4" s="6">
        <v>43948</v>
      </c>
      <c r="G4" s="6" t="s">
        <v>128</v>
      </c>
      <c r="H4" s="6">
        <v>43958</v>
      </c>
    </row>
    <row r="5" spans="1:9" x14ac:dyDescent="0.25">
      <c r="B5" s="1" t="s">
        <v>143</v>
      </c>
      <c r="C5">
        <f>SUM(INT((WEEKDAY(F5-{2,3,4,5,6})+H5-F5)/7))-2</f>
        <v>7</v>
      </c>
      <c r="D5" t="s">
        <v>132</v>
      </c>
      <c r="E5" t="s">
        <v>139</v>
      </c>
      <c r="F5" s="6">
        <v>43948</v>
      </c>
      <c r="G5" s="6" t="s">
        <v>128</v>
      </c>
      <c r="H5" s="6">
        <v>43958</v>
      </c>
    </row>
    <row r="6" spans="1:9" x14ac:dyDescent="0.25">
      <c r="B6" s="1" t="s">
        <v>17</v>
      </c>
      <c r="C6" t="str">
        <f>IF(SUM(H9:H10)&gt;SUM(G9:G10),"Delayed",IF(SUM(H9:H10)&lt;SUM(G9:G10),"InAdvanced","Ontime"))</f>
        <v>InAdvanced</v>
      </c>
      <c r="F6" s="6"/>
      <c r="G6" s="6"/>
      <c r="H6" s="6"/>
    </row>
    <row r="8" spans="1:9" ht="75" x14ac:dyDescent="0.25">
      <c r="C8" s="43" t="s">
        <v>25</v>
      </c>
      <c r="D8" s="43" t="s">
        <v>26</v>
      </c>
      <c r="E8" s="9" t="s">
        <v>133</v>
      </c>
      <c r="F8" s="9" t="s">
        <v>134</v>
      </c>
      <c r="G8" s="9" t="s">
        <v>135</v>
      </c>
      <c r="H8" s="9" t="s">
        <v>136</v>
      </c>
      <c r="I8" s="9" t="s">
        <v>29</v>
      </c>
    </row>
    <row r="9" spans="1:9" x14ac:dyDescent="0.25">
      <c r="C9" s="8">
        <v>1</v>
      </c>
      <c r="D9" s="44" t="s">
        <v>3</v>
      </c>
      <c r="E9" s="45">
        <f>SUMIFS(Merged_JOEM!$W$48:$W$158,Merged_JOEM!$D$48:$D$158,Table!$D$3, Merged_JOEM!$E$48:$E$158,Report_For_Each_Project_JOEM!C2)</f>
        <v>3852.2249999999999</v>
      </c>
      <c r="F9" s="83">
        <f>SUMIFS(Merged_JOEM!$X$48:$X$158,Merged_JOEM!$D$48:$D$158,Table!$D$3, Merged_JOEM!$E$48:$E$158,Report_For_Each_Project_JOEM!C1)-SUM(SUMIFS(Merged_JOEM!$X$48:$X$158,Merged_JOEM!$D$48:$D$158,Table!$D$3,Merged_JOEM!$AA$48:$AA$158,{"Ongoing","N/A",""},Merged_JOEM!$E$48:$E$158,Report_For_Each_Project_JOEM!C1))</f>
        <v>0</v>
      </c>
      <c r="G9" s="45">
        <f>1/8*(SUMIFS(Merged_JOEM!$Y$48:$Y$158,Merged_JOEM!$D$48:$D$158,Table!$D$3, Merged_JOEM!$E$48:$E$158,Report_For_Each_Project_JOEM!C2))</f>
        <v>8.5605000000000047</v>
      </c>
      <c r="H9" s="45">
        <f>1/8*(SUMIFS(Merged_JOEM!$Z$48:$Z$158,Merged_JOEM!$D$48:$D$158,Table!$D$3, Merged_JOEM!$E$48:$E$158,Report_For_Each_Project_JOEM!C2)-SUM(SUMIFS(Merged_JOEM!$Z$48:$Z$158,Merged_JOEM!$D$48:$D$158,Table!$D$3,Merged_JOEM!$AA$48:$AA$158,{"Ongoing","N/A",""},Merged_JOEM!$E$48:$E$158,Report_For_Each_Project_JOEM!C2)))</f>
        <v>0</v>
      </c>
      <c r="I9" s="42">
        <f>IFERROR(F9/E9,"N/A")</f>
        <v>0</v>
      </c>
    </row>
    <row r="10" spans="1:9" x14ac:dyDescent="0.25">
      <c r="C10" s="8">
        <v>2</v>
      </c>
      <c r="D10" s="44" t="s">
        <v>2</v>
      </c>
      <c r="E10" s="83">
        <f>SUMIFS(Merged_JOEM!$W$48:$W$158,Merged_JOEM!$D$48:$D$158,Table!$C$3, Merged_JOEM!$E$48:$E$158,Report_For_Each_Project_JOEM!C3)</f>
        <v>0</v>
      </c>
      <c r="F10" s="47">
        <f>SUMIFS(Merged_JOEM!$X$48:$X$158,Merged_JOEM!$D$48:$D$158,Table!$C$3, Merged_JOEM!$E$48:$E$158,Report_For_Each_Project_JOEM!C2)-SUM(SUMIFS(Merged_JOEM!$X$48:$X$158,Merged_JOEM!$D$48:$D$158,Table!$C$3,Merged_JOEM!$AA$48:$AA$158,{"Ongoing","N/A",""},Merged_JOEM!$E$48:$E$158,Report_For_Each_Project_JOEM!C2))</f>
        <v>0</v>
      </c>
      <c r="G10" s="83">
        <f>1/8*(SUMIFS(Merged_JOEM!$Y$48:$Y$158,Merged_JOEM!$D$48:$D$158,Table!$C$3, Merged_JOEM!$E$48:$E$158,Report_For_Each_Project_JOEM!C2))</f>
        <v>2.2999999999999998</v>
      </c>
      <c r="H10" s="45">
        <f>1/8*(SUMIFS(Merged_JOEM!$Z$48:$Z$158,Merged_JOEM!$D$48:$D$158,Table!$C$3, Merged_JOEM!$E$48:$E$158,Report_For_Each_Project_JOEM!C2)-SUM(SUMIFS(Merged_JOEM!$Z$48:$Z$158,Merged_JOEM!$D$48:$D$158,Table!$C$3,Merged_JOEM!$AA$48:$AA$158,{"Ongoing","N/A",""},Merged_JOEM!$E$48:$E$158,Report_For_Each_Project_JOEM!C2)))</f>
        <v>0</v>
      </c>
      <c r="I10" s="42" t="str">
        <f>IFERROR(F10/E10,"N/A")</f>
        <v>N/A</v>
      </c>
    </row>
    <row r="12" spans="1:9" x14ac:dyDescent="0.25">
      <c r="C12" t="s">
        <v>138</v>
      </c>
    </row>
    <row r="13" spans="1:9" x14ac:dyDescent="0.25">
      <c r="D13" t="s">
        <v>145</v>
      </c>
    </row>
  </sheetData>
  <customSheetViews>
    <customSheetView guid="{7ECC2B8E-6A82-42F5-8AB0-4A51C54EA5EC}">
      <selection activeCell="E9" sqref="E9"/>
      <pageMargins left="0.7" right="0.7" top="0.75" bottom="0.75" header="0.3" footer="0.3"/>
    </customSheetView>
    <customSheetView guid="{250915DF-0B97-45D7-B29D-7EED4C89C1C1}">
      <selection activeCell="E9" sqref="E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R96"/>
  <sheetViews>
    <sheetView topLeftCell="A34" zoomScale="85" zoomScaleNormal="85" workbookViewId="0">
      <selection activeCell="H89" sqref="H89"/>
    </sheetView>
  </sheetViews>
  <sheetFormatPr defaultRowHeight="15" x14ac:dyDescent="0.25"/>
  <cols>
    <col min="1" max="1" width="10" customWidth="1"/>
    <col min="2" max="2" width="12.42578125" customWidth="1"/>
    <col min="4" max="4" width="22" customWidth="1"/>
    <col min="5" max="5" width="14.85546875" bestFit="1" customWidth="1"/>
    <col min="6" max="6" width="28.5703125" bestFit="1" customWidth="1"/>
    <col min="7" max="7" width="13.140625" customWidth="1"/>
    <col min="8" max="8" width="23" customWidth="1"/>
    <col min="11" max="11" width="10" bestFit="1" customWidth="1"/>
    <col min="12" max="12" width="11.42578125" customWidth="1"/>
    <col min="13" max="13" width="8.7109375" customWidth="1"/>
    <col min="14" max="14" width="27.85546875" bestFit="1" customWidth="1"/>
    <col min="15" max="15" width="14.85546875" bestFit="1" customWidth="1"/>
    <col min="16" max="16" width="16.28515625" customWidth="1"/>
    <col min="17" max="17" width="12.85546875" customWidth="1"/>
    <col min="18" max="18" width="20.5703125" customWidth="1"/>
  </cols>
  <sheetData>
    <row r="2" spans="2:10" x14ac:dyDescent="0.25">
      <c r="B2" s="92" t="s">
        <v>115</v>
      </c>
    </row>
    <row r="3" spans="2:10" x14ac:dyDescent="0.25">
      <c r="B3" s="85" t="s">
        <v>0</v>
      </c>
      <c r="C3" s="85" t="s">
        <v>8</v>
      </c>
      <c r="D3" s="85" t="s">
        <v>137</v>
      </c>
      <c r="E3" s="85" t="s">
        <v>57</v>
      </c>
      <c r="F3" s="85" t="s">
        <v>106</v>
      </c>
      <c r="G3" s="85" t="s">
        <v>22</v>
      </c>
      <c r="H3" s="86" t="s">
        <v>24</v>
      </c>
      <c r="I3" s="86" t="s">
        <v>178</v>
      </c>
      <c r="J3" s="86" t="s">
        <v>196</v>
      </c>
    </row>
    <row r="4" spans="2:10" x14ac:dyDescent="0.25">
      <c r="B4" s="87">
        <v>1</v>
      </c>
      <c r="C4" s="102" t="s">
        <v>6</v>
      </c>
      <c r="D4" s="89">
        <f>SUM(Merged_COEM!D34,Merged_JOEM!D34)</f>
        <v>0</v>
      </c>
      <c r="E4" s="89">
        <f>SUM(Merged_COEM!E34,Merged_JOEM!E34)</f>
        <v>0</v>
      </c>
      <c r="F4" s="89">
        <v>1</v>
      </c>
      <c r="G4" s="89">
        <f t="shared" ref="G4" si="0">IF(ISERROR(E4/(F4)),"N/A",E4/F4)</f>
        <v>0</v>
      </c>
      <c r="H4" s="90" t="str">
        <f t="shared" ref="H4:H14" si="1">IF(ISERROR(E4/D4),"N/A",E4/D4)</f>
        <v>N/A</v>
      </c>
      <c r="I4" s="3">
        <f>COUNTIFS($S$35:$S$84,C4,$AK$35:$AK$84,Table!$C$36)</f>
        <v>0</v>
      </c>
      <c r="J4" s="3">
        <f>COUNTIFS($S$35:$S$84,C4,$AK$35:$AK$84,Table!$C$37)</f>
        <v>0</v>
      </c>
    </row>
    <row r="5" spans="2:10" x14ac:dyDescent="0.25">
      <c r="B5" s="87">
        <v>2</v>
      </c>
      <c r="C5" s="102" t="s">
        <v>68</v>
      </c>
      <c r="D5" s="89">
        <f>SUM(Merged_COEM!D35,Merged_JOEM!D35)</f>
        <v>1994</v>
      </c>
      <c r="E5" s="89">
        <f>SUM(Merged_COEM!E35,Merged_JOEM!E35)</f>
        <v>0</v>
      </c>
      <c r="F5" s="89">
        <v>1</v>
      </c>
      <c r="G5" s="89">
        <f>IF(ISERROR(E5/(F5)),"N/A",E5/F5)</f>
        <v>0</v>
      </c>
      <c r="H5" s="90">
        <f t="shared" si="1"/>
        <v>0</v>
      </c>
      <c r="I5" s="3">
        <f>COUNTIFS($S$35:$S$84,C5,$AK$35:$AK$84,Table!$C$36)</f>
        <v>0</v>
      </c>
      <c r="J5" s="3">
        <f>COUNTIFS($S$35:$S$84,C5,$AK$35:$AK$84,Table!$C$37)</f>
        <v>0</v>
      </c>
    </row>
    <row r="6" spans="2:10" x14ac:dyDescent="0.25">
      <c r="B6" s="87">
        <v>3</v>
      </c>
      <c r="C6" s="102" t="s">
        <v>69</v>
      </c>
      <c r="D6" s="89">
        <f>SUM(Merged_COEM!D36,Merged_JOEM!D36)</f>
        <v>1612</v>
      </c>
      <c r="E6" s="89">
        <f>SUM(Merged_COEM!E36,Merged_JOEM!E36)</f>
        <v>0</v>
      </c>
      <c r="F6" s="89">
        <v>1</v>
      </c>
      <c r="G6" s="89">
        <f t="shared" ref="G6:G13" si="2">IF(ISERROR(E6/(F6)),"N/A",E6/F6)</f>
        <v>0</v>
      </c>
      <c r="H6" s="90">
        <f t="shared" si="1"/>
        <v>0</v>
      </c>
      <c r="I6" s="3">
        <f>COUNTIFS($S$35:$S$84,C6,$AK$35:$AK$84,Table!$C$36)</f>
        <v>0</v>
      </c>
      <c r="J6" s="3">
        <f>COUNTIFS($S$35:$S$84,C6,$AK$35:$AK$84,Table!$C$37)</f>
        <v>0</v>
      </c>
    </row>
    <row r="7" spans="2:10" x14ac:dyDescent="0.25">
      <c r="B7" s="87">
        <v>4</v>
      </c>
      <c r="C7" s="102" t="s">
        <v>70</v>
      </c>
      <c r="D7" s="89">
        <f>SUM(Merged_COEM!D37,Merged_JOEM!D37)</f>
        <v>4887.2250000000004</v>
      </c>
      <c r="E7" s="89">
        <f>SUM(Merged_COEM!E37,Merged_JOEM!E37)</f>
        <v>0</v>
      </c>
      <c r="F7" s="89">
        <v>1</v>
      </c>
      <c r="G7" s="89">
        <f t="shared" si="2"/>
        <v>0</v>
      </c>
      <c r="H7" s="90">
        <f t="shared" si="1"/>
        <v>0</v>
      </c>
      <c r="I7" s="3">
        <f>COUNTIFS($S$35:$S$84,C7,$AK$35:$AK$84,Table!$C$36)</f>
        <v>0</v>
      </c>
      <c r="J7" s="3">
        <f>COUNTIFS($S$35:$S$84,C7,$AK$35:$AK$84,Table!$C$37)</f>
        <v>0</v>
      </c>
    </row>
    <row r="8" spans="2:10" x14ac:dyDescent="0.25">
      <c r="B8" s="87">
        <v>5</v>
      </c>
      <c r="C8" s="102" t="s">
        <v>71</v>
      </c>
      <c r="D8" s="89">
        <f>SUM(Merged_COEM!D38,Merged_JOEM!D38)</f>
        <v>0</v>
      </c>
      <c r="E8" s="89">
        <f>SUM(Merged_COEM!E38,Merged_JOEM!E38)</f>
        <v>0</v>
      </c>
      <c r="F8" s="89">
        <v>1</v>
      </c>
      <c r="G8" s="89">
        <f t="shared" si="2"/>
        <v>0</v>
      </c>
      <c r="H8" s="90" t="str">
        <f t="shared" si="1"/>
        <v>N/A</v>
      </c>
      <c r="I8" s="3">
        <f>COUNTIFS($S$35:$S$84,C8,$AK$35:$AK$84,Table!$C$36)</f>
        <v>0</v>
      </c>
      <c r="J8" s="3">
        <f>COUNTIFS($S$35:$S$84,C8,$AK$35:$AK$84,Table!$C$37)</f>
        <v>0</v>
      </c>
    </row>
    <row r="9" spans="2:10" x14ac:dyDescent="0.25">
      <c r="B9" s="87">
        <v>6</v>
      </c>
      <c r="C9" s="102" t="s">
        <v>72</v>
      </c>
      <c r="D9" s="89">
        <f>SUM(Merged_COEM!D39,Merged_JOEM!D39)</f>
        <v>0</v>
      </c>
      <c r="E9" s="89">
        <f>SUM(Merged_COEM!E39,Merged_JOEM!E39)</f>
        <v>0</v>
      </c>
      <c r="F9" s="89">
        <v>1</v>
      </c>
      <c r="G9" s="89">
        <f t="shared" si="2"/>
        <v>0</v>
      </c>
      <c r="H9" s="90" t="str">
        <f t="shared" si="1"/>
        <v>N/A</v>
      </c>
      <c r="I9" s="3">
        <f>COUNTIFS($S$35:$S$84,C9,$AK$35:$AK$84,Table!$C$36)</f>
        <v>0</v>
      </c>
      <c r="J9" s="3">
        <f>COUNTIFS($S$35:$S$84,C9,$AK$35:$AK$84,Table!$C$37)</f>
        <v>0</v>
      </c>
    </row>
    <row r="10" spans="2:10" x14ac:dyDescent="0.25">
      <c r="B10" s="87">
        <v>7</v>
      </c>
      <c r="C10" s="102" t="s">
        <v>73</v>
      </c>
      <c r="D10" s="89">
        <f>SUM(Merged_COEM!D40,Merged_JOEM!D40)</f>
        <v>0</v>
      </c>
      <c r="E10" s="89">
        <f>SUM(Merged_COEM!E40,Merged_JOEM!E40)</f>
        <v>0</v>
      </c>
      <c r="F10" s="89">
        <v>1</v>
      </c>
      <c r="G10" s="89">
        <f t="shared" si="2"/>
        <v>0</v>
      </c>
      <c r="H10" s="90" t="str">
        <f t="shared" si="1"/>
        <v>N/A</v>
      </c>
      <c r="I10" s="3">
        <f>COUNTIFS($S$35:$S$84,C10,$AK$35:$AK$84,Table!$C$36)</f>
        <v>0</v>
      </c>
      <c r="J10" s="3">
        <f>COUNTIFS($S$35:$S$84,C10,$AK$35:$AK$84,Table!$C$37)</f>
        <v>0</v>
      </c>
    </row>
    <row r="11" spans="2:10" x14ac:dyDescent="0.25">
      <c r="B11" s="87">
        <v>8</v>
      </c>
      <c r="C11" s="102" t="s">
        <v>74</v>
      </c>
      <c r="D11" s="89">
        <f>SUM(Merged_COEM!D41,Merged_JOEM!D41)</f>
        <v>0</v>
      </c>
      <c r="E11" s="89">
        <f>SUM(Merged_COEM!E41,Merged_JOEM!E41)</f>
        <v>0</v>
      </c>
      <c r="F11" s="89">
        <v>1</v>
      </c>
      <c r="G11" s="89">
        <f t="shared" si="2"/>
        <v>0</v>
      </c>
      <c r="H11" s="90" t="str">
        <f t="shared" si="1"/>
        <v>N/A</v>
      </c>
      <c r="I11" s="3">
        <f>COUNTIFS($S$35:$S$84,C11,$AK$35:$AK$84,Table!$C$36)</f>
        <v>0</v>
      </c>
      <c r="J11" s="3">
        <f>COUNTIFS($S$35:$S$84,C11,$AK$35:$AK$84,Table!$C$37)</f>
        <v>0</v>
      </c>
    </row>
    <row r="12" spans="2:10" x14ac:dyDescent="0.25">
      <c r="B12" s="87">
        <v>9</v>
      </c>
      <c r="C12" s="102" t="s">
        <v>187</v>
      </c>
      <c r="D12" s="89">
        <f>SUM(Merged_COEM!D42,Merged_JOEM!D42)</f>
        <v>0</v>
      </c>
      <c r="E12" s="89">
        <f>SUM(Merged_COEM!E42,Merged_JOEM!E42)</f>
        <v>0</v>
      </c>
      <c r="F12" s="89">
        <v>1</v>
      </c>
      <c r="G12" s="89">
        <f t="shared" si="2"/>
        <v>0</v>
      </c>
      <c r="H12" s="90" t="str">
        <f t="shared" si="1"/>
        <v>N/A</v>
      </c>
      <c r="I12" s="3">
        <f>COUNTIFS($S$35:$S$84,C12,$AK$35:$AK$84,Table!$C$36)</f>
        <v>0</v>
      </c>
      <c r="J12" s="3">
        <f>COUNTIFS($S$35:$S$84,C12,$AK$35:$AK$84,Table!$C$37)</f>
        <v>0</v>
      </c>
    </row>
    <row r="13" spans="2:10" x14ac:dyDescent="0.25">
      <c r="B13" s="87">
        <v>10</v>
      </c>
      <c r="C13" s="102" t="s">
        <v>188</v>
      </c>
      <c r="D13" s="89">
        <f>SUM(Merged_COEM!D43,Merged_JOEM!D43)</f>
        <v>1363</v>
      </c>
      <c r="E13" s="89">
        <f>SUM(Merged_COEM!E43,Merged_JOEM!E43)</f>
        <v>0</v>
      </c>
      <c r="F13" s="89">
        <v>1</v>
      </c>
      <c r="G13" s="89">
        <f t="shared" si="2"/>
        <v>0</v>
      </c>
      <c r="H13" s="90">
        <f t="shared" si="1"/>
        <v>0</v>
      </c>
      <c r="I13" s="3">
        <f>COUNTIFS($S$35:$S$84,C13,$AK$35:$AK$84,Table!$C$36)</f>
        <v>0</v>
      </c>
      <c r="J13" s="3">
        <f>COUNTIFS($S$35:$S$84,C13,$AK$35:$AK$84,Table!$C$37)</f>
        <v>0</v>
      </c>
    </row>
    <row r="14" spans="2:10" x14ac:dyDescent="0.25">
      <c r="B14" s="85" t="s">
        <v>114</v>
      </c>
      <c r="C14" s="91"/>
      <c r="D14" s="89">
        <f>SUM(D4:D13)</f>
        <v>9856.2250000000004</v>
      </c>
      <c r="E14" s="89">
        <f>SUM(E4:E13)</f>
        <v>0</v>
      </c>
      <c r="F14" s="89">
        <f>1*COUNTA(C4:C13)</f>
        <v>10</v>
      </c>
      <c r="G14" s="89">
        <f>IF(ISERROR(E14/(F14)),"N/A",E14/F14)</f>
        <v>0</v>
      </c>
      <c r="H14" s="90">
        <f t="shared" si="1"/>
        <v>0</v>
      </c>
      <c r="I14" s="3">
        <f>SUM(I4:I13)</f>
        <v>0</v>
      </c>
      <c r="J14" s="3">
        <f>SUM(J4:J13)</f>
        <v>0</v>
      </c>
    </row>
    <row r="17" spans="1:18" x14ac:dyDescent="0.25">
      <c r="A17" s="100" t="s">
        <v>394</v>
      </c>
      <c r="B17" s="100" t="s">
        <v>224</v>
      </c>
      <c r="J17" s="101"/>
      <c r="K17" s="100" t="s">
        <v>394</v>
      </c>
      <c r="L17" s="100" t="s">
        <v>223</v>
      </c>
    </row>
    <row r="18" spans="1:18" x14ac:dyDescent="0.25">
      <c r="J18" s="101"/>
    </row>
    <row r="19" spans="1:18" x14ac:dyDescent="0.25">
      <c r="A19" s="1" t="s">
        <v>42</v>
      </c>
      <c r="B19" s="36">
        <v>43949</v>
      </c>
      <c r="D19" s="36">
        <f ca="1">TODAY()</f>
        <v>43953</v>
      </c>
      <c r="F19" s="6"/>
      <c r="J19" s="101"/>
      <c r="K19" s="1" t="s">
        <v>42</v>
      </c>
      <c r="L19" s="36">
        <f>B19</f>
        <v>43949</v>
      </c>
      <c r="N19" s="36">
        <f ca="1">D19</f>
        <v>43953</v>
      </c>
      <c r="P19" s="6"/>
    </row>
    <row r="20" spans="1:18" x14ac:dyDescent="0.25">
      <c r="A20" s="1" t="s">
        <v>30</v>
      </c>
      <c r="B20" s="7">
        <f ca="1">SUM(INT((WEEKDAY(B19-{2,3,4,5,6}) +D19-B19)/7))</f>
        <v>4</v>
      </c>
      <c r="J20" s="101"/>
      <c r="K20" s="1" t="s">
        <v>30</v>
      </c>
      <c r="L20" s="7">
        <f ca="1">B20</f>
        <v>4</v>
      </c>
    </row>
    <row r="21" spans="1:18" x14ac:dyDescent="0.25">
      <c r="A21" s="1" t="s">
        <v>163</v>
      </c>
      <c r="B21" s="7">
        <v>1</v>
      </c>
      <c r="C21" t="s">
        <v>359</v>
      </c>
      <c r="J21" s="101"/>
      <c r="K21" s="1" t="s">
        <v>163</v>
      </c>
      <c r="L21" s="7">
        <f>B21</f>
        <v>1</v>
      </c>
      <c r="M21" t="s">
        <v>359</v>
      </c>
    </row>
    <row r="22" spans="1:18" x14ac:dyDescent="0.25">
      <c r="A22" s="1" t="s">
        <v>116</v>
      </c>
      <c r="B22">
        <f ca="1">IF(TODAY()&lt;D19,SUM(INT((WEEKDAY(B19-{2,3,4,5,6})+TODAY()-B19)/7)),SUM(INT((WEEKDAY(B19-{2,3,4,5,6})+D19-B19)/7)))</f>
        <v>4</v>
      </c>
      <c r="J22" s="101"/>
      <c r="K22" s="1" t="s">
        <v>116</v>
      </c>
      <c r="L22">
        <f ca="1">B22</f>
        <v>4</v>
      </c>
    </row>
    <row r="23" spans="1:18" x14ac:dyDescent="0.25">
      <c r="A23" s="1"/>
      <c r="J23" s="101"/>
      <c r="K23" s="1"/>
    </row>
    <row r="24" spans="1:18" x14ac:dyDescent="0.25">
      <c r="B24" s="1" t="s">
        <v>34</v>
      </c>
      <c r="J24" s="101"/>
      <c r="L24" s="1" t="s">
        <v>34</v>
      </c>
    </row>
    <row r="25" spans="1:18" ht="45" x14ac:dyDescent="0.25">
      <c r="C25" s="52" t="s">
        <v>25</v>
      </c>
      <c r="D25" s="52" t="s">
        <v>26</v>
      </c>
      <c r="E25" s="52" t="s">
        <v>27</v>
      </c>
      <c r="F25" s="52" t="s">
        <v>28</v>
      </c>
      <c r="G25" s="9" t="s">
        <v>106</v>
      </c>
      <c r="H25" s="9" t="s">
        <v>29</v>
      </c>
      <c r="J25" s="101"/>
      <c r="M25" s="62" t="s">
        <v>25</v>
      </c>
      <c r="N25" s="62" t="s">
        <v>26</v>
      </c>
      <c r="O25" s="62" t="s">
        <v>27</v>
      </c>
      <c r="P25" s="62" t="s">
        <v>28</v>
      </c>
      <c r="Q25" s="9" t="s">
        <v>106</v>
      </c>
      <c r="R25" s="9" t="s">
        <v>29</v>
      </c>
    </row>
    <row r="26" spans="1:18" x14ac:dyDescent="0.25">
      <c r="C26" s="54">
        <v>1</v>
      </c>
      <c r="D26" s="54" t="s">
        <v>3</v>
      </c>
      <c r="E26" s="54">
        <f>SUM(Merged_COEM!D14)</f>
        <v>4969</v>
      </c>
      <c r="F26" s="54">
        <f>SUM(Merged_COEM!E14)</f>
        <v>0</v>
      </c>
      <c r="G26" s="54">
        <f>E26/Table!$D$4</f>
        <v>11.042222222222222</v>
      </c>
      <c r="H26" s="42">
        <f>IFERROR(F26/E26,"N/A")</f>
        <v>0</v>
      </c>
      <c r="J26" s="101"/>
      <c r="M26" s="83">
        <v>1</v>
      </c>
      <c r="N26" s="83" t="s">
        <v>3</v>
      </c>
      <c r="O26" s="83">
        <f>SUM(Merged_JOEM!D14)</f>
        <v>3852.2249999999999</v>
      </c>
      <c r="P26" s="83">
        <f>SUM(Merged_JOEM!E14)</f>
        <v>0</v>
      </c>
      <c r="Q26" s="83">
        <f>O26/Table!$D$4</f>
        <v>8.5604999999999993</v>
      </c>
      <c r="R26" s="42">
        <f>IFERROR(P26/O26,"N/A")</f>
        <v>0</v>
      </c>
    </row>
    <row r="27" spans="1:18" x14ac:dyDescent="0.25">
      <c r="C27" s="54">
        <v>2</v>
      </c>
      <c r="D27" s="54" t="s">
        <v>2</v>
      </c>
      <c r="E27" s="64">
        <f>SUM(Merged_COEM!D29)</f>
        <v>0</v>
      </c>
      <c r="F27" s="83">
        <f>SUM(Merged_COEM!E29)</f>
        <v>0</v>
      </c>
      <c r="G27" s="54">
        <f>E27/Table!$C$4</f>
        <v>0</v>
      </c>
      <c r="H27" s="42" t="str">
        <f>IFERROR(F27/E27,"N/A")</f>
        <v>N/A</v>
      </c>
      <c r="J27" s="101"/>
      <c r="M27" s="83">
        <v>2</v>
      </c>
      <c r="N27" s="83" t="s">
        <v>2</v>
      </c>
      <c r="O27" s="83">
        <f>SUM(Merged_JOEM!D29)</f>
        <v>299</v>
      </c>
      <c r="P27" s="83">
        <f>SUM(Merged_JOEM!E29)</f>
        <v>0</v>
      </c>
      <c r="Q27" s="83">
        <f>O27/Table!$C$4</f>
        <v>2.2999999999999998</v>
      </c>
      <c r="R27" s="42">
        <f>IFERROR(P27/O27,"N/A")</f>
        <v>0</v>
      </c>
    </row>
    <row r="28" spans="1:18" x14ac:dyDescent="0.25">
      <c r="C28" s="33"/>
      <c r="D28" s="31"/>
      <c r="E28" s="31"/>
      <c r="F28" s="31"/>
      <c r="G28" s="34"/>
      <c r="J28" s="101"/>
      <c r="M28" s="33"/>
      <c r="N28" s="31"/>
      <c r="O28" s="31"/>
      <c r="P28" s="31"/>
      <c r="Q28" s="34"/>
    </row>
    <row r="29" spans="1:18" x14ac:dyDescent="0.25">
      <c r="B29" s="1" t="s">
        <v>35</v>
      </c>
      <c r="J29" s="101"/>
      <c r="L29" s="1" t="s">
        <v>35</v>
      </c>
    </row>
    <row r="30" spans="1:18" ht="30" x14ac:dyDescent="0.25">
      <c r="C30" s="52" t="s">
        <v>25</v>
      </c>
      <c r="D30" s="52" t="s">
        <v>31</v>
      </c>
      <c r="E30" s="9" t="s">
        <v>32</v>
      </c>
      <c r="F30" s="9" t="s">
        <v>33</v>
      </c>
      <c r="G30" s="9" t="s">
        <v>150</v>
      </c>
      <c r="H30" s="9" t="s">
        <v>151</v>
      </c>
      <c r="J30" s="101"/>
      <c r="M30" s="62" t="s">
        <v>25</v>
      </c>
      <c r="N30" s="62" t="s">
        <v>31</v>
      </c>
      <c r="O30" s="9" t="s">
        <v>32</v>
      </c>
      <c r="P30" s="9" t="s">
        <v>33</v>
      </c>
      <c r="Q30" s="9" t="s">
        <v>150</v>
      </c>
      <c r="R30" s="9" t="s">
        <v>151</v>
      </c>
    </row>
    <row r="31" spans="1:18" x14ac:dyDescent="0.25">
      <c r="C31" s="54">
        <v>1</v>
      </c>
      <c r="D31" s="29" t="s">
        <v>122</v>
      </c>
      <c r="E31" s="54">
        <f>VLOOKUP(SUBSTITUTE(SUBSTITUTE(SUBSTITUTE(SUBSTITUTE(SUBSTITUTE(SUBSTITUTE(SUBSTITUTE(SUBSTITUTE(SUBSTITUTE(SUBSTITUTE(D31,"Nguyen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1" s="64">
        <f>VLOOKUP(SUBSTITUTE(SUBSTITUTE(SUBSTITUTE(SUBSTITUTE(SUBSTITUTE(SUBSTITUTE(SUBSTITUTE(SUBSTITUTE(SUBSTITUTE(SUBSTITUTE(D31,"Nguyen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1" s="54">
        <f>E31/Table!$D$4</f>
        <v>0</v>
      </c>
      <c r="H31" s="54">
        <f>F31/Table!$C$4</f>
        <v>0</v>
      </c>
      <c r="J31" s="101"/>
      <c r="M31" s="83">
        <v>1</v>
      </c>
      <c r="N31" s="29" t="s">
        <v>122</v>
      </c>
      <c r="O31" s="83">
        <f>VLOOKUP(SUBSTITUTE(SUBSTITUTE(SUBSTITUTE(SUBSTITUTE(SUBSTITUTE(SUBSTITUTE(SUBSTITUTE(SUBSTITUTE(SUBSTITUTE(SUBSTITUTE(N31,"Nguyen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1" s="83">
        <f>VLOOKUP(SUBSTITUTE(SUBSTITUTE(SUBSTITUTE(SUBSTITUTE(SUBSTITUTE(SUBSTITUTE(SUBSTITUTE(SUBSTITUTE(SUBSTITUTE(SUBSTITUTE(N31,"Nguyen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1" s="83">
        <f>O31/Table!$D$4</f>
        <v>0</v>
      </c>
      <c r="R31" s="83">
        <f>P31/Table!$C$4</f>
        <v>0</v>
      </c>
    </row>
    <row r="32" spans="1:18" x14ac:dyDescent="0.25">
      <c r="C32" s="54">
        <v>2</v>
      </c>
      <c r="D32" s="29" t="s">
        <v>123</v>
      </c>
      <c r="E32" s="83">
        <f>VLOOKUP(SUBSTITUTE(SUBSTITUTE(SUBSTITUTE(SUBSTITUTE(SUBSTITUTE(SUBSTITUTE(SUBSTITUTE(SUBSTITUTE(SUBSTITUTE(SUBSTITUTE(D32,"Nguyen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2" s="83">
        <f>VLOOKUP(SUBSTITUTE(SUBSTITUTE(SUBSTITUTE(SUBSTITUTE(SUBSTITUTE(SUBSTITUTE(SUBSTITUTE(SUBSTITUTE(SUBSTITUTE(SUBSTITUTE(D32,"Nguyen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2" s="83">
        <f>E32/Table!$D$4</f>
        <v>0</v>
      </c>
      <c r="H32" s="83">
        <f>F32/Table!$C$4</f>
        <v>0</v>
      </c>
      <c r="J32" s="101"/>
      <c r="M32" s="83">
        <v>2</v>
      </c>
      <c r="N32" s="29" t="s">
        <v>123</v>
      </c>
      <c r="O32" s="83">
        <f>VLOOKUP(SUBSTITUTE(SUBSTITUTE(SUBSTITUTE(SUBSTITUTE(SUBSTITUTE(SUBSTITUTE(SUBSTITUTE(SUBSTITUTE(SUBSTITUTE(SUBSTITUTE(N32,"Nguyen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2" s="83">
        <f>VLOOKUP(SUBSTITUTE(SUBSTITUTE(SUBSTITUTE(SUBSTITUTE(SUBSTITUTE(SUBSTITUTE(SUBSTITUTE(SUBSTITUTE(SUBSTITUTE(SUBSTITUTE(N32,"Nguyen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2" s="83">
        <f>O32/Table!$D$4</f>
        <v>0</v>
      </c>
      <c r="R32" s="83">
        <f>P32/Table!$C$4</f>
        <v>0</v>
      </c>
    </row>
    <row r="33" spans="2:18" x14ac:dyDescent="0.25">
      <c r="C33" s="54">
        <v>3</v>
      </c>
      <c r="D33" s="29" t="s">
        <v>124</v>
      </c>
      <c r="E33" s="83">
        <f>VLOOKUP(SUBSTITUTE(SUBSTITUTE(SUBSTITUTE(SUBSTITUTE(SUBSTITUTE(SUBSTITUTE(SUBSTITUTE(SUBSTITUTE(SUBSTITUTE(SUBSTITUTE(D33,"Nguyen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3" s="83">
        <f>VLOOKUP(SUBSTITUTE(SUBSTITUTE(SUBSTITUTE(SUBSTITUTE(SUBSTITUTE(SUBSTITUTE(SUBSTITUTE(SUBSTITUTE(SUBSTITUTE(SUBSTITUTE(D33,"Nguyen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3" s="83">
        <f>E33/Table!$D$4</f>
        <v>0</v>
      </c>
      <c r="H33" s="83">
        <f>F33/Table!$C$4</f>
        <v>0</v>
      </c>
      <c r="J33" s="101"/>
      <c r="M33" s="83">
        <v>3</v>
      </c>
      <c r="N33" s="29" t="s">
        <v>124</v>
      </c>
      <c r="O33" s="83">
        <f>VLOOKUP(SUBSTITUTE(SUBSTITUTE(SUBSTITUTE(SUBSTITUTE(SUBSTITUTE(SUBSTITUTE(SUBSTITUTE(SUBSTITUTE(SUBSTITUTE(SUBSTITUTE(N33,"Nguyen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3" s="83">
        <f>VLOOKUP(SUBSTITUTE(SUBSTITUTE(SUBSTITUTE(SUBSTITUTE(SUBSTITUTE(SUBSTITUTE(SUBSTITUTE(SUBSTITUTE(SUBSTITUTE(SUBSTITUTE(N33,"Nguyen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3" s="83">
        <f>O33/Table!$D$4</f>
        <v>0</v>
      </c>
      <c r="R33" s="83">
        <f>P33/Table!$C$4</f>
        <v>0</v>
      </c>
    </row>
    <row r="34" spans="2:18" x14ac:dyDescent="0.25">
      <c r="C34" s="83">
        <v>4</v>
      </c>
      <c r="D34" s="29" t="s">
        <v>125</v>
      </c>
      <c r="E34" s="83">
        <f>VLOOKUP(SUBSTITUTE(SUBSTITUTE(SUBSTITUTE(SUBSTITUTE(SUBSTITUTE(SUBSTITUTE(SUBSTITUTE(SUBSTITUTE(SUBSTITUTE(SUBSTITUTE(D34,"Nguyen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4" s="83">
        <f>VLOOKUP(SUBSTITUTE(SUBSTITUTE(SUBSTITUTE(SUBSTITUTE(SUBSTITUTE(SUBSTITUTE(SUBSTITUTE(SUBSTITUTE(SUBSTITUTE(SUBSTITUTE(D34,"Nguyen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4" s="83">
        <f>E34/Table!$D$4</f>
        <v>0</v>
      </c>
      <c r="H34" s="83">
        <f>F34/Table!$C$4</f>
        <v>0</v>
      </c>
      <c r="J34" s="101"/>
      <c r="M34" s="83">
        <v>4</v>
      </c>
      <c r="N34" s="29" t="s">
        <v>125</v>
      </c>
      <c r="O34" s="83">
        <f>VLOOKUP(SUBSTITUTE(SUBSTITUTE(SUBSTITUTE(SUBSTITUTE(SUBSTITUTE(SUBSTITUTE(SUBSTITUTE(SUBSTITUTE(SUBSTITUTE(SUBSTITUTE(N34,"Nguyen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4" s="83">
        <f>VLOOKUP(SUBSTITUTE(SUBSTITUTE(SUBSTITUTE(SUBSTITUTE(SUBSTITUTE(SUBSTITUTE(SUBSTITUTE(SUBSTITUTE(SUBSTITUTE(SUBSTITUTE(N34,"Nguyen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4" s="83">
        <f>O34/Table!$D$4</f>
        <v>0</v>
      </c>
      <c r="R34" s="83">
        <f>P34/Table!$C$4</f>
        <v>0</v>
      </c>
    </row>
    <row r="35" spans="2:18" x14ac:dyDescent="0.25">
      <c r="C35" s="83">
        <v>5</v>
      </c>
      <c r="D35" s="29" t="s">
        <v>229</v>
      </c>
      <c r="E35" s="83">
        <f>VLOOKUP(SUBSTITUTE(SUBSTITUTE(SUBSTITUTE(SUBSTITUTE(SUBSTITUTE(SUBSTITUTE(SUBSTITUTE(SUBSTITUTE(SUBSTITUTE(SUBSTITUTE(D35,"Nguyen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5" s="83">
        <f>VLOOKUP(SUBSTITUTE(SUBSTITUTE(SUBSTITUTE(SUBSTITUTE(SUBSTITUTE(SUBSTITUTE(SUBSTITUTE(SUBSTITUTE(SUBSTITUTE(SUBSTITUTE(D35,"Nguyen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5" s="83">
        <f>E35/Table!$D$4</f>
        <v>0</v>
      </c>
      <c r="H35" s="83">
        <f>F35/Table!$C$4</f>
        <v>0</v>
      </c>
      <c r="J35" s="101"/>
      <c r="M35" s="83">
        <v>5</v>
      </c>
      <c r="N35" s="29" t="s">
        <v>229</v>
      </c>
      <c r="O35" s="83">
        <f>VLOOKUP(SUBSTITUTE(SUBSTITUTE(SUBSTITUTE(SUBSTITUTE(SUBSTITUTE(SUBSTITUTE(SUBSTITUTE(SUBSTITUTE(SUBSTITUTE(SUBSTITUTE(N35,"Nguyen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5" s="83">
        <f>VLOOKUP(SUBSTITUTE(SUBSTITUTE(SUBSTITUTE(SUBSTITUTE(SUBSTITUTE(SUBSTITUTE(SUBSTITUTE(SUBSTITUTE(SUBSTITUTE(SUBSTITUTE(N35,"Nguyen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5" s="83">
        <f>O35/Table!$D$4</f>
        <v>0</v>
      </c>
      <c r="R35" s="83">
        <f>P35/Table!$C$4</f>
        <v>0</v>
      </c>
    </row>
    <row r="36" spans="2:18" x14ac:dyDescent="0.25">
      <c r="C36" s="83">
        <v>6</v>
      </c>
      <c r="D36" s="29" t="s">
        <v>230</v>
      </c>
      <c r="E36" s="83">
        <f>VLOOKUP(SUBSTITUTE(SUBSTITUTE(SUBSTITUTE(SUBSTITUTE(SUBSTITUTE(SUBSTITUTE(SUBSTITUTE(SUBSTITUTE(SUBSTITUTE(SUBSTITUTE(D36,"Nguyen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6" s="83">
        <f>VLOOKUP(SUBSTITUTE(SUBSTITUTE(SUBSTITUTE(SUBSTITUTE(SUBSTITUTE(SUBSTITUTE(SUBSTITUTE(SUBSTITUTE(SUBSTITUTE(SUBSTITUTE(D36,"Nguyen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6" s="83">
        <f>E36/Table!$D$4</f>
        <v>0</v>
      </c>
      <c r="H36" s="83">
        <f>F36/Table!$C$4</f>
        <v>0</v>
      </c>
      <c r="J36" s="101"/>
      <c r="M36" s="83">
        <v>6</v>
      </c>
      <c r="N36" s="29" t="s">
        <v>230</v>
      </c>
      <c r="O36" s="83">
        <f>VLOOKUP(SUBSTITUTE(SUBSTITUTE(SUBSTITUTE(SUBSTITUTE(SUBSTITUTE(SUBSTITUTE(SUBSTITUTE(SUBSTITUTE(SUBSTITUTE(SUBSTITUTE(N36,"Nguyen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6" s="83">
        <f>VLOOKUP(SUBSTITUTE(SUBSTITUTE(SUBSTITUTE(SUBSTITUTE(SUBSTITUTE(SUBSTITUTE(SUBSTITUTE(SUBSTITUTE(SUBSTITUTE(SUBSTITUTE(N36,"Nguyen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6" s="83">
        <f>O36/Table!$D$4</f>
        <v>0</v>
      </c>
      <c r="R36" s="83">
        <f>P36/Table!$C$4</f>
        <v>0</v>
      </c>
    </row>
    <row r="37" spans="2:18" x14ac:dyDescent="0.25">
      <c r="C37" s="83">
        <v>7</v>
      </c>
      <c r="D37" s="29" t="s">
        <v>231</v>
      </c>
      <c r="E37" s="83">
        <f>VLOOKUP(SUBSTITUTE(SUBSTITUTE(SUBSTITUTE(SUBSTITUTE(SUBSTITUTE(SUBSTITUTE(SUBSTITUTE(SUBSTITUTE(SUBSTITUTE(SUBSTITUTE(D37,"Nguyen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7" s="83">
        <f>VLOOKUP(SUBSTITUTE(SUBSTITUTE(SUBSTITUTE(SUBSTITUTE(SUBSTITUTE(SUBSTITUTE(SUBSTITUTE(SUBSTITUTE(SUBSTITUTE(SUBSTITUTE(D37,"Nguyen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7" s="83">
        <f>E37/Table!$D$4</f>
        <v>0</v>
      </c>
      <c r="H37" s="83">
        <f>F37/Table!$C$4</f>
        <v>0</v>
      </c>
      <c r="J37" s="101"/>
      <c r="M37" s="83">
        <v>7</v>
      </c>
      <c r="N37" s="29" t="s">
        <v>231</v>
      </c>
      <c r="O37" s="83">
        <f>VLOOKUP(SUBSTITUTE(SUBSTITUTE(SUBSTITUTE(SUBSTITUTE(SUBSTITUTE(SUBSTITUTE(SUBSTITUTE(SUBSTITUTE(SUBSTITUTE(SUBSTITUTE(N37,"Nguyen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7" s="83">
        <f>VLOOKUP(SUBSTITUTE(SUBSTITUTE(SUBSTITUTE(SUBSTITUTE(SUBSTITUTE(SUBSTITUTE(SUBSTITUTE(SUBSTITUTE(SUBSTITUTE(SUBSTITUTE(N37,"Nguyen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7" s="83">
        <f>O37/Table!$D$4</f>
        <v>0</v>
      </c>
      <c r="R37" s="83">
        <f>P37/Table!$C$4</f>
        <v>0</v>
      </c>
    </row>
    <row r="38" spans="2:18" x14ac:dyDescent="0.25">
      <c r="C38" s="83">
        <v>8</v>
      </c>
      <c r="D38" s="29" t="s">
        <v>232</v>
      </c>
      <c r="E38" s="83">
        <f>VLOOKUP(SUBSTITUTE(SUBSTITUTE(SUBSTITUTE(SUBSTITUTE(SUBSTITUTE(SUBSTITUTE(SUBSTITUTE(SUBSTITUTE(SUBSTITUTE(SUBSTITUTE(D38,"Nguyen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8" s="83">
        <f>VLOOKUP(SUBSTITUTE(SUBSTITUTE(SUBSTITUTE(SUBSTITUTE(SUBSTITUTE(SUBSTITUTE(SUBSTITUTE(SUBSTITUTE(SUBSTITUTE(SUBSTITUTE(D38,"Nguyen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8" s="83">
        <f>E38/Table!$D$4</f>
        <v>0</v>
      </c>
      <c r="H38" s="83">
        <f>F38/Table!$C$4</f>
        <v>0</v>
      </c>
      <c r="J38" s="101"/>
      <c r="M38" s="83">
        <v>8</v>
      </c>
      <c r="N38" s="29" t="s">
        <v>232</v>
      </c>
      <c r="O38" s="83">
        <f>VLOOKUP(SUBSTITUTE(SUBSTITUTE(SUBSTITUTE(SUBSTITUTE(SUBSTITUTE(SUBSTITUTE(SUBSTITUTE(SUBSTITUTE(SUBSTITUTE(SUBSTITUTE(N38,"Nguyen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8" s="83">
        <f>VLOOKUP(SUBSTITUTE(SUBSTITUTE(SUBSTITUTE(SUBSTITUTE(SUBSTITUTE(SUBSTITUTE(SUBSTITUTE(SUBSTITUTE(SUBSTITUTE(SUBSTITUTE(N38,"Nguyen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8" s="83">
        <f>O38/Table!$D$4</f>
        <v>0</v>
      </c>
      <c r="R38" s="83">
        <f>P38/Table!$C$4</f>
        <v>0</v>
      </c>
    </row>
    <row r="39" spans="2:18" x14ac:dyDescent="0.25">
      <c r="C39" s="83">
        <v>9</v>
      </c>
      <c r="D39" s="29" t="s">
        <v>213</v>
      </c>
      <c r="E39" s="83">
        <f>VLOOKUP(SUBSTITUTE(SUBSTITUTE(SUBSTITUTE(SUBSTITUTE(SUBSTITUTE(SUBSTITUTE(SUBSTITUTE(SUBSTITUTE(SUBSTITUTE(SUBSTITUTE(D39,"Nguyen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39" s="83">
        <f>VLOOKUP(SUBSTITUTE(SUBSTITUTE(SUBSTITUTE(SUBSTITUTE(SUBSTITUTE(SUBSTITUTE(SUBSTITUTE(SUBSTITUTE(SUBSTITUTE(SUBSTITUTE(D39,"Nguyen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39" s="83">
        <f>E39/Table!$D$4</f>
        <v>0</v>
      </c>
      <c r="H39" s="83">
        <f>F39/Table!$C$4</f>
        <v>0</v>
      </c>
      <c r="J39" s="101"/>
      <c r="M39" s="83">
        <v>9</v>
      </c>
      <c r="N39" s="29" t="s">
        <v>213</v>
      </c>
      <c r="O39" s="83">
        <f>VLOOKUP(SUBSTITUTE(SUBSTITUTE(SUBSTITUTE(SUBSTITUTE(SUBSTITUTE(SUBSTITUTE(SUBSTITUTE(SUBSTITUTE(SUBSTITUTE(SUBSTITUTE(N39,"Nguyen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39" s="83">
        <f>VLOOKUP(SUBSTITUTE(SUBSTITUTE(SUBSTITUTE(SUBSTITUTE(SUBSTITUTE(SUBSTITUTE(SUBSTITUTE(SUBSTITUTE(SUBSTITUTE(SUBSTITUTE(N39,"Nguyen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39" s="83">
        <f>O39/Table!$D$4</f>
        <v>0</v>
      </c>
      <c r="R39" s="83">
        <f>P39/Table!$C$4</f>
        <v>0</v>
      </c>
    </row>
    <row r="40" spans="2:18" x14ac:dyDescent="0.25">
      <c r="C40" s="83">
        <v>10</v>
      </c>
      <c r="D40" s="29" t="s">
        <v>212</v>
      </c>
      <c r="E40" s="83">
        <f>VLOOKUP(SUBSTITUTE(SUBSTITUTE(SUBSTITUTE(SUBSTITUTE(SUBSTITUTE(SUBSTITUTE(SUBSTITUTE(SUBSTITUTE(SUBSTITUTE(SUBSTITUTE(D40,"Nguyen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Phuong","phuong.nguyen-thanh"),Merged_COEM!$C$4:$H$13,3,0)</f>
        <v>0</v>
      </c>
      <c r="F40" s="83">
        <f>VLOOKUP(SUBSTITUTE(SUBSTITUTE(SUBSTITUTE(SUBSTITUTE(SUBSTITUTE(SUBSTITUTE(SUBSTITUTE(SUBSTITUTE(SUBSTITUTE(SUBSTITUTE(D40,"Nguyen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Phuong","phuong.nguyen-thanh"),Merged_COEM!$C$19:$H$28,3,0)</f>
        <v>0</v>
      </c>
      <c r="G40" s="83">
        <f>E40/Table!$D$4</f>
        <v>0</v>
      </c>
      <c r="H40" s="83">
        <f>F40/Table!$C$4</f>
        <v>0</v>
      </c>
      <c r="J40" s="101"/>
      <c r="M40" s="83">
        <v>10</v>
      </c>
      <c r="N40" s="29" t="s">
        <v>212</v>
      </c>
      <c r="O40" s="83">
        <f>VLOOKUP(SUBSTITUTE(SUBSTITUTE(SUBSTITUTE(SUBSTITUTE(SUBSTITUTE(SUBSTITUTE(SUBSTITUTE(SUBSTITUTE(SUBSTITUTE(SUBSTITUTE(N40,"Nguyen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Phuong","phuong.nguyen-thanh"),Merged_JOEM!$C$4:$H$13,3,0)</f>
        <v>0</v>
      </c>
      <c r="P40" s="83">
        <f>VLOOKUP(SUBSTITUTE(SUBSTITUTE(SUBSTITUTE(SUBSTITUTE(SUBSTITUTE(SUBSTITUTE(SUBSTITUTE(SUBSTITUTE(SUBSTITUTE(SUBSTITUTE(N40,"Nguyen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Phuong","phuong.nguyen-thanh"),Merged_JOEM!$C$19:$H$28,3,0)</f>
        <v>0</v>
      </c>
      <c r="Q40" s="83">
        <f>O40/Table!$D$4</f>
        <v>0</v>
      </c>
      <c r="R40" s="83">
        <f>P40/Table!$C$4</f>
        <v>0</v>
      </c>
    </row>
    <row r="41" spans="2:18" x14ac:dyDescent="0.25">
      <c r="C41" s="30"/>
      <c r="D41" s="30"/>
      <c r="E41" s="31"/>
      <c r="F41" s="31"/>
      <c r="J41" s="101"/>
      <c r="M41" s="30"/>
      <c r="N41" s="30"/>
      <c r="O41" s="31"/>
      <c r="P41" s="31"/>
    </row>
    <row r="42" spans="2:18" x14ac:dyDescent="0.25">
      <c r="B42" s="1" t="s">
        <v>36</v>
      </c>
      <c r="J42" s="101"/>
      <c r="L42" s="1" t="s">
        <v>36</v>
      </c>
    </row>
    <row r="43" spans="2:18" x14ac:dyDescent="0.25">
      <c r="C43" s="52" t="s">
        <v>25</v>
      </c>
      <c r="D43" s="56" t="s">
        <v>37</v>
      </c>
      <c r="E43" s="57"/>
      <c r="F43" s="58"/>
      <c r="J43" s="101"/>
      <c r="M43" s="62" t="s">
        <v>25</v>
      </c>
      <c r="N43" s="56" t="s">
        <v>37</v>
      </c>
      <c r="O43" s="57"/>
      <c r="P43" s="58"/>
    </row>
    <row r="44" spans="2:18" x14ac:dyDescent="0.25">
      <c r="C44" s="54">
        <v>1</v>
      </c>
      <c r="D44" s="38" t="s">
        <v>65</v>
      </c>
      <c r="E44" s="39"/>
      <c r="F44" s="40"/>
      <c r="J44" s="101"/>
      <c r="M44" s="83">
        <v>1</v>
      </c>
      <c r="N44" s="38" t="s">
        <v>65</v>
      </c>
      <c r="O44" s="39"/>
      <c r="P44" s="40"/>
    </row>
    <row r="45" spans="2:18" x14ac:dyDescent="0.25">
      <c r="C45" s="54">
        <v>2</v>
      </c>
      <c r="D45" s="38" t="s">
        <v>65</v>
      </c>
      <c r="E45" s="39"/>
      <c r="F45" s="40"/>
      <c r="J45" s="101"/>
      <c r="M45" s="83">
        <v>2</v>
      </c>
      <c r="N45" s="38" t="s">
        <v>65</v>
      </c>
      <c r="O45" s="39"/>
      <c r="P45" s="40"/>
    </row>
    <row r="46" spans="2:18" x14ac:dyDescent="0.25">
      <c r="C46" s="54">
        <v>3</v>
      </c>
      <c r="D46" s="38" t="s">
        <v>65</v>
      </c>
      <c r="E46" s="39"/>
      <c r="F46" s="40"/>
      <c r="J46" s="101"/>
      <c r="M46" s="83">
        <v>3</v>
      </c>
      <c r="N46" s="38" t="s">
        <v>65</v>
      </c>
      <c r="O46" s="39"/>
      <c r="P46" s="40"/>
    </row>
    <row r="47" spans="2:18" x14ac:dyDescent="0.25">
      <c r="C47" s="54">
        <v>4</v>
      </c>
      <c r="D47" s="38" t="s">
        <v>65</v>
      </c>
      <c r="E47" s="39"/>
      <c r="F47" s="40"/>
      <c r="J47" s="101"/>
      <c r="M47" s="83">
        <v>4</v>
      </c>
      <c r="N47" s="38" t="s">
        <v>65</v>
      </c>
      <c r="O47" s="39"/>
      <c r="P47" s="40"/>
    </row>
    <row r="48" spans="2:18" x14ac:dyDescent="0.25">
      <c r="J48" s="101"/>
    </row>
    <row r="49" spans="2:16" x14ac:dyDescent="0.25">
      <c r="B49" s="1" t="s">
        <v>38</v>
      </c>
      <c r="J49" s="101"/>
      <c r="L49" s="1" t="s">
        <v>38</v>
      </c>
    </row>
    <row r="50" spans="2:16" x14ac:dyDescent="0.25">
      <c r="C50" s="52" t="s">
        <v>25</v>
      </c>
      <c r="D50" s="52" t="s">
        <v>31</v>
      </c>
      <c r="E50" s="9" t="s">
        <v>148</v>
      </c>
      <c r="F50" s="9" t="s">
        <v>149</v>
      </c>
      <c r="J50" s="101"/>
      <c r="M50" s="62" t="s">
        <v>25</v>
      </c>
      <c r="N50" s="62" t="s">
        <v>31</v>
      </c>
      <c r="O50" s="9" t="s">
        <v>148</v>
      </c>
      <c r="P50" s="9" t="s">
        <v>149</v>
      </c>
    </row>
    <row r="51" spans="2:16" x14ac:dyDescent="0.25">
      <c r="C51" s="83">
        <v>1</v>
      </c>
      <c r="D51" s="29" t="s">
        <v>122</v>
      </c>
      <c r="E51" s="53">
        <f>VLOOKUP(SUBSTITUTE(SUBSTITUTE(SUBSTITUTE(SUBSTITUTE(SUBSTITUTE(SUBSTITUTE(SUBSTITUTE(SUBSTITUTE(SUBSTITUTE(SUBSTITUTE(D51,"Nguyen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1" s="64">
        <f>VLOOKUP(SUBSTITUTE(SUBSTITUTE(SUBSTITUTE(SUBSTITUTE(SUBSTITUTE(SUBSTITUTE(SUBSTITUTE(SUBSTITUTE(SUBSTITUTE(SUBSTITUTE(D51,"Nguyen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1" s="101"/>
      <c r="M51" s="83">
        <v>1</v>
      </c>
      <c r="N51" s="29" t="s">
        <v>122</v>
      </c>
      <c r="O51" s="82">
        <f>VLOOKUP(SUBSTITUTE(SUBSTITUTE(SUBSTITUTE(SUBSTITUTE(SUBSTITUTE(SUBSTITUTE(SUBSTITUTE(SUBSTITUTE(SUBSTITUTE(SUBSTITUTE(N51,"Nguyen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1" s="83">
        <f>VLOOKUP(SUBSTITUTE(SUBSTITUTE(SUBSTITUTE(SUBSTITUTE(SUBSTITUTE(SUBSTITUTE(SUBSTITUTE(SUBSTITUTE(SUBSTITUTE(SUBSTITUTE(N51,"Nguyen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2" spans="2:16" x14ac:dyDescent="0.25">
      <c r="C52" s="83">
        <v>2</v>
      </c>
      <c r="D52" s="29" t="s">
        <v>123</v>
      </c>
      <c r="E52" s="82">
        <f>VLOOKUP(SUBSTITUTE(SUBSTITUTE(SUBSTITUTE(SUBSTITUTE(SUBSTITUTE(SUBSTITUTE(SUBSTITUTE(SUBSTITUTE(SUBSTITUTE(SUBSTITUTE(D52,"Nguyen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2" s="83">
        <f>VLOOKUP(SUBSTITUTE(SUBSTITUTE(SUBSTITUTE(SUBSTITUTE(SUBSTITUTE(SUBSTITUTE(SUBSTITUTE(SUBSTITUTE(SUBSTITUTE(SUBSTITUTE(D52,"Nguyen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2" s="101"/>
      <c r="M52" s="83">
        <v>2</v>
      </c>
      <c r="N52" s="29" t="s">
        <v>123</v>
      </c>
      <c r="O52" s="82">
        <f>VLOOKUP(SUBSTITUTE(SUBSTITUTE(SUBSTITUTE(SUBSTITUTE(SUBSTITUTE(SUBSTITUTE(SUBSTITUTE(SUBSTITUTE(SUBSTITUTE(SUBSTITUTE(N52,"Nguyen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2" s="83">
        <f>VLOOKUP(SUBSTITUTE(SUBSTITUTE(SUBSTITUTE(SUBSTITUTE(SUBSTITUTE(SUBSTITUTE(SUBSTITUTE(SUBSTITUTE(SUBSTITUTE(SUBSTITUTE(N52,"Nguyen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3" spans="2:16" x14ac:dyDescent="0.25">
      <c r="C53" s="83">
        <v>3</v>
      </c>
      <c r="D53" s="29" t="s">
        <v>124</v>
      </c>
      <c r="E53" s="82">
        <f>VLOOKUP(SUBSTITUTE(SUBSTITUTE(SUBSTITUTE(SUBSTITUTE(SUBSTITUTE(SUBSTITUTE(SUBSTITUTE(SUBSTITUTE(SUBSTITUTE(SUBSTITUTE(D53,"Nguyen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3" s="83">
        <f>VLOOKUP(SUBSTITUTE(SUBSTITUTE(SUBSTITUTE(SUBSTITUTE(SUBSTITUTE(SUBSTITUTE(SUBSTITUTE(SUBSTITUTE(SUBSTITUTE(SUBSTITUTE(D53,"Nguyen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3" s="101"/>
      <c r="M53" s="83">
        <v>3</v>
      </c>
      <c r="N53" s="29" t="s">
        <v>124</v>
      </c>
      <c r="O53" s="82">
        <f>VLOOKUP(SUBSTITUTE(SUBSTITUTE(SUBSTITUTE(SUBSTITUTE(SUBSTITUTE(SUBSTITUTE(SUBSTITUTE(SUBSTITUTE(SUBSTITUTE(SUBSTITUTE(N53,"Nguyen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3" s="83">
        <f>VLOOKUP(SUBSTITUTE(SUBSTITUTE(SUBSTITUTE(SUBSTITUTE(SUBSTITUTE(SUBSTITUTE(SUBSTITUTE(SUBSTITUTE(SUBSTITUTE(SUBSTITUTE(N53,"Nguyen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4" spans="2:16" x14ac:dyDescent="0.25">
      <c r="C54" s="83">
        <v>4</v>
      </c>
      <c r="D54" s="29" t="s">
        <v>125</v>
      </c>
      <c r="E54" s="82">
        <f>VLOOKUP(SUBSTITUTE(SUBSTITUTE(SUBSTITUTE(SUBSTITUTE(SUBSTITUTE(SUBSTITUTE(SUBSTITUTE(SUBSTITUTE(SUBSTITUTE(SUBSTITUTE(D54,"Nguyen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4" s="83">
        <f>VLOOKUP(SUBSTITUTE(SUBSTITUTE(SUBSTITUTE(SUBSTITUTE(SUBSTITUTE(SUBSTITUTE(SUBSTITUTE(SUBSTITUTE(SUBSTITUTE(SUBSTITUTE(D54,"Nguyen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4" s="101"/>
      <c r="M54" s="83">
        <v>4</v>
      </c>
      <c r="N54" s="29" t="s">
        <v>125</v>
      </c>
      <c r="O54" s="82">
        <f>VLOOKUP(SUBSTITUTE(SUBSTITUTE(SUBSTITUTE(SUBSTITUTE(SUBSTITUTE(SUBSTITUTE(SUBSTITUTE(SUBSTITUTE(SUBSTITUTE(SUBSTITUTE(N54,"Nguyen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4" s="83">
        <f>VLOOKUP(SUBSTITUTE(SUBSTITUTE(SUBSTITUTE(SUBSTITUTE(SUBSTITUTE(SUBSTITUTE(SUBSTITUTE(SUBSTITUTE(SUBSTITUTE(SUBSTITUTE(N54,"Nguyen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5" spans="2:16" x14ac:dyDescent="0.25">
      <c r="C55" s="83">
        <v>5</v>
      </c>
      <c r="D55" s="29" t="s">
        <v>229</v>
      </c>
      <c r="E55" s="82">
        <f>VLOOKUP(SUBSTITUTE(SUBSTITUTE(SUBSTITUTE(SUBSTITUTE(SUBSTITUTE(SUBSTITUTE(SUBSTITUTE(SUBSTITUTE(SUBSTITUTE(SUBSTITUTE(D55,"Nguyen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5" s="83">
        <f>VLOOKUP(SUBSTITUTE(SUBSTITUTE(SUBSTITUTE(SUBSTITUTE(SUBSTITUTE(SUBSTITUTE(SUBSTITUTE(SUBSTITUTE(SUBSTITUTE(SUBSTITUTE(D55,"Nguyen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5" s="101"/>
      <c r="M55" s="83">
        <v>5</v>
      </c>
      <c r="N55" s="29" t="s">
        <v>229</v>
      </c>
      <c r="O55" s="82">
        <f>VLOOKUP(SUBSTITUTE(SUBSTITUTE(SUBSTITUTE(SUBSTITUTE(SUBSTITUTE(SUBSTITUTE(SUBSTITUTE(SUBSTITUTE(SUBSTITUTE(SUBSTITUTE(N55,"Nguyen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5" s="83">
        <f>VLOOKUP(SUBSTITUTE(SUBSTITUTE(SUBSTITUTE(SUBSTITUTE(SUBSTITUTE(SUBSTITUTE(SUBSTITUTE(SUBSTITUTE(SUBSTITUTE(SUBSTITUTE(N55,"Nguyen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6" spans="2:16" x14ac:dyDescent="0.25">
      <c r="C56" s="83">
        <v>6</v>
      </c>
      <c r="D56" s="29" t="s">
        <v>230</v>
      </c>
      <c r="E56" s="82">
        <f>VLOOKUP(SUBSTITUTE(SUBSTITUTE(SUBSTITUTE(SUBSTITUTE(SUBSTITUTE(SUBSTITUTE(SUBSTITUTE(SUBSTITUTE(SUBSTITUTE(SUBSTITUTE(D56,"Nguyen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6" s="83">
        <f>VLOOKUP(SUBSTITUTE(SUBSTITUTE(SUBSTITUTE(SUBSTITUTE(SUBSTITUTE(SUBSTITUTE(SUBSTITUTE(SUBSTITUTE(SUBSTITUTE(SUBSTITUTE(D56,"Nguyen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6" s="101"/>
      <c r="M56" s="83">
        <v>6</v>
      </c>
      <c r="N56" s="29" t="s">
        <v>230</v>
      </c>
      <c r="O56" s="82">
        <f>VLOOKUP(SUBSTITUTE(SUBSTITUTE(SUBSTITUTE(SUBSTITUTE(SUBSTITUTE(SUBSTITUTE(SUBSTITUTE(SUBSTITUTE(SUBSTITUTE(SUBSTITUTE(N56,"Nguyen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6" s="83">
        <f>VLOOKUP(SUBSTITUTE(SUBSTITUTE(SUBSTITUTE(SUBSTITUTE(SUBSTITUTE(SUBSTITUTE(SUBSTITUTE(SUBSTITUTE(SUBSTITUTE(SUBSTITUTE(N56,"Nguyen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7" spans="2:16" x14ac:dyDescent="0.25">
      <c r="C57" s="83">
        <v>7</v>
      </c>
      <c r="D57" s="29" t="s">
        <v>231</v>
      </c>
      <c r="E57" s="82">
        <f>VLOOKUP(SUBSTITUTE(SUBSTITUTE(SUBSTITUTE(SUBSTITUTE(SUBSTITUTE(SUBSTITUTE(SUBSTITUTE(SUBSTITUTE(SUBSTITUTE(SUBSTITUTE(D57,"Nguyen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7" s="83">
        <f>VLOOKUP(SUBSTITUTE(SUBSTITUTE(SUBSTITUTE(SUBSTITUTE(SUBSTITUTE(SUBSTITUTE(SUBSTITUTE(SUBSTITUTE(SUBSTITUTE(SUBSTITUTE(D57,"Nguyen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7" s="101"/>
      <c r="M57" s="83">
        <v>7</v>
      </c>
      <c r="N57" s="29" t="s">
        <v>231</v>
      </c>
      <c r="O57" s="82">
        <f>VLOOKUP(SUBSTITUTE(SUBSTITUTE(SUBSTITUTE(SUBSTITUTE(SUBSTITUTE(SUBSTITUTE(SUBSTITUTE(SUBSTITUTE(SUBSTITUTE(SUBSTITUTE(N57,"Nguyen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7" s="83">
        <f>VLOOKUP(SUBSTITUTE(SUBSTITUTE(SUBSTITUTE(SUBSTITUTE(SUBSTITUTE(SUBSTITUTE(SUBSTITUTE(SUBSTITUTE(SUBSTITUTE(SUBSTITUTE(N57,"Nguyen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8" spans="2:16" x14ac:dyDescent="0.25">
      <c r="C58" s="83">
        <v>8</v>
      </c>
      <c r="D58" s="29" t="s">
        <v>232</v>
      </c>
      <c r="E58" s="82">
        <f>VLOOKUP(SUBSTITUTE(SUBSTITUTE(SUBSTITUTE(SUBSTITUTE(SUBSTITUTE(SUBSTITUTE(SUBSTITUTE(SUBSTITUTE(SUBSTITUTE(SUBSTITUTE(D58,"Nguyen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8" s="83">
        <f>VLOOKUP(SUBSTITUTE(SUBSTITUTE(SUBSTITUTE(SUBSTITUTE(SUBSTITUTE(SUBSTITUTE(SUBSTITUTE(SUBSTITUTE(SUBSTITUTE(SUBSTITUTE(D58,"Nguyen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8" s="101"/>
      <c r="M58" s="83">
        <v>8</v>
      </c>
      <c r="N58" s="29" t="s">
        <v>232</v>
      </c>
      <c r="O58" s="82">
        <f>VLOOKUP(SUBSTITUTE(SUBSTITUTE(SUBSTITUTE(SUBSTITUTE(SUBSTITUTE(SUBSTITUTE(SUBSTITUTE(SUBSTITUTE(SUBSTITUTE(SUBSTITUTE(N58,"Nguyen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8" s="83">
        <f>VLOOKUP(SUBSTITUTE(SUBSTITUTE(SUBSTITUTE(SUBSTITUTE(SUBSTITUTE(SUBSTITUTE(SUBSTITUTE(SUBSTITUTE(SUBSTITUTE(SUBSTITUTE(N58,"Nguyen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59" spans="2:16" x14ac:dyDescent="0.25">
      <c r="C59" s="83">
        <v>9</v>
      </c>
      <c r="D59" s="29" t="s">
        <v>213</v>
      </c>
      <c r="E59" s="82">
        <f>VLOOKUP(SUBSTITUTE(SUBSTITUTE(SUBSTITUTE(SUBSTITUTE(SUBSTITUTE(SUBSTITUTE(SUBSTITUTE(SUBSTITUTE(SUBSTITUTE(SUBSTITUTE(D59,"Nguyen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59" s="83">
        <f>VLOOKUP(SUBSTITUTE(SUBSTITUTE(SUBSTITUTE(SUBSTITUTE(SUBSTITUTE(SUBSTITUTE(SUBSTITUTE(SUBSTITUTE(SUBSTITUTE(SUBSTITUTE(D59,"Nguyen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59" s="101"/>
      <c r="M59" s="83">
        <v>9</v>
      </c>
      <c r="N59" s="29" t="s">
        <v>213</v>
      </c>
      <c r="O59" s="82">
        <f>VLOOKUP(SUBSTITUTE(SUBSTITUTE(SUBSTITUTE(SUBSTITUTE(SUBSTITUTE(SUBSTITUTE(SUBSTITUTE(SUBSTITUTE(SUBSTITUTE(SUBSTITUTE(N59,"Nguyen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59" s="83">
        <f>VLOOKUP(SUBSTITUTE(SUBSTITUTE(SUBSTITUTE(SUBSTITUTE(SUBSTITUTE(SUBSTITUTE(SUBSTITUTE(SUBSTITUTE(SUBSTITUTE(SUBSTITUTE(N59,"Nguyen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60" spans="2:16" x14ac:dyDescent="0.25">
      <c r="C60" s="83">
        <v>10</v>
      </c>
      <c r="D60" s="29" t="s">
        <v>212</v>
      </c>
      <c r="E60" s="82">
        <f>VLOOKUP(SUBSTITUTE(SUBSTITUTE(SUBSTITUTE(SUBSTITUTE(SUBSTITUTE(SUBSTITUTE(SUBSTITUTE(SUBSTITUTE(SUBSTITUTE(SUBSTITUTE(D60,"Nguyen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Phuong","phuong.nguyen-thanh"),Merged_COEM!$C$34:$J$43,7,0)</f>
        <v>0</v>
      </c>
      <c r="F60" s="83">
        <f>VLOOKUP(SUBSTITUTE(SUBSTITUTE(SUBSTITUTE(SUBSTITUTE(SUBSTITUTE(SUBSTITUTE(SUBSTITUTE(SUBSTITUTE(SUBSTITUTE(SUBSTITUTE(D60,"Nguyen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Phuong","phuong.nguyen-thanh"),Merged_COEM!$C$34:$J$43,8,0)</f>
        <v>0</v>
      </c>
      <c r="J60" s="101"/>
      <c r="M60" s="83">
        <v>10</v>
      </c>
      <c r="N60" s="29" t="s">
        <v>212</v>
      </c>
      <c r="O60" s="82">
        <f>VLOOKUP(SUBSTITUTE(SUBSTITUTE(SUBSTITUTE(SUBSTITUTE(SUBSTITUTE(SUBSTITUTE(SUBSTITUTE(SUBSTITUTE(SUBSTITUTE(SUBSTITUTE(N60,"Nguyen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Phuong","phuong.nguyen-thanh"),Merged_JOEM!$C$34:$J$43,7,0)</f>
        <v>0</v>
      </c>
      <c r="P60" s="83">
        <f>VLOOKUP(SUBSTITUTE(SUBSTITUTE(SUBSTITUTE(SUBSTITUTE(SUBSTITUTE(SUBSTITUTE(SUBSTITUTE(SUBSTITUTE(SUBSTITUTE(SUBSTITUTE(N60,"Nguyen Trung Hieu","hieu.nguyen-trung"),"Nguyen Tai Hau","hau.nguyen-tai"),"Nguyen Duy Bang","bang.nguyen-duy"),"Luu Cong Dac","dac.luu-cong"),"Nguyen Tuan Duong","duong.nguyen"),"Do Phu Loc","loc.do-phu"),"Nguyen Kim Thanh","thanh.nguyen-kim"),"Ly Chung","chung.ly"),"Do Anh Huy","huy.do-anh"),"Nguyen Thanh Phuong","phuong.nguyen-thanh"),Merged_JOEM!$C$34:$J$43,8,0)</f>
        <v>0</v>
      </c>
    </row>
    <row r="61" spans="2:16" x14ac:dyDescent="0.25">
      <c r="C61" s="31"/>
      <c r="D61" s="30"/>
      <c r="E61" s="84"/>
      <c r="F61" s="31"/>
      <c r="J61" s="101"/>
      <c r="M61" s="31"/>
      <c r="N61" s="30"/>
      <c r="O61" s="84"/>
      <c r="P61" s="31"/>
    </row>
    <row r="62" spans="2:16" x14ac:dyDescent="0.25">
      <c r="B62" s="1" t="s">
        <v>39</v>
      </c>
      <c r="J62" s="101"/>
      <c r="L62" s="1" t="s">
        <v>39</v>
      </c>
    </row>
    <row r="63" spans="2:16" x14ac:dyDescent="0.25">
      <c r="C63" s="52" t="s">
        <v>25</v>
      </c>
      <c r="D63" s="52" t="s">
        <v>31</v>
      </c>
      <c r="E63" s="9" t="s">
        <v>40</v>
      </c>
      <c r="F63" s="9" t="s">
        <v>41</v>
      </c>
      <c r="J63" s="101"/>
      <c r="M63" s="62" t="s">
        <v>25</v>
      </c>
      <c r="N63" s="62" t="s">
        <v>31</v>
      </c>
      <c r="O63" s="9" t="s">
        <v>40</v>
      </c>
      <c r="P63" s="9" t="s">
        <v>41</v>
      </c>
    </row>
    <row r="64" spans="2:16" x14ac:dyDescent="0.25">
      <c r="C64" s="83">
        <v>1</v>
      </c>
      <c r="D64" s="29" t="s">
        <v>122</v>
      </c>
      <c r="E64" s="53" t="s">
        <v>65</v>
      </c>
      <c r="F64" s="53" t="s">
        <v>65</v>
      </c>
      <c r="J64" s="101"/>
      <c r="M64" s="83">
        <v>1</v>
      </c>
      <c r="N64" s="29" t="s">
        <v>122</v>
      </c>
      <c r="O64" s="82" t="s">
        <v>65</v>
      </c>
      <c r="P64" s="82" t="s">
        <v>65</v>
      </c>
    </row>
    <row r="65" spans="2:16" x14ac:dyDescent="0.25">
      <c r="C65" s="83">
        <v>2</v>
      </c>
      <c r="D65" s="29" t="s">
        <v>123</v>
      </c>
      <c r="E65" s="53" t="s">
        <v>65</v>
      </c>
      <c r="F65" s="53" t="s">
        <v>65</v>
      </c>
      <c r="J65" s="101"/>
      <c r="M65" s="83">
        <v>2</v>
      </c>
      <c r="N65" s="29" t="s">
        <v>123</v>
      </c>
      <c r="O65" s="82" t="s">
        <v>65</v>
      </c>
      <c r="P65" s="82" t="s">
        <v>65</v>
      </c>
    </row>
    <row r="66" spans="2:16" x14ac:dyDescent="0.25">
      <c r="C66" s="83">
        <v>3</v>
      </c>
      <c r="D66" s="29" t="s">
        <v>124</v>
      </c>
      <c r="E66" s="53" t="s">
        <v>65</v>
      </c>
      <c r="F66" s="82" t="s">
        <v>65</v>
      </c>
      <c r="J66" s="101"/>
      <c r="M66" s="83">
        <v>3</v>
      </c>
      <c r="N66" s="29" t="s">
        <v>124</v>
      </c>
      <c r="O66" s="82" t="s">
        <v>65</v>
      </c>
      <c r="P66" s="82" t="s">
        <v>65</v>
      </c>
    </row>
    <row r="67" spans="2:16" x14ac:dyDescent="0.25">
      <c r="C67" s="83">
        <v>4</v>
      </c>
      <c r="D67" s="29" t="s">
        <v>125</v>
      </c>
      <c r="E67" s="53" t="s">
        <v>65</v>
      </c>
      <c r="F67" s="53" t="s">
        <v>65</v>
      </c>
      <c r="J67" s="101"/>
      <c r="M67" s="83">
        <v>4</v>
      </c>
      <c r="N67" s="29" t="s">
        <v>125</v>
      </c>
      <c r="O67" s="82" t="s">
        <v>65</v>
      </c>
      <c r="P67" s="82" t="s">
        <v>65</v>
      </c>
    </row>
    <row r="68" spans="2:16" x14ac:dyDescent="0.25">
      <c r="C68" s="83">
        <v>5</v>
      </c>
      <c r="D68" s="29" t="s">
        <v>229</v>
      </c>
      <c r="E68" s="82" t="s">
        <v>65</v>
      </c>
      <c r="F68" s="82" t="s">
        <v>65</v>
      </c>
      <c r="J68" s="101"/>
      <c r="M68" s="83">
        <v>5</v>
      </c>
      <c r="N68" s="29" t="s">
        <v>229</v>
      </c>
      <c r="O68" s="82" t="s">
        <v>65</v>
      </c>
      <c r="P68" s="82" t="s">
        <v>65</v>
      </c>
    </row>
    <row r="69" spans="2:16" x14ac:dyDescent="0.25">
      <c r="C69" s="83">
        <v>6</v>
      </c>
      <c r="D69" s="29" t="s">
        <v>230</v>
      </c>
      <c r="E69" s="82" t="s">
        <v>65</v>
      </c>
      <c r="F69" s="82" t="s">
        <v>65</v>
      </c>
      <c r="J69" s="101"/>
      <c r="M69" s="83">
        <v>6</v>
      </c>
      <c r="N69" s="29" t="s">
        <v>230</v>
      </c>
      <c r="O69" s="82" t="s">
        <v>65</v>
      </c>
      <c r="P69" s="82" t="s">
        <v>65</v>
      </c>
    </row>
    <row r="70" spans="2:16" x14ac:dyDescent="0.25">
      <c r="C70" s="83">
        <v>7</v>
      </c>
      <c r="D70" s="29" t="s">
        <v>231</v>
      </c>
      <c r="E70" s="82" t="s">
        <v>65</v>
      </c>
      <c r="F70" s="82" t="s">
        <v>65</v>
      </c>
      <c r="J70" s="101"/>
      <c r="M70" s="83">
        <v>7</v>
      </c>
      <c r="N70" s="29" t="s">
        <v>231</v>
      </c>
      <c r="O70" s="82" t="s">
        <v>65</v>
      </c>
      <c r="P70" s="82" t="s">
        <v>65</v>
      </c>
    </row>
    <row r="71" spans="2:16" x14ac:dyDescent="0.25">
      <c r="C71" s="83">
        <v>8</v>
      </c>
      <c r="D71" s="29" t="s">
        <v>232</v>
      </c>
      <c r="E71" s="82" t="s">
        <v>65</v>
      </c>
      <c r="F71" s="82" t="s">
        <v>65</v>
      </c>
      <c r="J71" s="101"/>
      <c r="M71" s="83">
        <v>8</v>
      </c>
      <c r="N71" s="29" t="s">
        <v>232</v>
      </c>
      <c r="O71" s="82" t="s">
        <v>65</v>
      </c>
      <c r="P71" s="82" t="s">
        <v>65</v>
      </c>
    </row>
    <row r="72" spans="2:16" x14ac:dyDescent="0.25">
      <c r="C72" s="83">
        <v>9</v>
      </c>
      <c r="D72" s="29" t="s">
        <v>213</v>
      </c>
      <c r="E72" s="82" t="s">
        <v>65</v>
      </c>
      <c r="F72" s="82" t="s">
        <v>65</v>
      </c>
      <c r="J72" s="101"/>
      <c r="M72" s="83">
        <v>9</v>
      </c>
      <c r="N72" s="29" t="s">
        <v>213</v>
      </c>
      <c r="O72" s="82" t="s">
        <v>65</v>
      </c>
      <c r="P72" s="82" t="s">
        <v>65</v>
      </c>
    </row>
    <row r="73" spans="2:16" x14ac:dyDescent="0.25">
      <c r="C73" s="83">
        <v>10</v>
      </c>
      <c r="D73" s="29" t="s">
        <v>212</v>
      </c>
      <c r="E73" s="82" t="s">
        <v>65</v>
      </c>
      <c r="F73" s="82" t="s">
        <v>65</v>
      </c>
      <c r="J73" s="101"/>
      <c r="M73" s="83">
        <v>10</v>
      </c>
      <c r="N73" s="29" t="s">
        <v>212</v>
      </c>
      <c r="O73" s="82" t="s">
        <v>65</v>
      </c>
      <c r="P73" s="82" t="s">
        <v>65</v>
      </c>
    </row>
    <row r="74" spans="2:16" x14ac:dyDescent="0.25">
      <c r="C74" s="31"/>
      <c r="D74" s="30"/>
      <c r="E74" s="84"/>
      <c r="F74" s="84"/>
      <c r="J74" s="101"/>
      <c r="M74" s="31"/>
      <c r="N74" s="30"/>
      <c r="O74" s="84"/>
      <c r="P74" s="84"/>
    </row>
    <row r="75" spans="2:16" x14ac:dyDescent="0.25">
      <c r="C75" s="31"/>
      <c r="D75" s="30"/>
      <c r="E75" s="84"/>
      <c r="F75" s="84"/>
      <c r="J75" s="101"/>
      <c r="M75" s="31"/>
      <c r="N75" s="30"/>
      <c r="O75" s="84"/>
      <c r="P75" s="84"/>
    </row>
    <row r="76" spans="2:16" x14ac:dyDescent="0.25">
      <c r="B76" s="1" t="s">
        <v>43</v>
      </c>
      <c r="J76" s="101"/>
      <c r="L76" s="1" t="s">
        <v>43</v>
      </c>
    </row>
    <row r="77" spans="2:16" x14ac:dyDescent="0.25">
      <c r="C77" s="1" t="s">
        <v>45</v>
      </c>
      <c r="J77" s="101"/>
      <c r="M77" s="1" t="s">
        <v>45</v>
      </c>
    </row>
    <row r="78" spans="2:16" x14ac:dyDescent="0.25">
      <c r="D78" t="s">
        <v>44</v>
      </c>
      <c r="J78" s="101"/>
      <c r="N78" t="s">
        <v>44</v>
      </c>
    </row>
    <row r="79" spans="2:16" x14ac:dyDescent="0.25">
      <c r="D79" t="s">
        <v>104</v>
      </c>
      <c r="J79" s="101"/>
      <c r="N79" t="s">
        <v>104</v>
      </c>
    </row>
    <row r="80" spans="2:16" x14ac:dyDescent="0.25">
      <c r="C80" s="1" t="s">
        <v>46</v>
      </c>
      <c r="J80" s="101"/>
      <c r="M80" s="1" t="s">
        <v>46</v>
      </c>
    </row>
    <row r="81" spans="1:14" x14ac:dyDescent="0.25">
      <c r="D81" t="s">
        <v>47</v>
      </c>
      <c r="J81" s="101"/>
      <c r="N81" t="s">
        <v>47</v>
      </c>
    </row>
    <row r="82" spans="1:14" x14ac:dyDescent="0.25">
      <c r="D82" t="s">
        <v>48</v>
      </c>
      <c r="J82" s="101"/>
      <c r="N82" t="s">
        <v>48</v>
      </c>
    </row>
    <row r="83" spans="1:14" x14ac:dyDescent="0.25">
      <c r="C83" s="1" t="s">
        <v>226</v>
      </c>
      <c r="J83" s="101"/>
      <c r="M83" s="1" t="s">
        <v>226</v>
      </c>
    </row>
    <row r="84" spans="1:14" x14ac:dyDescent="0.25">
      <c r="D84" t="s">
        <v>227</v>
      </c>
      <c r="J84" s="101"/>
      <c r="N84" t="s">
        <v>227</v>
      </c>
    </row>
    <row r="85" spans="1:14" x14ac:dyDescent="0.25">
      <c r="D85" t="s">
        <v>228</v>
      </c>
      <c r="J85" s="101"/>
      <c r="N85" t="s">
        <v>228</v>
      </c>
    </row>
    <row r="86" spans="1:14" x14ac:dyDescent="0.25">
      <c r="J86" s="101"/>
    </row>
    <row r="87" spans="1:14" x14ac:dyDescent="0.25">
      <c r="A87" t="s">
        <v>43</v>
      </c>
      <c r="J87" s="101"/>
    </row>
    <row r="88" spans="1:14" x14ac:dyDescent="0.25">
      <c r="B88" t="s">
        <v>373</v>
      </c>
      <c r="C88" t="s">
        <v>224</v>
      </c>
      <c r="J88" s="101"/>
      <c r="K88" t="s">
        <v>223</v>
      </c>
    </row>
    <row r="89" spans="1:14" x14ac:dyDescent="0.25">
      <c r="D89" s="29" t="s">
        <v>122</v>
      </c>
      <c r="J89" s="101"/>
      <c r="L89" s="29" t="s">
        <v>125</v>
      </c>
    </row>
    <row r="90" spans="1:14" x14ac:dyDescent="0.25">
      <c r="D90" s="29" t="s">
        <v>123</v>
      </c>
      <c r="J90" s="101"/>
      <c r="L90" s="29" t="s">
        <v>213</v>
      </c>
    </row>
    <row r="91" spans="1:14" x14ac:dyDescent="0.25">
      <c r="D91" s="29" t="s">
        <v>124</v>
      </c>
      <c r="J91" s="101"/>
    </row>
    <row r="92" spans="1:14" x14ac:dyDescent="0.25">
      <c r="D92" s="29" t="s">
        <v>229</v>
      </c>
      <c r="J92" s="101"/>
    </row>
    <row r="93" spans="1:14" x14ac:dyDescent="0.25">
      <c r="D93" s="29" t="s">
        <v>230</v>
      </c>
      <c r="J93" s="101"/>
    </row>
    <row r="94" spans="1:14" x14ac:dyDescent="0.25">
      <c r="D94" s="29" t="s">
        <v>231</v>
      </c>
      <c r="J94" s="101"/>
    </row>
    <row r="95" spans="1:14" x14ac:dyDescent="0.25">
      <c r="D95" s="29" t="s">
        <v>232</v>
      </c>
      <c r="J95" s="101"/>
    </row>
    <row r="96" spans="1:14" x14ac:dyDescent="0.25">
      <c r="D96" s="29" t="s">
        <v>212</v>
      </c>
      <c r="J96" s="101"/>
    </row>
  </sheetData>
  <customSheetViews>
    <customSheetView guid="{7ECC2B8E-6A82-42F5-8AB0-4A51C54EA5EC}" scale="85" topLeftCell="A22">
      <selection activeCell="O35" sqref="O35"/>
      <pageMargins left="0.7" right="0.7" top="0.75" bottom="0.75" header="0.3" footer="0.3"/>
      <pageSetup orientation="portrait" horizontalDpi="300" verticalDpi="0" r:id="rId1"/>
    </customSheetView>
    <customSheetView guid="{A2C66332-A809-458E-971B-FDB6D62C74C3}" scale="85">
      <selection activeCell="K21" sqref="K21"/>
      <pageMargins left="0.7" right="0.7" top="0.75" bottom="0.75" header="0.3" footer="0.3"/>
      <pageSetup orientation="portrait" horizontalDpi="300" verticalDpi="0" r:id="rId2"/>
    </customSheetView>
    <customSheetView guid="{3B3E6719-EACB-4D2C-89C1-05FFAB6020FD}" scale="85">
      <selection activeCell="Q1" sqref="Q1:Q1048576"/>
      <pageMargins left="0.7" right="0.7" top="0.75" bottom="0.75" header="0.3" footer="0.3"/>
      <pageSetup orientation="portrait" horizontalDpi="300" verticalDpi="0" r:id="rId3"/>
    </customSheetView>
    <customSheetView guid="{72A6EB0A-84D5-4B8A-AC51-54CCD061630B}" scale="85">
      <selection sqref="A1:H46"/>
      <pageMargins left="0.7" right="0.7" top="0.75" bottom="0.75" header="0.3" footer="0.3"/>
      <pageSetup orientation="portrait" horizontalDpi="300" verticalDpi="0" r:id="rId4"/>
    </customSheetView>
    <customSheetView guid="{336B6883-2145-4B58-921E-CEC7185A847E}" scale="85">
      <selection activeCell="K21" sqref="K21"/>
      <pageMargins left="0.7" right="0.7" top="0.75" bottom="0.75" header="0.3" footer="0.3"/>
      <pageSetup orientation="portrait" horizontalDpi="300" verticalDpi="0" r:id="rId5"/>
    </customSheetView>
    <customSheetView guid="{D33AC7AF-C8AB-4CE9-94C7-9237011A5FC3}" scale="85">
      <selection activeCell="K21" sqref="K21"/>
      <pageMargins left="0.7" right="0.7" top="0.75" bottom="0.75" header="0.3" footer="0.3"/>
      <pageSetup orientation="portrait" horizontalDpi="300" verticalDpi="0" r:id="rId6"/>
    </customSheetView>
    <customSheetView guid="{250915DF-0B97-45D7-B29D-7EED4C89C1C1}" scale="85" topLeftCell="A34">
      <selection activeCell="H89" sqref="H89"/>
      <pageMargins left="0.7" right="0.7" top="0.75" bottom="0.75" header="0.3" footer="0.3"/>
      <pageSetup orientation="portrait" horizontalDpi="300" verticalDpi="0" r:id="rId7"/>
    </customSheetView>
  </customSheetViews>
  <conditionalFormatting sqref="H26:H27">
    <cfRule type="cellIs" dxfId="52" priority="23" operator="equal">
      <formula>1</formula>
    </cfRule>
    <cfRule type="cellIs" dxfId="51" priority="24" operator="lessThan">
      <formula>1</formula>
    </cfRule>
  </conditionalFormatting>
  <conditionalFormatting sqref="R26:R27">
    <cfRule type="cellIs" dxfId="50" priority="13" operator="equal">
      <formula>1</formula>
    </cfRule>
    <cfRule type="cellIs" dxfId="49" priority="14" operator="lessThan">
      <formula>1</formula>
    </cfRule>
  </conditionalFormatting>
  <conditionalFormatting sqref="H14">
    <cfRule type="cellIs" dxfId="48" priority="1" operator="equal">
      <formula>1</formula>
    </cfRule>
    <cfRule type="cellIs" dxfId="47" priority="2" operator="lessThan">
      <formula>1</formula>
    </cfRule>
  </conditionalFormatting>
  <conditionalFormatting sqref="H4">
    <cfRule type="cellIs" dxfId="46" priority="5" operator="equal">
      <formula>1</formula>
    </cfRule>
    <cfRule type="cellIs" dxfId="45" priority="6" operator="lessThan">
      <formula>1</formula>
    </cfRule>
  </conditionalFormatting>
  <conditionalFormatting sqref="H5:H13">
    <cfRule type="cellIs" dxfId="44" priority="3" operator="equal">
      <formula>1</formula>
    </cfRule>
    <cfRule type="cellIs" dxfId="43" priority="4" operator="lessThan">
      <formula>1</formula>
    </cfRule>
  </conditionalFormatting>
  <pageMargins left="0.7" right="0.7" top="0.75" bottom="0.75" header="0.3" footer="0.3"/>
  <pageSetup orientation="portrait" horizontalDpi="300" verticalDpi="0"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" operator="greaterThanOrEqual" id="{AB332625-2C78-42D1-BCBA-02B5FD48AA05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2" operator="lessThan" id="{1E93C942-BB2F-462A-A99C-2305A078DAA8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cellIs" priority="9" operator="greaterThanOrEqual" id="{4B346809-FC6E-4052-825C-9EECC10D071B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0" operator="lessThan" id="{5CFD224B-CAA0-4685-8DB1-64A0D653A763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cellIs" priority="7" operator="greaterThanOrEqual" id="{D32FD3CD-2742-4E2D-A1E0-1D9D8E790342}">
            <xm:f>Table!$D$4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lessThan" id="{6A6817B6-F442-4CC7-8A5E-214EF3759B7C}">
            <xm:f>Table!$D$4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G5:G13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2:E48"/>
  <sheetViews>
    <sheetView topLeftCell="A25" workbookViewId="0">
      <selection activeCell="C36" sqref="C36:C37"/>
    </sheetView>
  </sheetViews>
  <sheetFormatPr defaultRowHeight="15" x14ac:dyDescent="0.25"/>
  <cols>
    <col min="2" max="2" width="11.7109375" bestFit="1" customWidth="1"/>
    <col min="3" max="3" width="18.7109375" bestFit="1" customWidth="1"/>
    <col min="4" max="4" width="20.140625" customWidth="1"/>
    <col min="5" max="5" width="33.85546875" customWidth="1"/>
  </cols>
  <sheetData>
    <row r="2" spans="2:5" x14ac:dyDescent="0.25">
      <c r="B2" s="10" t="s">
        <v>11</v>
      </c>
    </row>
    <row r="3" spans="2:5" x14ac:dyDescent="0.25">
      <c r="B3" s="2" t="s">
        <v>4</v>
      </c>
      <c r="C3" s="11" t="s">
        <v>2</v>
      </c>
      <c r="D3" s="11" t="s">
        <v>3</v>
      </c>
    </row>
    <row r="4" spans="2:5" x14ac:dyDescent="0.25">
      <c r="B4" s="11">
        <v>1</v>
      </c>
      <c r="C4" s="12">
        <v>130</v>
      </c>
      <c r="D4" s="12">
        <v>450</v>
      </c>
    </row>
    <row r="6" spans="2:5" x14ac:dyDescent="0.25">
      <c r="B6" s="1" t="s">
        <v>49</v>
      </c>
    </row>
    <row r="7" spans="2:5" x14ac:dyDescent="0.25">
      <c r="B7" s="2" t="s">
        <v>0</v>
      </c>
      <c r="C7" s="2" t="s">
        <v>1</v>
      </c>
      <c r="D7" s="2" t="s">
        <v>54</v>
      </c>
      <c r="E7" s="4" t="s">
        <v>51</v>
      </c>
    </row>
    <row r="8" spans="2:5" ht="60" x14ac:dyDescent="0.25">
      <c r="B8" s="13">
        <v>1</v>
      </c>
      <c r="C8" s="13" t="s">
        <v>2</v>
      </c>
      <c r="D8" s="13" t="s">
        <v>52</v>
      </c>
      <c r="E8" s="14" t="s">
        <v>9</v>
      </c>
    </row>
    <row r="9" spans="2:5" ht="75" x14ac:dyDescent="0.25">
      <c r="B9" s="13">
        <v>2</v>
      </c>
      <c r="C9" s="13" t="s">
        <v>3</v>
      </c>
      <c r="D9" s="13" t="s">
        <v>53</v>
      </c>
      <c r="E9" s="14" t="s">
        <v>10</v>
      </c>
    </row>
    <row r="11" spans="2:5" x14ac:dyDescent="0.25">
      <c r="B11" s="1" t="s">
        <v>50</v>
      </c>
    </row>
    <row r="12" spans="2:5" x14ac:dyDescent="0.25">
      <c r="B12" s="2" t="s">
        <v>0</v>
      </c>
      <c r="C12" s="2" t="s">
        <v>5</v>
      </c>
    </row>
    <row r="13" spans="2:5" x14ac:dyDescent="0.25">
      <c r="B13" s="3">
        <v>1</v>
      </c>
      <c r="C13" s="3" t="s">
        <v>6</v>
      </c>
    </row>
    <row r="14" spans="2:5" x14ac:dyDescent="0.25">
      <c r="B14" s="3">
        <v>2</v>
      </c>
      <c r="C14" s="3" t="s">
        <v>68</v>
      </c>
    </row>
    <row r="15" spans="2:5" x14ac:dyDescent="0.25">
      <c r="B15" s="3">
        <v>3</v>
      </c>
      <c r="C15" s="3" t="s">
        <v>69</v>
      </c>
    </row>
    <row r="16" spans="2:5" x14ac:dyDescent="0.25">
      <c r="B16" s="3">
        <v>4</v>
      </c>
      <c r="C16" s="3" t="s">
        <v>70</v>
      </c>
    </row>
    <row r="17" spans="2:5" x14ac:dyDescent="0.25">
      <c r="B17" s="3">
        <v>5</v>
      </c>
      <c r="C17" s="3" t="s">
        <v>71</v>
      </c>
    </row>
    <row r="18" spans="2:5" x14ac:dyDescent="0.25">
      <c r="B18" s="3">
        <v>6</v>
      </c>
      <c r="C18" s="3" t="s">
        <v>72</v>
      </c>
    </row>
    <row r="19" spans="2:5" x14ac:dyDescent="0.25">
      <c r="B19" s="3">
        <v>7</v>
      </c>
      <c r="C19" s="3" t="s">
        <v>73</v>
      </c>
    </row>
    <row r="20" spans="2:5" x14ac:dyDescent="0.25">
      <c r="B20" s="3">
        <v>8</v>
      </c>
      <c r="C20" s="3" t="s">
        <v>74</v>
      </c>
    </row>
    <row r="21" spans="2:5" x14ac:dyDescent="0.25">
      <c r="B21" s="3">
        <v>9</v>
      </c>
      <c r="C21" s="3" t="s">
        <v>187</v>
      </c>
    </row>
    <row r="22" spans="2:5" x14ac:dyDescent="0.25">
      <c r="B22" s="3">
        <v>10</v>
      </c>
      <c r="C22" s="3" t="s">
        <v>188</v>
      </c>
    </row>
    <row r="24" spans="2:5" x14ac:dyDescent="0.25">
      <c r="B24" s="10" t="s">
        <v>19</v>
      </c>
    </row>
    <row r="25" spans="2:5" x14ac:dyDescent="0.25">
      <c r="B25" s="2" t="s">
        <v>0</v>
      </c>
      <c r="C25" s="2" t="s">
        <v>17</v>
      </c>
    </row>
    <row r="26" spans="2:5" x14ac:dyDescent="0.25">
      <c r="B26" s="2">
        <v>1</v>
      </c>
      <c r="C26" s="3" t="s">
        <v>20</v>
      </c>
      <c r="E26" s="24"/>
    </row>
    <row r="27" spans="2:5" x14ac:dyDescent="0.25">
      <c r="B27" s="2">
        <v>2</v>
      </c>
      <c r="C27" s="3" t="s">
        <v>23</v>
      </c>
    </row>
    <row r="28" spans="2:5" x14ac:dyDescent="0.25">
      <c r="B28" s="2">
        <v>3</v>
      </c>
      <c r="C28" s="3" t="s">
        <v>18</v>
      </c>
    </row>
    <row r="29" spans="2:5" x14ac:dyDescent="0.25">
      <c r="B29" s="2">
        <v>4</v>
      </c>
      <c r="C29" s="3" t="s">
        <v>77</v>
      </c>
    </row>
    <row r="30" spans="2:5" x14ac:dyDescent="0.25">
      <c r="B30" s="2">
        <v>5</v>
      </c>
      <c r="C30" s="3" t="s">
        <v>21</v>
      </c>
    </row>
    <row r="31" spans="2:5" x14ac:dyDescent="0.25">
      <c r="B31" s="2">
        <v>6</v>
      </c>
      <c r="C31" s="3" t="s">
        <v>97</v>
      </c>
    </row>
    <row r="32" spans="2:5" x14ac:dyDescent="0.25">
      <c r="B32" s="2">
        <v>7</v>
      </c>
      <c r="C32" s="3" t="s">
        <v>78</v>
      </c>
    </row>
    <row r="34" spans="2:3" x14ac:dyDescent="0.25">
      <c r="B34" s="10" t="s">
        <v>195</v>
      </c>
    </row>
    <row r="35" spans="2:3" x14ac:dyDescent="0.25">
      <c r="B35" s="2" t="s">
        <v>0</v>
      </c>
      <c r="C35" s="2" t="s">
        <v>17</v>
      </c>
    </row>
    <row r="36" spans="2:3" x14ac:dyDescent="0.25">
      <c r="B36" s="2">
        <v>1</v>
      </c>
      <c r="C36" s="3" t="s">
        <v>178</v>
      </c>
    </row>
    <row r="37" spans="2:3" x14ac:dyDescent="0.25">
      <c r="B37" s="2">
        <v>2</v>
      </c>
      <c r="C37" s="3" t="s">
        <v>196</v>
      </c>
    </row>
    <row r="38" spans="2:3" x14ac:dyDescent="0.25">
      <c r="B38" s="2">
        <v>3</v>
      </c>
      <c r="C38" s="3" t="s">
        <v>197</v>
      </c>
    </row>
    <row r="40" spans="2:3" x14ac:dyDescent="0.25">
      <c r="B40" s="1" t="s">
        <v>81</v>
      </c>
    </row>
    <row r="41" spans="2:3" x14ac:dyDescent="0.25">
      <c r="B41" s="2" t="s">
        <v>0</v>
      </c>
      <c r="C41" s="2" t="s">
        <v>17</v>
      </c>
    </row>
    <row r="42" spans="2:3" x14ac:dyDescent="0.25">
      <c r="B42" s="2">
        <v>1</v>
      </c>
      <c r="C42" s="3" t="s">
        <v>392</v>
      </c>
    </row>
    <row r="43" spans="2:3" x14ac:dyDescent="0.25">
      <c r="B43" s="2">
        <v>2</v>
      </c>
      <c r="C43" s="3" t="s">
        <v>393</v>
      </c>
    </row>
    <row r="45" spans="2:3" x14ac:dyDescent="0.25">
      <c r="B45" s="1" t="s">
        <v>191</v>
      </c>
    </row>
    <row r="46" spans="2:3" x14ac:dyDescent="0.25">
      <c r="B46" s="2" t="s">
        <v>0</v>
      </c>
      <c r="C46" s="2" t="s">
        <v>17</v>
      </c>
    </row>
    <row r="47" spans="2:3" x14ac:dyDescent="0.25">
      <c r="B47" s="2">
        <v>1</v>
      </c>
      <c r="C47" s="3" t="s">
        <v>193</v>
      </c>
    </row>
    <row r="48" spans="2:3" x14ac:dyDescent="0.25">
      <c r="B48" s="2">
        <v>2</v>
      </c>
      <c r="C48" s="3" t="s">
        <v>413</v>
      </c>
    </row>
  </sheetData>
  <customSheetViews>
    <customSheetView guid="{7ECC2B8E-6A82-42F5-8AB0-4A51C54EA5EC}" topLeftCell="A19">
      <selection activeCell="C39" sqref="C39"/>
      <pageMargins left="0.7" right="0.7" top="0.75" bottom="0.75" header="0.3" footer="0.3"/>
    </customSheetView>
    <customSheetView guid="{A2C66332-A809-458E-971B-FDB6D62C74C3}" topLeftCell="A16">
      <selection activeCell="C37" sqref="C37"/>
      <pageMargins left="0.7" right="0.7" top="0.75" bottom="0.75" header="0.3" footer="0.3"/>
    </customSheetView>
    <customSheetView guid="{3B3E6719-EACB-4D2C-89C1-05FFAB6020FD}">
      <selection activeCell="C12" sqref="C12"/>
      <pageMargins left="0.7" right="0.7" top="0.75" bottom="0.75" header="0.3" footer="0.3"/>
    </customSheetView>
    <customSheetView guid="{72A6EB0A-84D5-4B8A-AC51-54CCD061630B}" topLeftCell="A13">
      <selection activeCell="B24" sqref="B24:C29"/>
      <pageMargins left="0.7" right="0.7" top="0.75" bottom="0.75" header="0.3" footer="0.3"/>
    </customSheetView>
    <customSheetView guid="{4E06BDBF-2CED-473B-850B-2A6C7311FF41}" topLeftCell="A13">
      <selection activeCell="B24" sqref="B24:C29"/>
      <pageMargins left="0.7" right="0.7" top="0.75" bottom="0.75" header="0.3" footer="0.3"/>
    </customSheetView>
    <customSheetView guid="{7E0EA425-A420-4443-B9E0-CDF0AA9E5D09}" topLeftCell="A13">
      <selection activeCell="B24" sqref="B24:C29"/>
      <pageMargins left="0.7" right="0.7" top="0.75" bottom="0.75" header="0.3" footer="0.3"/>
    </customSheetView>
    <customSheetView guid="{60D2C030-4E31-4E07-8E1C-44D2EE84B177}" topLeftCell="A19">
      <selection activeCell="B24" sqref="B24:C29"/>
      <pageMargins left="0.7" right="0.7" top="0.75" bottom="0.75" header="0.3" footer="0.3"/>
    </customSheetView>
    <customSheetView guid="{336B6883-2145-4B58-921E-CEC7185A847E}" topLeftCell="A13">
      <selection activeCell="B24" sqref="B24:C29"/>
      <pageMargins left="0.7" right="0.7" top="0.75" bottom="0.75" header="0.3" footer="0.3"/>
    </customSheetView>
    <customSheetView guid="{D33AC7AF-C8AB-4CE9-94C7-9237011A5FC3}">
      <selection activeCell="C12" sqref="C12"/>
      <pageMargins left="0.7" right="0.7" top="0.75" bottom="0.75" header="0.3" footer="0.3"/>
    </customSheetView>
    <customSheetView guid="{250915DF-0B97-45D7-B29D-7EED4C89C1C1}" topLeftCell="A16">
      <selection activeCell="C49" sqref="C49"/>
      <pageMargins left="0.7" right="0.7" top="0.75" bottom="0.75" header="0.3" footer="0.3"/>
      <pageSetup orientation="portrait" horizontalDpi="300" verticalDpi="0" r:id="rId1"/>
    </customSheetView>
  </customSheetViews>
  <pageMargins left="0.7" right="0.7" top="0.75" bottom="0.75" header="0.3" footer="0.3"/>
  <pageSetup orientation="portrait" horizontalDpi="300" verticalDpi="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F39"/>
  <sheetViews>
    <sheetView workbookViewId="0">
      <selection activeCell="C12" sqref="C12"/>
    </sheetView>
  </sheetViews>
  <sheetFormatPr defaultRowHeight="15" x14ac:dyDescent="0.25"/>
  <cols>
    <col min="2" max="2" width="33.42578125" customWidth="1"/>
    <col min="3" max="3" width="82.140625" bestFit="1" customWidth="1"/>
    <col min="4" max="4" width="11.28515625" bestFit="1" customWidth="1"/>
    <col min="5" max="5" width="11.5703125" bestFit="1" customWidth="1"/>
  </cols>
  <sheetData>
    <row r="1" spans="1:6" x14ac:dyDescent="0.25">
      <c r="A1" s="1" t="s">
        <v>88</v>
      </c>
    </row>
    <row r="2" spans="1:6" x14ac:dyDescent="0.25">
      <c r="B2" s="23" t="s">
        <v>90</v>
      </c>
      <c r="C2" t="s">
        <v>91</v>
      </c>
    </row>
    <row r="3" spans="1:6" x14ac:dyDescent="0.25">
      <c r="B3" s="23" t="s">
        <v>93</v>
      </c>
      <c r="C3" t="s">
        <v>92</v>
      </c>
    </row>
    <row r="4" spans="1:6" x14ac:dyDescent="0.25">
      <c r="B4" s="23"/>
    </row>
    <row r="5" spans="1:6" x14ac:dyDescent="0.25">
      <c r="B5" s="22" t="s">
        <v>86</v>
      </c>
    </row>
    <row r="6" spans="1:6" x14ac:dyDescent="0.25">
      <c r="B6" s="23" t="s">
        <v>94</v>
      </c>
      <c r="C6" t="s">
        <v>95</v>
      </c>
    </row>
    <row r="7" spans="1:6" x14ac:dyDescent="0.25">
      <c r="B7" s="23"/>
    </row>
    <row r="8" spans="1:6" x14ac:dyDescent="0.25">
      <c r="B8" s="22" t="s">
        <v>87</v>
      </c>
      <c r="C8" t="s">
        <v>89</v>
      </c>
    </row>
    <row r="11" spans="1:6" x14ac:dyDescent="0.25">
      <c r="B11" s="25" t="s">
        <v>60</v>
      </c>
      <c r="C11" s="25" t="s">
        <v>8</v>
      </c>
      <c r="D11" s="25" t="s">
        <v>105</v>
      </c>
      <c r="E11" s="25" t="s">
        <v>106</v>
      </c>
      <c r="F11" s="25" t="s">
        <v>107</v>
      </c>
    </row>
    <row r="12" spans="1:6" x14ac:dyDescent="0.25">
      <c r="B12" s="26" t="s">
        <v>186</v>
      </c>
      <c r="C12" s="3" t="s">
        <v>108</v>
      </c>
      <c r="D12" s="3" t="s">
        <v>102</v>
      </c>
      <c r="E12" s="3">
        <v>0.65</v>
      </c>
      <c r="F12" s="3" t="s">
        <v>109</v>
      </c>
    </row>
    <row r="13" spans="1:6" x14ac:dyDescent="0.25">
      <c r="B13" s="27"/>
      <c r="C13" s="3" t="s">
        <v>110</v>
      </c>
      <c r="D13" s="15" t="s">
        <v>103</v>
      </c>
      <c r="E13" s="3">
        <v>1.6</v>
      </c>
      <c r="F13" s="3" t="s">
        <v>109</v>
      </c>
    </row>
    <row r="14" spans="1:6" x14ac:dyDescent="0.25">
      <c r="B14" s="27"/>
      <c r="C14" s="3" t="s">
        <v>111</v>
      </c>
      <c r="D14" s="15" t="s">
        <v>101</v>
      </c>
      <c r="E14" s="3">
        <v>0.75</v>
      </c>
      <c r="F14" s="3" t="s">
        <v>109</v>
      </c>
    </row>
    <row r="15" spans="1:6" x14ac:dyDescent="0.25">
      <c r="B15" s="28"/>
      <c r="C15" s="3" t="s">
        <v>112</v>
      </c>
      <c r="D15" s="15" t="s">
        <v>152</v>
      </c>
      <c r="E15" s="3">
        <v>1.2</v>
      </c>
      <c r="F15" s="3" t="s">
        <v>109</v>
      </c>
    </row>
    <row r="18" spans="1:1" x14ac:dyDescent="0.25">
      <c r="A18" s="1" t="s">
        <v>119</v>
      </c>
    </row>
    <row r="38" spans="2:2" x14ac:dyDescent="0.25">
      <c r="B38" t="s">
        <v>120</v>
      </c>
    </row>
    <row r="39" spans="2:2" x14ac:dyDescent="0.25">
      <c r="B39" t="s">
        <v>121</v>
      </c>
    </row>
  </sheetData>
  <customSheetViews>
    <customSheetView guid="{7ECC2B8E-6A82-42F5-8AB0-4A51C54EA5EC}">
      <selection activeCell="C12" sqref="C12"/>
      <pageMargins left="0.7" right="0.7" top="0.75" bottom="0.75" header="0.3" footer="0.3"/>
    </customSheetView>
    <customSheetView guid="{A2C66332-A809-458E-971B-FDB6D62C74C3}">
      <selection activeCell="D14" sqref="D14"/>
      <pageMargins left="0.7" right="0.7" top="0.75" bottom="0.75" header="0.3" footer="0.3"/>
    </customSheetView>
    <customSheetView guid="{3B3E6719-EACB-4D2C-89C1-05FFAB6020FD}">
      <selection activeCell="D14" sqref="D14"/>
      <pageMargins left="0.7" right="0.7" top="0.75" bottom="0.75" header="0.3" footer="0.3"/>
    </customSheetView>
    <customSheetView guid="{72A6EB0A-84D5-4B8A-AC51-54CCD061630B}">
      <selection activeCell="B6" sqref="B6:C6"/>
      <pageMargins left="0.7" right="0.7" top="0.75" bottom="0.75" header="0.3" footer="0.3"/>
    </customSheetView>
    <customSheetView guid="{4E06BDBF-2CED-473B-850B-2A6C7311FF41}">
      <selection activeCell="B6" sqref="B6:C6"/>
      <pageMargins left="0.7" right="0.7" top="0.75" bottom="0.75" header="0.3" footer="0.3"/>
    </customSheetView>
    <customSheetView guid="{7E0EA425-A420-4443-B9E0-CDF0AA9E5D09}">
      <selection activeCell="B6" sqref="B6:C6"/>
      <pageMargins left="0.7" right="0.7" top="0.75" bottom="0.75" header="0.3" footer="0.3"/>
    </customSheetView>
    <customSheetView guid="{60D2C030-4E31-4E07-8E1C-44D2EE84B177}">
      <pageMargins left="0.7" right="0.7" top="0.75" bottom="0.75" header="0.3" footer="0.3"/>
    </customSheetView>
    <customSheetView guid="{336B6883-2145-4B58-921E-CEC7185A847E}">
      <selection activeCell="B6" sqref="B6:C6"/>
      <pageMargins left="0.7" right="0.7" top="0.75" bottom="0.75" header="0.3" footer="0.3"/>
    </customSheetView>
    <customSheetView guid="{D33AC7AF-C8AB-4CE9-94C7-9237011A5FC3}">
      <selection activeCell="D14" sqref="D14"/>
      <pageMargins left="0.7" right="0.7" top="0.75" bottom="0.75" header="0.3" footer="0.3"/>
    </customSheetView>
    <customSheetView guid="{250915DF-0B97-45D7-B29D-7EED4C89C1C1}">
      <selection activeCell="C12" sqref="C12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"/>
  <sheetViews>
    <sheetView workbookViewId="0">
      <selection activeCell="P30" sqref="P30"/>
    </sheetView>
  </sheetViews>
  <sheetFormatPr defaultRowHeight="15" x14ac:dyDescent="0.25"/>
  <sheetData/>
  <customSheetViews>
    <customSheetView guid="{7ECC2B8E-6A82-42F5-8AB0-4A51C54EA5EC}">
      <selection activeCell="P30" sqref="P30"/>
      <pageMargins left="0.7" right="0.7" top="0.75" bottom="0.75" header="0.3" footer="0.3"/>
    </customSheetView>
    <customSheetView guid="{A2C66332-A809-458E-971B-FDB6D62C74C3}">
      <selection activeCell="P30" sqref="P30"/>
      <pageMargins left="0.7" right="0.7" top="0.75" bottom="0.75" header="0.3" footer="0.3"/>
    </customSheetView>
    <customSheetView guid="{3B3E6719-EACB-4D2C-89C1-05FFAB6020FD}">
      <selection activeCell="P30" sqref="P30"/>
      <pageMargins left="0.7" right="0.7" top="0.75" bottom="0.75" header="0.3" footer="0.3"/>
    </customSheetView>
    <customSheetView guid="{72A6EB0A-84D5-4B8A-AC51-54CCD061630B}">
      <selection activeCell="P30" sqref="P30"/>
      <pageMargins left="0.7" right="0.7" top="0.75" bottom="0.75" header="0.3" footer="0.3"/>
    </customSheetView>
    <customSheetView guid="{336B6883-2145-4B58-921E-CEC7185A847E}">
      <selection activeCell="P30" sqref="P30"/>
      <pageMargins left="0.7" right="0.7" top="0.75" bottom="0.75" header="0.3" footer="0.3"/>
    </customSheetView>
    <customSheetView guid="{D33AC7AF-C8AB-4CE9-94C7-9237011A5FC3}">
      <selection activeCell="P30" sqref="P30"/>
      <pageMargins left="0.7" right="0.7" top="0.75" bottom="0.75" header="0.3" footer="0.3"/>
    </customSheetView>
    <customSheetView guid="{250915DF-0B97-45D7-B29D-7EED4C89C1C1}">
      <selection activeCell="P30" sqref="P30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T201"/>
  <sheetViews>
    <sheetView topLeftCell="A106" workbookViewId="0">
      <selection activeCell="D4" sqref="D4"/>
    </sheetView>
  </sheetViews>
  <sheetFormatPr defaultRowHeight="15" x14ac:dyDescent="0.25"/>
  <cols>
    <col min="1" max="1" width="10" bestFit="1" customWidth="1"/>
    <col min="2" max="2" width="13.28515625" customWidth="1"/>
    <col min="4" max="4" width="25" customWidth="1"/>
    <col min="5" max="5" width="14.85546875" bestFit="1" customWidth="1"/>
    <col min="6" max="6" width="27.85546875" bestFit="1" customWidth="1"/>
    <col min="8" max="8" width="19" customWidth="1"/>
  </cols>
  <sheetData>
    <row r="1" spans="1:8" x14ac:dyDescent="0.25">
      <c r="A1" s="1" t="s">
        <v>42</v>
      </c>
      <c r="B1" s="36">
        <v>43911</v>
      </c>
      <c r="D1" s="36">
        <v>43941</v>
      </c>
      <c r="F1" s="6"/>
    </row>
    <row r="2" spans="1:8" x14ac:dyDescent="0.25">
      <c r="A2" s="1" t="s">
        <v>30</v>
      </c>
      <c r="B2" s="7">
        <f>SUM(INT((WEEKDAY(B1-{2,3,4,5,6}) +D1-B1)/7))</f>
        <v>21</v>
      </c>
    </row>
    <row r="3" spans="1:8" x14ac:dyDescent="0.25">
      <c r="A3" s="1" t="s">
        <v>163</v>
      </c>
      <c r="B3" s="7">
        <v>1</v>
      </c>
      <c r="C3" t="s">
        <v>225</v>
      </c>
    </row>
    <row r="4" spans="1:8" x14ac:dyDescent="0.25">
      <c r="A4" s="1" t="s">
        <v>116</v>
      </c>
      <c r="B4">
        <f ca="1">IF(TODAY()&lt;D1,SUM(INT((WEEKDAY(B1-{2,3,4,5,6})+TODAY()-B1)/7)),SUM(INT((WEEKDAY(B1-{2,3,4,5,6})+D1-B1)/7)))-B3</f>
        <v>20</v>
      </c>
    </row>
    <row r="5" spans="1:8" x14ac:dyDescent="0.25">
      <c r="A5" s="1"/>
    </row>
    <row r="6" spans="1:8" x14ac:dyDescent="0.25">
      <c r="B6" s="1" t="s">
        <v>34</v>
      </c>
    </row>
    <row r="7" spans="1:8" ht="45" x14ac:dyDescent="0.25">
      <c r="C7" s="62" t="s">
        <v>25</v>
      </c>
      <c r="D7" s="62" t="s">
        <v>26</v>
      </c>
      <c r="E7" s="62" t="s">
        <v>27</v>
      </c>
      <c r="F7" s="62" t="s">
        <v>28</v>
      </c>
      <c r="G7" s="9" t="s">
        <v>106</v>
      </c>
      <c r="H7" s="9" t="s">
        <v>29</v>
      </c>
    </row>
    <row r="8" spans="1:8" x14ac:dyDescent="0.25">
      <c r="C8" s="64">
        <v>1</v>
      </c>
      <c r="D8" s="64" t="s">
        <v>3</v>
      </c>
      <c r="E8" s="64">
        <v>42469.75</v>
      </c>
      <c r="F8" s="64">
        <v>20669.75</v>
      </c>
      <c r="G8" s="64">
        <v>94.377222222222215</v>
      </c>
      <c r="H8" s="42">
        <v>0.48669347005810015</v>
      </c>
    </row>
    <row r="9" spans="1:8" x14ac:dyDescent="0.25">
      <c r="C9" s="64">
        <v>2</v>
      </c>
      <c r="D9" s="64" t="s">
        <v>2</v>
      </c>
      <c r="E9" s="64">
        <v>7701.3080000000009</v>
      </c>
      <c r="F9" s="64">
        <v>7701.3080000000009</v>
      </c>
      <c r="G9" s="64">
        <v>59.240830769230776</v>
      </c>
      <c r="H9" s="42">
        <v>1</v>
      </c>
    </row>
    <row r="10" spans="1:8" x14ac:dyDescent="0.25">
      <c r="C10" s="33"/>
      <c r="D10" s="31"/>
      <c r="E10" s="31"/>
      <c r="F10" s="31"/>
      <c r="G10" s="34"/>
    </row>
    <row r="11" spans="1:8" x14ac:dyDescent="0.25">
      <c r="B11" s="1" t="s">
        <v>35</v>
      </c>
    </row>
    <row r="12" spans="1:8" ht="45" x14ac:dyDescent="0.25">
      <c r="C12" s="62" t="s">
        <v>25</v>
      </c>
      <c r="D12" s="62" t="s">
        <v>31</v>
      </c>
      <c r="E12" s="9" t="s">
        <v>32</v>
      </c>
      <c r="F12" s="9" t="s">
        <v>33</v>
      </c>
      <c r="G12" s="9" t="s">
        <v>150</v>
      </c>
      <c r="H12" s="9" t="s">
        <v>151</v>
      </c>
    </row>
    <row r="13" spans="1:8" x14ac:dyDescent="0.25">
      <c r="C13" s="64">
        <v>1</v>
      </c>
      <c r="D13" s="29" t="s">
        <v>122</v>
      </c>
      <c r="E13" s="64">
        <v>4226.5</v>
      </c>
      <c r="F13" s="64">
        <v>2099.4260000000004</v>
      </c>
      <c r="G13" s="64">
        <v>9.3922222222222214</v>
      </c>
      <c r="H13" s="41">
        <v>16.149430769230772</v>
      </c>
    </row>
    <row r="14" spans="1:8" x14ac:dyDescent="0.25">
      <c r="C14" s="64">
        <v>2</v>
      </c>
      <c r="D14" s="29" t="s">
        <v>123</v>
      </c>
      <c r="E14" s="64">
        <v>5341.25</v>
      </c>
      <c r="F14" s="64">
        <v>2207.7340000000004</v>
      </c>
      <c r="G14" s="64">
        <v>11.869444444444444</v>
      </c>
      <c r="H14" s="41">
        <v>16.982569230769233</v>
      </c>
    </row>
    <row r="15" spans="1:8" x14ac:dyDescent="0.25">
      <c r="C15" s="64">
        <v>3</v>
      </c>
      <c r="D15" s="29" t="s">
        <v>124</v>
      </c>
      <c r="E15" s="64">
        <v>4791.5</v>
      </c>
      <c r="F15" s="64">
        <v>1347.6160000000002</v>
      </c>
      <c r="G15" s="64">
        <v>10.647777777777778</v>
      </c>
      <c r="H15" s="41">
        <v>10.366276923076924</v>
      </c>
    </row>
    <row r="16" spans="1:8" x14ac:dyDescent="0.25">
      <c r="C16" s="64">
        <v>4</v>
      </c>
      <c r="D16" s="29" t="s">
        <v>125</v>
      </c>
      <c r="E16" s="64">
        <v>3908.5</v>
      </c>
      <c r="F16" s="64">
        <v>2046.5320000000002</v>
      </c>
      <c r="G16" s="64">
        <v>8.6855555555555561</v>
      </c>
      <c r="H16" s="41">
        <v>15.742553846153847</v>
      </c>
    </row>
    <row r="17" spans="2:8" x14ac:dyDescent="0.25">
      <c r="C17" s="64">
        <v>5</v>
      </c>
      <c r="D17" s="29" t="s">
        <v>212</v>
      </c>
      <c r="E17" s="64">
        <v>1033.5</v>
      </c>
      <c r="F17" s="64">
        <v>0</v>
      </c>
      <c r="G17" s="41">
        <v>2.2966666666666669</v>
      </c>
      <c r="H17" s="41">
        <v>0</v>
      </c>
    </row>
    <row r="18" spans="2:8" x14ac:dyDescent="0.25">
      <c r="B18" s="35"/>
      <c r="C18" s="41">
        <v>6</v>
      </c>
      <c r="D18" s="65" t="s">
        <v>213</v>
      </c>
      <c r="E18" s="41">
        <v>1368.5</v>
      </c>
      <c r="F18" s="41">
        <v>0</v>
      </c>
      <c r="G18" s="41">
        <v>3.0411111111111113</v>
      </c>
      <c r="H18" s="41">
        <v>0</v>
      </c>
    </row>
    <row r="19" spans="2:8" x14ac:dyDescent="0.25">
      <c r="C19" s="66"/>
      <c r="D19" s="66"/>
      <c r="E19" s="67"/>
      <c r="F19" s="67"/>
      <c r="G19" s="68"/>
    </row>
    <row r="20" spans="2:8" x14ac:dyDescent="0.25">
      <c r="B20" s="1" t="s">
        <v>36</v>
      </c>
      <c r="C20" s="69"/>
      <c r="D20" s="70"/>
      <c r="E20" s="69"/>
      <c r="F20" s="69"/>
      <c r="G20" s="69"/>
    </row>
    <row r="21" spans="2:8" x14ac:dyDescent="0.25">
      <c r="C21" s="62" t="s">
        <v>25</v>
      </c>
      <c r="D21" s="56" t="s">
        <v>37</v>
      </c>
      <c r="E21" s="57"/>
      <c r="F21" s="58"/>
      <c r="G21" s="69"/>
    </row>
    <row r="22" spans="2:8" x14ac:dyDescent="0.25">
      <c r="C22" s="64">
        <v>1</v>
      </c>
      <c r="D22" s="38" t="s">
        <v>214</v>
      </c>
      <c r="E22" s="39"/>
      <c r="F22" s="40"/>
      <c r="G22" s="69"/>
    </row>
    <row r="23" spans="2:8" x14ac:dyDescent="0.25">
      <c r="C23" s="64">
        <v>2</v>
      </c>
      <c r="D23" s="38" t="s">
        <v>215</v>
      </c>
      <c r="E23" s="39"/>
      <c r="F23" s="40"/>
      <c r="G23" s="69"/>
    </row>
    <row r="24" spans="2:8" x14ac:dyDescent="0.25">
      <c r="C24" s="41">
        <v>3</v>
      </c>
      <c r="D24" s="38" t="s">
        <v>65</v>
      </c>
      <c r="E24" s="39"/>
      <c r="F24" s="40"/>
    </row>
    <row r="25" spans="2:8" x14ac:dyDescent="0.25">
      <c r="B25" s="35"/>
      <c r="C25" s="41">
        <v>4</v>
      </c>
      <c r="D25" s="38" t="s">
        <v>65</v>
      </c>
      <c r="E25" s="39"/>
      <c r="F25" s="40"/>
    </row>
    <row r="26" spans="2:8" x14ac:dyDescent="0.25">
      <c r="C26" s="68"/>
      <c r="D26" s="68"/>
      <c r="E26" s="68"/>
      <c r="F26" s="68"/>
      <c r="G26" s="68"/>
    </row>
    <row r="27" spans="2:8" x14ac:dyDescent="0.25">
      <c r="B27" s="1" t="s">
        <v>38</v>
      </c>
      <c r="C27" s="69"/>
      <c r="D27" s="70"/>
      <c r="E27" s="69"/>
      <c r="F27" s="69"/>
      <c r="G27" s="69"/>
    </row>
    <row r="28" spans="2:8" x14ac:dyDescent="0.25">
      <c r="C28" s="62" t="s">
        <v>25</v>
      </c>
      <c r="D28" s="71" t="s">
        <v>31</v>
      </c>
      <c r="E28" s="9" t="s">
        <v>148</v>
      </c>
      <c r="F28" s="9" t="s">
        <v>149</v>
      </c>
      <c r="G28" s="69"/>
    </row>
    <row r="29" spans="2:8" x14ac:dyDescent="0.25">
      <c r="C29" s="64">
        <v>1</v>
      </c>
      <c r="D29" s="55" t="s">
        <v>122</v>
      </c>
      <c r="E29" s="64">
        <v>2</v>
      </c>
      <c r="F29" s="64">
        <v>1</v>
      </c>
      <c r="G29" s="69"/>
    </row>
    <row r="30" spans="2:8" x14ac:dyDescent="0.25">
      <c r="C30" s="64">
        <v>2</v>
      </c>
      <c r="D30" s="55" t="s">
        <v>123</v>
      </c>
      <c r="E30" s="64">
        <v>4</v>
      </c>
      <c r="F30" s="64">
        <v>1</v>
      </c>
      <c r="G30" s="69"/>
    </row>
    <row r="31" spans="2:8" x14ac:dyDescent="0.25">
      <c r="C31" s="41">
        <v>3</v>
      </c>
      <c r="D31" s="65" t="s">
        <v>124</v>
      </c>
      <c r="E31" s="41">
        <v>2</v>
      </c>
      <c r="F31" s="41">
        <v>1</v>
      </c>
    </row>
    <row r="32" spans="2:8" x14ac:dyDescent="0.25">
      <c r="B32" s="35"/>
      <c r="C32" s="41">
        <v>4</v>
      </c>
      <c r="D32" s="65" t="s">
        <v>125</v>
      </c>
      <c r="E32" s="41">
        <v>1</v>
      </c>
      <c r="F32" s="41">
        <v>0</v>
      </c>
    </row>
    <row r="33" spans="2:6" x14ac:dyDescent="0.25">
      <c r="C33" s="72">
        <v>5</v>
      </c>
      <c r="D33" s="73" t="s">
        <v>212</v>
      </c>
      <c r="E33" s="72">
        <v>1</v>
      </c>
      <c r="F33" s="72">
        <v>0</v>
      </c>
    </row>
    <row r="34" spans="2:6" x14ac:dyDescent="0.25">
      <c r="C34" s="64">
        <v>6</v>
      </c>
      <c r="D34" s="29" t="s">
        <v>213</v>
      </c>
      <c r="E34" s="63">
        <v>3</v>
      </c>
      <c r="F34" s="63">
        <v>0</v>
      </c>
    </row>
    <row r="35" spans="2:6" x14ac:dyDescent="0.25">
      <c r="C35" s="69"/>
      <c r="D35" s="69"/>
      <c r="E35" s="70"/>
      <c r="F35" s="70"/>
    </row>
    <row r="36" spans="2:6" x14ac:dyDescent="0.25">
      <c r="B36" s="1" t="s">
        <v>39</v>
      </c>
      <c r="C36" s="69"/>
      <c r="D36" s="69"/>
      <c r="E36" s="70"/>
      <c r="F36" s="70"/>
    </row>
    <row r="37" spans="2:6" x14ac:dyDescent="0.25">
      <c r="C37" s="62" t="s">
        <v>25</v>
      </c>
      <c r="D37" s="62" t="s">
        <v>31</v>
      </c>
      <c r="E37" s="74" t="s">
        <v>40</v>
      </c>
      <c r="F37" s="74" t="s">
        <v>41</v>
      </c>
    </row>
    <row r="38" spans="2:6" x14ac:dyDescent="0.25">
      <c r="C38" s="64">
        <v>1</v>
      </c>
      <c r="D38" s="29" t="s">
        <v>122</v>
      </c>
      <c r="E38" s="63" t="s">
        <v>65</v>
      </c>
      <c r="F38" s="63" t="s">
        <v>65</v>
      </c>
    </row>
    <row r="39" spans="2:6" x14ac:dyDescent="0.25">
      <c r="C39" s="41">
        <v>2</v>
      </c>
      <c r="D39" s="65" t="s">
        <v>123</v>
      </c>
      <c r="E39" s="78" t="s">
        <v>65</v>
      </c>
      <c r="F39" s="78" t="s">
        <v>65</v>
      </c>
    </row>
    <row r="40" spans="2:6" x14ac:dyDescent="0.25">
      <c r="B40" s="35"/>
      <c r="C40" s="41">
        <v>3</v>
      </c>
      <c r="D40" s="65" t="s">
        <v>124</v>
      </c>
      <c r="E40" s="41">
        <v>10</v>
      </c>
      <c r="F40" s="79" t="s">
        <v>164</v>
      </c>
    </row>
    <row r="41" spans="2:6" x14ac:dyDescent="0.25">
      <c r="C41" s="75">
        <v>4</v>
      </c>
      <c r="D41" s="65" t="s">
        <v>125</v>
      </c>
      <c r="E41" s="78" t="s">
        <v>65</v>
      </c>
      <c r="F41" s="78" t="s">
        <v>65</v>
      </c>
    </row>
    <row r="42" spans="2:6" x14ac:dyDescent="0.25">
      <c r="C42" s="76"/>
      <c r="D42" s="76"/>
      <c r="E42" s="77"/>
      <c r="F42" s="76"/>
    </row>
    <row r="44" spans="2:6" x14ac:dyDescent="0.25">
      <c r="B44" s="1" t="s">
        <v>43</v>
      </c>
    </row>
    <row r="45" spans="2:6" x14ac:dyDescent="0.25">
      <c r="C45" s="1" t="s">
        <v>45</v>
      </c>
    </row>
    <row r="46" spans="2:6" x14ac:dyDescent="0.25">
      <c r="D46" t="s">
        <v>44</v>
      </c>
    </row>
    <row r="47" spans="2:6" x14ac:dyDescent="0.25">
      <c r="D47" t="s">
        <v>104</v>
      </c>
    </row>
    <row r="48" spans="2:6" x14ac:dyDescent="0.25">
      <c r="C48" s="1" t="s">
        <v>46</v>
      </c>
    </row>
    <row r="49" spans="1:20" x14ac:dyDescent="0.25">
      <c r="D49" t="s">
        <v>47</v>
      </c>
    </row>
    <row r="50" spans="1:20" x14ac:dyDescent="0.25">
      <c r="D50" t="s">
        <v>48</v>
      </c>
    </row>
    <row r="52" spans="1:20" x14ac:dyDescent="0.25">
      <c r="A52" s="1" t="s">
        <v>218</v>
      </c>
      <c r="L52" s="1" t="s">
        <v>217</v>
      </c>
    </row>
    <row r="53" spans="1:20" x14ac:dyDescent="0.25">
      <c r="A53" s="1">
        <v>1</v>
      </c>
      <c r="B53" s="1" t="s">
        <v>60</v>
      </c>
      <c r="C53" s="1">
        <v>20200414</v>
      </c>
      <c r="L53" s="1">
        <v>3</v>
      </c>
      <c r="M53" s="1" t="s">
        <v>60</v>
      </c>
      <c r="N53" s="1" t="s">
        <v>113</v>
      </c>
    </row>
    <row r="54" spans="1:20" x14ac:dyDescent="0.25">
      <c r="B54" s="1" t="s">
        <v>131</v>
      </c>
      <c r="C54">
        <v>22.066249999999997</v>
      </c>
      <c r="D54" t="s">
        <v>132</v>
      </c>
      <c r="M54" s="1" t="s">
        <v>131</v>
      </c>
      <c r="N54">
        <v>12.55</v>
      </c>
      <c r="O54" t="s">
        <v>132</v>
      </c>
    </row>
    <row r="55" spans="1:20" x14ac:dyDescent="0.25">
      <c r="B55" s="1" t="s">
        <v>142</v>
      </c>
      <c r="C55">
        <v>4</v>
      </c>
      <c r="D55" t="s">
        <v>132</v>
      </c>
      <c r="E55" t="s">
        <v>198</v>
      </c>
      <c r="F55" s="6">
        <v>43935</v>
      </c>
      <c r="G55" s="6" t="s">
        <v>128</v>
      </c>
      <c r="H55" s="6">
        <v>43938</v>
      </c>
      <c r="M55" s="1" t="s">
        <v>142</v>
      </c>
      <c r="N55">
        <v>3.375</v>
      </c>
      <c r="O55" t="s">
        <v>132</v>
      </c>
      <c r="P55" t="s">
        <v>129</v>
      </c>
      <c r="Q55" s="6">
        <v>43906</v>
      </c>
      <c r="R55" s="6" t="s">
        <v>128</v>
      </c>
      <c r="S55" s="6">
        <v>43909</v>
      </c>
    </row>
    <row r="56" spans="1:20" x14ac:dyDescent="0.25">
      <c r="B56" s="1" t="s">
        <v>143</v>
      </c>
      <c r="C56">
        <v>4</v>
      </c>
      <c r="D56" t="s">
        <v>132</v>
      </c>
      <c r="E56" t="s">
        <v>161</v>
      </c>
      <c r="F56" s="6">
        <v>43935</v>
      </c>
      <c r="G56" s="6" t="s">
        <v>128</v>
      </c>
      <c r="H56" s="6">
        <v>43938</v>
      </c>
      <c r="M56" s="1" t="s">
        <v>143</v>
      </c>
      <c r="N56">
        <v>3.375</v>
      </c>
      <c r="O56" t="s">
        <v>132</v>
      </c>
      <c r="P56" t="s">
        <v>127</v>
      </c>
      <c r="Q56" s="6">
        <v>43907</v>
      </c>
      <c r="R56" s="6" t="s">
        <v>141</v>
      </c>
      <c r="S56" s="6">
        <v>43910</v>
      </c>
    </row>
    <row r="57" spans="1:20" x14ac:dyDescent="0.25">
      <c r="B57" s="1" t="s">
        <v>17</v>
      </c>
      <c r="F57" s="6"/>
      <c r="G57" s="6"/>
      <c r="H57" s="6"/>
      <c r="M57" s="1" t="s">
        <v>17</v>
      </c>
      <c r="N57" t="s">
        <v>146</v>
      </c>
    </row>
    <row r="59" spans="1:20" ht="75" x14ac:dyDescent="0.25">
      <c r="C59" s="62" t="s">
        <v>25</v>
      </c>
      <c r="D59" s="62" t="s">
        <v>26</v>
      </c>
      <c r="E59" s="9" t="s">
        <v>133</v>
      </c>
      <c r="F59" s="9" t="s">
        <v>134</v>
      </c>
      <c r="G59" s="9" t="s">
        <v>135</v>
      </c>
      <c r="H59" s="9" t="s">
        <v>136</v>
      </c>
      <c r="I59" s="9" t="s">
        <v>29</v>
      </c>
      <c r="N59" s="62" t="s">
        <v>25</v>
      </c>
      <c r="O59" s="62" t="s">
        <v>26</v>
      </c>
      <c r="P59" s="9" t="s">
        <v>133</v>
      </c>
      <c r="Q59" s="9" t="s">
        <v>134</v>
      </c>
      <c r="R59" s="9" t="s">
        <v>135</v>
      </c>
      <c r="S59" s="9" t="s">
        <v>136</v>
      </c>
      <c r="T59" s="9" t="s">
        <v>29</v>
      </c>
    </row>
    <row r="60" spans="1:20" x14ac:dyDescent="0.25">
      <c r="C60" s="51">
        <v>1</v>
      </c>
      <c r="D60" s="41" t="s">
        <v>3</v>
      </c>
      <c r="E60" s="41">
        <v>9954</v>
      </c>
      <c r="F60" s="41">
        <v>9954</v>
      </c>
      <c r="G60" s="41">
        <v>22.066249999999997</v>
      </c>
      <c r="H60" s="41">
        <v>15.805</v>
      </c>
      <c r="I60" s="42">
        <v>1</v>
      </c>
      <c r="N60" s="51">
        <v>1</v>
      </c>
      <c r="O60" s="41" t="s">
        <v>3</v>
      </c>
      <c r="P60" s="41">
        <v>720</v>
      </c>
      <c r="Q60" s="41">
        <v>720</v>
      </c>
      <c r="R60" s="41">
        <v>1.6</v>
      </c>
      <c r="S60" s="41">
        <v>1.5</v>
      </c>
      <c r="T60" s="42">
        <v>1</v>
      </c>
    </row>
    <row r="61" spans="1:20" x14ac:dyDescent="0.25">
      <c r="C61" s="51">
        <v>2</v>
      </c>
      <c r="D61" s="41" t="s">
        <v>2</v>
      </c>
      <c r="E61" s="41">
        <v>0</v>
      </c>
      <c r="F61" s="41">
        <v>0</v>
      </c>
      <c r="G61" s="41">
        <v>0</v>
      </c>
      <c r="H61" s="41">
        <v>0</v>
      </c>
      <c r="I61" s="42" t="s">
        <v>20</v>
      </c>
      <c r="N61" s="51">
        <v>2</v>
      </c>
      <c r="O61" s="41" t="s">
        <v>2</v>
      </c>
      <c r="P61" s="41">
        <v>1423.5</v>
      </c>
      <c r="Q61" s="41">
        <v>1423.5</v>
      </c>
      <c r="R61" s="41">
        <v>10.950000000000001</v>
      </c>
      <c r="S61" s="41">
        <v>13.8</v>
      </c>
      <c r="T61" s="42">
        <v>1</v>
      </c>
    </row>
    <row r="63" spans="1:20" x14ac:dyDescent="0.25">
      <c r="C63" t="s">
        <v>138</v>
      </c>
      <c r="N63" t="s">
        <v>138</v>
      </c>
    </row>
    <row r="64" spans="1:20" x14ac:dyDescent="0.25">
      <c r="D64" s="37" t="s">
        <v>145</v>
      </c>
      <c r="O64" s="37" t="s">
        <v>144</v>
      </c>
    </row>
    <row r="65" spans="1:20" x14ac:dyDescent="0.25">
      <c r="A65" s="1">
        <v>2</v>
      </c>
      <c r="B65" s="1" t="s">
        <v>60</v>
      </c>
      <c r="C65" s="1">
        <v>20200415</v>
      </c>
      <c r="L65" s="1"/>
    </row>
    <row r="66" spans="1:20" x14ac:dyDescent="0.25">
      <c r="B66" s="1" t="s">
        <v>131</v>
      </c>
      <c r="C66">
        <v>0.16375000000000001</v>
      </c>
      <c r="D66" t="s">
        <v>132</v>
      </c>
      <c r="L66" s="1">
        <v>4</v>
      </c>
      <c r="M66" s="1" t="s">
        <v>60</v>
      </c>
      <c r="N66" s="1" t="s">
        <v>130</v>
      </c>
    </row>
    <row r="67" spans="1:20" x14ac:dyDescent="0.25">
      <c r="B67" s="1" t="s">
        <v>142</v>
      </c>
      <c r="C67">
        <v>4</v>
      </c>
      <c r="D67" t="s">
        <v>132</v>
      </c>
      <c r="E67" t="s">
        <v>198</v>
      </c>
      <c r="F67" s="6">
        <v>43935</v>
      </c>
      <c r="G67" s="6" t="s">
        <v>128</v>
      </c>
      <c r="H67" s="6">
        <v>43938</v>
      </c>
      <c r="M67" s="1" t="s">
        <v>131</v>
      </c>
      <c r="N67">
        <v>25.394375</v>
      </c>
      <c r="O67" t="s">
        <v>132</v>
      </c>
    </row>
    <row r="68" spans="1:20" x14ac:dyDescent="0.25">
      <c r="B68" s="1" t="s">
        <v>143</v>
      </c>
      <c r="C68">
        <v>4</v>
      </c>
      <c r="D68" t="s">
        <v>132</v>
      </c>
      <c r="E68" t="s">
        <v>161</v>
      </c>
      <c r="F68" s="6">
        <v>43935</v>
      </c>
      <c r="G68" s="6" t="s">
        <v>128</v>
      </c>
      <c r="H68" s="6">
        <v>43938</v>
      </c>
      <c r="M68" s="1" t="s">
        <v>142</v>
      </c>
      <c r="N68">
        <v>7</v>
      </c>
      <c r="O68" t="s">
        <v>132</v>
      </c>
      <c r="P68" t="s">
        <v>158</v>
      </c>
      <c r="Q68" s="6">
        <v>43910</v>
      </c>
      <c r="R68" s="6" t="s">
        <v>128</v>
      </c>
      <c r="S68" s="6">
        <v>43920</v>
      </c>
    </row>
    <row r="69" spans="1:20" x14ac:dyDescent="0.25">
      <c r="B69" s="1" t="s">
        <v>17</v>
      </c>
      <c r="F69" s="6"/>
      <c r="G69" s="6"/>
      <c r="H69" s="6"/>
      <c r="M69" s="1" t="s">
        <v>143</v>
      </c>
      <c r="N69">
        <v>9</v>
      </c>
      <c r="O69" t="s">
        <v>132</v>
      </c>
      <c r="P69" t="s">
        <v>167</v>
      </c>
      <c r="Q69" s="6">
        <v>43910</v>
      </c>
      <c r="R69" s="6" t="s">
        <v>128</v>
      </c>
      <c r="S69" s="6">
        <v>43922</v>
      </c>
    </row>
    <row r="70" spans="1:20" x14ac:dyDescent="0.25">
      <c r="M70" s="1" t="s">
        <v>17</v>
      </c>
      <c r="N70" t="s">
        <v>146</v>
      </c>
    </row>
    <row r="71" spans="1:20" ht="75" x14ac:dyDescent="0.25">
      <c r="C71" s="62" t="s">
        <v>25</v>
      </c>
      <c r="D71" s="62" t="s">
        <v>26</v>
      </c>
      <c r="E71" s="9" t="s">
        <v>133</v>
      </c>
      <c r="F71" s="9" t="s">
        <v>134</v>
      </c>
      <c r="G71" s="9" t="s">
        <v>135</v>
      </c>
      <c r="H71" s="9" t="s">
        <v>136</v>
      </c>
      <c r="I71" s="9" t="s">
        <v>29</v>
      </c>
    </row>
    <row r="72" spans="1:20" ht="75" x14ac:dyDescent="0.25">
      <c r="C72" s="51">
        <v>1</v>
      </c>
      <c r="D72" s="41" t="s">
        <v>3</v>
      </c>
      <c r="E72" s="41">
        <v>74</v>
      </c>
      <c r="F72" s="41">
        <v>74</v>
      </c>
      <c r="G72" s="41">
        <v>0.16375000000000001</v>
      </c>
      <c r="H72" s="41">
        <v>9.375E-2</v>
      </c>
      <c r="I72" s="42">
        <v>1</v>
      </c>
      <c r="N72" s="62" t="s">
        <v>25</v>
      </c>
      <c r="O72" s="62" t="s">
        <v>26</v>
      </c>
      <c r="P72" s="9" t="s">
        <v>133</v>
      </c>
      <c r="Q72" s="9" t="s">
        <v>134</v>
      </c>
      <c r="R72" s="9" t="s">
        <v>135</v>
      </c>
      <c r="S72" s="9" t="s">
        <v>136</v>
      </c>
      <c r="T72" s="9" t="s">
        <v>29</v>
      </c>
    </row>
    <row r="73" spans="1:20" x14ac:dyDescent="0.25">
      <c r="C73" s="51">
        <v>2</v>
      </c>
      <c r="D73" s="41" t="s">
        <v>2</v>
      </c>
      <c r="E73" s="41">
        <v>0</v>
      </c>
      <c r="F73" s="41">
        <v>0</v>
      </c>
      <c r="G73" s="41">
        <v>0</v>
      </c>
      <c r="H73" s="41">
        <v>0</v>
      </c>
      <c r="I73" s="42" t="s">
        <v>20</v>
      </c>
      <c r="N73" s="51">
        <v>1</v>
      </c>
      <c r="O73" s="41" t="s">
        <v>3</v>
      </c>
      <c r="P73" s="41">
        <v>0</v>
      </c>
      <c r="Q73" s="41">
        <v>0</v>
      </c>
      <c r="R73" s="41">
        <v>0</v>
      </c>
      <c r="S73" s="41">
        <v>0</v>
      </c>
      <c r="T73" s="42" t="s">
        <v>20</v>
      </c>
    </row>
    <row r="74" spans="1:20" x14ac:dyDescent="0.25">
      <c r="N74" s="51">
        <v>2</v>
      </c>
      <c r="O74" s="41" t="s">
        <v>2</v>
      </c>
      <c r="P74" s="41">
        <v>3301.2859999999996</v>
      </c>
      <c r="Q74" s="41">
        <v>3301.2859999999996</v>
      </c>
      <c r="R74" s="41">
        <v>25.394375</v>
      </c>
      <c r="S74" s="41">
        <v>22.625</v>
      </c>
      <c r="T74" s="42">
        <v>1</v>
      </c>
    </row>
    <row r="75" spans="1:20" x14ac:dyDescent="0.25">
      <c r="C75" t="s">
        <v>138</v>
      </c>
    </row>
    <row r="76" spans="1:20" x14ac:dyDescent="0.25">
      <c r="D76" t="s">
        <v>145</v>
      </c>
      <c r="N76" t="s">
        <v>138</v>
      </c>
    </row>
    <row r="77" spans="1:20" x14ac:dyDescent="0.25">
      <c r="A77" s="1">
        <v>3</v>
      </c>
      <c r="B77" s="1" t="s">
        <v>60</v>
      </c>
      <c r="C77" s="1">
        <v>20200416</v>
      </c>
      <c r="O77" s="37" t="s">
        <v>157</v>
      </c>
    </row>
    <row r="78" spans="1:20" x14ac:dyDescent="0.25">
      <c r="B78" s="1" t="s">
        <v>131</v>
      </c>
      <c r="C78">
        <v>2.3450000000000002</v>
      </c>
      <c r="D78" t="s">
        <v>132</v>
      </c>
      <c r="O78" s="37" t="s">
        <v>155</v>
      </c>
    </row>
    <row r="79" spans="1:20" x14ac:dyDescent="0.25">
      <c r="B79" s="1" t="s">
        <v>142</v>
      </c>
      <c r="C79">
        <v>4</v>
      </c>
      <c r="D79" t="s">
        <v>132</v>
      </c>
      <c r="E79" t="s">
        <v>198</v>
      </c>
      <c r="F79" s="6">
        <v>43935</v>
      </c>
      <c r="G79" s="6" t="s">
        <v>128</v>
      </c>
      <c r="H79" s="6">
        <v>43938</v>
      </c>
      <c r="O79" s="37" t="s">
        <v>156</v>
      </c>
    </row>
    <row r="80" spans="1:20" x14ac:dyDescent="0.25">
      <c r="B80" s="1" t="s">
        <v>143</v>
      </c>
      <c r="C80">
        <v>4</v>
      </c>
      <c r="D80" t="s">
        <v>132</v>
      </c>
      <c r="E80" t="s">
        <v>161</v>
      </c>
      <c r="F80" s="6">
        <v>43935</v>
      </c>
      <c r="G80" s="6" t="s">
        <v>128</v>
      </c>
      <c r="H80" s="6">
        <v>43938</v>
      </c>
    </row>
    <row r="81" spans="2:20" x14ac:dyDescent="0.25">
      <c r="B81" s="1" t="s">
        <v>17</v>
      </c>
      <c r="F81" s="6"/>
      <c r="G81" s="6"/>
      <c r="H81" s="6"/>
      <c r="L81" s="1">
        <v>5</v>
      </c>
      <c r="M81" s="1" t="s">
        <v>60</v>
      </c>
      <c r="N81" s="1" t="s">
        <v>153</v>
      </c>
    </row>
    <row r="82" spans="2:20" x14ac:dyDescent="0.25">
      <c r="M82" s="1" t="s">
        <v>131</v>
      </c>
      <c r="N82">
        <v>11.399999999999999</v>
      </c>
      <c r="O82" t="s">
        <v>132</v>
      </c>
    </row>
    <row r="83" spans="2:20" ht="75" x14ac:dyDescent="0.25">
      <c r="C83" s="62" t="s">
        <v>25</v>
      </c>
      <c r="D83" s="62" t="s">
        <v>26</v>
      </c>
      <c r="E83" s="9" t="s">
        <v>133</v>
      </c>
      <c r="F83" s="9" t="s">
        <v>134</v>
      </c>
      <c r="G83" s="9" t="s">
        <v>135</v>
      </c>
      <c r="H83" s="9" t="s">
        <v>136</v>
      </c>
      <c r="I83" s="9" t="s">
        <v>29</v>
      </c>
      <c r="M83" s="1" t="s">
        <v>142</v>
      </c>
      <c r="N83">
        <v>2.75</v>
      </c>
      <c r="O83" t="s">
        <v>132</v>
      </c>
      <c r="P83" t="s">
        <v>158</v>
      </c>
      <c r="Q83" s="6">
        <v>43920</v>
      </c>
      <c r="R83" s="6" t="s">
        <v>128</v>
      </c>
      <c r="S83" s="6">
        <v>43924</v>
      </c>
    </row>
    <row r="84" spans="2:20" x14ac:dyDescent="0.25">
      <c r="C84" s="51">
        <v>1</v>
      </c>
      <c r="D84" s="41" t="s">
        <v>3</v>
      </c>
      <c r="E84" s="41">
        <v>1059</v>
      </c>
      <c r="F84" s="41">
        <v>1059</v>
      </c>
      <c r="G84" s="41">
        <v>2.3450000000000002</v>
      </c>
      <c r="H84" s="41">
        <v>1.7637499999999999</v>
      </c>
      <c r="I84" s="42">
        <v>1</v>
      </c>
      <c r="M84" s="1" t="s">
        <v>143</v>
      </c>
      <c r="N84">
        <v>3</v>
      </c>
      <c r="O84" t="s">
        <v>132</v>
      </c>
      <c r="P84" t="s">
        <v>161</v>
      </c>
      <c r="Q84" s="6">
        <v>43920</v>
      </c>
      <c r="R84" s="6" t="s">
        <v>141</v>
      </c>
      <c r="S84" s="6">
        <v>43924</v>
      </c>
    </row>
    <row r="85" spans="2:20" x14ac:dyDescent="0.25">
      <c r="C85" s="51">
        <v>2</v>
      </c>
      <c r="D85" s="41" t="s">
        <v>2</v>
      </c>
      <c r="E85" s="41">
        <v>0</v>
      </c>
      <c r="F85" s="41">
        <v>0</v>
      </c>
      <c r="G85" s="41">
        <v>0</v>
      </c>
      <c r="H85" s="41">
        <v>0</v>
      </c>
      <c r="I85" s="42" t="s">
        <v>20</v>
      </c>
      <c r="M85" s="1" t="s">
        <v>17</v>
      </c>
      <c r="N85" t="s">
        <v>216</v>
      </c>
      <c r="Q85" s="6"/>
      <c r="R85" s="6"/>
      <c r="S85" s="6"/>
    </row>
    <row r="87" spans="2:20" ht="75" x14ac:dyDescent="0.25">
      <c r="C87" t="s">
        <v>138</v>
      </c>
      <c r="N87" s="62" t="s">
        <v>25</v>
      </c>
      <c r="O87" s="62" t="s">
        <v>26</v>
      </c>
      <c r="P87" s="9" t="s">
        <v>133</v>
      </c>
      <c r="Q87" s="9" t="s">
        <v>134</v>
      </c>
      <c r="R87" s="9" t="s">
        <v>135</v>
      </c>
      <c r="S87" s="9" t="s">
        <v>136</v>
      </c>
      <c r="T87" s="9" t="s">
        <v>29</v>
      </c>
    </row>
    <row r="88" spans="2:20" x14ac:dyDescent="0.25">
      <c r="D88" t="s">
        <v>145</v>
      </c>
      <c r="N88" s="51">
        <v>1</v>
      </c>
      <c r="O88" s="41" t="s">
        <v>3</v>
      </c>
      <c r="P88" s="41">
        <v>5130</v>
      </c>
      <c r="Q88" s="41">
        <v>5130</v>
      </c>
      <c r="R88" s="41">
        <v>11.399999999999999</v>
      </c>
      <c r="S88" s="41">
        <v>9</v>
      </c>
      <c r="T88" s="42">
        <v>1</v>
      </c>
    </row>
    <row r="89" spans="2:20" x14ac:dyDescent="0.25">
      <c r="N89" s="51">
        <v>2</v>
      </c>
      <c r="O89" s="41" t="s">
        <v>2</v>
      </c>
      <c r="P89" s="41">
        <v>0</v>
      </c>
      <c r="Q89" s="41">
        <v>0</v>
      </c>
      <c r="R89" s="41">
        <v>0</v>
      </c>
      <c r="S89" s="41">
        <v>0</v>
      </c>
      <c r="T89" s="42" t="s">
        <v>20</v>
      </c>
    </row>
    <row r="91" spans="2:20" x14ac:dyDescent="0.25">
      <c r="N91" t="s">
        <v>138</v>
      </c>
    </row>
    <row r="92" spans="2:20" x14ac:dyDescent="0.25">
      <c r="O92" t="s">
        <v>145</v>
      </c>
    </row>
    <row r="94" spans="2:20" x14ac:dyDescent="0.25">
      <c r="L94" s="1">
        <v>6</v>
      </c>
      <c r="M94" s="1" t="s">
        <v>60</v>
      </c>
      <c r="N94" s="1" t="s">
        <v>159</v>
      </c>
    </row>
    <row r="95" spans="2:20" x14ac:dyDescent="0.25">
      <c r="M95" s="1" t="s">
        <v>131</v>
      </c>
      <c r="N95">
        <v>1.2</v>
      </c>
      <c r="O95" t="s">
        <v>132</v>
      </c>
    </row>
    <row r="96" spans="2:20" x14ac:dyDescent="0.25">
      <c r="M96" s="1" t="s">
        <v>142</v>
      </c>
      <c r="N96">
        <v>0.75</v>
      </c>
      <c r="O96" t="s">
        <v>132</v>
      </c>
      <c r="P96" t="s">
        <v>162</v>
      </c>
      <c r="Q96" s="6">
        <v>43922</v>
      </c>
      <c r="R96" s="6" t="s">
        <v>141</v>
      </c>
      <c r="S96" s="6">
        <v>43924</v>
      </c>
    </row>
    <row r="97" spans="12:20" x14ac:dyDescent="0.25">
      <c r="M97" s="1" t="s">
        <v>143</v>
      </c>
      <c r="N97">
        <v>1.5</v>
      </c>
      <c r="O97" t="s">
        <v>132</v>
      </c>
      <c r="P97" t="s">
        <v>161</v>
      </c>
      <c r="Q97" s="6">
        <v>43922</v>
      </c>
      <c r="R97" s="6" t="s">
        <v>141</v>
      </c>
      <c r="S97" s="6">
        <v>43924</v>
      </c>
    </row>
    <row r="98" spans="12:20" x14ac:dyDescent="0.25">
      <c r="M98" s="1" t="s">
        <v>17</v>
      </c>
      <c r="N98" t="s">
        <v>140</v>
      </c>
      <c r="Q98" s="6"/>
      <c r="R98" s="6"/>
      <c r="S98" s="6"/>
    </row>
    <row r="100" spans="12:20" ht="75" x14ac:dyDescent="0.25">
      <c r="N100" s="62" t="s">
        <v>25</v>
      </c>
      <c r="O100" s="62" t="s">
        <v>26</v>
      </c>
      <c r="P100" s="9" t="s">
        <v>133</v>
      </c>
      <c r="Q100" s="9" t="s">
        <v>134</v>
      </c>
      <c r="R100" s="9" t="s">
        <v>135</v>
      </c>
      <c r="S100" s="9" t="s">
        <v>136</v>
      </c>
      <c r="T100" s="9" t="s">
        <v>29</v>
      </c>
    </row>
    <row r="101" spans="12:20" x14ac:dyDescent="0.25">
      <c r="N101" s="51">
        <v>1</v>
      </c>
      <c r="O101" s="41" t="s">
        <v>3</v>
      </c>
      <c r="P101" s="41">
        <v>135</v>
      </c>
      <c r="Q101" s="41">
        <v>135</v>
      </c>
      <c r="R101" s="41">
        <v>0.3</v>
      </c>
      <c r="S101" s="41">
        <v>1</v>
      </c>
      <c r="T101" s="42">
        <v>1</v>
      </c>
    </row>
    <row r="102" spans="12:20" x14ac:dyDescent="0.25">
      <c r="N102" s="51">
        <v>2</v>
      </c>
      <c r="O102" s="41" t="s">
        <v>2</v>
      </c>
      <c r="P102" s="41">
        <v>117</v>
      </c>
      <c r="Q102" s="41">
        <v>117</v>
      </c>
      <c r="R102" s="41">
        <v>0.89999999999999991</v>
      </c>
      <c r="S102" s="41">
        <v>0.55000000000000004</v>
      </c>
      <c r="T102" s="42">
        <v>1</v>
      </c>
    </row>
    <row r="104" spans="12:20" x14ac:dyDescent="0.25">
      <c r="N104" t="s">
        <v>138</v>
      </c>
    </row>
    <row r="105" spans="12:20" x14ac:dyDescent="0.25">
      <c r="O105" s="37" t="s">
        <v>176</v>
      </c>
    </row>
    <row r="107" spans="12:20" x14ac:dyDescent="0.25">
      <c r="L107" s="1">
        <v>7</v>
      </c>
      <c r="M107" s="1" t="s">
        <v>60</v>
      </c>
      <c r="N107" s="1" t="s">
        <v>168</v>
      </c>
    </row>
    <row r="108" spans="12:20" x14ac:dyDescent="0.25">
      <c r="M108" s="1" t="s">
        <v>131</v>
      </c>
      <c r="N108">
        <v>1.125</v>
      </c>
      <c r="O108" t="s">
        <v>132</v>
      </c>
    </row>
    <row r="109" spans="12:20" x14ac:dyDescent="0.25">
      <c r="M109" s="1" t="s">
        <v>142</v>
      </c>
      <c r="N109">
        <v>1</v>
      </c>
      <c r="O109" t="s">
        <v>132</v>
      </c>
      <c r="P109" t="s">
        <v>128</v>
      </c>
      <c r="Q109" s="6">
        <v>43927</v>
      </c>
      <c r="R109" s="6" t="s">
        <v>128</v>
      </c>
      <c r="S109" s="6">
        <v>43927</v>
      </c>
    </row>
    <row r="110" spans="12:20" x14ac:dyDescent="0.25">
      <c r="M110" s="1" t="s">
        <v>143</v>
      </c>
      <c r="N110">
        <v>1</v>
      </c>
      <c r="O110" t="s">
        <v>132</v>
      </c>
      <c r="P110" t="s">
        <v>128</v>
      </c>
      <c r="Q110" s="6">
        <v>43927</v>
      </c>
      <c r="R110" s="6" t="s">
        <v>128</v>
      </c>
      <c r="S110" s="6">
        <v>43927</v>
      </c>
    </row>
    <row r="111" spans="12:20" x14ac:dyDescent="0.25">
      <c r="M111" s="1" t="s">
        <v>17</v>
      </c>
      <c r="N111" t="s">
        <v>140</v>
      </c>
      <c r="Q111" s="6"/>
      <c r="R111" s="6"/>
      <c r="S111" s="6"/>
    </row>
    <row r="113" spans="12:20" ht="75" x14ac:dyDescent="0.25">
      <c r="N113" s="62" t="s">
        <v>25</v>
      </c>
      <c r="O113" s="62" t="s">
        <v>26</v>
      </c>
      <c r="P113" s="9" t="s">
        <v>133</v>
      </c>
      <c r="Q113" s="9" t="s">
        <v>134</v>
      </c>
      <c r="R113" s="9" t="s">
        <v>135</v>
      </c>
      <c r="S113" s="9" t="s">
        <v>136</v>
      </c>
      <c r="T113" s="9" t="s">
        <v>29</v>
      </c>
    </row>
    <row r="114" spans="12:20" x14ac:dyDescent="0.25">
      <c r="N114" s="51">
        <v>1</v>
      </c>
      <c r="O114" s="41" t="s">
        <v>3</v>
      </c>
      <c r="P114" s="41">
        <v>0</v>
      </c>
      <c r="Q114" s="41">
        <v>0</v>
      </c>
      <c r="R114" s="41">
        <v>0</v>
      </c>
      <c r="S114" s="41">
        <v>0</v>
      </c>
      <c r="T114" s="42" t="s">
        <v>20</v>
      </c>
    </row>
    <row r="115" spans="12:20" x14ac:dyDescent="0.25">
      <c r="N115" s="51">
        <v>2</v>
      </c>
      <c r="O115" s="41" t="s">
        <v>2</v>
      </c>
      <c r="P115" s="41">
        <v>146.25</v>
      </c>
      <c r="Q115" s="41">
        <v>146.25</v>
      </c>
      <c r="R115" s="41">
        <v>1.125</v>
      </c>
      <c r="S115" s="41">
        <v>1.125</v>
      </c>
      <c r="T115" s="42">
        <v>1</v>
      </c>
    </row>
    <row r="117" spans="12:20" x14ac:dyDescent="0.25">
      <c r="N117" t="s">
        <v>138</v>
      </c>
    </row>
    <row r="118" spans="12:20" x14ac:dyDescent="0.25">
      <c r="O118" t="s">
        <v>176</v>
      </c>
    </row>
    <row r="120" spans="12:20" x14ac:dyDescent="0.25">
      <c r="L120" s="1">
        <v>8</v>
      </c>
      <c r="M120" s="1" t="s">
        <v>60</v>
      </c>
      <c r="N120" s="1" t="s">
        <v>169</v>
      </c>
    </row>
    <row r="121" spans="12:20" x14ac:dyDescent="0.25">
      <c r="M121" s="1" t="s">
        <v>131</v>
      </c>
      <c r="N121">
        <v>1.5</v>
      </c>
      <c r="O121" t="s">
        <v>132</v>
      </c>
    </row>
    <row r="122" spans="12:20" x14ac:dyDescent="0.25">
      <c r="M122" s="1" t="s">
        <v>142</v>
      </c>
      <c r="N122">
        <v>1</v>
      </c>
      <c r="O122" t="s">
        <v>132</v>
      </c>
      <c r="P122" t="s">
        <v>128</v>
      </c>
      <c r="Q122" s="6">
        <v>43928</v>
      </c>
      <c r="R122" s="6" t="s">
        <v>128</v>
      </c>
      <c r="S122" s="6">
        <v>43928</v>
      </c>
    </row>
    <row r="123" spans="12:20" x14ac:dyDescent="0.25">
      <c r="M123" s="1" t="s">
        <v>143</v>
      </c>
      <c r="N123">
        <v>2</v>
      </c>
      <c r="O123" t="s">
        <v>132</v>
      </c>
      <c r="P123" t="s">
        <v>128</v>
      </c>
      <c r="Q123" s="6">
        <v>43928</v>
      </c>
      <c r="R123" s="6" t="s">
        <v>141</v>
      </c>
      <c r="S123" s="6">
        <v>43929</v>
      </c>
    </row>
    <row r="124" spans="12:20" x14ac:dyDescent="0.25">
      <c r="M124" s="1" t="s">
        <v>17</v>
      </c>
      <c r="N124" t="s">
        <v>146</v>
      </c>
      <c r="Q124" s="6"/>
      <c r="R124" s="6"/>
      <c r="S124" s="6"/>
    </row>
    <row r="126" spans="12:20" ht="75" x14ac:dyDescent="0.25">
      <c r="N126" s="62" t="s">
        <v>25</v>
      </c>
      <c r="O126" s="62" t="s">
        <v>26</v>
      </c>
      <c r="P126" s="9" t="s">
        <v>133</v>
      </c>
      <c r="Q126" s="9" t="s">
        <v>134</v>
      </c>
      <c r="R126" s="9" t="s">
        <v>135</v>
      </c>
      <c r="S126" s="9" t="s">
        <v>136</v>
      </c>
      <c r="T126" s="9" t="s">
        <v>29</v>
      </c>
    </row>
    <row r="127" spans="12:20" x14ac:dyDescent="0.25">
      <c r="N127" s="51">
        <v>1</v>
      </c>
      <c r="O127" s="41" t="s">
        <v>3</v>
      </c>
      <c r="P127" s="41">
        <v>0</v>
      </c>
      <c r="Q127" s="41">
        <v>0</v>
      </c>
      <c r="R127" s="41">
        <v>0</v>
      </c>
      <c r="S127" s="41">
        <v>0</v>
      </c>
      <c r="T127" s="42" t="s">
        <v>20</v>
      </c>
    </row>
    <row r="128" spans="12:20" x14ac:dyDescent="0.25">
      <c r="N128" s="51">
        <v>2</v>
      </c>
      <c r="O128" s="41" t="s">
        <v>2</v>
      </c>
      <c r="P128" s="41">
        <v>195</v>
      </c>
      <c r="Q128" s="41">
        <v>195</v>
      </c>
      <c r="R128" s="41">
        <v>1.5</v>
      </c>
      <c r="S128" s="41">
        <v>2</v>
      </c>
      <c r="T128" s="42">
        <v>1</v>
      </c>
    </row>
    <row r="130" spans="12:20" x14ac:dyDescent="0.25">
      <c r="N130" t="s">
        <v>138</v>
      </c>
    </row>
    <row r="131" spans="12:20" x14ac:dyDescent="0.25">
      <c r="O131" s="37" t="s">
        <v>173</v>
      </c>
    </row>
    <row r="132" spans="12:20" x14ac:dyDescent="0.25">
      <c r="O132" s="37" t="s">
        <v>174</v>
      </c>
    </row>
    <row r="133" spans="12:20" x14ac:dyDescent="0.25">
      <c r="O133" s="37" t="s">
        <v>175</v>
      </c>
    </row>
    <row r="134" spans="12:20" x14ac:dyDescent="0.25">
      <c r="O134" s="37" t="s">
        <v>176</v>
      </c>
    </row>
    <row r="136" spans="12:20" x14ac:dyDescent="0.25">
      <c r="L136" s="1">
        <v>9</v>
      </c>
      <c r="M136" s="1" t="s">
        <v>60</v>
      </c>
      <c r="N136" s="1" t="s">
        <v>170</v>
      </c>
    </row>
    <row r="137" spans="12:20" x14ac:dyDescent="0.25">
      <c r="M137" s="1" t="s">
        <v>131</v>
      </c>
      <c r="N137">
        <v>4.6550000000000002</v>
      </c>
      <c r="O137" t="s">
        <v>132</v>
      </c>
    </row>
    <row r="138" spans="12:20" x14ac:dyDescent="0.25">
      <c r="M138" s="1" t="s">
        <v>142</v>
      </c>
      <c r="N138">
        <v>2.5</v>
      </c>
      <c r="O138" t="s">
        <v>132</v>
      </c>
      <c r="P138" t="s">
        <v>172</v>
      </c>
      <c r="Q138" s="6">
        <v>43928</v>
      </c>
      <c r="R138" s="6" t="s">
        <v>141</v>
      </c>
      <c r="S138" s="6">
        <v>43931</v>
      </c>
    </row>
    <row r="139" spans="12:20" x14ac:dyDescent="0.25">
      <c r="M139" s="1" t="s">
        <v>143</v>
      </c>
      <c r="N139">
        <v>3</v>
      </c>
      <c r="O139" t="s">
        <v>132</v>
      </c>
      <c r="P139" t="s">
        <v>161</v>
      </c>
      <c r="Q139" s="6">
        <v>43929</v>
      </c>
      <c r="R139" s="6" t="s">
        <v>141</v>
      </c>
      <c r="S139" s="6">
        <v>43931</v>
      </c>
    </row>
    <row r="140" spans="12:20" x14ac:dyDescent="0.25">
      <c r="M140" s="1" t="s">
        <v>17</v>
      </c>
      <c r="N140" t="s">
        <v>140</v>
      </c>
      <c r="Q140" s="6"/>
      <c r="R140" s="6"/>
      <c r="S140" s="6"/>
    </row>
    <row r="142" spans="12:20" ht="75" x14ac:dyDescent="0.25">
      <c r="N142" s="62" t="s">
        <v>25</v>
      </c>
      <c r="O142" s="62" t="s">
        <v>26</v>
      </c>
      <c r="P142" s="9" t="s">
        <v>133</v>
      </c>
      <c r="Q142" s="9" t="s">
        <v>134</v>
      </c>
      <c r="R142" s="9" t="s">
        <v>135</v>
      </c>
      <c r="S142" s="9" t="s">
        <v>136</v>
      </c>
      <c r="T142" s="9" t="s">
        <v>29</v>
      </c>
    </row>
    <row r="143" spans="12:20" x14ac:dyDescent="0.25">
      <c r="N143" s="51">
        <v>1</v>
      </c>
      <c r="O143" s="41" t="s">
        <v>3</v>
      </c>
      <c r="P143" s="41">
        <v>1707.75</v>
      </c>
      <c r="Q143" s="41">
        <v>1707.75</v>
      </c>
      <c r="R143" s="41">
        <v>3.7949999999999999</v>
      </c>
      <c r="S143" s="41">
        <v>5</v>
      </c>
      <c r="T143" s="42">
        <v>1</v>
      </c>
    </row>
    <row r="144" spans="12:20" x14ac:dyDescent="0.25">
      <c r="N144" s="51">
        <v>2</v>
      </c>
      <c r="O144" s="41" t="s">
        <v>2</v>
      </c>
      <c r="P144" s="41">
        <v>111.8</v>
      </c>
      <c r="Q144" s="41">
        <v>111.8</v>
      </c>
      <c r="R144" s="41">
        <v>0.86</v>
      </c>
      <c r="S144" s="41">
        <v>0.75</v>
      </c>
      <c r="T144" s="42">
        <v>1</v>
      </c>
    </row>
    <row r="146" spans="12:20" x14ac:dyDescent="0.25">
      <c r="N146" t="s">
        <v>138</v>
      </c>
    </row>
    <row r="147" spans="12:20" x14ac:dyDescent="0.25">
      <c r="O147" t="s">
        <v>145</v>
      </c>
    </row>
    <row r="150" spans="12:20" x14ac:dyDescent="0.25">
      <c r="L150" s="1">
        <v>10</v>
      </c>
      <c r="M150" s="1" t="s">
        <v>60</v>
      </c>
      <c r="N150" s="1" t="s">
        <v>189</v>
      </c>
    </row>
    <row r="151" spans="12:20" x14ac:dyDescent="0.25">
      <c r="M151" s="1" t="s">
        <v>131</v>
      </c>
      <c r="N151">
        <v>3.75</v>
      </c>
      <c r="O151" t="s">
        <v>132</v>
      </c>
    </row>
    <row r="152" spans="12:20" x14ac:dyDescent="0.25">
      <c r="M152" s="1" t="s">
        <v>142</v>
      </c>
      <c r="N152">
        <v>1</v>
      </c>
      <c r="O152" t="s">
        <v>132</v>
      </c>
      <c r="P152" t="s">
        <v>127</v>
      </c>
      <c r="Q152" s="6">
        <v>43930</v>
      </c>
      <c r="R152" s="6" t="s">
        <v>128</v>
      </c>
      <c r="S152" s="6">
        <v>43930</v>
      </c>
    </row>
    <row r="153" spans="12:20" x14ac:dyDescent="0.25">
      <c r="M153" s="1" t="s">
        <v>143</v>
      </c>
      <c r="N153">
        <v>1</v>
      </c>
      <c r="O153" t="s">
        <v>132</v>
      </c>
      <c r="P153" t="s">
        <v>127</v>
      </c>
      <c r="Q153" s="6">
        <v>43930</v>
      </c>
      <c r="R153" s="6" t="s">
        <v>128</v>
      </c>
      <c r="S153" s="6">
        <v>43930</v>
      </c>
    </row>
    <row r="154" spans="12:20" x14ac:dyDescent="0.25">
      <c r="M154" s="1" t="s">
        <v>17</v>
      </c>
      <c r="N154" t="s">
        <v>216</v>
      </c>
      <c r="Q154" s="6"/>
      <c r="R154" s="6"/>
      <c r="S154" s="6"/>
    </row>
    <row r="156" spans="12:20" ht="75" x14ac:dyDescent="0.25">
      <c r="N156" s="62" t="s">
        <v>25</v>
      </c>
      <c r="O156" s="62" t="s">
        <v>26</v>
      </c>
      <c r="P156" s="9" t="s">
        <v>133</v>
      </c>
      <c r="Q156" s="9" t="s">
        <v>134</v>
      </c>
      <c r="R156" s="9" t="s">
        <v>135</v>
      </c>
      <c r="S156" s="9" t="s">
        <v>136</v>
      </c>
      <c r="T156" s="9" t="s">
        <v>29</v>
      </c>
    </row>
    <row r="157" spans="12:20" x14ac:dyDescent="0.25">
      <c r="N157" s="51">
        <v>1</v>
      </c>
      <c r="O157" s="41" t="s">
        <v>3</v>
      </c>
      <c r="P157" s="41">
        <v>0</v>
      </c>
      <c r="Q157" s="41">
        <v>0</v>
      </c>
      <c r="R157" s="41">
        <v>0</v>
      </c>
      <c r="S157" s="41">
        <v>0</v>
      </c>
      <c r="T157" s="42" t="s">
        <v>20</v>
      </c>
    </row>
    <row r="158" spans="12:20" x14ac:dyDescent="0.25">
      <c r="N158" s="51">
        <v>2</v>
      </c>
      <c r="O158" s="41" t="s">
        <v>2</v>
      </c>
      <c r="P158" s="41">
        <v>487.5</v>
      </c>
      <c r="Q158" s="41">
        <v>487.5</v>
      </c>
      <c r="R158" s="41">
        <v>3.75</v>
      </c>
      <c r="S158" s="41">
        <v>1.625</v>
      </c>
      <c r="T158" s="42">
        <v>1</v>
      </c>
    </row>
    <row r="160" spans="12:20" x14ac:dyDescent="0.25">
      <c r="N160" t="s">
        <v>138</v>
      </c>
    </row>
    <row r="161" spans="12:20" x14ac:dyDescent="0.25">
      <c r="O161" t="s">
        <v>176</v>
      </c>
    </row>
    <row r="162" spans="12:20" x14ac:dyDescent="0.25">
      <c r="O162" s="59" t="s">
        <v>199</v>
      </c>
    </row>
    <row r="164" spans="12:20" x14ac:dyDescent="0.25">
      <c r="L164" s="1">
        <v>11</v>
      </c>
      <c r="M164" s="1" t="s">
        <v>60</v>
      </c>
      <c r="N164" s="1" t="s">
        <v>177</v>
      </c>
    </row>
    <row r="165" spans="12:20" x14ac:dyDescent="0.25">
      <c r="M165" s="1" t="s">
        <v>131</v>
      </c>
      <c r="N165">
        <v>0.4</v>
      </c>
      <c r="O165" t="s">
        <v>132</v>
      </c>
    </row>
    <row r="166" spans="12:20" x14ac:dyDescent="0.25">
      <c r="M166" s="1" t="s">
        <v>142</v>
      </c>
      <c r="N166">
        <v>1</v>
      </c>
      <c r="O166" t="s">
        <v>132</v>
      </c>
      <c r="P166" t="s">
        <v>127</v>
      </c>
      <c r="Q166" s="6">
        <v>43930</v>
      </c>
      <c r="R166" s="6" t="s">
        <v>128</v>
      </c>
      <c r="S166" s="6">
        <v>43930</v>
      </c>
    </row>
    <row r="167" spans="12:20" x14ac:dyDescent="0.25">
      <c r="M167" s="1" t="s">
        <v>143</v>
      </c>
      <c r="N167">
        <v>1</v>
      </c>
      <c r="O167" t="s">
        <v>132</v>
      </c>
      <c r="P167" t="s">
        <v>127</v>
      </c>
      <c r="Q167" s="6">
        <v>43930</v>
      </c>
      <c r="R167" s="6" t="s">
        <v>128</v>
      </c>
      <c r="S167" s="6">
        <v>43930</v>
      </c>
    </row>
    <row r="168" spans="12:20" x14ac:dyDescent="0.25">
      <c r="M168" s="1" t="s">
        <v>17</v>
      </c>
      <c r="N168" t="s">
        <v>140</v>
      </c>
      <c r="Q168" s="6"/>
      <c r="R168" s="6"/>
      <c r="S168" s="6"/>
    </row>
    <row r="170" spans="12:20" ht="75" x14ac:dyDescent="0.25">
      <c r="N170" s="62" t="s">
        <v>25</v>
      </c>
      <c r="O170" s="62" t="s">
        <v>26</v>
      </c>
      <c r="P170" s="9" t="s">
        <v>133</v>
      </c>
      <c r="Q170" s="9" t="s">
        <v>134</v>
      </c>
      <c r="R170" s="9" t="s">
        <v>135</v>
      </c>
      <c r="S170" s="9" t="s">
        <v>136</v>
      </c>
      <c r="T170" s="9" t="s">
        <v>29</v>
      </c>
    </row>
    <row r="171" spans="12:20" x14ac:dyDescent="0.25">
      <c r="N171" s="51">
        <v>1</v>
      </c>
      <c r="O171" s="41" t="s">
        <v>3</v>
      </c>
      <c r="P171" s="41">
        <v>0</v>
      </c>
      <c r="Q171" s="41">
        <v>0</v>
      </c>
      <c r="R171" s="41">
        <v>0</v>
      </c>
      <c r="S171" s="41">
        <v>0</v>
      </c>
      <c r="T171" s="42" t="s">
        <v>20</v>
      </c>
    </row>
    <row r="172" spans="12:20" x14ac:dyDescent="0.25">
      <c r="N172" s="51">
        <v>2</v>
      </c>
      <c r="O172" s="41" t="s">
        <v>2</v>
      </c>
      <c r="P172" s="41">
        <v>52</v>
      </c>
      <c r="Q172" s="41">
        <v>52</v>
      </c>
      <c r="R172" s="41">
        <v>0.4</v>
      </c>
      <c r="S172" s="41">
        <v>0.4</v>
      </c>
      <c r="T172" s="42">
        <v>1</v>
      </c>
    </row>
    <row r="174" spans="12:20" x14ac:dyDescent="0.25">
      <c r="N174" t="s">
        <v>138</v>
      </c>
    </row>
    <row r="175" spans="12:20" x14ac:dyDescent="0.25">
      <c r="O175" t="s">
        <v>176</v>
      </c>
    </row>
    <row r="177" spans="12:20" x14ac:dyDescent="0.25">
      <c r="L177" s="1">
        <v>12</v>
      </c>
      <c r="M177" s="1" t="s">
        <v>60</v>
      </c>
      <c r="N177" s="1" t="s">
        <v>180</v>
      </c>
    </row>
    <row r="178" spans="12:20" x14ac:dyDescent="0.25">
      <c r="M178" s="1" t="s">
        <v>131</v>
      </c>
      <c r="N178">
        <v>1.2999999999999998</v>
      </c>
      <c r="O178" t="s">
        <v>132</v>
      </c>
    </row>
    <row r="179" spans="12:20" x14ac:dyDescent="0.25">
      <c r="M179" s="1" t="s">
        <v>142</v>
      </c>
      <c r="N179">
        <v>1</v>
      </c>
      <c r="O179" t="s">
        <v>132</v>
      </c>
      <c r="P179" t="s">
        <v>127</v>
      </c>
      <c r="Q179" s="6">
        <v>43934</v>
      </c>
      <c r="R179" s="6" t="s">
        <v>128</v>
      </c>
      <c r="S179" s="6">
        <v>43934</v>
      </c>
    </row>
    <row r="180" spans="12:20" x14ac:dyDescent="0.25">
      <c r="M180" s="1" t="s">
        <v>143</v>
      </c>
      <c r="N180">
        <v>1</v>
      </c>
      <c r="O180" t="s">
        <v>132</v>
      </c>
      <c r="P180" t="s">
        <v>127</v>
      </c>
      <c r="Q180" s="6">
        <v>43934</v>
      </c>
      <c r="R180" s="6" t="s">
        <v>128</v>
      </c>
      <c r="S180" s="6">
        <v>43934</v>
      </c>
    </row>
    <row r="181" spans="12:20" x14ac:dyDescent="0.25">
      <c r="M181" s="1" t="s">
        <v>17</v>
      </c>
      <c r="N181" t="s">
        <v>216</v>
      </c>
      <c r="Q181" s="6"/>
      <c r="R181" s="6"/>
      <c r="S181" s="6"/>
    </row>
    <row r="183" spans="12:20" ht="75" x14ac:dyDescent="0.25">
      <c r="N183" s="62" t="s">
        <v>25</v>
      </c>
      <c r="O183" s="62" t="s">
        <v>26</v>
      </c>
      <c r="P183" s="9" t="s">
        <v>133</v>
      </c>
      <c r="Q183" s="9" t="s">
        <v>134</v>
      </c>
      <c r="R183" s="9" t="s">
        <v>135</v>
      </c>
      <c r="S183" s="9" t="s">
        <v>136</v>
      </c>
      <c r="T183" s="9" t="s">
        <v>29</v>
      </c>
    </row>
    <row r="184" spans="12:20" x14ac:dyDescent="0.25">
      <c r="N184" s="51">
        <v>1</v>
      </c>
      <c r="O184" s="41" t="s">
        <v>3</v>
      </c>
      <c r="P184" s="41">
        <v>0</v>
      </c>
      <c r="Q184" s="41">
        <v>0</v>
      </c>
      <c r="R184" s="41">
        <v>0</v>
      </c>
      <c r="S184" s="41">
        <v>0</v>
      </c>
      <c r="T184" s="42" t="s">
        <v>20</v>
      </c>
    </row>
    <row r="185" spans="12:20" x14ac:dyDescent="0.25">
      <c r="N185" s="51">
        <v>2</v>
      </c>
      <c r="O185" s="41" t="s">
        <v>2</v>
      </c>
      <c r="P185" s="41">
        <v>169</v>
      </c>
      <c r="Q185" s="41">
        <v>169</v>
      </c>
      <c r="R185" s="41">
        <v>1.2999999999999998</v>
      </c>
      <c r="S185" s="41">
        <v>1</v>
      </c>
      <c r="T185" s="42">
        <v>1</v>
      </c>
    </row>
    <row r="187" spans="12:20" x14ac:dyDescent="0.25">
      <c r="N187" t="s">
        <v>138</v>
      </c>
    </row>
    <row r="188" spans="12:20" x14ac:dyDescent="0.25">
      <c r="O188" t="s">
        <v>176</v>
      </c>
    </row>
    <row r="190" spans="12:20" x14ac:dyDescent="0.25">
      <c r="L190" s="1">
        <v>13</v>
      </c>
      <c r="M190" s="1" t="s">
        <v>60</v>
      </c>
      <c r="N190" s="1" t="s">
        <v>186</v>
      </c>
    </row>
    <row r="191" spans="12:20" x14ac:dyDescent="0.25">
      <c r="M191" s="1" t="s">
        <v>131</v>
      </c>
      <c r="N191">
        <v>4.2</v>
      </c>
      <c r="O191" t="s">
        <v>132</v>
      </c>
    </row>
    <row r="192" spans="12:20" x14ac:dyDescent="0.25">
      <c r="M192" s="1" t="s">
        <v>142</v>
      </c>
      <c r="N192">
        <v>4</v>
      </c>
      <c r="O192" t="s">
        <v>132</v>
      </c>
      <c r="P192" t="s">
        <v>158</v>
      </c>
      <c r="Q192" s="6">
        <v>43934</v>
      </c>
      <c r="R192" s="6" t="s">
        <v>128</v>
      </c>
      <c r="S192" s="6">
        <v>43937</v>
      </c>
    </row>
    <row r="193" spans="13:20" x14ac:dyDescent="0.25">
      <c r="M193" s="1" t="s">
        <v>143</v>
      </c>
      <c r="N193">
        <v>4</v>
      </c>
      <c r="O193" t="s">
        <v>132</v>
      </c>
      <c r="P193" t="s">
        <v>158</v>
      </c>
      <c r="Q193" s="6">
        <v>43934</v>
      </c>
      <c r="R193" s="6" t="s">
        <v>128</v>
      </c>
      <c r="S193" s="6">
        <v>43937</v>
      </c>
    </row>
    <row r="194" spans="13:20" x14ac:dyDescent="0.25">
      <c r="M194" s="1" t="s">
        <v>17</v>
      </c>
      <c r="Q194" s="6"/>
      <c r="R194" s="6"/>
      <c r="S194" s="6"/>
    </row>
    <row r="196" spans="13:20" ht="75" x14ac:dyDescent="0.25">
      <c r="N196" s="62" t="s">
        <v>25</v>
      </c>
      <c r="O196" s="62" t="s">
        <v>26</v>
      </c>
      <c r="P196" s="9" t="s">
        <v>133</v>
      </c>
      <c r="Q196" s="9" t="s">
        <v>134</v>
      </c>
      <c r="R196" s="9" t="s">
        <v>135</v>
      </c>
      <c r="S196" s="9" t="s">
        <v>136</v>
      </c>
      <c r="T196" s="9" t="s">
        <v>29</v>
      </c>
    </row>
    <row r="197" spans="13:20" x14ac:dyDescent="0.25">
      <c r="N197" s="51">
        <v>1</v>
      </c>
      <c r="O197" s="41" t="s">
        <v>3</v>
      </c>
      <c r="P197" s="41">
        <v>1890</v>
      </c>
      <c r="Q197" s="41">
        <v>1890</v>
      </c>
      <c r="R197" s="41">
        <v>4.2</v>
      </c>
      <c r="S197" s="41">
        <v>4.9249999999999998</v>
      </c>
      <c r="T197" s="42">
        <v>1</v>
      </c>
    </row>
    <row r="198" spans="13:20" x14ac:dyDescent="0.25">
      <c r="N198" s="51">
        <v>2</v>
      </c>
      <c r="O198" s="41" t="s">
        <v>2</v>
      </c>
      <c r="P198" s="41">
        <v>0</v>
      </c>
      <c r="Q198" s="41">
        <v>0</v>
      </c>
      <c r="R198" s="41">
        <v>0</v>
      </c>
      <c r="S198" s="41">
        <v>0</v>
      </c>
      <c r="T198" s="42" t="s">
        <v>20</v>
      </c>
    </row>
    <row r="200" spans="13:20" x14ac:dyDescent="0.25">
      <c r="N200" t="s">
        <v>138</v>
      </c>
    </row>
    <row r="201" spans="13:20" x14ac:dyDescent="0.25">
      <c r="O201" t="s">
        <v>176</v>
      </c>
    </row>
  </sheetData>
  <customSheetViews>
    <customSheetView guid="{7ECC2B8E-6A82-42F5-8AB0-4A51C54EA5EC}">
      <selection activeCell="A44" sqref="A44:XFD44"/>
      <pageMargins left="0.7" right="0.7" top="0.75" bottom="0.75" header="0.3" footer="0.3"/>
      <pageSetup orientation="portrait" horizontalDpi="300" verticalDpi="0" r:id="rId1"/>
    </customSheetView>
    <customSheetView guid="{A2C66332-A809-458E-971B-FDB6D62C74C3}">
      <selection activeCell="A31" sqref="A31"/>
      <pageMargins left="0.7" right="0.7" top="0.75" bottom="0.75" header="0.3" footer="0.3"/>
      <pageSetup orientation="portrait" horizontalDpi="300" verticalDpi="0" r:id="rId2"/>
    </customSheetView>
    <customSheetView guid="{3B3E6719-EACB-4D2C-89C1-05FFAB6020FD}">
      <selection activeCell="A44" sqref="A44:XFD44"/>
      <pageMargins left="0.7" right="0.7" top="0.75" bottom="0.75" header="0.3" footer="0.3"/>
      <pageSetup orientation="portrait" horizontalDpi="300" verticalDpi="0" r:id="rId3"/>
    </customSheetView>
    <customSheetView guid="{72A6EB0A-84D5-4B8A-AC51-54CCD061630B}">
      <selection activeCell="E27" sqref="E27"/>
      <pageMargins left="0.7" right="0.7" top="0.75" bottom="0.75" header="0.3" footer="0.3"/>
      <pageSetup orientation="portrait" horizontalDpi="300" verticalDpi="0" r:id="rId4"/>
    </customSheetView>
    <customSheetView guid="{336B6883-2145-4B58-921E-CEC7185A847E}">
      <selection activeCell="A31" sqref="A31"/>
      <pageMargins left="0.7" right="0.7" top="0.75" bottom="0.75" header="0.3" footer="0.3"/>
      <pageSetup orientation="portrait" horizontalDpi="300" verticalDpi="0" r:id="rId5"/>
    </customSheetView>
    <customSheetView guid="{D33AC7AF-C8AB-4CE9-94C7-9237011A5FC3}">
      <selection activeCell="A31" sqref="A31"/>
      <pageMargins left="0.7" right="0.7" top="0.75" bottom="0.75" header="0.3" footer="0.3"/>
      <pageSetup orientation="portrait" horizontalDpi="300" verticalDpi="0" r:id="rId6"/>
    </customSheetView>
    <customSheetView guid="{250915DF-0B97-45D7-B29D-7EED4C89C1C1}" topLeftCell="A106">
      <selection activeCell="D4" sqref="D4"/>
      <pageMargins left="0.7" right="0.7" top="0.75" bottom="0.75" header="0.3" footer="0.3"/>
      <pageSetup orientation="portrait" horizontalDpi="300" verticalDpi="0" r:id="rId7"/>
    </customSheetView>
  </customSheetViews>
  <pageMargins left="0.7" right="0.7" top="0.75" bottom="0.75" header="0.3" footer="0.3"/>
  <pageSetup orientation="portrait" horizontalDpi="300" verticalDpi="0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Merged_COEM</vt:lpstr>
      <vt:lpstr>Merged_JOEM</vt:lpstr>
      <vt:lpstr>|-&gt;</vt:lpstr>
      <vt:lpstr>Report_For_Each_Project_COEM</vt:lpstr>
      <vt:lpstr>Report_For_Each_Project_JOEM</vt:lpstr>
      <vt:lpstr>Template_Total_Report</vt:lpstr>
      <vt:lpstr>Table</vt:lpstr>
      <vt:lpstr>Check_List</vt:lpstr>
      <vt:lpstr>|--&gt;</vt:lpstr>
      <vt:lpstr>Monthly_20200420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EXTERNAL Nguyen Trung Hieu (Ban Vien, RBVH/EPS45)</dc:creator>
  <cp:lastModifiedBy>Nguyễn Tuấn Dương</cp:lastModifiedBy>
  <dcterms:created xsi:type="dcterms:W3CDTF">2006-09-16T00:00:00Z</dcterms:created>
  <dcterms:modified xsi:type="dcterms:W3CDTF">2020-05-02T03:26:45Z</dcterms:modified>
</cp:coreProperties>
</file>