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240" yWindow="105" windowWidth="14805" windowHeight="6540"/>
  </bookViews>
  <sheets>
    <sheet name="Merged" sheetId="1" r:id="rId1"/>
    <sheet name="|-&gt;" sheetId="2" r:id="rId2"/>
    <sheet name="Report_For_Each_Project" sheetId="3" r:id="rId3"/>
    <sheet name="Template_Total_Report" sheetId="4" r:id="rId4"/>
    <sheet name="Table" sheetId="5" r:id="rId5"/>
    <sheet name="Check_List" sheetId="6" r:id="rId6"/>
    <sheet name="|--&gt;" sheetId="7" r:id="rId7"/>
    <sheet name="Monthly_20200420" sheetId="8" r:id="rId8"/>
  </sheets>
  <definedNames>
    <definedName name="_xlnm._FilterDatabase" localSheetId="0" hidden="1">Merged!$B$47:$AO$341</definedName>
    <definedName name="Z_116C406F_56EF_4929_AB69_7B88A04CBA56_.wvu.FilterData" localSheetId="0" hidden="1">Merged!$B$47:$AN$94</definedName>
    <definedName name="Z_250915DF_0B97_45D7_B29D_7EED4C89C1C1_.wvu.FilterData" localSheetId="0" hidden="1">Merged!$B$47:$AO$341</definedName>
    <definedName name="Z_336B6883_2145_4B58_921E_CEC7185A847E_.wvu.FilterData" localSheetId="0" hidden="1">Merged!$P$47:$P$392</definedName>
    <definedName name="Z_3B3E6719_EACB_4D2C_89C1_05FFAB6020FD_.wvu.FilterData" localSheetId="0" hidden="1">Merged!$B$47:$AO$341</definedName>
    <definedName name="Z_584FB3CE_102E_4394_9BBE_155B20E57E5A_.wvu.FilterData" localSheetId="0" hidden="1">Merged!$B$47:$AN$103</definedName>
    <definedName name="Z_686C29B7_8607_4292_9041_CB1F6097339C_.wvu.FilterData" localSheetId="0" hidden="1">Merged!$B$47:$AO$341</definedName>
    <definedName name="Z_72A6EB0A_84D5_4B8A_AC51_54CCD061630B_.wvu.FilterData" localSheetId="0" hidden="1">Merged!$B$47:$AO$341</definedName>
    <definedName name="Z_7ECC2B8E_6A82_42F5_8AB0_4A51C54EA5EC_.wvu.FilterData" localSheetId="0" hidden="1">Merged!$B$47:$AN$391</definedName>
    <definedName name="Z_885F1BD1_DC73_4AA9_A053_B1C35F29F2E0_.wvu.FilterData" localSheetId="0" hidden="1">Merged!$B$47:$AO$341</definedName>
    <definedName name="Z_A2C66332_A809_458E_971B_FDB6D62C74C3_.wvu.FilterData" localSheetId="0" hidden="1">Merged!$B$47:$AN$391</definedName>
    <definedName name="Z_A660862E_E137_45E6_9126_F71C85FD8B0C_.wvu.FilterData" localSheetId="0" hidden="1">Merged!$B$47:$AN$103</definedName>
    <definedName name="Z_B28746A6_3784_4E4C_9E3E_05917653FE5F_.wvu.FilterData" localSheetId="0" hidden="1">Merged!$B$47:$AN$391</definedName>
    <definedName name="Z_BFE28FD3_FC05_47D2_B394_F3516A4D0AB3_.wvu.FilterData" localSheetId="0" hidden="1">Merged!$B$47:$AN$116</definedName>
    <definedName name="Z_D33AC7AF_C8AB_4CE9_94C7_9237011A5FC3_.wvu.FilterData" localSheetId="0" hidden="1">Merged!$B$47:$AN$391</definedName>
    <definedName name="Z_EB30279F_71BB_4BBD_A7EE_691D83FBCC50_.wvu.FilterData" localSheetId="0" hidden="1">Merged!$B$47:$AN$116</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3"/>
    <customWorkbookView name="EXTERNAL Nguyen Duy Bang (Ban Vien, RBVH/EPS45) - Personal View" guid="{A2C66332-A809-458E-971B-FDB6D62C74C3}" mergeInterval="0" personalView="1" maximized="1" xWindow="-8" yWindow="-8" windowWidth="1936" windowHeight="1176" activeSheetId="1"/>
    <customWorkbookView name="EXTERNAL Do Phu Loc (Ban Vien, RBVH/EPS45) - Personal View" guid="{72A6EB0A-84D5-4B8A-AC51-54CCD061630B}" mergeInterval="0" personalView="1" maximized="1" xWindow="-8" yWindow="-8" windowWidth="1936" windowHeight="1176" tabRatio="387" activeSheetId="1"/>
    <customWorkbookView name="EXTERNAL Nguyen Kim Thanh (Ban Vien, RBVH/EPS45) - Personal View" guid="{4E06BDBF-2CED-473B-850B-2A6C7311FF41}" mergeInterval="0" personalView="1" maximized="1" xWindow="-8" yWindow="-8" windowWidth="1936" windowHeight="1176" activeSheetId="12"/>
    <customWorkbookView name="EXTERNAL Nguyen Tuan Duong (Ban Vien, RBVH/EPS45) - Personal View" guid="{7E0EA425-A420-4443-B9E0-CDF0AA9E5D09}" mergeInterval="0" personalView="1" maximized="1" xWindow="-8" yWindow="-8" windowWidth="1936" windowHeight="1176" activeSheetId="12"/>
    <customWorkbookView name="EXTERNAL Ly Chung (Ban Vien, RBVH/EPS45) - Personal View" guid="{60D2C030-4E31-4E07-8E1C-44D2EE84B177}" mergeInterval="0" personalView="1" maximized="1" xWindow="-8" yWindow="-8" windowWidth="1936" windowHeight="1186" tabRatio="428" activeSheetId="12"/>
    <customWorkbookView name="EXTERNAL Nguyen Tai Hau (Ban Vien, RBVH/EPS45) - Personal View" guid="{7ECC2B8E-6A82-42F5-8AB0-4A51C54EA5EC}" mergeInterval="0" personalView="1" maximized="1" xWindow="-8" yWindow="-8" windowWidth="1936" windowHeight="1176" activeSheetId="1"/>
    <customWorkbookView name="EXTERNAL Luu Cong Dac (Ban Vien, RBVH/EPS45) - Personal View" guid="{336B6883-2145-4B58-921E-CEC7185A847E}" mergeInterval="0" personalView="1" xWindow="620" yWindow="106" windowWidth="1302" windowHeight="998" tabRatio="428" activeSheetId="1"/>
    <customWorkbookView name="EXTERNAL Do Anh Huy (Ban Vien Company, RBVH/EPS45) - Personal View" guid="{D33AC7AF-C8AB-4CE9-94C7-9237011A5FC3}"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s>
</workbook>
</file>

<file path=xl/calcChain.xml><?xml version="1.0" encoding="utf-8"?>
<calcChain xmlns="http://schemas.openxmlformats.org/spreadsheetml/2006/main">
  <c r="H195" i="3" l="1"/>
  <c r="H194" i="3"/>
  <c r="H182" i="3"/>
  <c r="H181" i="3"/>
  <c r="H169" i="3"/>
  <c r="H168" i="3"/>
  <c r="H156" i="3"/>
  <c r="H155" i="3"/>
  <c r="H144" i="3"/>
  <c r="H143" i="3"/>
  <c r="H132" i="3"/>
  <c r="H131" i="3"/>
  <c r="I195" i="3"/>
  <c r="I194" i="3"/>
  <c r="I182" i="3"/>
  <c r="I181" i="3"/>
  <c r="I169" i="3"/>
  <c r="I168" i="3"/>
  <c r="I156" i="3"/>
  <c r="I155" i="3"/>
  <c r="I144" i="3"/>
  <c r="I143" i="3"/>
  <c r="I132" i="3"/>
  <c r="I131" i="3"/>
  <c r="I119" i="3"/>
  <c r="H119" i="3"/>
  <c r="I118" i="3"/>
  <c r="H118" i="3"/>
  <c r="I106" i="3"/>
  <c r="H106" i="3"/>
  <c r="I105" i="3"/>
  <c r="H105" i="3"/>
  <c r="I93" i="3"/>
  <c r="H93" i="3"/>
  <c r="I92" i="3"/>
  <c r="H92" i="3"/>
  <c r="I79" i="3"/>
  <c r="H79" i="3"/>
  <c r="I78" i="3"/>
  <c r="H78" i="3"/>
  <c r="X281" i="1"/>
  <c r="X280" i="1"/>
  <c r="X279" i="1"/>
  <c r="X278" i="1"/>
  <c r="X277" i="1"/>
  <c r="X276" i="1"/>
  <c r="X275" i="1"/>
  <c r="X274" i="1"/>
  <c r="X273" i="1"/>
  <c r="X272" i="1"/>
  <c r="X271" i="1"/>
  <c r="X270" i="1"/>
  <c r="X269" i="1"/>
  <c r="X268" i="1"/>
  <c r="X267" i="1"/>
  <c r="X266" i="1"/>
  <c r="X265" i="1"/>
  <c r="X264" i="1"/>
  <c r="X263" i="1"/>
  <c r="X262" i="1"/>
  <c r="F34" i="4" l="1"/>
  <c r="F35" i="4"/>
  <c r="F36" i="4"/>
  <c r="F37" i="4"/>
  <c r="F38" i="4"/>
  <c r="F33" i="4"/>
  <c r="E34" i="4"/>
  <c r="E35" i="4"/>
  <c r="E36" i="4"/>
  <c r="E37" i="4"/>
  <c r="E38" i="4"/>
  <c r="E33" i="4"/>
  <c r="U132" i="3" l="1"/>
  <c r="T132" i="3"/>
  <c r="S132" i="3"/>
  <c r="R132" i="3"/>
  <c r="U131" i="3"/>
  <c r="G195" i="3"/>
  <c r="G182" i="3"/>
  <c r="G169" i="3"/>
  <c r="G156" i="3"/>
  <c r="G144" i="3"/>
  <c r="G132" i="3"/>
  <c r="M13" i="1" l="1"/>
  <c r="A148" i="3"/>
  <c r="A136" i="3"/>
  <c r="A124" i="3"/>
  <c r="C126" i="3"/>
  <c r="P126" i="3"/>
  <c r="C127" i="3"/>
  <c r="P127" i="3"/>
  <c r="C138" i="3"/>
  <c r="C139" i="3"/>
  <c r="C150" i="3"/>
  <c r="C151" i="3"/>
  <c r="C163" i="3"/>
  <c r="C164" i="3"/>
  <c r="C176" i="3"/>
  <c r="C177" i="3"/>
  <c r="C189" i="3"/>
  <c r="C190" i="3"/>
  <c r="A2" i="3"/>
  <c r="W341" i="1"/>
  <c r="Y341" i="1" s="1"/>
  <c r="W340" i="1"/>
  <c r="X340" i="1" s="1"/>
  <c r="W339" i="1"/>
  <c r="Y339" i="1" s="1"/>
  <c r="W338" i="1"/>
  <c r="X338" i="1" s="1"/>
  <c r="W337" i="1"/>
  <c r="Y337" i="1" s="1"/>
  <c r="Y336" i="1"/>
  <c r="X336" i="1"/>
  <c r="W335" i="1"/>
  <c r="X335" i="1" s="1"/>
  <c r="W334" i="1"/>
  <c r="Y334" i="1" s="1"/>
  <c r="W333" i="1"/>
  <c r="Y333" i="1" s="1"/>
  <c r="W332" i="1"/>
  <c r="W331" i="1"/>
  <c r="Y331" i="1" s="1"/>
  <c r="W330" i="1"/>
  <c r="X330" i="1" s="1"/>
  <c r="W329" i="1"/>
  <c r="W328" i="1"/>
  <c r="W327" i="1"/>
  <c r="W326" i="1"/>
  <c r="W325" i="1"/>
  <c r="W324" i="1"/>
  <c r="W323" i="1"/>
  <c r="Y323" i="1" s="1"/>
  <c r="W322" i="1"/>
  <c r="Y322" i="1" s="1"/>
  <c r="W321" i="1"/>
  <c r="Y321" i="1" s="1"/>
  <c r="W320" i="1"/>
  <c r="Y320" i="1" s="1"/>
  <c r="W319" i="1"/>
  <c r="Y319" i="1" s="1"/>
  <c r="W318" i="1"/>
  <c r="W317" i="1"/>
  <c r="W316" i="1"/>
  <c r="W315" i="1"/>
  <c r="W314" i="1"/>
  <c r="W313" i="1"/>
  <c r="W312" i="1"/>
  <c r="Y312" i="1" s="1"/>
  <c r="W311" i="1"/>
  <c r="Y311" i="1" s="1"/>
  <c r="W310" i="1"/>
  <c r="W309" i="1"/>
  <c r="X309" i="1" s="1"/>
  <c r="W308" i="1"/>
  <c r="Y308" i="1" s="1"/>
  <c r="W307" i="1"/>
  <c r="Y307" i="1" s="1"/>
  <c r="W306" i="1"/>
  <c r="W305" i="1"/>
  <c r="Y305" i="1" s="1"/>
  <c r="W304" i="1"/>
  <c r="X304" i="1" s="1"/>
  <c r="W303" i="1"/>
  <c r="Y303" i="1" s="1"/>
  <c r="W302" i="1"/>
  <c r="W301" i="1"/>
  <c r="X301" i="1" s="1"/>
  <c r="W300" i="1"/>
  <c r="W299" i="1"/>
  <c r="Y299" i="1" s="1"/>
  <c r="W298" i="1"/>
  <c r="Y298" i="1" s="1"/>
  <c r="W297" i="1"/>
  <c r="Y297" i="1" s="1"/>
  <c r="W296" i="1"/>
  <c r="Y296" i="1" s="1"/>
  <c r="W295" i="1"/>
  <c r="Y295" i="1" s="1"/>
  <c r="W294" i="1"/>
  <c r="Y294" i="1" s="1"/>
  <c r="W293" i="1"/>
  <c r="Y293" i="1" s="1"/>
  <c r="W292" i="1"/>
  <c r="Y292" i="1" s="1"/>
  <c r="W291" i="1"/>
  <c r="Y291" i="1" s="1"/>
  <c r="W290" i="1"/>
  <c r="Y290" i="1" s="1"/>
  <c r="W289" i="1"/>
  <c r="Y289" i="1" s="1"/>
  <c r="W288" i="1"/>
  <c r="Y288" i="1" s="1"/>
  <c r="W287" i="1"/>
  <c r="Y287" i="1" s="1"/>
  <c r="W286" i="1"/>
  <c r="Y286" i="1" s="1"/>
  <c r="W285" i="1"/>
  <c r="Y285" i="1" s="1"/>
  <c r="W284" i="1"/>
  <c r="Y284" i="1" s="1"/>
  <c r="W283" i="1"/>
  <c r="Y283" i="1" s="1"/>
  <c r="W281" i="1"/>
  <c r="Y281" i="1" s="1"/>
  <c r="W280" i="1"/>
  <c r="Y280" i="1" s="1"/>
  <c r="W279" i="1"/>
  <c r="Y279" i="1" s="1"/>
  <c r="W278" i="1"/>
  <c r="W277" i="1"/>
  <c r="W276" i="1"/>
  <c r="Y276" i="1" s="1"/>
  <c r="Y275" i="1"/>
  <c r="W274" i="1"/>
  <c r="Y274" i="1" s="1"/>
  <c r="Y273" i="1"/>
  <c r="W272" i="1"/>
  <c r="Y272" i="1" s="1"/>
  <c r="Y271" i="1"/>
  <c r="Y270" i="1"/>
  <c r="W269" i="1"/>
  <c r="Y269" i="1" s="1"/>
  <c r="W268" i="1"/>
  <c r="Y268" i="1" s="1"/>
  <c r="Y267" i="1"/>
  <c r="W266" i="1"/>
  <c r="Y266" i="1" s="1"/>
  <c r="W265" i="1"/>
  <c r="Y265" i="1" s="1"/>
  <c r="W264" i="1"/>
  <c r="Y264" i="1" s="1"/>
  <c r="W263" i="1"/>
  <c r="Y263" i="1" s="1"/>
  <c r="W262" i="1"/>
  <c r="Y262" i="1" s="1"/>
  <c r="W261" i="1"/>
  <c r="W260" i="1"/>
  <c r="W259" i="1"/>
  <c r="W258" i="1"/>
  <c r="W257" i="1"/>
  <c r="W256" i="1"/>
  <c r="W255" i="1"/>
  <c r="Y255" i="1" s="1"/>
  <c r="W254" i="1"/>
  <c r="Y254" i="1" s="1"/>
  <c r="W253" i="1"/>
  <c r="W252" i="1"/>
  <c r="Y252" i="1" s="1"/>
  <c r="W251" i="1"/>
  <c r="X251" i="1" s="1"/>
  <c r="W250" i="1"/>
  <c r="Y250" i="1" s="1"/>
  <c r="Y249" i="1"/>
  <c r="X249" i="1"/>
  <c r="W248" i="1"/>
  <c r="Y248" i="1" s="1"/>
  <c r="W247" i="1"/>
  <c r="Y247" i="1" s="1"/>
  <c r="W246" i="1"/>
  <c r="W245" i="1"/>
  <c r="Y245" i="1" s="1"/>
  <c r="W244" i="1"/>
  <c r="X244" i="1" s="1"/>
  <c r="W243" i="1"/>
  <c r="Y243" i="1" s="1"/>
  <c r="W242" i="1"/>
  <c r="W241" i="1"/>
  <c r="Y241" i="1" s="1"/>
  <c r="W240" i="1"/>
  <c r="X240" i="1" s="1"/>
  <c r="W239" i="1"/>
  <c r="Y239" i="1" s="1"/>
  <c r="W238" i="1"/>
  <c r="Y237" i="1"/>
  <c r="X237" i="1"/>
  <c r="W236" i="1"/>
  <c r="Y236" i="1" s="1"/>
  <c r="W235" i="1"/>
  <c r="W234" i="1"/>
  <c r="X234" i="1" s="1"/>
  <c r="W233" i="1"/>
  <c r="X233" i="1" s="1"/>
  <c r="W232" i="1"/>
  <c r="Y232" i="1" s="1"/>
  <c r="Y231" i="1"/>
  <c r="W230" i="1"/>
  <c r="Y230" i="1" s="1"/>
  <c r="W229" i="1"/>
  <c r="W228" i="1"/>
  <c r="X228" i="1" s="1"/>
  <c r="W227" i="1"/>
  <c r="W226" i="1"/>
  <c r="Y226" i="1" s="1"/>
  <c r="W225" i="1"/>
  <c r="W224" i="1"/>
  <c r="X224" i="1" s="1"/>
  <c r="W223" i="1"/>
  <c r="Y223" i="1" s="1"/>
  <c r="Y222" i="1"/>
  <c r="X222" i="1"/>
  <c r="W221" i="1"/>
  <c r="X221" i="1" s="1"/>
  <c r="W220" i="1"/>
  <c r="Y220" i="1" s="1"/>
  <c r="W219" i="1"/>
  <c r="Y219" i="1" s="1"/>
  <c r="W218" i="1"/>
  <c r="W217" i="1"/>
  <c r="Y217" i="1" s="1"/>
  <c r="W216" i="1"/>
  <c r="Y216" i="1" s="1"/>
  <c r="W215" i="1"/>
  <c r="Y215" i="1" s="1"/>
  <c r="W214" i="1"/>
  <c r="W213" i="1"/>
  <c r="W212" i="1"/>
  <c r="Y212" i="1" s="1"/>
  <c r="W211" i="1"/>
  <c r="Y211" i="1" s="1"/>
  <c r="W210" i="1"/>
  <c r="W209" i="1"/>
  <c r="Y209" i="1" s="1"/>
  <c r="W208" i="1"/>
  <c r="Y208" i="1" s="1"/>
  <c r="W207" i="1"/>
  <c r="Y207" i="1" s="1"/>
  <c r="W206" i="1"/>
  <c r="W205" i="1"/>
  <c r="Y205" i="1" s="1"/>
  <c r="W204" i="1"/>
  <c r="Y204" i="1" s="1"/>
  <c r="W203" i="1"/>
  <c r="Y203" i="1" s="1"/>
  <c r="W202" i="1"/>
  <c r="W201" i="1"/>
  <c r="X201" i="1" s="1"/>
  <c r="W200" i="1"/>
  <c r="Y200" i="1" s="1"/>
  <c r="W199" i="1"/>
  <c r="Y199" i="1" s="1"/>
  <c r="W198" i="1"/>
  <c r="W197" i="1"/>
  <c r="Y197" i="1" s="1"/>
  <c r="W196" i="1"/>
  <c r="Y196" i="1" s="1"/>
  <c r="W195" i="1"/>
  <c r="Y195" i="1" s="1"/>
  <c r="W194" i="1"/>
  <c r="W193" i="1"/>
  <c r="Y193" i="1" s="1"/>
  <c r="W192" i="1"/>
  <c r="Y192" i="1" s="1"/>
  <c r="W191" i="1"/>
  <c r="W190" i="1"/>
  <c r="X190" i="1" s="1"/>
  <c r="W189" i="1"/>
  <c r="Y189" i="1" s="1"/>
  <c r="W188" i="1"/>
  <c r="Y188" i="1" s="1"/>
  <c r="W187" i="1"/>
  <c r="W186" i="1"/>
  <c r="X186" i="1" s="1"/>
  <c r="W185" i="1"/>
  <c r="X185" i="1" s="1"/>
  <c r="W184" i="1"/>
  <c r="Y184" i="1" s="1"/>
  <c r="W183" i="1"/>
  <c r="W182" i="1"/>
  <c r="Y182" i="1" s="1"/>
  <c r="W181" i="1"/>
  <c r="X181" i="1" s="1"/>
  <c r="W180" i="1"/>
  <c r="Y180" i="1" s="1"/>
  <c r="W179" i="1"/>
  <c r="W178" i="1"/>
  <c r="Y178" i="1" s="1"/>
  <c r="W177" i="1"/>
  <c r="Y177" i="1" s="1"/>
  <c r="W176" i="1"/>
  <c r="Y176" i="1" s="1"/>
  <c r="W175" i="1"/>
  <c r="W174" i="1"/>
  <c r="Y174" i="1" s="1"/>
  <c r="W173" i="1"/>
  <c r="Y173" i="1" s="1"/>
  <c r="W172" i="1"/>
  <c r="Y172" i="1" s="1"/>
  <c r="W171" i="1"/>
  <c r="W170" i="1"/>
  <c r="Y170" i="1" s="1"/>
  <c r="W169" i="1"/>
  <c r="X169" i="1" s="1"/>
  <c r="W168" i="1"/>
  <c r="Y168" i="1" s="1"/>
  <c r="W167" i="1"/>
  <c r="W166" i="1"/>
  <c r="X166" i="1" s="1"/>
  <c r="W165" i="1"/>
  <c r="Y165" i="1" s="1"/>
  <c r="W164" i="1"/>
  <c r="Y164" i="1" s="1"/>
  <c r="W163" i="1"/>
  <c r="W162" i="1"/>
  <c r="X162" i="1" s="1"/>
  <c r="W161" i="1"/>
  <c r="Y161" i="1" s="1"/>
  <c r="W160" i="1"/>
  <c r="Y160" i="1" s="1"/>
  <c r="W159" i="1"/>
  <c r="W158" i="1"/>
  <c r="Y158" i="1" s="1"/>
  <c r="W157" i="1"/>
  <c r="X157" i="1" s="1"/>
  <c r="W156" i="1"/>
  <c r="Y156" i="1" s="1"/>
  <c r="W155" i="1"/>
  <c r="W154" i="1"/>
  <c r="X154" i="1" s="1"/>
  <c r="W153" i="1"/>
  <c r="Y153" i="1" s="1"/>
  <c r="W152" i="1"/>
  <c r="Y152" i="1" s="1"/>
  <c r="W151" i="1"/>
  <c r="Y151" i="1" s="1"/>
  <c r="W150" i="1"/>
  <c r="Y150" i="1" s="1"/>
  <c r="W145" i="1"/>
  <c r="X145" i="1" s="1"/>
  <c r="W144" i="1"/>
  <c r="Y144" i="1" s="1"/>
  <c r="W143" i="1"/>
  <c r="Y143" i="1" s="1"/>
  <c r="W142" i="1"/>
  <c r="X142" i="1" s="1"/>
  <c r="W141" i="1"/>
  <c r="Y141" i="1" s="1"/>
  <c r="W140" i="1"/>
  <c r="Y140" i="1" s="1"/>
  <c r="W139" i="1"/>
  <c r="Y139" i="1" s="1"/>
  <c r="W138" i="1"/>
  <c r="W137" i="1"/>
  <c r="Y137" i="1" s="1"/>
  <c r="W136" i="1"/>
  <c r="X136" i="1" s="1"/>
  <c r="W135" i="1"/>
  <c r="Y135" i="1" s="1"/>
  <c r="W134" i="1"/>
  <c r="Y134" i="1" s="1"/>
  <c r="W133" i="1"/>
  <c r="X133" i="1" s="1"/>
  <c r="W132" i="1"/>
  <c r="Y132" i="1" s="1"/>
  <c r="W131" i="1"/>
  <c r="X131" i="1" s="1"/>
  <c r="W130" i="1"/>
  <c r="Y130" i="1" s="1"/>
  <c r="W129" i="1"/>
  <c r="Y129" i="1" s="1"/>
  <c r="W128" i="1"/>
  <c r="X128" i="1" s="1"/>
  <c r="W127" i="1"/>
  <c r="Y127" i="1" s="1"/>
  <c r="W126" i="1"/>
  <c r="Y126" i="1" s="1"/>
  <c r="W125" i="1"/>
  <c r="Y125" i="1" s="1"/>
  <c r="W124" i="1"/>
  <c r="Y124" i="1" s="1"/>
  <c r="W123" i="1"/>
  <c r="X123" i="1" s="1"/>
  <c r="W122" i="1"/>
  <c r="Y122" i="1" s="1"/>
  <c r="W121" i="1"/>
  <c r="Y121" i="1" s="1"/>
  <c r="W120" i="1"/>
  <c r="Y120" i="1" s="1"/>
  <c r="W119" i="1"/>
  <c r="Y119" i="1" s="1"/>
  <c r="W118" i="1"/>
  <c r="X118" i="1" s="1"/>
  <c r="W117"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Y258" i="1" l="1"/>
  <c r="X258" i="1"/>
  <c r="Y259" i="1"/>
  <c r="X259" i="1"/>
  <c r="Y256" i="1"/>
  <c r="X256" i="1"/>
  <c r="Y260" i="1"/>
  <c r="X260" i="1"/>
  <c r="Y257" i="1"/>
  <c r="X257" i="1"/>
  <c r="Y261" i="1"/>
  <c r="X261" i="1"/>
  <c r="Y314" i="1"/>
  <c r="X314" i="1"/>
  <c r="Y318" i="1"/>
  <c r="X318" i="1"/>
  <c r="Y315" i="1"/>
  <c r="X315" i="1"/>
  <c r="Y316" i="1"/>
  <c r="X316" i="1"/>
  <c r="Y313" i="1"/>
  <c r="X313" i="1"/>
  <c r="Y317" i="1"/>
  <c r="X317" i="1"/>
  <c r="X160" i="1"/>
  <c r="Y326" i="1"/>
  <c r="X326" i="1"/>
  <c r="Y327" i="1"/>
  <c r="X327" i="1"/>
  <c r="Y328" i="1"/>
  <c r="X328" i="1"/>
  <c r="Y325" i="1"/>
  <c r="X325" i="1"/>
  <c r="Y329" i="1"/>
  <c r="X329" i="1"/>
  <c r="X126" i="1"/>
  <c r="X138" i="1"/>
  <c r="S131" i="3" s="1"/>
  <c r="R131" i="3"/>
  <c r="X158" i="1"/>
  <c r="X213" i="1"/>
  <c r="F143" i="3" s="1"/>
  <c r="E143" i="3"/>
  <c r="E155" i="3"/>
  <c r="Y227" i="1"/>
  <c r="E168" i="3"/>
  <c r="Y300" i="1"/>
  <c r="E181" i="3"/>
  <c r="X324" i="1"/>
  <c r="E194" i="3"/>
  <c r="Y117" i="1"/>
  <c r="E131" i="3"/>
  <c r="Y136" i="1"/>
  <c r="X139" i="1"/>
  <c r="X178" i="1"/>
  <c r="X188" i="1"/>
  <c r="X217" i="1"/>
  <c r="X219" i="1"/>
  <c r="Y240" i="1"/>
  <c r="X208" i="1"/>
  <c r="Y251" i="1"/>
  <c r="X334" i="1"/>
  <c r="X124" i="1"/>
  <c r="X156" i="1"/>
  <c r="Y309" i="1"/>
  <c r="X173" i="1"/>
  <c r="Y186" i="1"/>
  <c r="X141" i="1"/>
  <c r="X143" i="1"/>
  <c r="X182" i="1"/>
  <c r="X184" i="1"/>
  <c r="X197" i="1"/>
  <c r="X199" i="1"/>
  <c r="X245" i="1"/>
  <c r="Y304" i="1"/>
  <c r="Y335" i="1"/>
  <c r="X337" i="1"/>
  <c r="X120" i="1"/>
  <c r="X122" i="1"/>
  <c r="Y154" i="1"/>
  <c r="X177" i="1"/>
  <c r="X193" i="1"/>
  <c r="X195" i="1"/>
  <c r="X248" i="1"/>
  <c r="X255" i="1"/>
  <c r="X308" i="1"/>
  <c r="X119" i="1"/>
  <c r="X153" i="1"/>
  <c r="Y169" i="1"/>
  <c r="Y181" i="1"/>
  <c r="X204" i="1"/>
  <c r="X212" i="1"/>
  <c r="Y213" i="1"/>
  <c r="G143" i="3" s="1"/>
  <c r="C137" i="3" s="1"/>
  <c r="F144" i="3" s="1"/>
  <c r="Y234" i="1"/>
  <c r="Y244" i="1"/>
  <c r="Y338" i="1"/>
  <c r="X341" i="1"/>
  <c r="X215" i="1"/>
  <c r="X236" i="1"/>
  <c r="Y330" i="1"/>
  <c r="X196" i="1"/>
  <c r="X216" i="1"/>
  <c r="X250" i="1"/>
  <c r="X303" i="1"/>
  <c r="Y123" i="1"/>
  <c r="X127" i="1"/>
  <c r="Y128" i="1"/>
  <c r="X137" i="1"/>
  <c r="Y142" i="1"/>
  <c r="X144" i="1"/>
  <c r="Y145" i="1"/>
  <c r="Y157" i="1"/>
  <c r="X161" i="1"/>
  <c r="Y162" i="1"/>
  <c r="X165" i="1"/>
  <c r="Y166" i="1"/>
  <c r="X170" i="1"/>
  <c r="X174" i="1"/>
  <c r="X176" i="1"/>
  <c r="Y185" i="1"/>
  <c r="X189" i="1"/>
  <c r="Y190" i="1"/>
  <c r="X200" i="1"/>
  <c r="Y201" i="1"/>
  <c r="X205" i="1"/>
  <c r="X209" i="1"/>
  <c r="X211" i="1"/>
  <c r="X220" i="1"/>
  <c r="Y221" i="1"/>
  <c r="X223" i="1"/>
  <c r="Y224" i="1"/>
  <c r="X227" i="1"/>
  <c r="Y228" i="1"/>
  <c r="Y233" i="1"/>
  <c r="X241" i="1"/>
  <c r="X243" i="1"/>
  <c r="X252" i="1"/>
  <c r="Y277" i="1"/>
  <c r="X300" i="1"/>
  <c r="Y301" i="1"/>
  <c r="X305" i="1"/>
  <c r="X307" i="1"/>
  <c r="Y324" i="1"/>
  <c r="X331" i="1"/>
  <c r="X333" i="1"/>
  <c r="X339" i="1"/>
  <c r="Y340" i="1"/>
  <c r="X130" i="1"/>
  <c r="Y133" i="1"/>
  <c r="X135" i="1"/>
  <c r="Y138" i="1"/>
  <c r="T131" i="3" s="1"/>
  <c r="P125" i="3" s="1"/>
  <c r="X140" i="1"/>
  <c r="X168" i="1"/>
  <c r="X203" i="1"/>
  <c r="X230" i="1"/>
  <c r="X239" i="1"/>
  <c r="V132" i="3"/>
  <c r="Y167" i="1"/>
  <c r="X167" i="1"/>
  <c r="Y183" i="1"/>
  <c r="X183" i="1"/>
  <c r="Y194" i="1"/>
  <c r="X194" i="1"/>
  <c r="Y210" i="1"/>
  <c r="X210" i="1"/>
  <c r="Y229" i="1"/>
  <c r="X229" i="1"/>
  <c r="Y235" i="1"/>
  <c r="X235" i="1"/>
  <c r="Y306" i="1"/>
  <c r="X306" i="1"/>
  <c r="Y332" i="1"/>
  <c r="X332" i="1"/>
  <c r="X117" i="1"/>
  <c r="Y118" i="1"/>
  <c r="X121" i="1"/>
  <c r="X125" i="1"/>
  <c r="X129" i="1"/>
  <c r="X132" i="1"/>
  <c r="Y155" i="1"/>
  <c r="X155" i="1"/>
  <c r="X164" i="1"/>
  <c r="Y171" i="1"/>
  <c r="X171" i="1"/>
  <c r="X180" i="1"/>
  <c r="Y187" i="1"/>
  <c r="X187" i="1"/>
  <c r="Y198" i="1"/>
  <c r="X198" i="1"/>
  <c r="X207" i="1"/>
  <c r="Y214" i="1"/>
  <c r="X214" i="1"/>
  <c r="X226" i="1"/>
  <c r="X232" i="1"/>
  <c r="Y238" i="1"/>
  <c r="X238" i="1"/>
  <c r="X247" i="1"/>
  <c r="X254" i="1"/>
  <c r="Y310" i="1"/>
  <c r="X310" i="1"/>
  <c r="Y159" i="1"/>
  <c r="X159" i="1"/>
  <c r="Y175" i="1"/>
  <c r="X175" i="1"/>
  <c r="Y191" i="1"/>
  <c r="X191" i="1"/>
  <c r="Y202" i="1"/>
  <c r="X202" i="1"/>
  <c r="Y218" i="1"/>
  <c r="X218" i="1"/>
  <c r="Y242" i="1"/>
  <c r="X242" i="1"/>
  <c r="Y131" i="1"/>
  <c r="Y163" i="1"/>
  <c r="X163" i="1"/>
  <c r="X172" i="1"/>
  <c r="Y179" i="1"/>
  <c r="X179" i="1"/>
  <c r="Y206" i="1"/>
  <c r="X206" i="1"/>
  <c r="Y225" i="1"/>
  <c r="X225" i="1"/>
  <c r="Y246" i="1"/>
  <c r="X246" i="1"/>
  <c r="Y253" i="1"/>
  <c r="X253" i="1"/>
  <c r="Y278" i="1"/>
  <c r="Y302" i="1"/>
  <c r="X302" i="1"/>
  <c r="W48" i="1"/>
  <c r="X48" i="1" s="1"/>
  <c r="W49" i="1"/>
  <c r="X49" i="1" s="1"/>
  <c r="W50" i="1"/>
  <c r="X50" i="1" s="1"/>
  <c r="W51" i="1"/>
  <c r="X51" i="1" s="1"/>
  <c r="W52" i="1"/>
  <c r="X52" i="1" s="1"/>
  <c r="W53" i="1"/>
  <c r="X53" i="1" s="1"/>
  <c r="W54" i="1"/>
  <c r="X54" i="1" s="1"/>
  <c r="W55" i="1"/>
  <c r="X55" i="1" s="1"/>
  <c r="W56" i="1"/>
  <c r="X56" i="1" s="1"/>
  <c r="W57" i="1"/>
  <c r="X57" i="1" s="1"/>
  <c r="W58" i="1"/>
  <c r="X58" i="1" s="1"/>
  <c r="W59" i="1"/>
  <c r="X59" i="1" s="1"/>
  <c r="W60" i="1"/>
  <c r="X60" i="1" s="1"/>
  <c r="W61" i="1"/>
  <c r="X61" i="1" s="1"/>
  <c r="W62" i="1"/>
  <c r="X62" i="1" s="1"/>
  <c r="W63" i="1"/>
  <c r="X63" i="1" s="1"/>
  <c r="Z63" i="1"/>
  <c r="W64" i="1"/>
  <c r="X64" i="1" s="1"/>
  <c r="W65" i="1"/>
  <c r="X65" i="1" s="1"/>
  <c r="W66" i="1"/>
  <c r="X66" i="1" s="1"/>
  <c r="W67" i="1"/>
  <c r="X67" i="1" s="1"/>
  <c r="W68" i="1"/>
  <c r="X68" i="1" s="1"/>
  <c r="W69" i="1"/>
  <c r="X69" i="1" s="1"/>
  <c r="W70" i="1"/>
  <c r="X70" i="1" s="1"/>
  <c r="W71" i="1"/>
  <c r="X71" i="1" s="1"/>
  <c r="W72" i="1"/>
  <c r="X72" i="1" s="1"/>
  <c r="W73" i="1"/>
  <c r="X73" i="1" s="1"/>
  <c r="W74" i="1"/>
  <c r="X74" i="1" s="1"/>
  <c r="Z74" i="1"/>
  <c r="W75" i="1"/>
  <c r="X75" i="1" s="1"/>
  <c r="Z75" i="1"/>
  <c r="W76" i="1"/>
  <c r="X76" i="1" s="1"/>
  <c r="W77" i="1"/>
  <c r="X77" i="1" s="1"/>
  <c r="W78" i="1"/>
  <c r="X78" i="1" s="1"/>
  <c r="W79" i="1"/>
  <c r="X79" i="1" s="1"/>
  <c r="W80" i="1"/>
  <c r="X80" i="1" s="1"/>
  <c r="W81" i="1"/>
  <c r="X81" i="1" s="1"/>
  <c r="W82" i="1"/>
  <c r="X82" i="1" s="1"/>
  <c r="W83" i="1"/>
  <c r="X83" i="1" s="1"/>
  <c r="W84" i="1"/>
  <c r="X84" i="1" s="1"/>
  <c r="W85" i="1"/>
  <c r="X85" i="1" s="1"/>
  <c r="W86" i="1"/>
  <c r="X86" i="1" s="1"/>
  <c r="W87" i="1"/>
  <c r="X87" i="1" s="1"/>
  <c r="W88" i="1"/>
  <c r="X88" i="1" s="1"/>
  <c r="W89" i="1"/>
  <c r="X89" i="1" s="1"/>
  <c r="W90" i="1"/>
  <c r="X90" i="1" s="1"/>
  <c r="W91" i="1"/>
  <c r="X91" i="1" s="1"/>
  <c r="W92" i="1"/>
  <c r="X92" i="1" s="1"/>
  <c r="W93" i="1"/>
  <c r="X93" i="1" s="1"/>
  <c r="W94" i="1"/>
  <c r="X94" i="1" s="1"/>
  <c r="W95" i="1"/>
  <c r="X95" i="1" s="1"/>
  <c r="W96" i="1"/>
  <c r="X96" i="1" s="1"/>
  <c r="Z96" i="1"/>
  <c r="W97" i="1"/>
  <c r="X97" i="1" s="1"/>
  <c r="W98" i="1"/>
  <c r="X98" i="1" s="1"/>
  <c r="W99" i="1"/>
  <c r="X99" i="1" s="1"/>
  <c r="W100" i="1"/>
  <c r="X100" i="1" s="1"/>
  <c r="W101" i="1"/>
  <c r="X101" i="1" s="1"/>
  <c r="W102" i="1"/>
  <c r="X102" i="1" s="1"/>
  <c r="Z102" i="1"/>
  <c r="W103" i="1"/>
  <c r="X103" i="1" s="1"/>
  <c r="Z103" i="1"/>
  <c r="W104" i="1"/>
  <c r="X104" i="1" s="1"/>
  <c r="W105" i="1"/>
  <c r="X105" i="1" s="1"/>
  <c r="W106" i="1"/>
  <c r="X106" i="1" s="1"/>
  <c r="W107" i="1"/>
  <c r="X107" i="1" s="1"/>
  <c r="W108" i="1"/>
  <c r="X108" i="1" s="1"/>
  <c r="W109" i="1"/>
  <c r="X109" i="1" s="1"/>
  <c r="W110" i="1"/>
  <c r="X110" i="1" s="1"/>
  <c r="W111" i="1"/>
  <c r="X111" i="1" s="1"/>
  <c r="W112" i="1"/>
  <c r="X112" i="1" s="1"/>
  <c r="W113" i="1"/>
  <c r="X113" i="1" s="1"/>
  <c r="W114" i="1"/>
  <c r="X114" i="1" s="1"/>
  <c r="W115" i="1"/>
  <c r="X115" i="1" s="1"/>
  <c r="W116" i="1"/>
  <c r="X116" i="1" s="1"/>
  <c r="F155" i="3" l="1"/>
  <c r="V131" i="3"/>
  <c r="G168" i="3"/>
  <c r="C162" i="3" s="1"/>
  <c r="F169" i="3" s="1"/>
  <c r="G155" i="3"/>
  <c r="C149" i="3" s="1"/>
  <c r="F156" i="3" s="1"/>
  <c r="G181" i="3"/>
  <c r="C175" i="3" s="1"/>
  <c r="F182" i="3" s="1"/>
  <c r="F168" i="3"/>
  <c r="F194" i="3"/>
  <c r="F181" i="3"/>
  <c r="G194" i="3"/>
  <c r="C188" i="3" s="1"/>
  <c r="F195" i="3" s="1"/>
  <c r="G131" i="3"/>
  <c r="C125" i="3" s="1"/>
  <c r="E144" i="3"/>
  <c r="F131" i="3"/>
  <c r="G105" i="3"/>
  <c r="G106" i="3"/>
  <c r="E169" i="3" l="1"/>
  <c r="E195" i="3"/>
  <c r="E182" i="3"/>
  <c r="E156" i="3"/>
  <c r="F132" i="3"/>
  <c r="E132" i="3"/>
  <c r="C114" i="3"/>
  <c r="C113" i="3"/>
  <c r="C88" i="3"/>
  <c r="C87" i="3"/>
  <c r="C101" i="3"/>
  <c r="C100" i="3"/>
  <c r="C74" i="3"/>
  <c r="C73" i="3"/>
  <c r="G119" i="3"/>
  <c r="F119" i="3"/>
  <c r="E119" i="3"/>
  <c r="G118" i="3"/>
  <c r="C112" i="3" s="1"/>
  <c r="F28" i="1" l="1"/>
  <c r="E28" i="1"/>
  <c r="F22" i="4" s="1"/>
  <c r="H22" i="4" s="1"/>
  <c r="D28" i="1"/>
  <c r="F27" i="1"/>
  <c r="E27" i="1"/>
  <c r="F21" i="4" s="1"/>
  <c r="H21" i="4" s="1"/>
  <c r="D27" i="1"/>
  <c r="F26" i="1"/>
  <c r="E26" i="1"/>
  <c r="F20" i="4" s="1"/>
  <c r="H20" i="4" s="1"/>
  <c r="D26" i="1"/>
  <c r="F25" i="1"/>
  <c r="E25" i="1"/>
  <c r="F19" i="4" s="1"/>
  <c r="H19" i="4" s="1"/>
  <c r="D25" i="1"/>
  <c r="F24" i="1"/>
  <c r="E24" i="1"/>
  <c r="F18" i="4" s="1"/>
  <c r="H18" i="4" s="1"/>
  <c r="D24" i="1"/>
  <c r="F23" i="1"/>
  <c r="E23" i="1"/>
  <c r="F17" i="4" s="1"/>
  <c r="H17" i="4" s="1"/>
  <c r="D23" i="1"/>
  <c r="F22" i="1"/>
  <c r="F21" i="1"/>
  <c r="F13" i="1"/>
  <c r="F12" i="1"/>
  <c r="F11" i="1"/>
  <c r="E11" i="1"/>
  <c r="E20" i="4" s="1"/>
  <c r="G20" i="4" s="1"/>
  <c r="D11" i="1"/>
  <c r="F10" i="1"/>
  <c r="E10" i="1"/>
  <c r="E19" i="4" s="1"/>
  <c r="G19" i="4" s="1"/>
  <c r="D10" i="1"/>
  <c r="F9" i="1"/>
  <c r="E9" i="1"/>
  <c r="E18" i="4" s="1"/>
  <c r="G18" i="4" s="1"/>
  <c r="D9" i="1"/>
  <c r="F8" i="1"/>
  <c r="E8" i="1"/>
  <c r="E17" i="4" s="1"/>
  <c r="G17" i="4" s="1"/>
  <c r="D8" i="1"/>
  <c r="F7" i="1"/>
  <c r="H8" i="1" l="1"/>
  <c r="G10" i="1"/>
  <c r="G25" i="1"/>
  <c r="D39" i="1"/>
  <c r="D38" i="1"/>
  <c r="H28" i="1"/>
  <c r="E38" i="1"/>
  <c r="D41" i="1"/>
  <c r="H27" i="1"/>
  <c r="H10" i="1"/>
  <c r="G11" i="1"/>
  <c r="H26" i="1"/>
  <c r="H25" i="1"/>
  <c r="D40" i="1"/>
  <c r="E40" i="1"/>
  <c r="H11" i="1"/>
  <c r="H24" i="1"/>
  <c r="H9" i="1"/>
  <c r="H23" i="1"/>
  <c r="G26" i="1"/>
  <c r="E39" i="1"/>
  <c r="E41" i="1"/>
  <c r="G23" i="1"/>
  <c r="G27" i="1"/>
  <c r="G24" i="1"/>
  <c r="G28" i="1"/>
  <c r="G8" i="1"/>
  <c r="G9" i="1"/>
  <c r="H38" i="1" l="1"/>
  <c r="H41" i="1"/>
  <c r="H39" i="1"/>
  <c r="H40" i="1"/>
  <c r="F118" i="3" l="1"/>
  <c r="E118" i="3"/>
  <c r="E13" i="1"/>
  <c r="E22" i="4" s="1"/>
  <c r="G22" i="4" s="1"/>
  <c r="D13" i="1"/>
  <c r="D43" i="1" s="1"/>
  <c r="E12" i="1"/>
  <c r="E21" i="4" s="1"/>
  <c r="G21" i="4" s="1"/>
  <c r="D12" i="1"/>
  <c r="D42" i="1" s="1"/>
  <c r="F106" i="3"/>
  <c r="F105" i="3"/>
  <c r="E105" i="3"/>
  <c r="C102" i="3" l="1"/>
  <c r="H12" i="1"/>
  <c r="G12" i="1"/>
  <c r="E42" i="1"/>
  <c r="H42" i="1" s="1"/>
  <c r="H13" i="1"/>
  <c r="E43" i="1"/>
  <c r="H43" i="1" s="1"/>
  <c r="G13" i="1"/>
  <c r="E106" i="3"/>
  <c r="C99" i="3"/>
  <c r="H65" i="3"/>
  <c r="H64" i="3"/>
  <c r="H48" i="3"/>
  <c r="H36" i="3"/>
  <c r="H35" i="3"/>
  <c r="D1" i="4"/>
  <c r="B4" i="4" s="1"/>
  <c r="E92" i="3"/>
  <c r="F92" i="3"/>
  <c r="G92" i="3"/>
  <c r="G93" i="3"/>
  <c r="G79" i="3"/>
  <c r="G78" i="3"/>
  <c r="F78" i="3"/>
  <c r="E78" i="3"/>
  <c r="C72" i="3" l="1"/>
  <c r="B2" i="4"/>
  <c r="C86" i="3"/>
  <c r="C89" i="3" l="1"/>
  <c r="C75" i="3" l="1"/>
  <c r="F79" i="3" l="1"/>
  <c r="E79" i="3"/>
  <c r="F93" i="3"/>
  <c r="E93" i="3"/>
  <c r="C44" i="3" l="1"/>
  <c r="C43" i="3"/>
  <c r="C31" i="3"/>
  <c r="C30" i="3"/>
  <c r="C59" i="3"/>
  <c r="C60" i="3"/>
  <c r="F48" i="3" l="1"/>
  <c r="F35" i="3"/>
  <c r="F10" i="3"/>
  <c r="G65" i="3"/>
  <c r="G64" i="3"/>
  <c r="G49" i="3"/>
  <c r="G48" i="3"/>
  <c r="E48" i="3"/>
  <c r="G36" i="3"/>
  <c r="G35" i="3"/>
  <c r="E35" i="3"/>
  <c r="I35" i="3" l="1"/>
  <c r="I48" i="3"/>
  <c r="C32" i="3"/>
  <c r="C58" i="3"/>
  <c r="C42" i="3"/>
  <c r="C29" i="3"/>
  <c r="E65" i="3" l="1"/>
  <c r="F65" i="3"/>
  <c r="F64" i="3"/>
  <c r="E64" i="3"/>
  <c r="I65" i="3" l="1"/>
  <c r="I64" i="3"/>
  <c r="H49" i="3"/>
  <c r="F36" i="3" l="1"/>
  <c r="E36" i="3"/>
  <c r="F49" i="3"/>
  <c r="E49" i="3"/>
  <c r="K14" i="1"/>
  <c r="B4" i="8"/>
  <c r="B2" i="8"/>
  <c r="C18" i="3"/>
  <c r="G23" i="3"/>
  <c r="H22" i="3"/>
  <c r="G22" i="3"/>
  <c r="H10" i="3"/>
  <c r="G10" i="3"/>
  <c r="E10" i="3"/>
  <c r="I10" i="3" s="1"/>
  <c r="H9" i="3"/>
  <c r="G9" i="3"/>
  <c r="I36" i="3" l="1"/>
  <c r="I49" i="3"/>
  <c r="C6" i="3"/>
  <c r="K16" i="1"/>
  <c r="F43" i="1" l="1"/>
  <c r="G43" i="1" s="1"/>
  <c r="F42" i="1"/>
  <c r="G42" i="1" s="1"/>
  <c r="F38" i="1"/>
  <c r="G38" i="1" s="1"/>
  <c r="F41" i="1"/>
  <c r="G41" i="1" s="1"/>
  <c r="F37" i="1"/>
  <c r="F44" i="1"/>
  <c r="F40" i="1"/>
  <c r="G40" i="1" s="1"/>
  <c r="F39" i="1"/>
  <c r="G39" i="1" s="1"/>
  <c r="F36" i="1"/>
  <c r="F34" i="1"/>
  <c r="F35" i="1"/>
  <c r="F14" i="1" l="1"/>
  <c r="F6" i="1"/>
  <c r="F5" i="1"/>
  <c r="F4" i="1"/>
  <c r="F19" i="1"/>
  <c r="C17" i="3"/>
  <c r="C5" i="3"/>
  <c r="D7" i="1" l="1"/>
  <c r="E7" i="1"/>
  <c r="E16" i="4" s="1"/>
  <c r="G16" i="4" s="1"/>
  <c r="E21" i="1"/>
  <c r="F15" i="4" s="1"/>
  <c r="H15" i="4" s="1"/>
  <c r="D21" i="1"/>
  <c r="D22" i="1"/>
  <c r="D5" i="1"/>
  <c r="D6" i="1"/>
  <c r="D4" i="1"/>
  <c r="D14" i="1"/>
  <c r="E8" i="4" s="1"/>
  <c r="E5" i="1"/>
  <c r="E14" i="4" s="1"/>
  <c r="G14" i="4" s="1"/>
  <c r="E23" i="3"/>
  <c r="E22" i="3"/>
  <c r="E29" i="1"/>
  <c r="F9" i="4" s="1"/>
  <c r="E9" i="3"/>
  <c r="H23" i="3"/>
  <c r="C16" i="3"/>
  <c r="D20" i="1"/>
  <c r="F20" i="1"/>
  <c r="F29" i="1"/>
  <c r="E4" i="1"/>
  <c r="E6" i="1"/>
  <c r="E15" i="4" s="1"/>
  <c r="G15" i="4" s="1"/>
  <c r="E14" i="1"/>
  <c r="F8" i="4" s="1"/>
  <c r="D19" i="1"/>
  <c r="D29" i="1"/>
  <c r="E9" i="4" s="1"/>
  <c r="E13" i="4" l="1"/>
  <c r="G13" i="4" s="1"/>
  <c r="G9" i="4"/>
  <c r="G8" i="4"/>
  <c r="D37" i="1"/>
  <c r="E36" i="1"/>
  <c r="G36" i="1" s="1"/>
  <c r="G21" i="1"/>
  <c r="E22" i="1"/>
  <c r="F16" i="4" s="1"/>
  <c r="H16" i="4" s="1"/>
  <c r="H7" i="1"/>
  <c r="G7" i="1"/>
  <c r="H21" i="1"/>
  <c r="D36" i="1"/>
  <c r="F22" i="3"/>
  <c r="I22" i="3" s="1"/>
  <c r="F9" i="3"/>
  <c r="I9" i="3" s="1"/>
  <c r="F23" i="3"/>
  <c r="I23" i="3" s="1"/>
  <c r="G5" i="1"/>
  <c r="E19" i="1"/>
  <c r="D35" i="1"/>
  <c r="D34" i="1"/>
  <c r="H29" i="1"/>
  <c r="G29" i="1"/>
  <c r="E20" i="1"/>
  <c r="F14" i="4" s="1"/>
  <c r="H14" i="4" s="1"/>
  <c r="G4" i="1"/>
  <c r="H4" i="1"/>
  <c r="H5" i="1"/>
  <c r="G14" i="1"/>
  <c r="H14" i="1"/>
  <c r="G6" i="1"/>
  <c r="H6" i="1"/>
  <c r="C4" i="3"/>
  <c r="F13" i="4" l="1"/>
  <c r="H13" i="4" s="1"/>
  <c r="H8" i="4"/>
  <c r="H9" i="4"/>
  <c r="H36" i="1"/>
  <c r="H22" i="1"/>
  <c r="E37" i="1"/>
  <c r="G22" i="1"/>
  <c r="E34" i="1"/>
  <c r="H34" i="1" s="1"/>
  <c r="H19" i="1"/>
  <c r="G19" i="1"/>
  <c r="D44" i="1"/>
  <c r="H20" i="1"/>
  <c r="E35" i="1"/>
  <c r="H35" i="1" s="1"/>
  <c r="G20" i="1"/>
  <c r="H37" i="1" l="1"/>
  <c r="G37" i="1"/>
  <c r="E44" i="1"/>
  <c r="H44" i="1" s="1"/>
  <c r="C3" i="3" l="1"/>
  <c r="G35" i="1" l="1"/>
  <c r="G44" i="1"/>
  <c r="G34" i="1"/>
  <c r="A15" i="3" l="1"/>
  <c r="A28" i="3" s="1"/>
  <c r="A41" i="3" s="1"/>
  <c r="A57" i="3" s="1"/>
  <c r="A71" i="3" s="1"/>
  <c r="A85" i="3" s="1"/>
  <c r="A98" i="3" s="1"/>
  <c r="A111" i="3" s="1"/>
</calcChain>
</file>

<file path=xl/comments1.xml><?xml version="1.0" encoding="utf-8"?>
<comments xmlns="http://schemas.openxmlformats.org/spreadsheetml/2006/main">
  <authors>
    <author>EXTERNAL Nguyen Trung Hieu (Ban Vien, RBVH/EPS45)</author>
    <author>EXTERNAL Do Anh Huy (Ban Vien Company, RBVH/EPS45)</author>
  </authors>
  <commentList>
    <comment ref="Y95" authorId="0" shapeId="0">
      <text>
        <r>
          <rPr>
            <b/>
            <sz val="9"/>
            <color indexed="81"/>
            <rFont val="Tahoma"/>
            <family val="2"/>
          </rPr>
          <t>EXTERNAL Nguyen Trung Hieu (Ban Vien, RBVH/EPS45):</t>
        </r>
        <r>
          <rPr>
            <sz val="9"/>
            <color indexed="81"/>
            <rFont val="Tahoma"/>
            <family val="2"/>
          </rPr>
          <t xml:space="preserve">
Adjust this time as the request from Mr Cuong with delta time for this package platform is </t>
        </r>
        <r>
          <rPr>
            <b/>
            <sz val="9"/>
            <color indexed="81"/>
            <rFont val="Tahoma"/>
            <family val="2"/>
          </rPr>
          <t xml:space="preserve">2 days.
</t>
        </r>
      </text>
    </comment>
    <comment ref="G213" authorId="0" shapeId="0">
      <text>
        <r>
          <rPr>
            <b/>
            <sz val="9"/>
            <color indexed="81"/>
            <rFont val="Tahoma"/>
            <family val="2"/>
          </rPr>
          <t>EXTERNAL Nguyen Trung Hieu (Ban Vien, RBVH/EPS45):</t>
        </r>
        <r>
          <rPr>
            <sz val="9"/>
            <color indexed="81"/>
            <rFont val="Tahoma"/>
            <family val="2"/>
          </rPr>
          <t xml:space="preserve">
//10.184.143.103/d/vivi/BV/DB/urgent/SGMW_ESP93_Carbon_Int.zip</t>
        </r>
        <r>
          <rPr>
            <sz val="9"/>
            <color indexed="81"/>
            <rFont val="Tahoma"/>
            <family val="2"/>
          </rPr>
          <t xml:space="preserve">
</t>
        </r>
      </text>
    </comment>
    <comment ref="G214" authorId="0" shapeId="0">
      <text>
        <r>
          <rPr>
            <b/>
            <sz val="9"/>
            <color indexed="81"/>
            <rFont val="Tahoma"/>
            <family val="2"/>
          </rPr>
          <t>EXTERNAL Nguyen Trung Hieu (Ban Vien, RBVH/EPS45):</t>
        </r>
        <r>
          <rPr>
            <sz val="9"/>
            <color indexed="81"/>
            <rFont val="Tahoma"/>
            <family val="2"/>
          </rPr>
          <t xml:space="preserve">
\\10.184.143.103\d\vivi\BV\DB\16Apr\Geely_ESP93_Carbon_Int
</t>
        </r>
      </text>
    </comment>
    <comment ref="G218" authorId="0" shapeId="0">
      <text>
        <r>
          <rPr>
            <b/>
            <sz val="9"/>
            <color indexed="81"/>
            <rFont val="Tahoma"/>
            <family val="2"/>
          </rPr>
          <t>EXTERNAL Nguyen Trung Hieu (Ban Vien, RBVH/EPS45):</t>
        </r>
        <r>
          <rPr>
            <sz val="9"/>
            <color indexed="81"/>
            <rFont val="Tahoma"/>
            <family val="2"/>
          </rPr>
          <t xml:space="preserve">
\\10.184.143.103\d\vivi\BV\DB\16Apr\FAW_Beryllium_D090HighG6_&amp;__D090LowG6_RC_INT
</t>
        </r>
      </text>
    </comment>
    <comment ref="G222" authorId="0" shapeId="0">
      <text>
        <r>
          <rPr>
            <b/>
            <sz val="9"/>
            <color indexed="81"/>
            <rFont val="Tahoma"/>
            <family val="2"/>
          </rPr>
          <t>EXTERNAL Nguyen Trung Hieu (Ban Vien, RBVH/EPS45):</t>
        </r>
        <r>
          <rPr>
            <sz val="9"/>
            <color indexed="81"/>
            <rFont val="Tahoma"/>
            <family val="2"/>
          </rPr>
          <t xml:space="preserve">
\\10.184.143.103\d\vivi\BV\DB\16Apr\SAIC_A_ARCH_CMP_ESP93_Carbon_Int
</t>
        </r>
      </text>
    </comment>
    <comment ref="C227" authorId="0" shapeId="0">
      <text>
        <r>
          <rPr>
            <b/>
            <sz val="9"/>
            <color indexed="81"/>
            <rFont val="Tahoma"/>
            <family val="2"/>
          </rPr>
          <t>EXTERNAL Nguyen Trung Hieu (Ban Vien, RBVH/EPS45):</t>
        </r>
        <r>
          <rPr>
            <sz val="9"/>
            <color indexed="81"/>
            <rFont val="Tahoma"/>
            <family val="2"/>
          </rPr>
          <t xml:space="preserve">
Count for 21Apr
</t>
        </r>
      </text>
    </comment>
    <comment ref="G227" authorId="0" shapeId="0">
      <text>
        <r>
          <rPr>
            <b/>
            <sz val="9"/>
            <color indexed="81"/>
            <rFont val="Tahoma"/>
            <family val="2"/>
          </rPr>
          <t>EXTERNAL Nguyen Trung Hieu (Ban Vien, RBVH/EPS45):</t>
        </r>
        <r>
          <rPr>
            <sz val="9"/>
            <color indexed="81"/>
            <rFont val="Tahoma"/>
            <family val="2"/>
          </rPr>
          <t xml:space="preserve">
\\10.184.143.103\d\vivi\BV\DB\16Apr
</t>
        </r>
      </text>
    </comment>
    <comment ref="N231" authorId="0" shapeId="0">
      <text>
        <r>
          <rPr>
            <b/>
            <sz val="9"/>
            <color indexed="81"/>
            <rFont val="Tahoma"/>
            <family val="2"/>
          </rPr>
          <t>EXTERNAL Nguyen Trung Hieu (Ban Vien, RBVH/EPS45):</t>
        </r>
        <r>
          <rPr>
            <sz val="9"/>
            <color indexed="81"/>
            <rFont val="Tahoma"/>
            <family val="2"/>
          </rPr>
          <t xml:space="preserve">
CEVT_GEEA_SMART_Deuterium_Int is changed to GEEA2.0
</t>
        </r>
      </text>
    </comment>
    <comment ref="N232" authorId="0" shapeId="0">
      <text>
        <r>
          <rPr>
            <b/>
            <sz val="9"/>
            <color indexed="81"/>
            <rFont val="Tahoma"/>
            <family val="2"/>
          </rPr>
          <t>EXTERNAL Nguyen Trung Hieu (Ban Vien, RBVH/EPS45):</t>
        </r>
        <r>
          <rPr>
            <sz val="9"/>
            <color indexed="81"/>
            <rFont val="Tahoma"/>
            <family val="2"/>
          </rPr>
          <t xml:space="preserve">
RE: [JOEM] [COEM_UT][TASK ASSIGNMENT][16_APR]: BYD_IPB_SR_HC is the same with BYD_IPB_BL05_Int
</t>
        </r>
      </text>
    </comment>
    <comment ref="F235" authorId="1" shapeId="0">
      <text>
        <r>
          <rPr>
            <b/>
            <sz val="9"/>
            <color indexed="81"/>
            <rFont val="Tahoma"/>
            <family val="2"/>
          </rPr>
          <t>EXTERNAL Do Anh Huy (Ban Vien Company, RBVH/EPS45):</t>
        </r>
        <r>
          <rPr>
            <sz val="9"/>
            <color indexed="81"/>
            <rFont val="Tahoma"/>
            <family val="2"/>
          </rPr>
          <t xml:space="preserve">
Confirm by  Pham Quoc Bao
</t>
        </r>
      </text>
    </comment>
    <comment ref="C300" authorId="0" shapeId="0">
      <text>
        <r>
          <rPr>
            <b/>
            <sz val="9"/>
            <color indexed="81"/>
            <rFont val="Tahoma"/>
            <family val="2"/>
          </rPr>
          <t>EXTERNAL Nguyen Trung Hieu (Ban Vien, RBVH/EPS45):</t>
        </r>
        <r>
          <rPr>
            <sz val="9"/>
            <color indexed="81"/>
            <rFont val="Tahoma"/>
            <family val="2"/>
          </rPr>
          <t xml:space="preserve">
\\10.184.143.103\d\vivi\BV\DB\18Apr
</t>
        </r>
        <r>
          <rPr>
            <b/>
            <sz val="9"/>
            <color indexed="81"/>
            <rFont val="Tahoma"/>
            <family val="2"/>
          </rPr>
          <t>EXTERNAL Nguyen Trung Hieu (Ban Vien, RBVH/EPS45):</t>
        </r>
        <r>
          <rPr>
            <sz val="9"/>
            <color indexed="81"/>
            <rFont val="Tahoma"/>
            <family val="2"/>
          </rPr>
          <t xml:space="preserve">
Wrong name: Int is correct
Geely_Beryllium2_In
Geely_Beryllium2_OBD_China6_In
</t>
        </r>
      </text>
    </comment>
  </commentList>
</comments>
</file>

<file path=xl/sharedStrings.xml><?xml version="1.0" encoding="utf-8"?>
<sst xmlns="http://schemas.openxmlformats.org/spreadsheetml/2006/main" count="6266" uniqueCount="955">
  <si>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</si>
  <si>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</si>
  <si>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</si>
  <si>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</si>
  <si>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</si>
  <si>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</si>
  <si>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</si>
  <si>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</si>
  <si>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</si>
  <si>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</si>
  <si>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</si>
  <si>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</si>
  <si>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</si>
  <si>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</si>
  <si>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</si>
  <si>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</si>
  <si>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</si>
  <si>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</si>
  <si>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</si>
  <si>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</si>
  <si>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</si>
  <si>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</si>
  <si>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</si>
  <si>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</si>
  <si>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</si>
  <si>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</si>
  <si>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</si>
  <si>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</si>
  <si>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</si>
  <si>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</si>
  <si>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</si>
  <si>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</si>
  <si>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</si>
  <si>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</si>
  <si>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1. Completed ELOCs of the team from the beginning of Month (Mar) till Now:</t>
  </si>
  <si>
    <t>2. Completed ELOCs of each member from the beginning of Month (Mar) till Now:</t>
  </si>
  <si>
    <t>3. Risks/ Pending Issues:</t>
  </si>
  <si>
    <t>Risks/ Issues</t>
  </si>
  <si>
    <t>4. Found Defects/ OPLs in Month (Mar):</t>
  </si>
  <si>
    <t>5. Leave Plan (Mar):</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</si>
  <si>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</si>
  <si>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</si>
  <si>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</si>
  <si>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</si>
  <si>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</si>
  <si>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</si>
  <si>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</si>
  <si>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</si>
  <si>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</si>
  <si>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</si>
  <si>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</si>
  <si>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</si>
  <si>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</si>
  <si>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</si>
  <si>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</si>
  <si>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</si>
  <si>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</si>
  <si>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</si>
  <si>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</si>
  <si>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</si>
  <si>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</si>
  <si>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</si>
  <si>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</si>
  <si>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</si>
  <si>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</si>
  <si>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</si>
  <si>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</si>
  <si>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</si>
  <si>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</si>
  <si>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</si>
  <si>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</si>
  <si>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</si>
  <si>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</si>
  <si>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</si>
  <si>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</si>
  <si>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</si>
  <si>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</si>
  <si>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</si>
  <si>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</si>
  <si>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</si>
  <si>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</si>
  <si>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</si>
  <si>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</si>
  <si>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</si>
  <si>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</si>
  <si>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</si>
  <si>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</si>
  <si>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</si>
  <si>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</si>
  <si>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</si>
  <si>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</si>
  <si>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</si>
  <si>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</si>
  <si>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</si>
  <si>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</si>
  <si>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</si>
  <si>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</si>
  <si>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</si>
  <si>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</si>
  <si>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MT_017</t>
  </si>
  <si>
    <t>MT_018</t>
  </si>
  <si>
    <t>MT_020</t>
  </si>
  <si>
    <t>MT_022</t>
  </si>
  <si>
    <t>MT_024</t>
  </si>
  <si>
    <t>MT_028</t>
  </si>
  <si>
    <t>MT_029</t>
  </si>
  <si>
    <t>MT_030</t>
  </si>
  <si>
    <t>MT_032</t>
  </si>
  <si>
    <t>PSA_Gen9_3_CarbonB3_PHEVv1_AscetDB</t>
  </si>
  <si>
    <t>Pata_ModeEspNormalSport_EOR_Dy</t>
  </si>
  <si>
    <t>Pata_ModeEspNormalSport_Dy</t>
  </si>
  <si>
    <t>T501</t>
  </si>
  <si>
    <t>T500</t>
  </si>
  <si>
    <t>T502</t>
  </si>
  <si>
    <t>OK</t>
  </si>
  <si>
    <t>NG</t>
  </si>
  <si>
    <t>MT_008</t>
  </si>
  <si>
    <t>ASW: 130 ELOCs</t>
  </si>
  <si>
    <t>NA</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</si>
  <si>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</si>
  <si>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</si>
  <si>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</si>
  <si>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</si>
  <si>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</si>
  <si>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</si>
  <si>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</si>
  <si>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</si>
  <si>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1.0</t>
  </si>
  <si>
    <t>SBR_ESP9_3_Gxx_SIA_Dev5_GA9W_BL03</t>
  </si>
  <si>
    <t>Total</t>
  </si>
  <si>
    <t>Judge Total KPI</t>
  </si>
  <si>
    <t>Duration</t>
  </si>
  <si>
    <t>MT_Needed</t>
  </si>
  <si>
    <t>MT_Number</t>
  </si>
  <si>
    <t>UT_055</t>
  </si>
  <si>
    <t>MT_013</t>
  </si>
  <si>
    <t>How to fill status</t>
  </si>
  <si>
    <t>Status: Passed/Failed</t>
  </si>
  <si>
    <t>Test_Result: Ready for review</t>
  </si>
  <si>
    <t>Nguyen Trung Hieu</t>
  </si>
  <si>
    <t>Nguyen Tai Hau</t>
  </si>
  <si>
    <t>Nguyen Duy Bang</t>
  </si>
  <si>
    <t>Luu Cong Dac</t>
  </si>
  <si>
    <t>T200</t>
  </si>
  <si>
    <t>T201</t>
  </si>
  <si>
    <t>T202</t>
  </si>
  <si>
    <t>T203</t>
  </si>
  <si>
    <t>New</t>
  </si>
  <si>
    <t>Delta</t>
  </si>
  <si>
    <t>8h00</t>
  </si>
  <si>
    <t>17h00</t>
  </si>
  <si>
    <t>15h00</t>
  </si>
  <si>
    <t>CW10_EMP2V3_SmartCar_MHEV_381</t>
  </si>
  <si>
    <t>Time</t>
  </si>
  <si>
    <t>days</t>
  </si>
  <si>
    <t>Assigned
ELOCs</t>
  </si>
  <si>
    <t>Completed
ELOCs</t>
  </si>
  <si>
    <t>Effort
(days)</t>
  </si>
  <si>
    <t>Actual Effort
(days)</t>
  </si>
  <si>
    <t>Loc Assigned</t>
  </si>
  <si>
    <t>Brief Description:</t>
  </si>
  <si>
    <t>9h00</t>
  </si>
  <si>
    <t>Ontime</t>
  </si>
  <si>
    <t>12h00</t>
  </si>
  <si>
    <t>Duration (Plan)</t>
  </si>
  <si>
    <t>Duration (Actual)</t>
  </si>
  <si>
    <t>- Took 1 days to fix Action Item of Peer Review on 16th Mar, 2020</t>
  </si>
  <si>
    <t>- No comment</t>
  </si>
  <si>
    <t>Delayed</t>
  </si>
  <si>
    <t>Actual Effort (days)</t>
  </si>
  <si>
    <t>Num of OPLs</t>
  </si>
  <si>
    <t>Num of Defects</t>
  </si>
  <si>
    <t>Effort PSW (days)</t>
  </si>
  <si>
    <t>Effort ASW
(days)</t>
  </si>
  <si>
    <t>T503</t>
  </si>
  <si>
    <t>SSI_Signal2State_CallbackFunction_ESP_VirtualNode_MultiWSS</t>
  </si>
  <si>
    <t>rba_ComScl_RxSignalCopy</t>
  </si>
  <si>
    <t>SecOC_PduRIF</t>
  </si>
  <si>
    <t>SecOC_Prv</t>
  </si>
  <si>
    <t>SecOC_Prv_CryptIF</t>
  </si>
  <si>
    <t>APBInterfaceFunctions_TOYOTA</t>
  </si>
  <si>
    <t>RBAPLCUST_22_RDBI</t>
  </si>
  <si>
    <t>RBAPLCUST_TSR_DID_Conf_TOYOTA</t>
  </si>
  <si>
    <t>SnapshotRecordFunctions_TOYOTA</t>
  </si>
  <si>
    <t>TimeSeriesFreezeFrameDataFunctions_TOYOTA</t>
  </si>
  <si>
    <t>NET_CommunicationInvalid_TOYOTA</t>
  </si>
  <si>
    <t>NET_SCL_XmtVSC1G12_TOY</t>
  </si>
  <si>
    <t>NET_SCL_XmtVSC1G13_TOY</t>
  </si>
  <si>
    <t>NET_SCL_XmtVSC1G14_TOY</t>
  </si>
  <si>
    <t>NET_SST_TOYOTA</t>
  </si>
  <si>
    <t>TOY_PF19_CMP_BL16_Integration_36</t>
  </si>
  <si>
    <t>MT_001</t>
  </si>
  <si>
    <t>MT_014</t>
  </si>
  <si>
    <t>MT_015</t>
  </si>
  <si>
    <t>MT_019</t>
  </si>
  <si>
    <t>MT_023</t>
  </si>
  <si>
    <t>MT_025</t>
  </si>
  <si>
    <t>UT_001_SSI_Signal2State_CallbackFunction_ESP_VirtualNode_MultiWSS_BB80270</t>
  </si>
  <si>
    <t>UT_008_rba_ComScl_RxSignalCopy_BB80270</t>
  </si>
  <si>
    <t>UT_014_SecOC_PduRIF_BB80270</t>
  </si>
  <si>
    <t>UT_015_SecOC_Prv_BB80270</t>
  </si>
  <si>
    <t>UT_016_SecOC_Prv_CryptIF_BB80270</t>
  </si>
  <si>
    <t>UT_019_APBInterfaceFunctions_TOYOTA_BB80270</t>
  </si>
  <si>
    <t>UT_020_RBAPLCUST_22_RDBI_BB80270</t>
  </si>
  <si>
    <t>UT_022_RBAPLCUST_TSR_DID_Conf_TOYOTA_BB80270</t>
  </si>
  <si>
    <t>UT_023_SnapshotRecordFunctions_TOYOTA_BB80270</t>
  </si>
  <si>
    <t>UT_024_TimeSeriesFreezeFrameDataFunctions_TOYOTA_BB80270</t>
  </si>
  <si>
    <t>UT_025_NET_CommunicationInvalid_TOYOTA_BB80270</t>
  </si>
  <si>
    <t>UT_028_NET_SCL_XmtVSC1G12_TOY_BB80270</t>
  </si>
  <si>
    <t>UT_029_NET_SCL_XmtVSC1G13_TOY_BB80270</t>
  </si>
  <si>
    <t>UT_030_NET_SCL_XmtVSC1G14_TOY_BB80270</t>
  </si>
  <si>
    <t>UT_032_NET_SST_TOYOTA_BB80270</t>
  </si>
  <si>
    <t>Contact point: Halamani Prabhu (RBEI/ESJ-ATO)</t>
  </si>
  <si>
    <t>T_J-140</t>
  </si>
  <si>
    <t>T_J-141</t>
  </si>
  <si>
    <t>T_J-142</t>
  </si>
  <si>
    <t>T_J-143</t>
  </si>
  <si>
    <t>T_J-144</t>
  </si>
  <si>
    <t>T_J-145</t>
  </si>
  <si>
    <t>T_J-146</t>
  </si>
  <si>
    <t>T_J-147</t>
  </si>
  <si>
    <t>T_J-148</t>
  </si>
  <si>
    <t>T_J-149</t>
  </si>
  <si>
    <t>T_J-150</t>
  </si>
  <si>
    <t>T_J-151</t>
  </si>
  <si>
    <t>T_J-152</t>
  </si>
  <si>
    <t>T_J-153</t>
  </si>
  <si>
    <t>T_J-154</t>
  </si>
  <si>
    <t>- TransVF20ms: Modify estimation effort from 1.615 hour to 4 hour. Confirm by Mr. Hoang</t>
  </si>
  <si>
    <t>- Trans_vyMin: Can not compile project, and missing limit assignment. Indian support to fix within 5 hour on 25th Mar, 2020</t>
  </si>
  <si>
    <t>- ATT can not start analyze because Visual Studio got stuck. =&gt; Mr. Tai and Mr. Cuong support to re config the setting within 1 days (4 hours for backup on 23th, and 4 hours for configuration on 24th)</t>
  </si>
  <si>
    <t>11h00</t>
  </si>
  <si>
    <t>PSA_BL15_CSW_Dev</t>
  </si>
  <si>
    <t>VehicleDynamicModes_Dy</t>
  </si>
  <si>
    <t>FUN_BEO_EnergyCast</t>
  </si>
  <si>
    <t>FUN_BEO_EnergyAcc</t>
  </si>
  <si>
    <t>6.8</t>
  </si>
  <si>
    <t>1.2</t>
  </si>
  <si>
    <t>MT_002</t>
  </si>
  <si>
    <t>MT_003</t>
  </si>
  <si>
    <t>UT_004</t>
  </si>
  <si>
    <t>UT_005</t>
  </si>
  <si>
    <t xml:space="preserve">Contact point: Jawahar Ravichandran (RBEI/ESE31); CC: Pereira Moura Emanuelle (CC-AS/ESF2) ; Bincy Francis (RBEI/ESE31) ; Priyadarshini Sharma (RBEI/ESE31) </t>
  </si>
  <si>
    <r>
      <t xml:space="preserve">Line 81, 170, 235, 303, 371, 436, 507, 575, 643, 711, 779, 847, 915, 983, 1051, 1119, 1187, 1255, 1323, 1391, 1474, 1554, 1619, 1690, 1755, 1844, 1909, 1980, 2054, 2128, 2214, 2288, 2356, 2427, 2510, 2575, 2652, 2720, 2785, 2865, 2945, 3055:
do{
</t>
    </r>
    <r>
      <rPr>
        <sz val="10"/>
        <color indexed="17"/>
        <rFont val="Arial"/>
        <family val="2"/>
      </rPr>
      <t xml:space="preserve">  transferData_Producer = rba_ComScl_TransferData_Producer_au8[rba_ComScl_RxPduFlagsId_ENG1G90_CANNODE_0];</t>
    </r>
    <r>
      <rPr>
        <sz val="10"/>
        <color indexed="8"/>
        <rFont val="Arial"/>
        <family val="2"/>
      </rPr>
      <t xml:space="preserve">
} while (</t>
    </r>
    <r>
      <rPr>
        <sz val="10"/>
        <color indexed="10"/>
        <rFont val="Arial"/>
        <family val="2"/>
      </rPr>
      <t>(transferData_Producer
    != rba_ComScl_TransferData_Producer_au8[rba_ComScl_RxPduFlagsId_ENG1G90_CANNODE_0]</t>
    </r>
    <r>
      <rPr>
        <sz val="10"/>
        <color indexed="8"/>
        <rFont val="Arial"/>
        <family val="2"/>
      </rPr>
      <t>)
    &amp;&amp; (rxCounter &lt; 2u));
This statement can not cover true case because:
+ transferData_Producer is always equal to rba_ComScl_TransferData_Producer_au8</t>
    </r>
  </si>
  <si>
    <t xml:space="preserve">Line 31: if(l_ActYear_UW &gt;= 1)
This statement can not cover false case because:
+ l_ActYear_UW is assigned by "l_ActYear_UW + (UW)l_GPSTM_Y_UB;" at line 296
+ l_ActYear_UW is unsigned, l_GPSTM_Y_UB is unsigned
+ l_ActYear_UW = C_BaseYear_UW at line 256; #define C_BaseYear_UW            ((UW)2000) </t>
  </si>
  <si>
    <t>13h00</t>
  </si>
  <si>
    <t>11h30</t>
  </si>
  <si>
    <t>Holidays</t>
  </si>
  <si>
    <t>- Off from 2th Mar to 13th Mar</t>
  </si>
  <si>
    <t>Reason for Fail Testcase</t>
  </si>
  <si>
    <t>Reason For code coverage</t>
  </si>
  <si>
    <t>14h00</t>
  </si>
  <si>
    <t>CLD_TRC_LonAxTarLimitation</t>
  </si>
  <si>
    <t>CLD_TRC_LonCheckComfortBands</t>
  </si>
  <si>
    <t>CLD_TRC_LonStateControl</t>
  </si>
  <si>
    <t>TRPC_Longitudinal_axStandstillSafetyLimiter</t>
  </si>
  <si>
    <t>PLTMT_03040604</t>
  </si>
  <si>
    <t>1.6.1.3</t>
  </si>
  <si>
    <t>Contact point: Dhakar Swarnima (RBEI/ESP-AS52); CC: Kalaiselvam Natarajan (RBEI/ESP-AS52), Harikrishnan Viswambharan (RBEI/ESP-AS52) Sadanand Vishwanath Kallur (RBEI/ESP-AS51 RBEI/ESP-AS52) ,Tran Hoang Tuan (RBVH/EPS4 RBVH/EPS44) ,Quoc Cuong (RBVH/EPS44)</t>
  </si>
  <si>
    <t>T_J-155</t>
  </si>
  <si>
    <t>T_J-156</t>
  </si>
  <si>
    <t>T_J-157</t>
  </si>
  <si>
    <t>T_J-158</t>
  </si>
  <si>
    <t>CLD_BCL_aUpperLimitationayMax</t>
  </si>
  <si>
    <t>CLD_BCL_aUpperLimitationLoad</t>
  </si>
  <si>
    <t>CLD_BCL_aUpperLimitationProp</t>
  </si>
  <si>
    <t>CLD_BCL_aUpperLimitationTrailer</t>
  </si>
  <si>
    <t>CLD_BCL_aUpperLimitationVelocity</t>
  </si>
  <si>
    <t>CLD_BCL_BackDropFactor</t>
  </si>
  <si>
    <t>CLD_BCL_CommonSignals</t>
  </si>
  <si>
    <t>CLD_BCL_DevideayByAyMax</t>
  </si>
  <si>
    <t>PLTMT_07040804</t>
  </si>
  <si>
    <t xml:space="preserve">Contact point: Dhakar Swarnima (RBEI/ESP-AS52); CC: Kalaiselvam Natarajan (RBEI/ESP-AS52), Harikrishnan Viswambharan (RBEI/ESP-AS52) Sadanand Vishwanath Kallur (RBEI/ESP-AS51 RBEI/ESP-AS52) ,Tran Hoang Tuan (RBVH/EPS4 RBVH/EPS44) ,Quoc Cuong (RBVH/EPS44) </t>
  </si>
  <si>
    <t>T_J-159</t>
  </si>
  <si>
    <t>T_J-160</t>
  </si>
  <si>
    <t>T_J-161</t>
  </si>
  <si>
    <t>T_J-162</t>
  </si>
  <si>
    <t>T_J-163</t>
  </si>
  <si>
    <t>T_J-164</t>
  </si>
  <si>
    <t>T_J-165</t>
  </si>
  <si>
    <t>T_J-166</t>
  </si>
  <si>
    <t>DynamicSelectLow</t>
  </si>
  <si>
    <t>DisableNormComDiag_Y1K</t>
  </si>
  <si>
    <t>NET09_DisableNormComDiag_SMC</t>
  </si>
  <si>
    <t>RBNET_ECUREWAKE_SMC</t>
  </si>
  <si>
    <t>RBAPLCUST_FreezeFrameDataBytesInfo_Suzuki</t>
  </si>
  <si>
    <t>RBAPLCUST_InputOutputControl_GeneralFunctions</t>
  </si>
  <si>
    <t>RBAPLCUST_ReadDBI_DIDF18C_EcuSerialNumberInfo_Suzuki</t>
  </si>
  <si>
    <t>RBAPLCUST_ReadDBI_DIDF195_SupplierSoftwareVersionInfo_Suzuki</t>
  </si>
  <si>
    <t>RBAPLCUST_ReadDTCInfoSubFunction01_Suzuki</t>
  </si>
  <si>
    <t>RBAPLCUST_RoutineControl_ConditionMonitoring_Suzuki</t>
  </si>
  <si>
    <t>RBAPLCUST_RoutineControl_EraseMemory_Suzuki</t>
  </si>
  <si>
    <t>RBAPLCUST_RoutineControl_ESPSpecialDrive_Suzuki</t>
  </si>
  <si>
    <t>RBAPLCUST_RoutineControl_Suzuki</t>
  </si>
  <si>
    <t>RBAPLCUST_SecurityAccess_Suzuki</t>
  </si>
  <si>
    <t>RBAPLCUST_WriteDBI_DID7000_VacuumFillingDataInfo_Suzuki</t>
  </si>
  <si>
    <t>7.0.144.0</t>
  </si>
  <si>
    <t>MT_011</t>
  </si>
  <si>
    <t>MT_012</t>
  </si>
  <si>
    <t>Contact point: Machani Ravikumar (RBEI/ESJ4) Ravikumar.Machani@in.bosch.com Lalsa Aryasomayajula (RBEI/ESJ1) Aryasomayajula.Lalsa@in.bosch.com</t>
  </si>
  <si>
    <t>T_J-167</t>
  </si>
  <si>
    <t>T_J-168</t>
  </si>
  <si>
    <t>T_J-169</t>
  </si>
  <si>
    <t>T_J-170</t>
  </si>
  <si>
    <t>T_J-171</t>
  </si>
  <si>
    <t>T_J-172</t>
  </si>
  <si>
    <t>T_J-173</t>
  </si>
  <si>
    <t>T_J-174</t>
  </si>
  <si>
    <t>T_J-175</t>
  </si>
  <si>
    <t>T_J-176</t>
  </si>
  <si>
    <t>T_J-177</t>
  </si>
  <si>
    <t>T_J-178</t>
  </si>
  <si>
    <t>T_J-179</t>
  </si>
  <si>
    <t>T_J-180</t>
  </si>
  <si>
    <t>T_J-181</t>
  </si>
  <si>
    <t>CUS_SMC_YNC_ABS_Buildiaas22</t>
  </si>
  <si>
    <t># Line 7:can not cover out range maximum of daxTarLim because C_dT_CLD is non calibrate with value "0.02"
#Line 8:can not cover out range minimum of daxTarLim because C_dT_CLD is non calibrate with value "0.02"</t>
  </si>
  <si>
    <t>- Param1D can not cover full C0, C1</t>
  </si>
  <si>
    <t>ToyotaCMP</t>
  </si>
  <si>
    <t>TRCLongitudinal_ECU_CSW_BB00001(1.8_0.2).axl</t>
  </si>
  <si>
    <t>TRPLongitudinal_ECU_CSW_BB00001(1.20.1.0_0.2).axl</t>
  </si>
  <si>
    <t>PSA_CMP</t>
  </si>
  <si>
    <t>RB_MS_CAV7</t>
  </si>
  <si>
    <t>CSMosarASWMainstream93_SMC_YNC_ABS</t>
  </si>
  <si>
    <t>- Line 97: !Split can not cover MCDC because "Split" at line 94 is oposite with line 97
- Param1D can not cover full C0, C1</t>
  </si>
  <si>
    <t>16h00</t>
  </si>
  <si>
    <t>- Mr. Bang got a trouble with a huge of Param1D, Param2D</t>
  </si>
  <si>
    <t>- Need time to resolve issue about TCM workshare</t>
  </si>
  <si>
    <t>- Need time to adapt with new template, new process of platform team</t>
  </si>
  <si>
    <t>- Waiting for the new package</t>
  </si>
  <si>
    <t>CLD_pSC_DynFollowPP0</t>
  </si>
  <si>
    <t>CLD_TRP_ABDComfortBands</t>
  </si>
  <si>
    <t>CLD_TRP_CSCComfortBands</t>
  </si>
  <si>
    <t>CLD_TRP_CyclicPlanningDIS</t>
  </si>
  <si>
    <t>CLD_TRP_CyclicPlanningSPE</t>
  </si>
  <si>
    <t>CLD_TRP_FactorComfortBands</t>
  </si>
  <si>
    <t>CLD_TRP_FOCComfortBands</t>
  </si>
  <si>
    <t>CLD_TRP_LonCheckExceeding</t>
  </si>
  <si>
    <t>Contact point: Dhakar Swarnima (RBEI/ESP-AS52)</t>
  </si>
  <si>
    <t>T_J-182</t>
  </si>
  <si>
    <t>T_J-183</t>
  </si>
  <si>
    <t>T_J-184</t>
  </si>
  <si>
    <t>T_J-185</t>
  </si>
  <si>
    <t>T_J-186</t>
  </si>
  <si>
    <t>T_J-187</t>
  </si>
  <si>
    <t>T_J-188</t>
  </si>
  <si>
    <t>T_J-189</t>
  </si>
  <si>
    <t>REN_CMFB_1ASW_09_Apr</t>
  </si>
  <si>
    <t xml:space="preserve">Contact point: Suriya Mangala Ganesamurthi (RBEI/ESE31); CC: Bincy Francis (RBEI/ESE31) , Priyadarshini Sharma (RBEI/ESE31) 
</t>
  </si>
  <si>
    <t>PowerOnManagement_RSA</t>
  </si>
  <si>
    <t>2.2.1.0</t>
  </si>
  <si>
    <t>Line 493: Can not cover default case "switch (ReadyToStartRoutine_State_EN)" because it only has two element:
typedef enum
{
    C_Check_ReadyToStartRoutine_Init = 0,
    C_Check_ReadyToStartRoutine_Done
} ForceClear_Check_ReadyToStartRoutine_State_EN;
Line 777: Can not cover default case "switch(g_ForceClearDtcState_En)" because it only has four element:
typedef enum /*TOOL_SCAN*/
{
 C_ForceClearDtc_Starts = 0 ,
 C_ForceClearDtc_Running    ,
 C_ForceClearDtc_Failed     ,
 C_ForceClearDtc_Finished
} ForceClearAllDTC_State_EN ;</t>
  </si>
  <si>
    <t>T_J-190</t>
  </si>
  <si>
    <t>- Line 28: vTargetPow2= ayMax_local/CurvatureMax can not cover division zero because condition if (CurvatureMax &gt; 0.0003)</t>
  </si>
  <si>
    <t>OPL</t>
  </si>
  <si>
    <t>Summary</t>
  </si>
  <si>
    <t>new</t>
  </si>
  <si>
    <t>T_J-191</t>
  </si>
  <si>
    <t>T_J-192</t>
  </si>
  <si>
    <t>RNM_CMP_PSA_EMP2v3_3ASW</t>
  </si>
  <si>
    <t>Contact point: Suriya Mangala Ganesamurthi (RBEI/ESE31); Priyadarshini Sharma (RBEI/ESE31)</t>
  </si>
  <si>
    <t>DyPSA_EPSSuspicious</t>
  </si>
  <si>
    <t>DyPSA_EPSSuspicious_CAV3Virt</t>
  </si>
  <si>
    <t>[UUID_wiHTsFLmEeSecO7L1SVhqQ]</t>
  </si>
  <si>
    <t>[UUID_ZHzZce4yEem-Erv9WGnBag]</t>
  </si>
  <si>
    <t>[UUID_XVVWQO4yEem-Erv9WGnBag]</t>
  </si>
  <si>
    <t>[UUID_XXcPEO4yEem-Erv9WGnBag]</t>
  </si>
  <si>
    <t>[UUID_XRQHgO4yEem-Erv9WGnBag]</t>
  </si>
  <si>
    <t>[UUID_-b6iAJ8jEeW9yO55Mv01Xg]</t>
  </si>
  <si>
    <t>[UUID_jxIMcKJ7EeWgbrVUGix0mg]</t>
  </si>
  <si>
    <t>[UUID_ubyiUEgREea9593eqHxA1A]</t>
  </si>
  <si>
    <t>[UUID_wJKpANlWEeWsZpm6HklIrw]</t>
  </si>
  <si>
    <t>[UUID_wJL3INlWEeWsZpm6HklIrw]</t>
  </si>
  <si>
    <t>[UUID_l1RR4G01EeifyfhLxmbFOQ]</t>
  </si>
  <si>
    <t>[UUID_lzB2MG01EeifyfhLxmbFOQ]</t>
  </si>
  <si>
    <t>[UUID_lzzSQG01EeifyfhLxmbFOQ]</t>
  </si>
  <si>
    <t>[UUID_lzzSQW01EeifyfhLxmbFOQ]</t>
  </si>
  <si>
    <t>[UUID_jJzYoViHEeq0nNhaD5ucQQ]</t>
  </si>
  <si>
    <t>[UUID_dpRe0CZ-Eei3raWeUDriTw]</t>
  </si>
  <si>
    <t>[UUID_2Mo2ECWxEei3raWeUDriTw]</t>
  </si>
  <si>
    <t>[UUID_HqVswAFQEemQS_kpgrWQ_w]</t>
  </si>
  <si>
    <t>[UUID_-WFOoPbdEemPm_fcc4JvGg]</t>
  </si>
  <si>
    <t>[UUID_NSQJMD2MEeiqkt4FFpfVBw]</t>
  </si>
  <si>
    <t>[UUID_80I0kOXjEemleb36yh-yew]</t>
  </si>
  <si>
    <t>[UUID_80YsMOXjEemleb36yh-yew]</t>
  </si>
  <si>
    <t>[UUID_bJqg8KIqEemcL4b3pmFZbg]</t>
  </si>
  <si>
    <t>[UUID_4m3KANuqEemkO-heTSptCw]</t>
  </si>
  <si>
    <t>[UUID_4m4_MNuqEemkO-heTSptCw]</t>
  </si>
  <si>
    <t>[UUID_4m60YNuqEemkO-heTSptCw]</t>
  </si>
  <si>
    <t>[UUID_4nOWYNuqEemkO-heTSptCw]</t>
  </si>
  <si>
    <t>[UUID_Y3kDYMmmEemlb5vF8dzSHg]</t>
  </si>
  <si>
    <t>[UUID_0hMVINuqEemkO-heTSptCw]</t>
  </si>
  <si>
    <t>rba_BldrBCL_AESHandler</t>
  </si>
  <si>
    <t>rba_BldrCMP_Cfg</t>
  </si>
  <si>
    <t>rba_BldrCMP_Cfg_EncryptDecryptHash</t>
  </si>
  <si>
    <t>rba_BldrCmp_Cfg_TestServices</t>
  </si>
  <si>
    <t>rba_BldrCmp_Cfg_TestStackEval</t>
  </si>
  <si>
    <t>rba_BldrMemCpy</t>
  </si>
  <si>
    <t>rba_DcmPmaAppl_FillPlantModeResponse</t>
  </si>
  <si>
    <t>rba_BldrCMP_LogicalBlock</t>
  </si>
  <si>
    <t>rba_BldrCMP_27SecurityAccess</t>
  </si>
  <si>
    <t>rba_BldrCmp_Cfg_Cycur</t>
  </si>
  <si>
    <t>UT_019</t>
  </si>
  <si>
    <t>UT_029</t>
  </si>
  <si>
    <t>UT_033</t>
  </si>
  <si>
    <t>UT_039</t>
  </si>
  <si>
    <t>UT_040</t>
  </si>
  <si>
    <t>UT_045</t>
  </si>
  <si>
    <t>UT_074</t>
  </si>
  <si>
    <t>UT_054</t>
  </si>
  <si>
    <t>UT_047</t>
  </si>
  <si>
    <t>UT_051</t>
  </si>
  <si>
    <t>Contact point: Pham Thanh Hai (RBVH/EAS23, CC-AS/ESJ4-JP)</t>
  </si>
  <si>
    <t>T_J-193</t>
  </si>
  <si>
    <t>T_J-194</t>
  </si>
  <si>
    <t>T_J-195</t>
  </si>
  <si>
    <t>T_J-196</t>
  </si>
  <si>
    <t>T_J-197</t>
  </si>
  <si>
    <t>T_J-198</t>
  </si>
  <si>
    <t>T_J-199</t>
  </si>
  <si>
    <t>T_J-200</t>
  </si>
  <si>
    <t>T_J-201</t>
  </si>
  <si>
    <t>T_J-202</t>
  </si>
  <si>
    <t>T_J-203</t>
  </si>
  <si>
    <t>rba.as.esp.Bldr.Subaru</t>
  </si>
  <si>
    <t>rba.FBL.AS.CFG.rbbldr</t>
  </si>
  <si>
    <t>rba.as.esp.Bldr.Subaru_DES</t>
  </si>
  <si>
    <t>SBR_ESP9_3_MS_BR_GC7Y_RE7WGN1_Bldr</t>
  </si>
  <si>
    <t>MainstreamSBR</t>
  </si>
  <si>
    <t>huy.do-anh</t>
  </si>
  <si>
    <t>phuong.nguyen-thanh</t>
  </si>
  <si>
    <t>Line 19, 20: timer1 += P_dt_SasASW; timer1 = timer1.min(P_TConf_XX); can not cover because constraint at line 17 and P_dt_SasASW got fixed value "0.005" from non calibrate imported parameter</t>
  </si>
  <si>
    <t>PLTMT_13041404</t>
  </si>
  <si>
    <t>GWM_B30_CP</t>
  </si>
  <si>
    <t>rb\as\core\app\asw\apbmi\host\PBC\SRC</t>
  </si>
  <si>
    <t>rb\as\gwm\core\app\dcom\Cubas\src\Dcm_CNMS</t>
  </si>
  <si>
    <t>rb\as\gwm\core\app\dcom\Cubas\src\Dcm</t>
  </si>
  <si>
    <t>rb\as\gwm\core\app\dcom\RBAPLCust\src\common</t>
  </si>
  <si>
    <t>rb\as\gwm\core\app\dcom\RBAPLCust\src\ESP</t>
  </si>
  <si>
    <t>rb\as\gwm\core\app\dcom\RBAPLCust\src\iBooster</t>
  </si>
  <si>
    <t>rb\as\gwm\cp\app\asw\apbmi\host\PDM\APBHostData_Project_C\SRC</t>
  </si>
  <si>
    <t>rb\as\gwm\cp\app\dsm\RBWarningIndicator\src</t>
  </si>
  <si>
    <t>rb\as\gwm\cp\app\obd\ObdCvnCalId\src</t>
  </si>
  <si>
    <t>rb\as\gwm\cp\varcode</t>
  </si>
  <si>
    <t>rb\as\gwm\cp\dsmpr\src\Cubas\ESM\EcuM\src</t>
  </si>
  <si>
    <t>TaskID</t>
  </si>
  <si>
    <t>Type of Comment</t>
  </si>
  <si>
    <t>OPL/Defect</t>
  </si>
  <si>
    <t>PbcWrapper.c</t>
  </si>
  <si>
    <t>DcmAppl_DcmCommControlConditionCheck.c</t>
  </si>
  <si>
    <t>DcmAppl_DcmNotification.c</t>
  </si>
  <si>
    <t>RBAPLCUST_CNMSCORE_CallbackFun.c</t>
  </si>
  <si>
    <t>RBAPLCUST_InputOutputControl_GeneralFunctions.c</t>
  </si>
  <si>
    <t>RBAPLCUST_ProjectSpecific_Routines.c</t>
  </si>
  <si>
    <t>RBAPLCUST_RDBI_StatusInformation.c</t>
  </si>
  <si>
    <t>RBAPLCUST_RDBI_SystemSensor.c</t>
  </si>
  <si>
    <t>RBAPLCUST_RoutineControl.c</t>
  </si>
  <si>
    <t>RBAPLCUST_RoutineControl_ActuatorTest.c</t>
  </si>
  <si>
    <t>RBAPLCUST_RoutineControl_DynamicTest.c</t>
  </si>
  <si>
    <t>RBAPLCUST_RoutineControl_EvacAndFill.c</t>
  </si>
  <si>
    <t>RBAPLCUST_RoutineControl_RepairBleeding.c</t>
  </si>
  <si>
    <t>RBAPLCUST_RoutineControl_WheelSpeedSensorTest.c</t>
  </si>
  <si>
    <t>RBAPLCUST_ValvesToggling.c</t>
  </si>
  <si>
    <t>ApbHostData_Project.c</t>
  </si>
  <si>
    <t>Dem_PrjSpecificIndiHandling.c</t>
  </si>
  <si>
    <t>CNMS_Var_DcmRead.c</t>
  </si>
  <si>
    <t>CNMS_Var_Global.c</t>
  </si>
  <si>
    <t>EcuM_stub.c</t>
  </si>
  <si>
    <t>GWM_AB30_CP_Int</t>
  </si>
  <si>
    <t>Auto</t>
  </si>
  <si>
    <t>HHT_VX1_ESPHevX_BL2_Sprint4</t>
  </si>
  <si>
    <t>HHT_VX1_ESPHevX_BL2</t>
  </si>
  <si>
    <t>Baseline</t>
  </si>
  <si>
    <t>BSSL07</t>
  </si>
  <si>
    <t>BL2_Sprint4</t>
  </si>
  <si>
    <t>BL2</t>
  </si>
  <si>
    <t>rb\as\hht\core\app\net\RBScl\src</t>
  </si>
  <si>
    <t>rb\as\hht\core\app\dcom\RBAPLCust\src\ESP</t>
  </si>
  <si>
    <t>rb\as\hht\vx1\dcompr\esp\src</t>
  </si>
  <si>
    <t>ComScl_UserDefinedProcessing.c</t>
  </si>
  <si>
    <t>RBAPLCUST_ActualServiceLife_ReadData.c</t>
  </si>
  <si>
    <t>RBAPLCUST_DateTime_ReadData.c</t>
  </si>
  <si>
    <t>RBAPLCUST_InputDataBattery_Snapshot_ReadData.c</t>
  </si>
  <si>
    <t>RBAPLCUST_VSOInformation_Snapshot_ReadData.c</t>
  </si>
  <si>
    <t>RBAPLCUST_HHT_RBDI_NVM.c</t>
  </si>
  <si>
    <t>RBAPLCUST_HHT_WBDI_NVM.c</t>
  </si>
  <si>
    <t>RBFSWBootInterface_HHT.c</t>
  </si>
  <si>
    <t>HHT_VX1_ESPHevX_Carbon_Int</t>
  </si>
  <si>
    <t>HHT_VX1_IBooster_Gen2_BL2</t>
  </si>
  <si>
    <t>rb\as\hht\core\app\dcom\RBAPLCust\src\iBooster</t>
  </si>
  <si>
    <t>rb\as\hht\vx1\dcompr\ib2\src</t>
  </si>
  <si>
    <t>iBoosterGen2\rb\as\hht\vx1\netpr\src</t>
  </si>
  <si>
    <t>ComScl_Scl_ADCM_BU_2_Rx.c</t>
  </si>
  <si>
    <t>ComScl_Scl_ADCM_FD_1_Rx.c</t>
  </si>
  <si>
    <t>ComScl_Scl_IFV300_1_Rx.c</t>
  </si>
  <si>
    <t>HHT_VX1_IB2_Carbon_Int</t>
  </si>
  <si>
    <t>EC_245950_NIO_ESX_ESPHevX_DTC_BSS01_SP01</t>
  </si>
  <si>
    <t>rba\BldrCmp\src</t>
  </si>
  <si>
    <t>rba_BldrCmp_10DiagnosticSessionControl.c</t>
  </si>
  <si>
    <t>rba_BldrCmp_11EcuReset.c</t>
  </si>
  <si>
    <t>rba_BldrCmp_22ReadDataByIdentifier.c</t>
  </si>
  <si>
    <t>rba_BldrCmp_28CommunicationControl.c</t>
  </si>
  <si>
    <t>rba_BldrCmp_2EWriteDataByIdentifier.c</t>
  </si>
  <si>
    <t>rba_BldrCmp_31RoutineControl_Chkpd.c</t>
  </si>
  <si>
    <t>rba_BldrCmp_31RoutineControl_Er.c</t>
  </si>
  <si>
    <t>rba_BldrCmp_31RoutineControl.c</t>
  </si>
  <si>
    <t>rba_BldrCmp_34RequestDownload.c</t>
  </si>
  <si>
    <t>rba_BldrCmp_37RequestTransferExit.c</t>
  </si>
  <si>
    <t>rba_BldrCmp_DataHdl.c</t>
  </si>
  <si>
    <t>rba_BldrCmp_LogBlkHdl.c</t>
  </si>
  <si>
    <t>rba_BldrCmp_ServiceCondCheck.c</t>
  </si>
  <si>
    <t>NextEV_IB2_Int</t>
  </si>
  <si>
    <t>BSS01_SP01</t>
  </si>
  <si>
    <t>GWM_AB30_CP</t>
  </si>
  <si>
    <t>BSS07</t>
  </si>
  <si>
    <t>rb\as\gwm\core\app\dcom</t>
  </si>
  <si>
    <t>DcmAppl_DcmSwitchCommunicationControl.c</t>
  </si>
  <si>
    <t>RBAPLCUST_RDBI_ActuationState.c</t>
  </si>
  <si>
    <t>RBAPLCUST_DiagnosticSessionControl.c</t>
  </si>
  <si>
    <t>RBAPLCUST_RBDI_NVMData_Prj.c</t>
  </si>
  <si>
    <t>RBAPLCUST_RDBI_AnalogData.c</t>
  </si>
  <si>
    <t>RBAPLCUST_RDBI_InputData.c</t>
  </si>
  <si>
    <t>RBAPLCUST_RDBI_IOCtrlState.c</t>
  </si>
  <si>
    <t>RBAPLCUST_RoutineControl_APBMi.c</t>
  </si>
  <si>
    <t>RBAPLCUST_RoutineControl_ConditionCheck.c</t>
  </si>
  <si>
    <t>RBAPLCUST_RoutineControl_iBoosterActuatorTest.c</t>
  </si>
  <si>
    <t>RBAPLCUST_VariandCode.c</t>
  </si>
  <si>
    <t>RBAPLOBD_Data.c</t>
  </si>
  <si>
    <t>RBAPLOBD_Global.c</t>
  </si>
  <si>
    <t>BYD_Carbon_Mainstream_BL02spr02</t>
  </si>
  <si>
    <t>rb\as\byd\Bydcarbon\dcompr\tst\rba_SimDcmCfg\src</t>
  </si>
  <si>
    <t>rb\as\byd\Bydcarbon\dcompr\tst\rba_SimDcmCfg\Stubs\ASW\src</t>
  </si>
  <si>
    <t>rb\as\byd\Bydcarbon\dcompr\tst\rba_SimDcmCfg\Stubs\CUBAS\src</t>
  </si>
  <si>
    <t>rb\as\byd\Bydcarbon\dcompr\tst\rba_SimDcmCfg\Stubs\DEM\src</t>
  </si>
  <si>
    <t>rb\as\byd\Bydcarbon\dcompr\tst\rba_SimDcmCfg\Stubs\HSW\src</t>
  </si>
  <si>
    <t>rb\as\byd\Bydcarbon\dcompr\tst\rba_SimDcmCfg\Stubs\NVM\src</t>
  </si>
  <si>
    <t>rb\as\byd\Bydcarbon\dcompr\tst\rba_SimDcmCfg\Stubs\OBD\src</t>
  </si>
  <si>
    <t>rb\as\byd\Bydcarbon\dcompr\tst\rba_SimDcmCfg\Stubs\OTHERS\src</t>
  </si>
  <si>
    <t>rb\as\byd\Bydcarbon\dcompr\tst\rba_SimDcmCfg\Stubs\rba_STM\src</t>
  </si>
  <si>
    <t>rba_SimDcm_Cfg_MergeProcTarget.c</t>
  </si>
  <si>
    <t>ASWIF_CommonConfig.c</t>
  </si>
  <si>
    <t>RBIRS_IRSCalc.c</t>
  </si>
  <si>
    <t>DemCSMosar_StoreEvtImm_Cfg.c</t>
  </si>
  <si>
    <t>Det.c</t>
  </si>
  <si>
    <t>Net_Stubs.c</t>
  </si>
  <si>
    <t>PduR_UpTp.c</t>
  </si>
  <si>
    <t>Dem_Cfg_FWClass.c</t>
  </si>
  <si>
    <t>Dem_Cfg_HWShutdown.c</t>
  </si>
  <si>
    <t>Dem_EventFHandling.c</t>
  </si>
  <si>
    <t>rba_STM_Component_Cfg.c</t>
  </si>
  <si>
    <t>RBBUTSWI_BLS_Ana.c</t>
  </si>
  <si>
    <t>RBDSM_EraseAllNvMBlock.c</t>
  </si>
  <si>
    <t>RBEnvData_OBD.c</t>
  </si>
  <si>
    <t>RBHMI_ImmediateAccess.c</t>
  </si>
  <si>
    <t>RBSUPPLYVLV_UBVRVoltage.c</t>
  </si>
  <si>
    <t>RBTSI_RbDiagInit.c</t>
  </si>
  <si>
    <t>RBVLV_UVRActuation.c</t>
  </si>
  <si>
    <t>NvM_GetErrorStatus.c</t>
  </si>
  <si>
    <t>NvM_ReadBlock.c</t>
  </si>
  <si>
    <t>NvM_WriteBlock.c</t>
  </si>
  <si>
    <t>Obd_Cvn_CalId.c</t>
  </si>
  <si>
    <t>PbcInterface.c</t>
  </si>
  <si>
    <t>stubPara.c</t>
  </si>
  <si>
    <t>rba_STM_Component.c</t>
  </si>
  <si>
    <t>rba_STM_ComponentStructure.c</t>
  </si>
  <si>
    <t>rba_STM_Processing.c</t>
  </si>
  <si>
    <t>rba_STM_SSC_ComponentGoodcheck.c</t>
  </si>
  <si>
    <t>rba_STM_SystemStateCalculator.c</t>
  </si>
  <si>
    <t>rba_STM_VirtualNode.c</t>
  </si>
  <si>
    <t>BYD_Carbon_ESP93_Int</t>
  </si>
  <si>
    <t>Obd_CalId.c</t>
  </si>
  <si>
    <t>iBoosterGen2\rb\as\hht\vx1\netpr\gen\Cubas\CAN_OBD_Off</t>
  </si>
  <si>
    <t>Type of OPL/Defect</t>
  </si>
  <si>
    <t>Defect</t>
  </si>
  <si>
    <t>None</t>
  </si>
  <si>
    <t>Can't cover case default for switch at line #116. Because of the conditon "if ((RBAPLCUST_PHASESEQUENCE_MINIMUM &gt; dataIn1) || (RBAPLCUST_PHASESEQUENCE_MAXIMUM &lt; dataIn1))" at line #87 false when range vaule of dataIn1 to 1 from 4.</t>
  </si>
  <si>
    <t>MC_245411_SGMW_CN202C_ESPCP_BSS01_SP01</t>
  </si>
  <si>
    <t>rb\as\sgmw\core\app\dcom\RBAPLCust\src\ESP</t>
  </si>
  <si>
    <t>RBAPLCUST_RBDI_NVMData_SGMW_ESP.c</t>
  </si>
  <si>
    <t>SGWM_ESP93_Carbon_Int</t>
  </si>
  <si>
    <t>SUN Yun (CC-AS/EVA-SW31-CN)</t>
  </si>
  <si>
    <t>10h00</t>
  </si>
  <si>
    <t>- As discussion with Mr. Cuong via skype on 16th April 2020, he suggest to increse estimate time for package "PLTMT_03040604, PLTMT_07040804, PLTMT_13041404" because Platform process is new and difficult for new employeee</t>
  </si>
  <si>
    <t>ZHANG Wenjia (CC-AS/EVA-SW33-CN)</t>
  </si>
  <si>
    <t>LI Jianming (BEG/ESW-CN)</t>
  </si>
  <si>
    <t>YAN Jiebing (BEG/ESW-CN)</t>
  </si>
  <si>
    <t>YUAN Jessica(BEG/ESW-CN)</t>
  </si>
  <si>
    <t>XU Zhuofan (CC-AS/EVA-SW33-CN)</t>
  </si>
  <si>
    <t>Nguyen Van Tam (RBVH/EJV42)</t>
  </si>
  <si>
    <t>MA Python (CC-AS/EVA-SW31-CN)</t>
  </si>
  <si>
    <t>KASIVASAKAM Murugananth (CC-AS/EVA-SW32-CN)</t>
  </si>
  <si>
    <t>GEELY_SS11ESP9.3CP_BL02_SP02</t>
  </si>
  <si>
    <t>RBAPLCUST_RDBI_AccelerationPedal.c</t>
  </si>
  <si>
    <t>RBAPLCUST_RDBI_GearPosition.c</t>
  </si>
  <si>
    <t>RBAPLCUST_RDBI_HandBrake.c</t>
  </si>
  <si>
    <t>RBAPLCUST_RDBI_PTState.c</t>
  </si>
  <si>
    <t>rb\as\geely\core\app\dcom\RBAPLCust\src\ESP\RBAPLCUST_RDBI_AccelerationPedal.c</t>
  </si>
  <si>
    <t>rb\as\geely\core\app\dcom\RBAPLCust\src\ESP\RBAPLCUST_RDBI_GearPosition.c</t>
  </si>
  <si>
    <t>rb\as\geely\core\app\dcom\RBAPLCust\src\ESP\RBAPLCUST_RDBI_HandBrake.c</t>
  </si>
  <si>
    <t>rb\as\geely\core\app\dcom\RBAPLCust\src\ESP\RBAPLCUST_RDBI_PTState.c</t>
  </si>
  <si>
    <t>Geely_ESP93_Carbon_Int</t>
  </si>
  <si>
    <t>BL02_SP02</t>
  </si>
  <si>
    <t>FAW D090 High/Low G6 ECR</t>
  </si>
  <si>
    <t>BSS01_SP02</t>
  </si>
  <si>
    <t>JIN Li (CC-AS/EVA-SW33-CN)</t>
  </si>
  <si>
    <t>RBCAN_CanSMBusOffRecovery.c</t>
  </si>
  <si>
    <t>UnderVoltage.c</t>
  </si>
  <si>
    <t>FAW_Beryllium_D090HighG6_&amp;__D090LowG6_RC_INT</t>
  </si>
  <si>
    <t>rb\as\core\app\net</t>
  </si>
  <si>
    <t>rb\as\cnms_core\app\net\scl</t>
  </si>
  <si>
    <t>Can't cover full MCDC ((F &amp;&amp; ?) || (F &amp;&amp; ?)) at line #134. Because of can't create case "RBAPLCUST_RollerBenchSessionState = RBAPLCUST_RollerBenchSessionState_NOT_ACTIVE" and "RBAPLCUST_RollerBenchSessionState != RBAPLCUST_RollerBenchSessionState_NOT_ACTIVE".
Can't cover full MCDC (T &amp;&amp; F) at line #140. Because of when create case "(RBAPLCUST_RollerBenchSessionState == RBAPLCUST_RollerBenchSessionState_NOT_ACTIVE) &amp;&amp; (l_Active == FALSE)" =&gt; condition at line #134 is true.</t>
  </si>
  <si>
    <t>Lack of round brackets for if at line #116</t>
  </si>
  <si>
    <t>Manual</t>
  </si>
  <si>
    <t>GAC_Common_Task_Record_Sprint07</t>
  </si>
  <si>
    <t>CNMSESPHevX\rb\as\gaig\core\app\dcom\RBAPLCust\src\ESP\RBAPLCUST_RoutineControl_SteeringAngleSensorCalibration.c</t>
  </si>
  <si>
    <t>CNMSESPHevX\rb\as\gaig\core\app\dcom\RBAPLCust\src\ESP\RBAPLCUST_RoutineControl_INSCalibration.c</t>
  </si>
  <si>
    <t>RBAPLCUST_RoutineControl_SteeringAngleSensorCalibration.c</t>
  </si>
  <si>
    <t>RBAPLCUST_RoutineControl_INSCalibration.c</t>
  </si>
  <si>
    <t>PAN Qi (CC-AS/EVA-SW31-CN)</t>
  </si>
  <si>
    <t>GAC_ESPHevX_Carbon_Int</t>
  </si>
  <si>
    <t>SAIC_ZS11E_MCE_withDA_ESP9.3_241859_BSS01</t>
  </si>
  <si>
    <t>BSS01</t>
  </si>
  <si>
    <t>RBVAR_VarCode_PROJECT.c</t>
  </si>
  <si>
    <t>RBVAR_SystemStateManagement_COMMON.c</t>
  </si>
  <si>
    <t>FANG Amanda (CC-AS/EVA-SW31-CN)</t>
  </si>
  <si>
    <t>SAIC_A_ARCH_CMP_ESP93_Carbon_Int</t>
  </si>
  <si>
    <t>Adapt_236246_SMART_BBM_Ibooster_E2_SP3</t>
  </si>
  <si>
    <t>Adapt_236234_SMART_VDDM_ESPHevX_BSS02_E2_SP3</t>
  </si>
  <si>
    <t>BYD_IPB_SW_Mainstream_BL05_SP10</t>
  </si>
  <si>
    <t>206370_BYD_ESP9.3_New_Hybrid_MS15.1_BSS18</t>
  </si>
  <si>
    <t>AB30IB2</t>
  </si>
  <si>
    <t>GWM_B30_HP</t>
  </si>
  <si>
    <t>HAIMA_238525_VF00_ESP_RC2_BSS01.1_BSS02_Workitems_closure</t>
  </si>
  <si>
    <t>GAC_Carbon_Stream_ESPCP_BL05</t>
  </si>
  <si>
    <t>GAC_219651_Carbon_A18_iB2_FPA/RPA_BL04</t>
  </si>
  <si>
    <t>GAC_212111_Carbon_A12_iB2_FPA/RPA_BL02</t>
  </si>
  <si>
    <t>BYD_IPB_SW_Mainstream_BL05_Defect</t>
  </si>
  <si>
    <t>BYD_IPB_SW_Mainstream_BL05_SP11</t>
  </si>
  <si>
    <t>BYD_Carbon_Mainstream_BL02spr04</t>
  </si>
  <si>
    <t>GAC_220680_Carbon_A18_ESPHevx_FPA/RPA_BL04_TestExecution</t>
  </si>
  <si>
    <t>KX63_FL_ACC_232961_BSS03</t>
  </si>
  <si>
    <t>BYD_IPB_SW_Mainstream_BL05</t>
  </si>
  <si>
    <t>rb\as\saic\CpiwAPB\app\dsm\RBVAR\src</t>
  </si>
  <si>
    <t>rb\as\cnms_core\app\dsm\RBVAR\src\</t>
  </si>
  <si>
    <t>BSS02</t>
  </si>
  <si>
    <t>BL05_SP10</t>
  </si>
  <si>
    <t>BSS18</t>
  </si>
  <si>
    <t>BSS06</t>
  </si>
  <si>
    <t>BL05</t>
  </si>
  <si>
    <t>BL04</t>
  </si>
  <si>
    <t>BL02</t>
  </si>
  <si>
    <t>BL05_SP11</t>
  </si>
  <si>
    <t>BL02spr04</t>
  </si>
  <si>
    <t>BSS03</t>
  </si>
  <si>
    <t>DcmAppl_22_rdbi.c</t>
  </si>
  <si>
    <t>RBAPLCUST_RDBI_WheelSpeedInformation.c</t>
  </si>
  <si>
    <t>DcmAppl_DcmGetRxPermission.c</t>
  </si>
  <si>
    <t>DcmAppl_Switch_DcmExecuteReset.c</t>
  </si>
  <si>
    <t>NET_SCL_Tx_TPMS.c</t>
  </si>
  <si>
    <t>NET_SCL_Rx_TPMS.c</t>
  </si>
  <si>
    <t>RBAPLCUST_BYD_RDBI_NVMData.c</t>
  </si>
  <si>
    <t>RBFSWBootInterface_BYD.c</t>
  </si>
  <si>
    <t>DCOMIF.c</t>
  </si>
  <si>
    <t>RBAPLCUST_RBDI_NVM.c</t>
  </si>
  <si>
    <t>RBAPLCUST_ReadDTCInformation.c</t>
  </si>
  <si>
    <t>RBVAR_VarCode_COMMON.c</t>
  </si>
  <si>
    <t>SAS_LWS_Standard.c</t>
  </si>
  <si>
    <t>RBA_NDS_Engine_Callout.c</t>
  </si>
  <si>
    <t>RBA_NDS_SystemInfo.c</t>
  </si>
  <si>
    <t>RBA_NDS_TCUAvaliable_Callout.c</t>
  </si>
  <si>
    <t>NET_CheckSumLib_CNMS.c</t>
  </si>
  <si>
    <t>NET_SCL_EngineIntervention_Torq_GAC.c</t>
  </si>
  <si>
    <t>NET_SCL_Rx_GearBox.c</t>
  </si>
  <si>
    <t>RBAPLCUST_RoutineControl_TPMSReset.c</t>
  </si>
  <si>
    <t>RBAPLCUST_ClearDiagnosticInformation.c</t>
  </si>
  <si>
    <t>RBAPLCUST_EOLDelayCtrlOrAPBMi.c</t>
  </si>
  <si>
    <t>RBRIS_MainHandler.c</t>
  </si>
  <si>
    <t>RB_SCL_GAC_RX.c</t>
  </si>
  <si>
    <t>RBA_NDS_Complex_Callout.c</t>
  </si>
  <si>
    <t>NET_SCL_Rx_VAF_Complex.c</t>
  </si>
  <si>
    <t>rba_SCL_Settings.c</t>
  </si>
  <si>
    <t>NET_SCL_Tx_VAF_Complex.c</t>
  </si>
  <si>
    <t>RBPduHandler_Callouts.c</t>
  </si>
  <si>
    <t>RBNetSAS_Rx_Lws_Standard.c</t>
  </si>
  <si>
    <t>RBDHP_HighSystemPressureProtection.c</t>
  </si>
  <si>
    <t>RBDHP_PumpMotorActuationTimeLimitation.c</t>
  </si>
  <si>
    <t>RBDHP_StateMachine.c</t>
  </si>
  <si>
    <t>RBDHP_ValveActuationTimeLimitation.c</t>
  </si>
  <si>
    <t>Dem_VarCode_PRJ.c</t>
  </si>
  <si>
    <t>Dem_VarCodeHandling.c</t>
  </si>
  <si>
    <t>rba_BldrCmp_Cfg_FlashIf.c</t>
  </si>
  <si>
    <t>rba_BldrCmp_Cfg_Functions.c</t>
  </si>
  <si>
    <t>rba_BldrCmp_Cfg_SecA.c</t>
  </si>
  <si>
    <t>LIANG Xin (CC-AS/EVA-SW33-CN)</t>
  </si>
  <si>
    <t>GUO Sasa (CC-AS/EVA-SW3-CN)</t>
  </si>
  <si>
    <t>TAO Frank (CC-AS/EVA-SW31-CN)</t>
  </si>
  <si>
    <t>Revathi Sundaram (RBEI/ESC1)</t>
  </si>
  <si>
    <t>ZHANG Yu (CC-AS/EVA-SW31-CN)</t>
  </si>
  <si>
    <t>RUBAGAN Varunidhan (CC-AS/EVA-SW2-CN)</t>
  </si>
  <si>
    <t>CAI Tantan (CC-AS/EVA-SW31-CN)</t>
  </si>
  <si>
    <t>LI Zhiyuan (CC-AS/EVA-SW31-CN)</t>
  </si>
  <si>
    <t>Resmi George (RBEI/ESC1)</t>
  </si>
  <si>
    <t>Priyanka Perumal (RBEI/EBB7)</t>
  </si>
  <si>
    <t>GEEA2_0_IB2_SMART_Deuterium_Int</t>
  </si>
  <si>
    <t>BYD_ESP93_INT</t>
  </si>
  <si>
    <t>GWM_B30_IB2_Int</t>
  </si>
  <si>
    <t>GWM_B30_HP_Int</t>
  </si>
  <si>
    <t>HAIMA_VF00_ESP93_Int</t>
  </si>
  <si>
    <t>GAC_ESP93CP_Carbon_Int</t>
  </si>
  <si>
    <t>GAC_IB2_HADHAP_Int</t>
  </si>
  <si>
    <t>GAC_ESPHevX_HADHAP_Int</t>
  </si>
  <si>
    <t>CHERY_ESP93_CMP_RBEI_INTEGRATION</t>
  </si>
  <si>
    <t>BYD_IPB_BL05_Int</t>
  </si>
  <si>
    <t>20200416_1</t>
  </si>
  <si>
    <t>Detail for each project</t>
  </si>
  <si>
    <t>Can't cover False case of if (ret == E_OK ) at line #26. Because of that it's always TRUE</t>
  </si>
  <si>
    <t>Can't cover False case of if (newDR != DegradationReason_Available) at line #59. Because of that variable newDR can't reach value of DegradationReason_Available.</t>
  </si>
  <si>
    <t>Can't cover statement 'reached = reached &amp;&amp; IsStateReached' (F&amp;&amp;?). Because of that variable 'reached' has already set to TRUE.</t>
  </si>
  <si>
    <t>No function to test</t>
  </si>
  <si>
    <t>rb\as\ib2_baic\core\app\dcom</t>
  </si>
  <si>
    <t>BAIC_C62XP_IB2</t>
  </si>
  <si>
    <t>BL50</t>
  </si>
  <si>
    <t>BAIC_C62XP_IBooster_Int</t>
  </si>
  <si>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</si>
  <si>
    <t>Can’t cover false case if(Dem_ErrorQueueControl.isQueueEnabled) at line #518 and the true case if (callSetEventStatus) at line #532</t>
  </si>
  <si>
    <t>231839_DearCC_IC321_ESP9.3_BSS02_CAN_MATRIX_VARTABLE</t>
  </si>
  <si>
    <t>MC_223517_Geely_KC2A_ESP9.3CP_BB80335_BL04SP03</t>
  </si>
  <si>
    <t>MC_225750_Geely_KC2A_ESP9.3HB_BB80336_BL04SP03</t>
  </si>
  <si>
    <t>218053_CA_CD569_ESP9.3CP_BL6_SP2</t>
  </si>
  <si>
    <t>233324_JAC_P843_ESP9.3_BSS05</t>
  </si>
  <si>
    <t>BL04SP03</t>
  </si>
  <si>
    <t>BL6_SP2</t>
  </si>
  <si>
    <t>BSS05</t>
  </si>
  <si>
    <t>RBAPLEOL_ActuatorDynamicTest.c</t>
  </si>
  <si>
    <t>RBAPLEOL_ExtendedDynamicTest.c</t>
  </si>
  <si>
    <t>RBAPLEOL_PumpMotorErrorState.c</t>
  </si>
  <si>
    <t>RBAPLEOL_PumpSDTimeTest.c</t>
  </si>
  <si>
    <t>RBAPLEOL_ValvesToggling.c</t>
  </si>
  <si>
    <t>RBAPLCUST_CA_RDBI_WDBI_VAFFncSwitch.c</t>
  </si>
  <si>
    <t>rba_BldrCmp_Cfg_CheckMem.c</t>
  </si>
  <si>
    <t>rba_BldrCmp_Cfg_Com.c</t>
  </si>
  <si>
    <t>rba_BldrCMP_Cfg_CRC.c</t>
  </si>
  <si>
    <t>rba_BldrCmp_Cfg_DebugSupport.c</t>
  </si>
  <si>
    <t>rba_BldrCmp_Cfg_NvmIf.c</t>
  </si>
  <si>
    <t>rba_BldrCmp_Cfg_PrjFunctions.c</t>
  </si>
  <si>
    <t>rba_BldrCmp_Cfg_TestServices.c</t>
  </si>
  <si>
    <t>rba_BldrCmp_Cfg_TestServices_TaskMon.c</t>
  </si>
  <si>
    <t>rba_BldrCmp_Cfg_TestStackEval.c</t>
  </si>
  <si>
    <t>ZHANG Chao (CC-AS/EVA-SW32-CN)</t>
  </si>
  <si>
    <t>Devi Priya Premkumar (RBEI/EBB7)</t>
  </si>
  <si>
    <t>DearCC_RBEI_ESP93CP_Carbon_Int</t>
  </si>
  <si>
    <t>Geely_Beryllium2_Int</t>
  </si>
  <si>
    <t>Geely_Beryllium2_OBD_China6_Int</t>
  </si>
  <si>
    <t>ChangAn_ESP_Carbon_Int</t>
  </si>
  <si>
    <t>JAC_ESP93_Carbon_Int</t>
  </si>
  <si>
    <t>Nguyen Thanh Phuong</t>
  </si>
  <si>
    <t>Do Anh Huy</t>
  </si>
  <si>
    <t>- Wating for the new package JOEM</t>
  </si>
  <si>
    <t>- Take a new process at COEM team to proceed the next package since 14th April</t>
  </si>
  <si>
    <t>Adjust this time as the request from Mr Cuong with delta time for this package platform is 2 days. Real time of this item is 2.5 hour</t>
  </si>
  <si>
    <t>InAdvanced</t>
  </si>
  <si>
    <t>Detail for joem</t>
  </si>
  <si>
    <t>Detail for supporting: coem</t>
  </si>
  <si>
    <t>FAW_E115_ESPhev</t>
  </si>
  <si>
    <t>242899_GAC_A39_ESP9.3CPHD_RC4_BL011</t>
  </si>
  <si>
    <t>BYD_IPB_SW_Mainstream_BL05_SP12</t>
  </si>
  <si>
    <t>RBHMI_ConfigOutputDriver_PRJ.c</t>
  </si>
  <si>
    <t>RBHMI_ExtStateCalculation_PRJ.c</t>
  </si>
  <si>
    <t>RBVAR_OutputDriver_PROJECT.c</t>
  </si>
  <si>
    <t>RBVAR_IDDefinitionTable_PROJECT.c</t>
  </si>
  <si>
    <t>RBVAR_SystemStateManagement_PROJECT.c</t>
  </si>
  <si>
    <t>RBScl_CBS_prjCalculation.c</t>
  </si>
  <si>
    <t>RBScl_CBDS_prjDataPool.c</t>
  </si>
  <si>
    <t>RBScl_CBS_DemInterface.c</t>
  </si>
  <si>
    <t>BSL60</t>
  </si>
  <si>
    <t>BL011</t>
  </si>
  <si>
    <t>BL05_SP12</t>
  </si>
  <si>
    <t>FAW_L3_MainPath_HevX_Int</t>
  </si>
  <si>
    <t>GAC_ESP93CP_Int</t>
  </si>
  <si>
    <t>YANG Zhongjian (CC-AS/EVA-SW2-CN)</t>
  </si>
  <si>
    <t>WANG Shuaishuai (CC-AS/EVA-SW31-CN)</t>
  </si>
  <si>
    <t>MIAO Huafeng (CC-AS/EVA-SW32-CN)</t>
  </si>
  <si>
    <t>FAW_E111_ESPHevX_Int</t>
  </si>
  <si>
    <t>FAW_E111_ESPhev</t>
  </si>
  <si>
    <t>ComScl_Scl_ComlexSignal_Callout.c</t>
  </si>
  <si>
    <t>BSL31</t>
  </si>
  <si>
    <t>NET_Monitoring.c</t>
  </si>
  <si>
    <t>NET_PostrunHMIStrategy_FAW.c</t>
  </si>
  <si>
    <t>RBAPLCUST_RBDI_NVMData_FAW.c</t>
  </si>
  <si>
    <t>RBAPLCUST_WDBI_NVMData.c</t>
  </si>
  <si>
    <t>RBHMI_LDMLamp_FAW.C</t>
  </si>
  <si>
    <t xml:space="preserve">WANG Yicheng (CC-AS/EVA-SW33-CN) </t>
  </si>
  <si>
    <t>ZHENG Fangfang (CC-AS/EVA-SW33-CN)</t>
  </si>
  <si>
    <t>LIU Felix (CC-AS/EVA-SW33-CN)</t>
  </si>
  <si>
    <t>99885; 82188</t>
  </si>
  <si>
    <t>B30_9DCT_IB2: 80722; A30_DHT_IB2: 81556</t>
  </si>
  <si>
    <t>B30_8DCT_HP: 80432; A30_DHT_HP: 81558</t>
  </si>
  <si>
    <t>81116; 81175</t>
  </si>
  <si>
    <t>81614; 99300</t>
  </si>
  <si>
    <t>99503; 81262; 81565; 81708</t>
  </si>
  <si>
    <t>Can't cover full MCDC (((F &amp;&amp; ?) &amp;&amp; ?) || (T &amp;&amp; T)) at line #427. Because of condition "(l_LoopCnt &lt; g_EOLParamBuffer_PUB[4])" at line #427 and condition "(l_LoopCnt &lt; g_EOLParamBuffer_PUB[4])" at line #431 can’t be concurrent with false or true</t>
  </si>
  <si>
    <t>Duplicate 1 source C with same path</t>
  </si>
  <si>
    <t xml:space="preserve">At line #508 &amp; line #512 cannot cover MCDC because variable l_DriverPresent_B.  
At line 479 BOOL l_DriverPresent_B = true;
</t>
  </si>
  <si>
    <t>Line 1023: MCDC can not cover false case “ls_SCL_TotalOdometer_UL &gt;= 0” because ls_SCL_TotalOdometer_UL is static ULONG</t>
  </si>
  <si>
    <t>Actual LOC is 636</t>
  </si>
  <si>
    <t>Actual LOC is 30</t>
  </si>
  <si>
    <t>Release Date</t>
  </si>
  <si>
    <t>Actual LOC is 394</t>
  </si>
  <si>
    <t>ComponentName confirm by Pham Quoc Bao</t>
  </si>
  <si>
    <t>GEEA2_0_IB2_SMART_Deuterium_Int\iBoosterGen2\rb\as\ms\core\app\dcom\Cubas\src\Dcm\DcmAppl_Switch_DcmExecuteReset.c</t>
  </si>
  <si>
    <t>BYD_IPB_BL05_Int\BYDIPB\rb\as\BYD\ipb\app\net\RBScl_TPMS\src\NET_SCL_Tx_TPMS.c</t>
  </si>
  <si>
    <t>BYD_IPB_BL05_Int\BYDIPB\rb\as\BYD\ipb\app\net\RBScl_TPMS\src\NET_SCL_Rx_TPMS.c</t>
  </si>
  <si>
    <t>GWM_B30_IB2_Int\iBoosterGen2\rb\as\gwm\core\app\dcom\Cubas\src\Dcm_CNMS\DcmAppl_DcmSwitchCommunicationControl.c</t>
  </si>
  <si>
    <t>GWM_B30_IB2_Int\iBoosterGen2\rb\as\gwm\core\app\dcom\RBAPLCust\src\common\DCOMIF.c</t>
  </si>
  <si>
    <t>GWM_B30_IB2_Int\iBoosterGen2\rb\as\gwm\core\app\dcom\RBAPLCust\src\common\RBAPLCUST_DiagnosticSessionControl.c</t>
  </si>
  <si>
    <t>GWM_B30_IB2_Int\iBoosterGen2\rb\as\gwm\core\app\dcom\RBAPLCust\src\common\RBAPLCUST_RBDI_NVM.c</t>
  </si>
  <si>
    <t>GWM_B30_IB2_Int\iBoosterGen2\rb\as\gwm\core\app\dcom\RBAPLCust\src\ESP\RBAPLCUST_RDBI_ActuationState.c</t>
  </si>
  <si>
    <t>GWM_B30_IB2_Int\iBoosterGen2\rb\as\gwm\core\app\dcom\RBAPLCust\src\iBooster\RBAPLCUST_RDBI_AnalogData.c</t>
  </si>
  <si>
    <t>GWM_B30_IB2_Int\iBoosterGen2\rb\as\gwm\core\app\dcom\RBAPLCust\src\common\RBAPLCUST_RDBI_InputData.c</t>
  </si>
  <si>
    <t>GWM_B30_IB2_Int\iBoosterGen2\rb\as\gwm\core\app\dcom\RBAPLCust\src\ESP\RBAPLCUST_RDBI_IOCtrlState.c</t>
  </si>
  <si>
    <t>GWM_B30_IB2_Int\iBoosterGen2\rb\as\gwm\core\app\dcom\RBAPLCust\src\common\RBAPLCUST_ReadDTCInformation.c</t>
  </si>
  <si>
    <t>GWM_B30_IB2_Int\iBoosterGen2\rb\as\gwm\core\app\dcom\RBAPLCust\src\ESP\RBAPLCUST_RoutineControl_APBMi.c</t>
  </si>
  <si>
    <t>GWM_B30_IB2_Int\iBoosterGen2\rb\as\gwm\core\app\dcom\RBAPLCust\src\iBooster\RBAPLCUST_RoutineControl_iBoosterActuatorTest.c</t>
  </si>
  <si>
    <t>GWM_B30_IB2_Int\iBoosterGen2\rb\as\gwm\core\app\dcom\RBAPLCust\src\common\RBAPLCUST_VariandCode.c</t>
  </si>
  <si>
    <t>GWM_B30_IB2_Int\iBoosterGen2\rb\as\gwm\core\app\dcom\RBAPLOBD\src\RBAPLOBD_Data.c</t>
  </si>
  <si>
    <t>GWM_B30_IB2_Int\iBoosterGen2\rb\as\gwm\core\app\dcom\RBAPLOBD\src\RBAPLOBD_Global.c</t>
  </si>
  <si>
    <t>GWM_B30_HP_Int\CNMSESPHevX\rb\as\gwm\core\app\dcom\Cubas\src\Dcm_CNMS\DcmAppl_DcmSwitchCommunicationControl.c</t>
  </si>
  <si>
    <t>GWM_B30_HP_Int\CNMSESPHevX\rb\as\gwm\core\app\dcom\RBAPLCust\src\common\DCOMIF.c</t>
  </si>
  <si>
    <t>GWM_B30_HP_Int\CNMSESPHevX\rb\as\gwm\core\app\dcom\RBAPLCust\src\common\RBAPLCUST_DiagnosticSessionControl.c</t>
  </si>
  <si>
    <t>GWM_B30_HP_Int\CNMSESPHevX\rb\as\gwm\core\app\dcom\RBAPLCust\src\common\RBAPLCUST_RBDI_NVMData_Prj.c</t>
  </si>
  <si>
    <t>GWM_B30_HP_Int\CNMSESPHevX\rb\as\gwm\core\app\dcom\RBAPLCust\src\iBooster\RBAPLCUST_RDBI_AnalogData.c</t>
  </si>
  <si>
    <t>GWM_B30_HP_Int\CNMSESPHevX\rb\as\gwm\core\app\dcom\RBAPLCust\src\ESP\RBAPLCUST_RDBI_IOCtrlState.c</t>
  </si>
  <si>
    <t>GWM_B30_HP_Int\CNMSESPHevX\rb\as\gwm\core\app\dcom\RBAPLCust\src\common\RBAPLCUST_ReadDTCInformation.c</t>
  </si>
  <si>
    <t>GWM_B30_HP_Int\CNMSESPHevX\rb\as\gwm\core\app\dcom\RBAPLCust\src\ESP\RBAPLCUST_RoutineControl_APBMi.c</t>
  </si>
  <si>
    <t>GWM_B30_HP_Int\CNMSESPHevX\rb\as\gwm\core\app\dcom\RBAPLCust\src\iBooster\RBAPLCUST_RoutineControl_iBoosterActuatorTest.c</t>
  </si>
  <si>
    <t>GWM_B30_HP_Int\CNMSESPHevX\rb\as\gwm\core\app\dcom\RBAPLCust\src\common\RBAPLCUST_VariandCode.c</t>
  </si>
  <si>
    <t>GWM_B30_HP_Int\CNMSESPHevX\rb\as\gwm\core\app\dcom\RBAPLOBD\src\RBAPLOBD_Data.c</t>
  </si>
  <si>
    <t>GWM_B30_HP_Int\CNMSESPHevX\rb\as\gwm\core\app\dcom\RBAPLOBD\src\RBAPLOBD_Global.c</t>
  </si>
  <si>
    <t>HAIMA_VF00_ESP93_Int\MainstreamF30\rb\as\cnms_core\app\dsm\RBVAR\src\RBVAR_VarCode_COMMON.c</t>
  </si>
  <si>
    <t>HAIMA_VF00_ESP93_Int\MainstreamF30\rb\as\cnms_core\app\net\scl\Sensors\Steering\src\SAS_LWS_Standard.c</t>
  </si>
  <si>
    <t>HAIMA_VF00_ESP93_Int\MainstreamF30\rb\as\cnms_core\app\net\scl_callout\src\RBA_NDS_Engine_Callout.c</t>
  </si>
  <si>
    <t>HAIMA_VF00_ESP93_Int\MainstreamF30\rb\as\cnms_core\app\net\scl_callout\src\RBA_NDS_SystemInfo.c</t>
  </si>
  <si>
    <t>HAIMA_VF00_ESP93_Int\MainstreamF30\rb\as\cnms_core\app\net\scl_callout\src\RBA_NDS_TCUAvaliable_Callout.c</t>
  </si>
  <si>
    <t>HAIMA_VF00_ESP93_Int\MainstreamF30\rb\as\haimabmp\CpiwAPB\app\dsm\RBVAR\src\RBVAR_VarCode_PROJECT.c</t>
  </si>
  <si>
    <t>HAIMA_VF00_ESP93_Int\MainstreamF30\rb\as\haimabmp\CpiwAPB\app\net\RbNetPrj\RBNet_Can\src\NET_CheckSumLib_CNMS.c</t>
  </si>
  <si>
    <t>GAC_ESP93CP_Carbon_Int\MainstreamF30\rb\as\gaig\A12ESP\app\net\RBScl\RBScl_GAC\src\NET_SCL_EngineIntervention_Torq_GAC.c</t>
  </si>
  <si>
    <t>GAC_ESP93CP_Carbon_Int\MainstreamF30\rb\as\gaig\A12ESP\app\net\RBScl\RBScl_GAC\src\NET_SCL_Rx_GearBox.c</t>
  </si>
  <si>
    <t>GAC_ESP93CP_Carbon_Int\MainstreamF30\rb\as\gaig\core\app\dcom\RBAPLCust\src\ESP\RBAPLCUST_RoutineControl_INSCalibration.c</t>
  </si>
  <si>
    <t>GAC_ESP93CP_Carbon_Int\MainstreamF30\rb\as\gaig\core\app\dcom\RBAPLCust\src\ESP\RBAPLCUST_RoutineControl_SteeringAngleSensorCalibration.c</t>
  </si>
  <si>
    <t>GAC_ESP93CP_Carbon_Int\MainstreamF30\rb\as\gaig\core\app\dcom\RBAPLCust\src\ESP\RBAPLCUST_RoutineControl_TPMSReset.c</t>
  </si>
  <si>
    <t>GAC_ESP93CP_Carbon_Int\MainstreamF30\rb\as\cnms_core\app\dcom\RBAPLCust\src\common\RBAPLCUST_ClearDiagnosticInformation.c</t>
  </si>
  <si>
    <t>GAC_ESP93CP_Carbon_Int\MainstreamF30\rb\as\cnms_core\app\dcom\RBAPLCust\src\ESP\RBAPLCUST_EOLDelayCtrlOrAPBMi.c</t>
  </si>
  <si>
    <t>GAC_IB2_HADHAP_Int\iBoosterGen2\rb\as\gaig\core\app\dsm\RBVAR\A12FPA\src\RBVAR_VarCode_PROJECT.c</t>
  </si>
  <si>
    <t>GAC_IB2_HADHAP_Int\iBoosterGen2\rb\as\gaig\core\app\dsm\RBVAR\A18FPA\src\RBVAR_VarCode_PROJECT.c</t>
  </si>
  <si>
    <t>GAC_IB2_HADHAP_Int\iBoosterGen2\rb\as\gaig\core\app\dsm\RBVAR\A20FPA\src\RBVAR_VarCode_PROJECT.c</t>
  </si>
  <si>
    <t>GAC_IB2_HADHAP_Int\iBoosterGen2\rb\as\gaig\core\app\net\net_OBD_Off\RBScl\src\RBRIS_MainHandler.c</t>
  </si>
  <si>
    <t>GAC_IB2_HADHAP_Int\iBoosterGen2\rb\as\gaig\core\app\net\net_OBD_Off\RBScl\src\RB_SCL_GAC_RX.c</t>
  </si>
  <si>
    <t>BYD_Carbon_ESP93_Int\MainstreamF30\rb\as\core\app\net\RBNetSAS\src\RBNetSAS_Rx_Lws_Standard.c</t>
  </si>
  <si>
    <t>GAC_ESPHevX_HADHAP_Int\CNMSHevXHADHAP\rb\as\gaig\core\app\dcom\RBAPLCust\src\ESP\RBAPLCUST_RoutineControl_SteeringAngleSensorCalibration.c</t>
  </si>
  <si>
    <t>GAC_ESPHevX_HADHAP_Int\CNMSHevXHADHAP\rb\as\gaig\core\app\dcom\RBAPLCust\src\ESP\RBAPLCUST_RoutineControl_INSCalibration.c</t>
  </si>
  <si>
    <t>CHERY_ESP93_CMP_RBEI_INTEGRATION\MainstreamF30\rb\as\core\app\dhp\src\RBDHP_HighSystemPressureProtection.c</t>
  </si>
  <si>
    <t>CHERY_ESP93_CMP_RBEI_INTEGRATION\MainstreamF30\rb\as\core\app\dhp\src\RBDHP_PumpMotorActuationTimeLimitation.c</t>
  </si>
  <si>
    <t>CHERY_ESP93_CMP_RBEI_INTEGRATION\MainstreamF30\rb\as\core\app\dhp\src\RBDHP_StateMachine.c</t>
  </si>
  <si>
    <t>CHERY_ESP93_CMP_RBEI_INTEGRATION\MainstreamF30\rb\as\core\app\dhp\src\RBDHP_ValveActuationTimeLimitation.c</t>
  </si>
  <si>
    <t>CHERY_ESP93_CMP_RBEI_INTEGRATION\MainstreamF30\rb\as\cnms_core\app\dsm\DemVar\src\Dem_VarCode_PRJ.c</t>
  </si>
  <si>
    <t>CHERY_ESP93_CMP_RBEI_INTEGRATION\MainstreamF30\rb\as\cnms_core\app\dsm\DemVar\src\Dem_VarCodeHandling.c</t>
  </si>
  <si>
    <t>CHERY_ESP93_CMP_RBEI_INTEGRATION\MainstreamF30\rb\as\cherycmp\core\app\dcom\RBAPLCust\src\ESP\RBAPLCUST_RoutineControl_ConditionCheck.c</t>
  </si>
  <si>
    <t>BYD_IPB_BL05_Int\BYDIPB\rba\Bldr\config\ApplicationLayer\rba_BldrCmp\src\rba_BldrCmp_Cfg_FlashIf.c</t>
  </si>
  <si>
    <t>BYD_IPB_BL05_Int\BYDIPB\rba\Bldr\config\ApplicationLayer\rba_BldrCmp\src\rba_BldrCmp_Cfg_Functions.c</t>
  </si>
  <si>
    <t>BYD_IPB_BL05_Int\BYDIPB\rba\Bldr\config\ApplicationLayer\rba_BldrCmp\src\rba_BldrCmp_Cfg_SecA.c</t>
  </si>
  <si>
    <t>GEEA2_0_IB2_SMART_Deuterium_Int\iBoosterGen2\rb\as\ms\core\app\dcom\RBAPLCust\src\DcmAppl_22_rdbi.c</t>
  </si>
  <si>
    <t>GEEA2_0_IB2_SMART_Deuterium_Int\iBoosterGen2\rb\as\ms\core\app\dcom\RBAPLCust\src\RBAPLCUST_RDBI_WheelSpeedInformation.c</t>
  </si>
  <si>
    <t>GEEA2_0_IB2_SMART_Deuterium_Int\iBoosterGen2\rb\as\ms\core\app\dcom\Cubas\src\Dcm\DcmAppl_DcmGetRxPermission.c</t>
  </si>
  <si>
    <t>BYD_ESP93_Int\MainstreamF30\rb\as\BYD\core\app\dcom\RBAPLCust\src\RBAPLCUST_BYD_RDBI_NVMData.c</t>
  </si>
  <si>
    <t>GEEA2.0</t>
  </si>
  <si>
    <t>GEEA2.0\rb\as\cevt\core\app\dcom\Cubas\src\Dcm\DcmAppl_Switch_DcmExecuteReset.c</t>
  </si>
  <si>
    <t>DearCC_RBEI_ESP93CP_Carbon_Int\MainstreamF30\rb\as\cnms_core\app\dsm\RBVAR\src\RBVAR_SystemStateManagement_COMMON.c</t>
  </si>
  <si>
    <t>Geely_Beryllium2_Int\MainstreamF30\rb\as\core\app\dcom\RBAPLEOL\src\RBAPLEOL_ActuatorDynamicTest.c</t>
  </si>
  <si>
    <t>Geely_Beryllium2_Int\MainstreamF30\rb\as\core\app\dcom\RBAPLEOL\src\RBAPLEOL_ExtendedDynamicTest.c</t>
  </si>
  <si>
    <t>Geely_Beryllium2_Int\MainstreamF30\rb\as\core\app\dcom\RBAPLEOL\src\RBAPLEOL_PumpMotorErrorState.c</t>
  </si>
  <si>
    <t>Geely_Beryllium2_Int\MainstreamF30\rb\as\core\app\dcom\RBAPLEOL\src\RBAPLEOL_PumpSDTimeTest.c</t>
  </si>
  <si>
    <t>Geely_Beryllium2_Int\MainstreamF30\rb\as\core\app\dcom\RBAPLEOL\src\RBAPLEOL_ValvesToggling.c</t>
  </si>
  <si>
    <t>Geely_Beryllium2_OBD_China6_Int\MainstreamF30\rb\as\core\app\dcom\RBAPLEOL\src\RBAPLEOL_ActuatorDynamicTest.c</t>
  </si>
  <si>
    <t>Geely_Beryllium2_OBD_China6_Int\MainstreamF30\rb\as\core\app\dcom\RBAPLEOL\src\RBAPLEOL_ExtendedDynamicTest.c</t>
  </si>
  <si>
    <t>Geely_Beryllium2_OBD_China6_Int\MainstreamF30\rb\as\core\app\dcom\RBAPLEOL\src\RBAPLEOL_PumpMotorErrorState.c</t>
  </si>
  <si>
    <t>Geely_Beryllium2_OBD_China6_Int\MainstreamF30\rb\as\core\app\dcom\RBAPLEOL\src\RBAPLEOL_PumpSDTimeTest.c</t>
  </si>
  <si>
    <t>Geely_Beryllium2_OBD_China6_Int\MainstreamF30\rb\as\core\app\dcom\RBAPLEOL\src\RBAPLEOL_ValvesToggling.c</t>
  </si>
  <si>
    <t>ChangAn_ESP_Carbon_Int\MainstreamF30\rb\as\ca\core\app\dcom\RBAPLCust\src\ESP\RBAPLCUST_CA_RDBI_WDBI_VAFFncSwitch.c</t>
  </si>
  <si>
    <t>JAC_ESP93_Carbon_Int\MainstreamF30\rba\Bldr\config\ApplicationLayer\rba_BldrCmp\src\rba_BldrCmp_Cfg_CheckMem.c</t>
  </si>
  <si>
    <t>JAC_ESP93_Carbon_Int\MainstreamF30\rba\Bldr\config\ApplicationLayer\rba_BldrCmp\src\rba_BldrCmp_Cfg_Com.c</t>
  </si>
  <si>
    <t>JAC_ESP93_Carbon_Int\MainstreamF30\rba\Bldr\config\ApplicationLayer\rba_BldrCmp\src\rba_BldrCMP_Cfg_CRC.c</t>
  </si>
  <si>
    <t>JAC_ESP93_Carbon_Int\MainstreamF30\rba\Bldr\config\Infrastruct\TestEnv\src\rba_BldrCmp_Cfg_DebugSupport.c</t>
  </si>
  <si>
    <t>JAC_ESP93_Carbon_Int\MainstreamF30\rba\Bldr\config\ApplicationLayer\rba_BldrCmp\src\rba_BldrCmp_Cfg_FlashIf.c</t>
  </si>
  <si>
    <t>JAC_ESP93_Carbon_Int\MainstreamF30\rba\Bldr\config\ApplicationLayer\rba_BldrCmp\src\rba_BldrCmp_Cfg_Functions.c</t>
  </si>
  <si>
    <t>JAC_ESP93_Carbon_Int\MainstreamF30\rba\Bldr\config\ApplicationLayer\rba_BldrCmp\src\rba_BldrCmp_Cfg_NvmIf.c</t>
  </si>
  <si>
    <t>JAC_ESP93_Carbon_Int\MainstreamF30\rba\Bldr\config\ApplicationLayer\rba_BldrCmp\src\rba_BldrCmp_Cfg_PrjFunctions.c</t>
  </si>
  <si>
    <t>JAC_ESP93_Carbon_Int\MainstreamF30\rba\Bldr\config\ApplicationLayer\rba_BldrCmp\src\rba_BldrCmp_Cfg_SecA.c</t>
  </si>
  <si>
    <t>JAC_ESP93_Carbon_Int\MainstreamF30\rba\Bldr\config\Infrastruct\TestEnv\src\rba_BldrCmp_Cfg_TestServices.c</t>
  </si>
  <si>
    <t>JAC_ESP93_Carbon_Int\MainstreamF30\rba\Bldr\config\Infrastruct\TestEnv\src\rba_BldrCmp_Cfg_TestServices_TaskMon.c</t>
  </si>
  <si>
    <t>JAC_ESP93_Carbon_Int\MainstreamF30\rba\Bldr\config\Infrastruct\TestEnv\src\rba_BldrCmp_Cfg_TestStackEval.c</t>
  </si>
  <si>
    <t>Duplicate 1 source C with same path. Developer confirm: it is mistake, please remove duplicate function at task id 1405296</t>
  </si>
  <si>
    <t xml:space="preserve">BYD_ESP93_Int\MainstreamF30\rb\as\BYD\Mainstream151\dcompr\src\RBFSWBootInterface_BYD.c </t>
  </si>
  <si>
    <t>Defect is confirmed by developer</t>
  </si>
  <si>
    <t>Confirm by owner</t>
  </si>
  <si>
    <t>Lacking ComponentName</t>
  </si>
  <si>
    <t>Actual LOC is 303; Lacking ComponentName</t>
  </si>
  <si>
    <t>FAW_L3_MainPath_HevX_Int\CNMSESPHevX\rb\as\fawesphevx\fawcore\app\dsm\RBHMI\src\RBHMI_ConfigOutputDriver_PRJ.c</t>
  </si>
  <si>
    <t>FAW_L3_MainPath_HevX_Int\CNMSESPHevX\rb\as\fawesphevx\fawcore\app\dsm\RBHMI\src\RBHMI_ExtStateCalculation_PRJ.c</t>
  </si>
  <si>
    <t>GAC_ESP93CP_Carbon_Int\MainstreamF30\rb\as\gaig\A12ESP\app\dsm\RBVAR\BB_81262A20CP\src\RBVAR_OutputDriver_PROJECT.c</t>
  </si>
  <si>
    <t>GAC_ESP93CP_Carbon_Int\MainstreamF30\rb\as\gaig\A12ESP\app\dsm\RBVAR\BB_81708A20HD\src\RBVAR_OutputDriver_PROJECT.c</t>
  </si>
  <si>
    <t>GAC_ESP93CP_Carbon_Int\MainstreamF30\rb\as\gaig\A12ESP\app\dsm\RBVAR\BB_81565XR5\src\RBVAR_OutputDriver_PROJECT.c</t>
  </si>
  <si>
    <t>GAC_ESP93CP_Carbon_Int\MainstreamF30\rb\as\gaig\A12ESP\app\dsm\RBVAR\BB_99503A18CP\src\RBVAR_OutputDriver_PROJECT.c</t>
  </si>
  <si>
    <t>GAC_ESP93CP_Int\MainstreamF30\rb\as\gaig\A10\app\dsm\RBVAR\src\RBVAR_IDDefinitionTable_PROJECT.c</t>
  </si>
  <si>
    <t>GAC_ESP93CP_Int\MainstreamF30\rb\as\gaig\A10\app\dsm\RBVAR\src\RBVAR_SystemStateManagement_PROJECT.c</t>
  </si>
  <si>
    <t>BYD_IPB_BL05_Int\BYDIPB\rb\as\BYD\ipb\app\net\RBScl_CBS\src\RBScl_CBS_prjCalculation.c</t>
  </si>
  <si>
    <t>BYD_IPB_BL05_Int\BYDIPB\rb\as\BYD\ipb\app\net\RBScl_CBS\src\RBScl_CBDS_prjDataPool.c</t>
  </si>
  <si>
    <t>BYD_IPB_BL05_Int\BYDIPB\rb\as\BYD\ipb\app\net\RBScl_CBS\src\RBScl_CBS_DemInterface.c</t>
  </si>
  <si>
    <t>FAW_E111_ESPHevX_Int\CNMSESPHevX\rb\as\faw\core\app\net\RBScl\src\ComScl_Scl_ComlexSignal_Callout.c</t>
  </si>
  <si>
    <t>FAW_E111_ESPHevX_Int\CNMSESPHevX\rb\as\faw\core\app\net\RBScl\src\NET_Monitoring.c</t>
  </si>
  <si>
    <t>FAW_E111_ESPHevX_Int\CNMSESPHevX\rb\as\faw\core\app\net\RBScl\src\NET_PostrunHMIStrategy_FAW.c</t>
  </si>
  <si>
    <t>FAW_E111_ESPHevX_Int\CNMSESPHevX\rb\as\cnms_core\app\dcom\RBAPLCust\src\common\RBAPLCUST_RBDI_NVMData_FAW.c</t>
  </si>
  <si>
    <t>FAW_E111_ESPHevX_Int\CNMSESPHevX\rb\as\cnms_core\app\dcom\RBAPLCust\src\common\RBAPLCUST_WDBI_NVMData.c</t>
  </si>
  <si>
    <t>FAW_E111_ESPHevX_Int\CNMSESPHevX\rb\as\faw\core\app\dsm\RBHMI\src\RBHMI_ConfigOutputDriver_PRJ.c</t>
  </si>
  <si>
    <t>FAW_E111_ESPHevX_Int\CNMSESPHevX\rb\as\faw\prj\dsmpr\src\RBHMI\src\RBHMI_LDMLamp_FAW.C</t>
  </si>
  <si>
    <t>At line 57 cannot cover MCDC case False because absoluteAddress_u32 always is greater than rba_BldrCmp_Logical…….segment_begin.</t>
  </si>
  <si>
    <t xml:space="preserve">[No1] at line 308 cannot cover false case because retValue always is set equal to E_OK
[No2] at line 98 can not cover case true because switch case always jump to default case and *length_pu16 always is set equal to Zero =&gt; Line 98 always false
</t>
  </si>
  <si>
    <t xml:space="preserve">[No1] at line 34 switch case always jump to default case, please recheck </t>
  </si>
  <si>
    <t>Actual LOC is 489</t>
  </si>
  <si>
    <t xml:space="preserve">- Cannot cover case 1 1 1 0 1 0 1 of MCDC at line 94. Because this case requires HSH_TTI is different with 6 and equal to 6 at the same time
</t>
  </si>
  <si>
    <t>Actual LOC is 60</t>
  </si>
  <si>
    <t xml:space="preserve">Can’t cover MCDC at line #134 and #140 </t>
  </si>
  <si>
    <t>Owner said it's OK</t>
  </si>
  <si>
    <t>No fuction to test</t>
  </si>
  <si>
    <t>Can't cover full MCDC at line #314 because RBAPLHELP_isExtSessionActive_B() is not show to be effective.
Can't cover full MCDC at line #426 because Operand l_LoopCnt &lt; (g_EOLParamBuffer_PUB)[4] was not shown to be effective in expression.</t>
  </si>
  <si>
    <t>[No1]: can not cover false case at line 96 and line 108 because limited at line 93 and line 105
[No2]: cannot cover false case at line 173 because limited at line 167
[No3]: Cannot cover false case at line 179 because cannot control value at line 150 and 155</t>
  </si>
  <si>
    <t>[No1]: cannot cover false case MCDC at line 124 
[No2]: cannot cover false case at line 155 because limited at condition line 135
[No3]: Cannot cover false case at line 188 because limited at condition line 168</t>
  </si>
  <si>
    <r>
      <t xml:space="preserve">[No1]: cannot cover condition at line 178 because cannot control local variable </t>
    </r>
    <r>
      <rPr>
        <sz val="10"/>
        <color rgb="FFFF0000"/>
        <rFont val="Arial"/>
        <family val="2"/>
      </rPr>
      <t>TimeOutForinitialPlungerPosition</t>
    </r>
    <r>
      <rPr>
        <sz val="10"/>
        <color theme="1"/>
        <rFont val="Arial"/>
        <family val="2"/>
      </rPr>
      <t xml:space="preserve">, </t>
    </r>
    <r>
      <rPr>
        <sz val="10"/>
        <color rgb="FFFF0000"/>
        <rFont val="Arial"/>
        <family val="2"/>
      </rPr>
      <t xml:space="preserve">TimeOutForinitialPlungerPosition </t>
    </r>
    <r>
      <rPr>
        <sz val="10"/>
        <color theme="1"/>
        <rFont val="Arial"/>
        <family val="2"/>
      </rPr>
      <t>always equal to 1</t>
    </r>
  </si>
  <si>
    <t>[No1]: cannot cover false case at line 684 because limited by condition at line 675
[No2]: cannot cover false case MCDC at line 449 because limited with condition at line 440</t>
  </si>
  <si>
    <r>
      <t xml:space="preserve">I cannot cover case FASLE for branch this because </t>
    </r>
    <r>
      <rPr>
        <b/>
        <i/>
        <sz val="10"/>
        <color theme="1"/>
        <rFont val="Arial"/>
        <family val="2"/>
      </rPr>
      <t xml:space="preserve">syntax if—else </t>
    </r>
    <r>
      <rPr>
        <sz val="10"/>
        <color theme="1"/>
        <rFont val="Arial"/>
        <family val="2"/>
      </rPr>
      <t xml:space="preserve">.
I cannot cover case FASLE for MCDC this because l_Read_Counter is local variable &amp; uint8 l_Read_Counter = 0;
Before entering this branch it is always equal to 0.
</t>
    </r>
  </si>
  <si>
    <r>
      <t xml:space="preserve">Can’t cover at line #164 and #188 because cannot happen case </t>
    </r>
    <r>
      <rPr>
        <b/>
        <sz val="10"/>
        <color theme="1"/>
        <rFont val="Arial"/>
        <family val="2"/>
      </rPr>
      <t xml:space="preserve">T </t>
    </r>
    <r>
      <rPr>
        <b/>
        <sz val="10"/>
        <color rgb="FF548235"/>
        <rFont val="Arial"/>
        <family val="2"/>
      </rPr>
      <t>&amp;&amp;</t>
    </r>
    <r>
      <rPr>
        <b/>
        <sz val="10"/>
        <color theme="1"/>
        <rFont val="Arial"/>
        <family val="2"/>
      </rPr>
      <t xml:space="preserve"> F</t>
    </r>
    <r>
      <rPr>
        <sz val="10"/>
        <color theme="1"/>
        <rFont val="Arial"/>
        <family val="2"/>
      </rPr>
      <t xml:space="preserve"> (NRC_u8 = 0x00 </t>
    </r>
    <r>
      <rPr>
        <b/>
        <sz val="10"/>
        <color rgb="FF548235"/>
        <rFont val="Arial"/>
        <family val="2"/>
      </rPr>
      <t>&amp;&amp;</t>
    </r>
    <r>
      <rPr>
        <sz val="10"/>
        <color theme="1"/>
        <rFont val="Arial"/>
        <family val="2"/>
      </rPr>
      <t xml:space="preserve"> blockIndex = RBA_BLDRCMP_LOGICALBLOCK_NOT_FOUND).
When entering branch at line #131 
If NRC_u8 = 0x00 then blockIndex != RBA_BLDRCMP_LOGICALBLOCK_NOT_FOUND
If not entering line #131, go on line #158 then NRC_u8 = DCM_E_REQUESTOUTOFRANGE
</t>
    </r>
  </si>
  <si>
    <t>JOEM</t>
  </si>
  <si>
    <t>COEM</t>
  </si>
  <si>
    <t>Hung King</t>
  </si>
  <si>
    <t>Total Package for all JOEM, COEM</t>
  </si>
  <si>
    <t>PSW: 45000 ELOCS</t>
  </si>
  <si>
    <t>ASW: 13000 ELOCS</t>
  </si>
  <si>
    <t>Nguyen Tuan Duong</t>
  </si>
  <si>
    <t>Do Phu Loc</t>
  </si>
  <si>
    <t>Nguyen Kim Thanh</t>
  </si>
  <si>
    <t>Ly Chung</t>
  </si>
  <si>
    <t>Can’t cover TRUE case of MCDCs at line #46 Because it’s always FALSE.
Can’t cover full MCDCs at line #275 Because it’s always TRUE.</t>
  </si>
  <si>
    <t>Can’t cover full MCDCs at line #46 Because absoluteAddress_u32 &gt;= rba_BldrCmp_LogicalBlockTable_pst[rba_BldrCmp_BootCtrl_st.LogicalBlockIdx].BlockSegTable[rba_BldrCmp_BootCtrl_st.LogBlkCurSegment_u8].segment_begin is always TRUE</t>
  </si>
  <si>
    <t>At function “static boolean RBAPLCUST_RequestRollerBenchSession(boolean l_Active)”
Cannot cover MCDC.</t>
  </si>
  <si>
    <t>Waiting owner</t>
  </si>
  <si>
    <t>Owner 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</si>
</sst>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7"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sz val="10"/>
      <color indexed="8"/>
      <name val="Arial"/>
      <family val="2"/>
    </font>
    <font>
      <sz val="10"/>
      <color indexed="17"/>
      <name val="Arial"/>
      <family val="2"/>
    </font>
    <font>
      <sz val="10"/>
      <color indexed="10"/>
      <name val="Arial"/>
      <family val="2"/>
    </font>
    <font>
      <b/>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b/>
      <sz val="11"/>
      <color theme="1"/>
      <name val="Calibri"/>
      <family val="2"/>
      <scheme val="minor"/>
    </font>
    <font>
      <sz val="11"/>
      <color theme="1"/>
      <name val="Calibri"/>
      <family val="2"/>
      <scheme val="minor"/>
    </font>
    <font>
      <sz val="11"/>
      <color rgb="FF000000"/>
      <name val="Bosch Office Sans"/>
    </font>
    <font>
      <sz val="11"/>
      <name val="Calibri"/>
      <family val="2"/>
      <scheme val="minor"/>
    </font>
    <font>
      <sz val="11"/>
      <color rgb="FFFF0000"/>
      <name val="Calibri"/>
      <family val="2"/>
      <scheme val="minor"/>
    </font>
    <font>
      <b/>
      <sz val="11"/>
      <color rgb="FF00B0F0"/>
      <name val="Calibri"/>
      <family val="2"/>
      <scheme val="minor"/>
    </font>
    <font>
      <sz val="10"/>
      <color rgb="FFFF0000"/>
      <name val="Arial"/>
      <family val="2"/>
    </font>
    <font>
      <sz val="11"/>
      <color theme="1"/>
      <name val="Calibri"/>
      <family val="2"/>
      <scheme val="minor"/>
    </font>
    <font>
      <sz val="10"/>
      <color theme="1"/>
      <name val="Arial"/>
      <family val="2"/>
    </font>
    <font>
      <b/>
      <i/>
      <sz val="10"/>
      <color theme="1"/>
      <name val="Arial"/>
      <family val="2"/>
    </font>
    <font>
      <b/>
      <sz val="10"/>
      <color rgb="FF548235"/>
      <name val="Arial"/>
      <family val="2"/>
    </font>
  </fonts>
  <fills count="26">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7" tint="0.59999389629810485"/>
        <bgColor indexed="64"/>
      </patternFill>
    </fill>
    <fill>
      <patternFill patternType="solid">
        <fgColor rgb="FFFFC7CE"/>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rgb="FF00B050"/>
        <bgColor indexed="64"/>
      </patternFill>
    </fill>
    <fill>
      <patternFill patternType="solid">
        <fgColor rgb="FF0070C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3">
    <xf numFmtId="0" fontId="0" fillId="0" borderId="0"/>
    <xf numFmtId="0" fontId="6" fillId="0" borderId="0"/>
    <xf numFmtId="0" fontId="8" fillId="10" borderId="0" applyNumberFormat="0" applyBorder="0" applyAlignment="0" applyProtection="0"/>
  </cellStyleXfs>
  <cellXfs count="161">
    <xf numFmtId="0" fontId="0" fillId="0" borderId="0" xfId="0"/>
    <xf numFmtId="0" fontId="3" fillId="0" borderId="0" xfId="0" applyFont="1"/>
    <xf numFmtId="0" fontId="3" fillId="0" borderId="1" xfId="0" applyFont="1" applyBorder="1"/>
    <xf numFmtId="0" fontId="0" fillId="0" borderId="1" xfId="0" applyBorder="1"/>
    <xf numFmtId="0" fontId="3"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3" fillId="2" borderId="1" xfId="0" applyFont="1" applyFill="1" applyBorder="1" applyAlignment="1">
      <alignment horizontal="center" vertical="center" wrapText="1"/>
    </xf>
    <xf numFmtId="0" fontId="4" fillId="0" borderId="0" xfId="0" applyFont="1"/>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5" fillId="0" borderId="1" xfId="0" applyFont="1" applyBorder="1" applyAlignment="1">
      <alignment horizontal="left" vertical="top"/>
    </xf>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5" fillId="0" borderId="1" xfId="0" applyNumberFormat="1" applyFont="1" applyFill="1" applyBorder="1" applyAlignment="1" applyProtection="1">
      <alignment horizontal="left" vertical="top"/>
    </xf>
    <xf numFmtId="0" fontId="2" fillId="0" borderId="0" xfId="0" applyFont="1" applyAlignment="1">
      <alignment vertical="center"/>
    </xf>
    <xf numFmtId="0" fontId="2" fillId="0" borderId="0" xfId="0" quotePrefix="1" applyFont="1" applyAlignment="1">
      <alignment vertical="center"/>
    </xf>
    <xf numFmtId="0" fontId="0" fillId="0" borderId="0" xfId="0" applyAlignment="1">
      <alignment vertical="top"/>
    </xf>
    <xf numFmtId="0" fontId="7" fillId="2" borderId="1" xfId="0" applyFont="1" applyFill="1" applyBorder="1" applyAlignment="1">
      <alignment horizont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0" fontId="0" fillId="6" borderId="1" xfId="0" applyFont="1" applyFill="1" applyBorder="1" applyAlignment="1">
      <alignment horizontal="left" vertical="top"/>
    </xf>
    <xf numFmtId="0" fontId="0" fillId="7" borderId="1" xfId="0" applyFont="1" applyFill="1" applyBorder="1" applyAlignment="1">
      <alignment horizontal="left" vertical="top"/>
    </xf>
    <xf numFmtId="0" fontId="0" fillId="8" borderId="1" xfId="0" applyFont="1" applyFill="1" applyBorder="1" applyAlignment="1">
      <alignment horizontal="left" vertical="top"/>
    </xf>
    <xf numFmtId="0" fontId="0" fillId="8" borderId="1" xfId="0" quotePrefix="1" applyFont="1" applyFill="1" applyBorder="1" applyAlignment="1">
      <alignment horizontal="left" vertical="top"/>
    </xf>
    <xf numFmtId="164" fontId="0" fillId="8" borderId="1" xfId="0" applyNumberFormat="1" applyFont="1" applyFill="1" applyBorder="1" applyAlignment="1">
      <alignment horizontal="left" vertical="top"/>
    </xf>
    <xf numFmtId="10" fontId="0" fillId="0" borderId="1" xfId="0" applyNumberFormat="1" applyFont="1" applyBorder="1" applyAlignment="1">
      <alignment horizontal="left" vertical="top"/>
    </xf>
    <xf numFmtId="10" fontId="0" fillId="0" borderId="1" xfId="0" quotePrefix="1"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8" borderId="5" xfId="0" quotePrefix="1" applyFill="1" applyBorder="1" applyAlignment="1">
      <alignment vertical="center"/>
    </xf>
    <xf numFmtId="0" fontId="0" fillId="8" borderId="6" xfId="0" applyFill="1" applyBorder="1" applyAlignment="1">
      <alignment vertical="center"/>
    </xf>
    <xf numFmtId="0" fontId="0" fillId="8"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0" fillId="5" borderId="1" xfId="0" applyFont="1" applyFill="1" applyBorder="1" applyAlignment="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NumberFormat="1" applyFont="1" applyFill="1" applyBorder="1" applyAlignment="1">
      <alignment horizontal="left" vertical="top"/>
    </xf>
    <xf numFmtId="0" fontId="9" fillId="0" borderId="1" xfId="0" applyFont="1" applyFill="1" applyBorder="1" applyAlignment="1" applyProtection="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5" fillId="2" borderId="1" xfId="0" applyNumberFormat="1" applyFont="1" applyFill="1" applyBorder="1" applyAlignment="1" applyProtection="1">
      <alignment horizontal="left" vertical="top"/>
    </xf>
    <xf numFmtId="0" fontId="5" fillId="13"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quotePrefix="1" applyFont="1" applyFill="1" applyBorder="1" applyAlignment="1">
      <alignment horizontal="left" vertical="top"/>
    </xf>
    <xf numFmtId="0" fontId="5" fillId="11" borderId="1" xfId="0" applyNumberFormat="1" applyFont="1" applyFill="1" applyBorder="1" applyAlignment="1" applyProtection="1">
      <alignment horizontal="left" vertical="top"/>
    </xf>
    <xf numFmtId="0" fontId="0" fillId="0" borderId="1" xfId="0" applyBorder="1" applyAlignment="1">
      <alignment horizontal="left" vertical="top"/>
    </xf>
    <xf numFmtId="0" fontId="12" fillId="0" borderId="0" xfId="0" applyFont="1"/>
    <xf numFmtId="0" fontId="12" fillId="2" borderId="1" xfId="0" applyFont="1" applyFill="1" applyBorder="1" applyAlignment="1">
      <alignment horizontal="center" vertical="center"/>
    </xf>
    <xf numFmtId="0" fontId="12" fillId="2" borderId="1" xfId="0" applyFont="1" applyFill="1" applyBorder="1" applyAlignment="1">
      <alignment horizontal="center" vertical="center" wrapText="1"/>
    </xf>
    <xf numFmtId="0" fontId="0" fillId="0" borderId="1" xfId="0" applyBorder="1" applyAlignment="1">
      <alignment horizontal="right" vertical="center"/>
    </xf>
    <xf numFmtId="0" fontId="0" fillId="0" borderId="0" xfId="0" quotePrefix="1" applyAlignment="1"/>
    <xf numFmtId="0" fontId="5" fillId="12" borderId="1" xfId="0" applyNumberFormat="1" applyFont="1" applyFill="1" applyBorder="1" applyAlignment="1" applyProtection="1">
      <alignment horizontal="left" vertical="top"/>
    </xf>
    <xf numFmtId="0" fontId="5" fillId="14" borderId="1" xfId="0" applyNumberFormat="1" applyFont="1" applyFill="1" applyBorder="1" applyAlignment="1" applyProtection="1">
      <alignment horizontal="left" vertical="top"/>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left"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164" fontId="0" fillId="0" borderId="1" xfId="0" applyNumberFormat="1" applyFont="1" applyFill="1" applyBorder="1" applyAlignment="1">
      <alignment horizontal="left" vertical="top"/>
    </xf>
    <xf numFmtId="0" fontId="5" fillId="15" borderId="1" xfId="0" applyNumberFormat="1" applyFont="1" applyFill="1" applyBorder="1" applyAlignment="1" applyProtection="1">
      <alignment horizontal="left" vertical="top"/>
    </xf>
    <xf numFmtId="0" fontId="5" fillId="16" borderId="1" xfId="0" applyNumberFormat="1" applyFont="1" applyFill="1" applyBorder="1" applyAlignment="1" applyProtection="1">
      <alignment horizontal="left" vertical="top"/>
    </xf>
    <xf numFmtId="0" fontId="5" fillId="4" borderId="1" xfId="0" applyNumberFormat="1" applyFont="1" applyFill="1" applyBorder="1" applyAlignment="1" applyProtection="1">
      <alignment horizontal="left" vertical="top"/>
    </xf>
    <xf numFmtId="0" fontId="5" fillId="17" borderId="1" xfId="0" applyNumberFormat="1" applyFont="1" applyFill="1" applyBorder="1" applyAlignment="1" applyProtection="1">
      <alignment horizontal="left" vertical="top"/>
    </xf>
    <xf numFmtId="0" fontId="5" fillId="9" borderId="1" xfId="0" applyNumberFormat="1" applyFont="1" applyFill="1" applyBorder="1" applyAlignment="1" applyProtection="1">
      <alignment horizontal="left" vertical="top"/>
    </xf>
    <xf numFmtId="0" fontId="5" fillId="18" borderId="1" xfId="0" applyNumberFormat="1" applyFont="1" applyFill="1" applyBorder="1" applyAlignment="1" applyProtection="1">
      <alignment horizontal="left" vertical="top"/>
    </xf>
    <xf numFmtId="0" fontId="13" fillId="0" borderId="0" xfId="0" quotePrefix="1" applyFont="1"/>
    <xf numFmtId="0" fontId="0" fillId="19" borderId="1" xfId="0" quotePrefix="1" applyFont="1" applyFill="1" applyBorder="1" applyAlignment="1">
      <alignment horizontal="left" vertical="top"/>
    </xf>
    <xf numFmtId="0" fontId="5" fillId="6" borderId="1" xfId="0" applyNumberFormat="1" applyFont="1" applyFill="1" applyBorder="1" applyAlignment="1" applyProtection="1">
      <alignment horizontal="left" vertical="top"/>
    </xf>
    <xf numFmtId="0" fontId="5" fillId="20" borderId="1" xfId="0" applyNumberFormat="1" applyFont="1" applyFill="1" applyBorder="1" applyAlignment="1" applyProtection="1">
      <alignment horizontal="left" vertical="top"/>
    </xf>
    <xf numFmtId="0" fontId="5" fillId="21" borderId="1" xfId="0" applyNumberFormat="1" applyFont="1" applyFill="1" applyBorder="1" applyAlignment="1" applyProtection="1">
      <alignment horizontal="left" vertical="top"/>
    </xf>
    <xf numFmtId="0" fontId="3" fillId="2" borderId="1" xfId="0" applyFont="1" applyFill="1" applyBorder="1" applyAlignment="1">
      <alignment horizontal="left" vertical="top"/>
    </xf>
    <xf numFmtId="0" fontId="5" fillId="22" borderId="1" xfId="0" applyNumberFormat="1" applyFont="1" applyFill="1" applyBorder="1" applyAlignment="1" applyProtection="1">
      <alignment horizontal="left" vertical="top"/>
    </xf>
    <xf numFmtId="0" fontId="5" fillId="23" borderId="1" xfId="0" applyNumberFormat="1" applyFont="1" applyFill="1" applyBorder="1" applyAlignment="1" applyProtection="1">
      <alignment horizontal="left" vertical="top"/>
    </xf>
    <xf numFmtId="0" fontId="0" fillId="2" borderId="1" xfId="0" quotePrefix="1" applyFont="1" applyFill="1" applyBorder="1" applyAlignment="1">
      <alignment horizontal="left" vertical="top"/>
    </xf>
    <xf numFmtId="0" fontId="5" fillId="3" borderId="1" xfId="0" applyNumberFormat="1" applyFont="1" applyFill="1" applyBorder="1" applyAlignment="1" applyProtection="1">
      <alignment horizontal="left" vertical="top"/>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10" fontId="0" fillId="0" borderId="1" xfId="0" applyNumberFormat="1" applyFont="1" applyFill="1" applyBorder="1" applyAlignment="1">
      <alignment horizontal="left" vertical="top"/>
    </xf>
    <xf numFmtId="0" fontId="0" fillId="0" borderId="1" xfId="0" applyBorder="1" applyAlignment="1">
      <alignment horizontal="left" vertical="center"/>
    </xf>
    <xf numFmtId="0" fontId="4" fillId="5" borderId="1" xfId="0" applyFont="1" applyFill="1" applyBorder="1" applyAlignment="1">
      <alignment horizontal="left" vertical="top"/>
    </xf>
    <xf numFmtId="0" fontId="0" fillId="0" borderId="0" xfId="0" applyFont="1" applyFill="1"/>
    <xf numFmtId="0" fontId="0"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xf numFmtId="0" fontId="0" fillId="0" borderId="0" xfId="0" applyFill="1" applyBorder="1" applyAlignment="1"/>
    <xf numFmtId="0" fontId="0" fillId="0" borderId="0" xfId="0" quotePrefix="1" applyFill="1" applyBorder="1" applyAlignment="1"/>
    <xf numFmtId="0" fontId="3" fillId="2" borderId="1" xfId="0" quotePrefix="1" applyFont="1" applyFill="1" applyBorder="1" applyAlignment="1">
      <alignment horizontal="center" vertical="center"/>
    </xf>
    <xf numFmtId="0" fontId="0" fillId="0" borderId="1" xfId="0" applyFont="1" applyFill="1" applyBorder="1" applyAlignment="1">
      <alignment horizontal="center" vertical="center"/>
    </xf>
    <xf numFmtId="0" fontId="0" fillId="0" borderId="1" xfId="0" applyFont="1" applyFill="1" applyBorder="1" applyAlignment="1">
      <alignment horizontal="left" vertical="center"/>
    </xf>
    <xf numFmtId="0" fontId="3" fillId="2" borderId="1" xfId="0" quotePrefix="1" applyFont="1" applyFill="1" applyBorder="1" applyAlignment="1">
      <alignment horizontal="center" vertical="center" wrapText="1"/>
    </xf>
    <xf numFmtId="0" fontId="0" fillId="0" borderId="1"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1" xfId="0" quotePrefix="1" applyBorder="1" applyAlignment="1">
      <alignment horizontal="center" vertical="center"/>
    </xf>
    <xf numFmtId="0" fontId="0" fillId="0" borderId="1" xfId="0" quotePrefix="1" applyBorder="1" applyAlignment="1">
      <alignment horizontal="left" vertical="center"/>
    </xf>
    <xf numFmtId="0" fontId="5" fillId="24" borderId="1" xfId="0" applyNumberFormat="1" applyFont="1" applyFill="1" applyBorder="1" applyAlignment="1" applyProtection="1">
      <alignment horizontal="left" vertical="top"/>
    </xf>
    <xf numFmtId="0" fontId="16" fillId="2" borderId="1" xfId="0" applyFont="1" applyFill="1" applyBorder="1" applyAlignment="1">
      <alignment horizontal="left" vertical="top"/>
    </xf>
    <xf numFmtId="0" fontId="17" fillId="0" borderId="1" xfId="0" applyFont="1" applyFill="1" applyBorder="1" applyAlignment="1">
      <alignment horizontal="left" vertical="top"/>
    </xf>
    <xf numFmtId="0" fontId="5" fillId="25" borderId="1" xfId="0" applyNumberFormat="1" applyFont="1" applyFill="1" applyBorder="1" applyAlignment="1" applyProtection="1">
      <alignment horizontal="left" vertical="top"/>
    </xf>
    <xf numFmtId="0" fontId="0" fillId="0" borderId="8" xfId="0" applyBorder="1" applyAlignment="1">
      <alignment horizontal="left" vertical="top"/>
    </xf>
    <xf numFmtId="0" fontId="0" fillId="0" borderId="3" xfId="0" applyBorder="1" applyAlignment="1">
      <alignment horizontal="left" vertical="top"/>
    </xf>
    <xf numFmtId="164" fontId="0" fillId="0" borderId="3" xfId="0" applyNumberFormat="1" applyBorder="1" applyAlignment="1">
      <alignment horizontal="left" vertical="top"/>
    </xf>
    <xf numFmtId="10" fontId="0" fillId="0" borderId="3" xfId="0" applyNumberFormat="1" applyBorder="1" applyAlignment="1">
      <alignment horizontal="left" vertical="top"/>
    </xf>
    <xf numFmtId="0" fontId="19" fillId="0" borderId="9" xfId="0" applyFont="1" applyBorder="1" applyAlignment="1">
      <alignment horizontal="left" vertical="top"/>
    </xf>
    <xf numFmtId="0" fontId="20" fillId="0" borderId="1" xfId="0" applyFont="1" applyBorder="1" applyAlignment="1">
      <alignment horizontal="left" vertical="top"/>
    </xf>
    <xf numFmtId="0" fontId="5" fillId="8" borderId="1" xfId="0" applyNumberFormat="1" applyFont="1" applyFill="1" applyBorder="1" applyAlignment="1" applyProtection="1">
      <alignment horizontal="left" vertical="top"/>
    </xf>
    <xf numFmtId="0" fontId="3" fillId="0" borderId="1" xfId="0" applyFont="1" applyBorder="1" applyAlignment="1">
      <alignment horizontal="left" vertical="top"/>
    </xf>
    <xf numFmtId="0" fontId="3" fillId="0" borderId="1" xfId="0" quotePrefix="1" applyFont="1" applyBorder="1" applyAlignment="1">
      <alignment horizontal="left" vertical="top"/>
    </xf>
    <xf numFmtId="0" fontId="3" fillId="0" borderId="1" xfId="0" applyFont="1" applyFill="1" applyBorder="1" applyAlignment="1">
      <alignment horizontal="left" vertical="top"/>
    </xf>
    <xf numFmtId="0" fontId="3" fillId="8" borderId="1" xfId="0" quotePrefix="1" applyFont="1" applyFill="1" applyBorder="1" applyAlignment="1">
      <alignment horizontal="left" vertical="top"/>
    </xf>
    <xf numFmtId="0" fontId="3" fillId="5"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Fill="1" applyBorder="1" applyAlignment="1">
      <alignment horizontal="left" vertical="top"/>
    </xf>
    <xf numFmtId="0" fontId="0" fillId="24" borderId="1" xfId="0" applyFont="1" applyFill="1" applyBorder="1" applyAlignment="1">
      <alignment horizontal="left" vertical="top"/>
    </xf>
    <xf numFmtId="0" fontId="5" fillId="19" borderId="1" xfId="0" applyNumberFormat="1" applyFont="1" applyFill="1" applyBorder="1" applyAlignment="1" applyProtection="1">
      <alignment horizontal="left" vertical="top"/>
    </xf>
    <xf numFmtId="0" fontId="0" fillId="19" borderId="1" xfId="0" applyFont="1" applyFill="1" applyBorder="1" applyAlignment="1">
      <alignment horizontal="left" vertical="top"/>
    </xf>
    <xf numFmtId="0" fontId="0" fillId="19" borderId="1" xfId="0" applyFill="1" applyBorder="1" applyAlignment="1">
      <alignment horizontal="left" vertical="top"/>
    </xf>
    <xf numFmtId="164" fontId="0" fillId="19" borderId="1" xfId="0" applyNumberFormat="1" applyFont="1" applyFill="1" applyBorder="1" applyAlignment="1">
      <alignment horizontal="left" vertical="top"/>
    </xf>
    <xf numFmtId="10" fontId="0" fillId="19" borderId="1" xfId="0" applyNumberFormat="1" applyFont="1" applyFill="1" applyBorder="1" applyAlignment="1">
      <alignment horizontal="left" vertical="top"/>
    </xf>
    <xf numFmtId="0" fontId="20" fillId="19" borderId="1" xfId="0" applyFont="1" applyFill="1" applyBorder="1" applyAlignment="1">
      <alignment horizontal="left" vertical="top"/>
    </xf>
    <xf numFmtId="0" fontId="23" fillId="0" borderId="1" xfId="0" applyFont="1" applyFill="1" applyBorder="1" applyAlignment="1">
      <alignment horizontal="left" vertical="top"/>
    </xf>
    <xf numFmtId="164" fontId="0" fillId="2" borderId="1" xfId="0" applyNumberFormat="1"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3" fillId="0" borderId="1" xfId="0" applyFont="1" applyBorder="1" applyAlignment="1">
      <alignment vertical="top"/>
    </xf>
    <xf numFmtId="0" fontId="3" fillId="0" borderId="1" xfId="0" applyFont="1" applyFill="1" applyBorder="1" applyAlignment="1">
      <alignment vertical="top"/>
    </xf>
    <xf numFmtId="0" fontId="24" fillId="0" borderId="0" xfId="0" applyFont="1" applyAlignment="1">
      <alignment horizontal="left" vertical="top"/>
    </xf>
    <xf numFmtId="0" fontId="18" fillId="0" borderId="0" xfId="0" applyFont="1" applyAlignment="1">
      <alignment horizontal="lef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3" fillId="0" borderId="0" xfId="0" applyFont="1" applyAlignment="1">
      <alignment vertical="top"/>
    </xf>
    <xf numFmtId="0" fontId="8" fillId="10"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0" fontId="23" fillId="0" borderId="1" xfId="0" applyFont="1" applyBorder="1" applyAlignment="1">
      <alignment horizontal="left" vertical="top"/>
    </xf>
    <xf numFmtId="0" fontId="23" fillId="0" borderId="1" xfId="0" applyFont="1" applyBorder="1" applyAlignment="1">
      <alignment horizontal="left"/>
    </xf>
  </cellXfs>
  <cellStyles count="3">
    <cellStyle name="Bad" xfId="2" builtinId="27"/>
    <cellStyle name="Normal" xfId="0" builtinId="0"/>
    <cellStyle name="Normal 3" xfId="1"/>
  </cellStyles>
  <dxfs count="1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10"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printerSettings" Target="../printerSettings/printerSettings14.bin"/><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0.bin"/><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O392"/>
  <sheetViews>
    <sheetView tabSelected="1" topLeftCell="J256" zoomScale="70" zoomScaleNormal="55" workbookViewId="0">
      <selection activeCell="N279" sqref="N279"/>
    </sheetView>
  </sheetViews>
  <sheetFormatPr defaultRowHeight="15" x14ac:dyDescent="0.25"/>
  <cols>
    <col min="3" max="3" width="17" customWidth="1"/>
    <col min="4" max="4" width="10.140625" customWidth="1"/>
    <col min="5" max="5" width="37.7109375" customWidth="1"/>
    <col min="6" max="6" width="192.140625" bestFit="1" customWidth="1"/>
    <col min="7" max="7" width="14.140625" bestFit="1" customWidth="1"/>
    <col min="8" max="8" width="17.28515625" bestFit="1" customWidth="1"/>
    <col min="9" max="9" width="72.7109375" bestFit="1" customWidth="1"/>
    <col min="10" max="10" width="17" bestFit="1" customWidth="1"/>
    <col min="11" max="11" width="24.42578125" bestFit="1" customWidth="1"/>
    <col min="12" max="12" width="17.28515625" customWidth="1"/>
    <col min="13" max="13" width="20.5703125" customWidth="1"/>
    <col min="14" max="14" width="55.85546875" bestFit="1" customWidth="1"/>
    <col min="24" max="24" width="19.28515625" bestFit="1" customWidth="1"/>
    <col min="25" max="25" width="17.42578125" bestFit="1" customWidth="1"/>
    <col min="26" max="26" width="16" bestFit="1" customWidth="1"/>
    <col min="27" max="28" width="15" bestFit="1" customWidth="1"/>
    <col min="29" max="29" width="17.42578125" bestFit="1" customWidth="1"/>
    <col min="30" max="30" width="16" bestFit="1" customWidth="1"/>
    <col min="31" max="31" width="14.140625" customWidth="1"/>
    <col min="32" max="32" width="14" customWidth="1"/>
    <col min="33" max="33" width="7.7109375" bestFit="1" customWidth="1"/>
    <col min="34" max="35" width="9.140625" bestFit="1" customWidth="1"/>
    <col min="36" max="36" width="9.85546875" bestFit="1" customWidth="1"/>
    <col min="37" max="37" width="17.7109375" bestFit="1" customWidth="1"/>
    <col min="38" max="38" width="48.85546875" customWidth="1"/>
    <col min="39" max="39" width="35.85546875" bestFit="1" customWidth="1"/>
    <col min="40" max="40" width="45.140625" customWidth="1"/>
  </cols>
  <sheetData>
    <row r="1" spans="1:13" x14ac:dyDescent="0.25">
      <c r="A1" s="155" t="s">
        <v>355</v>
      </c>
    </row>
    <row r="2" spans="1:13" x14ac:dyDescent="0.25">
      <c r="B2" s="155" t="s">
        <v>56</v>
      </c>
      <c r="C2" s="25"/>
      <c r="D2" s="25"/>
      <c r="E2" s="25"/>
      <c r="F2" s="25"/>
      <c r="G2" s="25"/>
      <c r="H2" s="25"/>
    </row>
    <row r="3" spans="1:13" x14ac:dyDescent="0.25">
      <c r="B3" s="146" t="s">
        <v>0</v>
      </c>
      <c r="C3" s="146" t="s">
        <v>8</v>
      </c>
      <c r="D3" s="146" t="s">
        <v>159</v>
      </c>
      <c r="E3" s="146" t="s">
        <v>57</v>
      </c>
      <c r="F3" s="146" t="s">
        <v>169</v>
      </c>
      <c r="G3" s="146" t="s">
        <v>22</v>
      </c>
      <c r="H3" s="147" t="s">
        <v>24</v>
      </c>
      <c r="J3" s="155" t="s">
        <v>43</v>
      </c>
    </row>
    <row r="4" spans="1:13" x14ac:dyDescent="0.25">
      <c r="B4" s="150">
        <v>1</v>
      </c>
      <c r="C4" s="151" t="s">
        <v>6</v>
      </c>
      <c r="D4" s="152">
        <f>SUMIFS($W$48:$W$391,$D$48:$D$391,Table!$D$3,$S$48:$S$391,C4)</f>
        <v>6669.5</v>
      </c>
      <c r="E4" s="152">
        <f>SUMIFS($W$48:$W$391,$D$48:$D$391,Table!$D$3,$S$48:$S$391,C4)-SUM(SUMIFS($W$48:$W$391,$D$48:$D$391,Table!$D$3,$S$48:$S$391,C4,$AA$48:$AA$391,{"Ongoing","N/A",""}))</f>
        <v>6669.5</v>
      </c>
      <c r="F4" s="152">
        <f>1/8*(SUMIFS($Z$48:$Z$391,$D$48:$D$391,Table!$D$3,$S$48:$S$391,C4)-SUM(SUMIFS($Z$48:$Z$391,$D$48:$D$391,Table!$D$3,$S$48:$S$391,C4,$AA$48:$AA$391,{"Ongoing","N/A",""})))</f>
        <v>9.75</v>
      </c>
      <c r="G4" s="152">
        <f>IF(ISERROR(E4/(F4)),"N/A",E4/F4)</f>
        <v>684.0512820512821</v>
      </c>
      <c r="H4" s="153">
        <f>IF(ISERROR(E4/D4),"N/A",E4/D4)</f>
        <v>1</v>
      </c>
      <c r="K4" s="155" t="s">
        <v>45</v>
      </c>
    </row>
    <row r="5" spans="1:13" x14ac:dyDescent="0.25">
      <c r="B5" s="150">
        <v>2</v>
      </c>
      <c r="C5" s="151" t="s">
        <v>68</v>
      </c>
      <c r="D5" s="152">
        <f>SUMIFS($W$48:$W$391,$D$48:$D$391,Table!$D$3,$S$48:$S$391,C5)</f>
        <v>7847.25</v>
      </c>
      <c r="E5" s="152">
        <f>SUMIFS($W$48:$W$391,$D$48:$D$391,Table!$D$3,$S$48:$S$391,C5)-SUM(SUMIFS($W$48:$W$391,$D$48:$D$391,Table!$D$3,$S$48:$S$391,C5,$AA$48:$AA$391,{"Ongoing","N/A",""}))</f>
        <v>7847.25</v>
      </c>
      <c r="F5" s="152">
        <f>1/8*(SUMIFS($Z$48:$Z$391,$D$48:$D$391,Table!$D$3,$S$48:$S$391,C5)-SUM(SUMIFS($Z$48:$Z$391,$D$48:$D$391,Table!$D$3,$S$48:$S$391,C5,$AA$48:$AA$391,{"Ongoing","N/A",""})))</f>
        <v>9.5625</v>
      </c>
      <c r="G5" s="152">
        <f t="shared" ref="G5:G6" si="0">IF(ISERROR(E5/(F5)),"N/A",E5/F5)</f>
        <v>820.62745098039215</v>
      </c>
      <c r="H5" s="153">
        <f t="shared" ref="H5:H14" si="1">IF(ISERROR(E5/D5),"N/A",E5/D5)</f>
        <v>1</v>
      </c>
      <c r="L5" s="25" t="s">
        <v>44</v>
      </c>
    </row>
    <row r="6" spans="1:13" x14ac:dyDescent="0.25">
      <c r="B6" s="150">
        <v>3</v>
      </c>
      <c r="C6" s="151" t="s">
        <v>69</v>
      </c>
      <c r="D6" s="152">
        <f>SUMIFS($W$48:$W$391,$D$48:$D$391,Table!$D$3,$S$48:$S$391,C6)</f>
        <v>8623.5</v>
      </c>
      <c r="E6" s="152">
        <f>SUMIFS($W$48:$W$391,$D$48:$D$391,Table!$D$3,$S$48:$S$391,C6)-SUM(SUMIFS($W$48:$W$391,$D$48:$D$391,Table!$D$3,$S$48:$S$391,C6,$AA$48:$AA$391,{"Ongoing","N/A",""}))</f>
        <v>8623.5</v>
      </c>
      <c r="F6" s="152">
        <f>1/8*(SUMIFS($Z$48:$Z$391,$D$48:$D$391,Table!$D$3,$S$48:$S$391,C6)-SUM(SUMIFS($Z$48:$Z$391,$D$48:$D$391,Table!$D$3,$S$48:$S$391,C6,$AA$48:$AA$391,{"Ongoing","N/A",""})))</f>
        <v>10.39</v>
      </c>
      <c r="G6" s="152">
        <f t="shared" si="0"/>
        <v>829.98075072184793</v>
      </c>
      <c r="H6" s="153">
        <f t="shared" si="1"/>
        <v>1</v>
      </c>
      <c r="L6" s="25" t="s">
        <v>117</v>
      </c>
    </row>
    <row r="7" spans="1:13" x14ac:dyDescent="0.25">
      <c r="B7" s="150">
        <v>4</v>
      </c>
      <c r="C7" s="151" t="s">
        <v>70</v>
      </c>
      <c r="D7" s="152">
        <f>SUMIFS($W$48:$W$391,$D$48:$D$391,Table!$D$3,$S$48:$S$391,C7)</f>
        <v>7377.5</v>
      </c>
      <c r="E7" s="152">
        <f>SUMIFS($W$48:$W$391,$D$48:$D$391,Table!$D$3,$S$48:$S$391,C7)-SUM(SUMIFS($W$48:$W$391,$D$48:$D$391,Table!$D$3,$S$48:$S$391,C7,$AA$48:$AA$391,{"Ongoing","N/A",""}))</f>
        <v>7377.5</v>
      </c>
      <c r="F7" s="152">
        <f>1/8*(SUMIFS($Z$48:$Z$391,$D$48:$D$391,Table!$D$3,$S$48:$S$391,C7)-SUM(SUMIFS($Z$48:$Z$391,$D$48:$D$391,Table!$D$3,$S$48:$S$391,C7,$AA$48:$AA$391,{"Ongoing","N/A",""})))</f>
        <v>10.850000000000001</v>
      </c>
      <c r="G7" s="152">
        <f t="shared" ref="G7:G13" si="2">IF(ISERROR(E7/(F7)),"N/A",E7/F7)</f>
        <v>679.95391705069119</v>
      </c>
      <c r="H7" s="153">
        <f t="shared" ref="H7:H13" si="3">IF(ISERROR(E7/D7),"N/A",E7/D7)</f>
        <v>1</v>
      </c>
      <c r="K7" s="155" t="s">
        <v>46</v>
      </c>
    </row>
    <row r="8" spans="1:13" x14ac:dyDescent="0.25">
      <c r="B8" s="150">
        <v>5</v>
      </c>
      <c r="C8" s="151" t="s">
        <v>71</v>
      </c>
      <c r="D8" s="152">
        <f>SUMIFS($W$48:$W$391,$D$48:$D$391,Table!$D$3,$S$48:$S$391,C8)</f>
        <v>0</v>
      </c>
      <c r="E8" s="152">
        <f>SUMIFS($W$48:$W$391,$D$48:$D$391,Table!$D$3,$S$48:$S$391,C8)-SUM(SUMIFS($W$48:$W$391,$D$48:$D$391,Table!$D$3,$S$48:$S$391,C8,$AA$48:$AA$391,{"Ongoing","N/A",""}))</f>
        <v>0</v>
      </c>
      <c r="F8" s="152">
        <f>1/8*(SUMIFS($Z$48:$Z$391,$D$48:$D$391,Table!$D$3,$S$48:$S$391,C8)-SUM(SUMIFS($Z$48:$Z$391,$D$48:$D$391,Table!$D$3,$S$48:$S$391,C8,$AA$48:$AA$391,{"Ongoing","N/A",""})))</f>
        <v>0</v>
      </c>
      <c r="G8" s="152" t="str">
        <f t="shared" si="2"/>
        <v>N/A</v>
      </c>
      <c r="H8" s="153" t="str">
        <f t="shared" si="3"/>
        <v>N/A</v>
      </c>
      <c r="L8" s="25" t="s">
        <v>47</v>
      </c>
    </row>
    <row r="9" spans="1:13" x14ac:dyDescent="0.25">
      <c r="B9" s="150">
        <v>6</v>
      </c>
      <c r="C9" s="151" t="s">
        <v>72</v>
      </c>
      <c r="D9" s="152">
        <f>SUMIFS($W$48:$W$391,$D$48:$D$391,Table!$D$3,$S$48:$S$391,C9)</f>
        <v>4231</v>
      </c>
      <c r="E9" s="152">
        <f>SUMIFS($W$48:$W$391,$D$48:$D$391,Table!$D$3,$S$48:$S$391,C9)-SUM(SUMIFS($W$48:$W$391,$D$48:$D$391,Table!$D$3,$S$48:$S$391,C9,$AA$48:$AA$391,{"Ongoing","N/A",""}))</f>
        <v>4231</v>
      </c>
      <c r="F9" s="152">
        <f>1/8*(SUMIFS($Z$48:$Z$391,$D$48:$D$391,Table!$D$3,$S$48:$S$391,C9)-SUM(SUMIFS($Z$48:$Z$391,$D$48:$D$391,Table!$D$3,$S$48:$S$391,C9,$AA$48:$AA$391,{"Ongoing","N/A",""})))</f>
        <v>3.625</v>
      </c>
      <c r="G9" s="152">
        <f t="shared" si="2"/>
        <v>1167.1724137931035</v>
      </c>
      <c r="H9" s="153">
        <f t="shared" si="3"/>
        <v>1</v>
      </c>
      <c r="L9" s="25" t="s">
        <v>48</v>
      </c>
    </row>
    <row r="10" spans="1:13" x14ac:dyDescent="0.25">
      <c r="B10" s="150">
        <v>7</v>
      </c>
      <c r="C10" s="151" t="s">
        <v>73</v>
      </c>
      <c r="D10" s="152">
        <f>SUMIFS($W$48:$W$391,$D$48:$D$391,Table!$D$3,$S$48:$S$391,C10)</f>
        <v>0</v>
      </c>
      <c r="E10" s="152">
        <f>SUMIFS($W$48:$W$391,$D$48:$D$391,Table!$D$3,$S$48:$S$391,C10)-SUM(SUMIFS($W$48:$W$391,$D$48:$D$391,Table!$D$3,$S$48:$S$391,C10,$AA$48:$AA$391,{"Ongoing","N/A",""}))</f>
        <v>0</v>
      </c>
      <c r="F10" s="152">
        <f>1/8*(SUMIFS($Z$48:$Z$391,$D$48:$D$391,Table!$D$3,$S$48:$S$391,C10)-SUM(SUMIFS($Z$48:$Z$391,$D$48:$D$391,Table!$D$3,$S$48:$S$391,C10,$AA$48:$AA$391,{"Ongoing","N/A",""})))</f>
        <v>0</v>
      </c>
      <c r="G10" s="152" t="str">
        <f t="shared" si="2"/>
        <v>N/A</v>
      </c>
      <c r="H10" s="153" t="str">
        <f t="shared" si="3"/>
        <v>N/A</v>
      </c>
    </row>
    <row r="11" spans="1:13" x14ac:dyDescent="0.25">
      <c r="B11" s="150">
        <v>8</v>
      </c>
      <c r="C11" s="151" t="s">
        <v>74</v>
      </c>
      <c r="D11" s="152">
        <f>SUMIFS($W$48:$W$391,$D$48:$D$391,Table!$D$3,$S$48:$S$391,C11)</f>
        <v>0</v>
      </c>
      <c r="E11" s="152">
        <f>SUMIFS($W$48:$W$391,$D$48:$D$391,Table!$D$3,$S$48:$S$391,C11)-SUM(SUMIFS($W$48:$W$391,$D$48:$D$391,Table!$D$3,$S$48:$S$391,C11,$AA$48:$AA$391,{"Ongoing","N/A",""}))</f>
        <v>0</v>
      </c>
      <c r="F11" s="152">
        <f>1/8*(SUMIFS($Z$48:$Z$391,$D$48:$D$391,Table!$D$3,$S$48:$S$391,C11)-SUM(SUMIFS($Z$48:$Z$391,$D$48:$D$391,Table!$D$3,$S$48:$S$391,C11,$AA$48:$AA$391,{"Ongoing","N/A",""})))</f>
        <v>0</v>
      </c>
      <c r="G11" s="152" t="str">
        <f t="shared" si="2"/>
        <v>N/A</v>
      </c>
      <c r="H11" s="153" t="str">
        <f t="shared" si="3"/>
        <v>N/A</v>
      </c>
    </row>
    <row r="12" spans="1:13" x14ac:dyDescent="0.25">
      <c r="B12" s="150">
        <v>9</v>
      </c>
      <c r="C12" s="151" t="s">
        <v>429</v>
      </c>
      <c r="D12" s="152">
        <f>SUMIFS($W$48:$W$391,$D$48:$D$391,Table!$D$3,$S$48:$S$391,C12)</f>
        <v>5682.5</v>
      </c>
      <c r="E12" s="152">
        <f>SUMIFS($W$48:$W$391,$D$48:$D$391,Table!$D$3,$S$48:$S$391,C12)-SUM(SUMIFS($W$48:$W$391,$D$48:$D$391,Table!$D$3,$S$48:$S$391,C12,$AA$48:$AA$391,{"Ongoing","N/A",""}))</f>
        <v>5682.5</v>
      </c>
      <c r="F12" s="152">
        <f>1/8*(SUMIFS($Z$48:$Z$391,$D$48:$D$391,Table!$D$3,$S$48:$S$391,C12)-SUM(SUMIFS($Z$48:$Z$391,$D$48:$D$391,Table!$D$3,$S$48:$S$391,C12,$AA$48:$AA$391,{"Ongoing","N/A",""})))</f>
        <v>8.78125</v>
      </c>
      <c r="G12" s="152">
        <f t="shared" si="2"/>
        <v>647.11743772241994</v>
      </c>
      <c r="H12" s="153">
        <f t="shared" si="3"/>
        <v>1</v>
      </c>
    </row>
    <row r="13" spans="1:13" x14ac:dyDescent="0.25">
      <c r="B13" s="150">
        <v>10</v>
      </c>
      <c r="C13" s="151" t="s">
        <v>430</v>
      </c>
      <c r="D13" s="152">
        <f>SUMIFS($W$48:$W$391,$D$48:$D$391,Table!$D$3,$S$48:$S$391,C13)</f>
        <v>4989.5</v>
      </c>
      <c r="E13" s="152">
        <f>SUMIFS($W$48:$W$391,$D$48:$D$391,Table!$D$3,$S$48:$S$391,C13)-SUM(SUMIFS($W$48:$W$391,$D$48:$D$391,Table!$D$3,$S$48:$S$391,C13,$AA$48:$AA$391,{"Ongoing","N/A",""}))</f>
        <v>4989.5</v>
      </c>
      <c r="F13" s="152">
        <f>1/8*(SUMIFS($Z$48:$Z$391,$D$48:$D$391,Table!$D$3,$S$48:$S$391,C13)-SUM(SUMIFS($Z$48:$Z$391,$D$48:$D$391,Table!$D$3,$S$48:$S$391,C13,$AA$48:$AA$391,{"Ongoing","N/A",""})))</f>
        <v>5.4587499999999993</v>
      </c>
      <c r="G13" s="152">
        <f t="shared" si="2"/>
        <v>914.03709640485465</v>
      </c>
      <c r="H13" s="153">
        <f t="shared" si="3"/>
        <v>1</v>
      </c>
      <c r="J13" s="155" t="s">
        <v>42</v>
      </c>
      <c r="K13" s="157">
        <v>43922</v>
      </c>
      <c r="M13" s="157">
        <f ca="1">TODAY()</f>
        <v>43950</v>
      </c>
    </row>
    <row r="14" spans="1:13" x14ac:dyDescent="0.25">
      <c r="B14" s="146" t="s">
        <v>129</v>
      </c>
      <c r="C14" s="154"/>
      <c r="D14" s="156">
        <f>SUMIFS($W$48:$W$391,$D$48:$D$391,Table!$D$3)</f>
        <v>45420.75</v>
      </c>
      <c r="E14" s="156">
        <f>SUMIFS($W$48:$W$391,$D$48:$D$391,Table!$D$3)-SUM(SUMIFS($W$48:$W$391,$D$48:$D$391,Table!$D$3,$AA$48:$AA$391,{"Ongoing","N/A",""}))</f>
        <v>45420.75</v>
      </c>
      <c r="F14" s="156">
        <f>1/8*(SUMIFS($Z$48:$Z$391,$D$48:$D$391,Table!$D$3)-SUM(SUMIFS($Z$48:$Z$391,$D$48:$D$391,Table!$D$3,$AA$48:$AA$391,{"Ongoing","N/A",""})))</f>
        <v>58.417500000000004</v>
      </c>
      <c r="G14" s="152">
        <f>IF(ISERROR(E14/(F14)),"N/A",E14/F14)</f>
        <v>777.51957889331106</v>
      </c>
      <c r="H14" s="153">
        <f t="shared" si="1"/>
        <v>1</v>
      </c>
      <c r="J14" s="155" t="s">
        <v>30</v>
      </c>
      <c r="K14" s="158">
        <f ca="1">SUM(INT((WEEKDAY(K13-{2,3,4,5,6}) +M13-K13)/7))</f>
        <v>21</v>
      </c>
    </row>
    <row r="15" spans="1:13" x14ac:dyDescent="0.25">
      <c r="J15" s="155" t="s">
        <v>247</v>
      </c>
      <c r="K15" s="158">
        <v>1</v>
      </c>
      <c r="L15" s="25" t="s">
        <v>942</v>
      </c>
    </row>
    <row r="16" spans="1:13" x14ac:dyDescent="0.25">
      <c r="J16" s="155" t="s">
        <v>131</v>
      </c>
      <c r="K16" s="25">
        <f ca="1">IF(TODAY()&lt;M13,SUM(INT((WEEKDAY(K13-{2,3,4,5,6})+TODAY()-K13)/7)),SUM(INT((WEEKDAY(K13-{2,3,4,5,6})+M13-K13)/7)))</f>
        <v>21</v>
      </c>
    </row>
    <row r="17" spans="2:12" x14ac:dyDescent="0.25">
      <c r="B17" s="155" t="s">
        <v>55</v>
      </c>
    </row>
    <row r="18" spans="2:12" x14ac:dyDescent="0.25">
      <c r="B18" s="146" t="s">
        <v>0</v>
      </c>
      <c r="C18" s="146" t="s">
        <v>8</v>
      </c>
      <c r="D18" s="146" t="s">
        <v>159</v>
      </c>
      <c r="E18" s="146" t="s">
        <v>57</v>
      </c>
      <c r="F18" s="146" t="s">
        <v>169</v>
      </c>
      <c r="G18" s="146" t="s">
        <v>22</v>
      </c>
      <c r="H18" s="147" t="s">
        <v>24</v>
      </c>
    </row>
    <row r="19" spans="2:12" x14ac:dyDescent="0.25">
      <c r="B19" s="150">
        <v>1</v>
      </c>
      <c r="C19" s="151" t="s">
        <v>6</v>
      </c>
      <c r="D19" s="152">
        <f>SUMIFS($W$48:$W$391,$D$48:$D$391,Table!$C$3,$S$48:$S$391,C19)</f>
        <v>609.04999999999995</v>
      </c>
      <c r="E19" s="152">
        <f>SUMIFS($X$48:$X$391,$D$48:$D$391,Table!$C$3,$S$48:$S$391,C19)-SUM(SUMIFS($X$48:$X$391,$D$48:$D$391,Table!$C$3,$S$48:$S$391,C19,$AA$48:$AA$391,{"Ongoing","N/A",""}))</f>
        <v>609.04999999999995</v>
      </c>
      <c r="F19" s="152">
        <f>1/8*(SUMIFS($Z$48:$Z$391,$D$48:$D$391,Table!$C$3,$S$48:$S$391,C19)-SUM(SUMIFS($Z$48:$Z$391,$D$48:$D$391,Table!$C$3,$S$48:$S$391,C19,$AA$48:$AA$391,{"Ongoing","N/A",""})))</f>
        <v>2.125</v>
      </c>
      <c r="G19" s="152">
        <f>IF(ISERROR(E19/(F19)),"N/A",E19/F19)</f>
        <v>286.61176470588231</v>
      </c>
      <c r="H19" s="153">
        <f>IF(ISERROR(E19/D19),"N/A",E19/D19)</f>
        <v>1</v>
      </c>
    </row>
    <row r="20" spans="2:12" x14ac:dyDescent="0.25">
      <c r="B20" s="150">
        <v>2</v>
      </c>
      <c r="C20" s="151" t="s">
        <v>68</v>
      </c>
      <c r="D20" s="152">
        <f>SUMIFS($W$48:$W$391,$D$48:$D$391,Table!$C$3,$S$48:$S$391,C20)</f>
        <v>237.25</v>
      </c>
      <c r="E20" s="152">
        <f>SUMIFS($X$48:$X$391,$D$48:$D$391,Table!$C$3,$S$48:$S$391,C20)-SUM(SUMIFS($X$48:$X$391,$D$48:$D$391,Table!$C$3,$S$48:$S$391,C20,$AA$48:$AA$391,{"Ongoing","N/A",""}))</f>
        <v>237.25</v>
      </c>
      <c r="F20" s="152">
        <f>1/8*(SUMIFS($Z$48:$Z$391,$D$48:$D$391,Table!$C$3,$S$48:$S$391,C20)-SUM(SUMIFS($Z$48:$Z$391,$D$48:$D$391,Table!$C$3,$S$48:$S$391,C20,$AA$48:$AA$391,{"Ongoing","N/A",""})))</f>
        <v>1.8250000000000002</v>
      </c>
      <c r="G20" s="152">
        <f t="shared" ref="G20:G29" si="4">IF(ISERROR(E20/(F20)),"N/A",E20/F20)</f>
        <v>130</v>
      </c>
      <c r="H20" s="153">
        <f t="shared" ref="H20:H29" si="5">IF(ISERROR(E20/D20),"N/A",E20/D20)</f>
        <v>1</v>
      </c>
    </row>
    <row r="21" spans="2:12" x14ac:dyDescent="0.25">
      <c r="B21" s="150">
        <v>3</v>
      </c>
      <c r="C21" s="151" t="s">
        <v>69</v>
      </c>
      <c r="D21" s="152">
        <f>SUMIFS($W$48:$W$391,$D$48:$D$391,Table!$C$3,$S$48:$S$391,C21)</f>
        <v>208</v>
      </c>
      <c r="E21" s="152">
        <f>SUMIFS($X$48:$X$391,$D$48:$D$391,Table!$C$3,$S$48:$S$391,C21)-SUM(SUMIFS($X$48:$X$391,$D$48:$D$391,Table!$C$3,$S$48:$S$391,C21,$AA$48:$AA$391,{"Ongoing","N/A",""}))</f>
        <v>208</v>
      </c>
      <c r="F21" s="152">
        <f>1/8*(SUMIFS($Z$48:$Z$391,$D$48:$D$391,Table!$C$3,$S$48:$S$391,C21)-SUM(SUMIFS($Z$48:$Z$391,$D$48:$D$391,Table!$C$3,$S$48:$S$391,C21,$AA$48:$AA$391,{"Ongoing","N/A",""})))</f>
        <v>1.875</v>
      </c>
      <c r="G21" s="152">
        <f t="shared" ref="G21:G28" si="6">IF(ISERROR(E21/(F21)),"N/A",E21/F21)</f>
        <v>110.93333333333334</v>
      </c>
      <c r="H21" s="153">
        <f t="shared" ref="H21:H28" si="7">IF(ISERROR(E21/D21),"N/A",E21/D21)</f>
        <v>1</v>
      </c>
    </row>
    <row r="22" spans="2:12" x14ac:dyDescent="0.25">
      <c r="B22" s="150">
        <v>4</v>
      </c>
      <c r="C22" s="151" t="s">
        <v>70</v>
      </c>
      <c r="D22" s="152">
        <f>SUMIFS($W$48:$W$391,$D$48:$D$391,Table!$C$3,$S$48:$S$391,C22)</f>
        <v>224.25</v>
      </c>
      <c r="E22" s="152">
        <f>SUMIFS($X$48:$X$391,$D$48:$D$391,Table!$C$3,$S$48:$S$391,C22)-SUM(SUMIFS($X$48:$X$391,$D$48:$D$391,Table!$C$3,$S$48:$S$391,C22,$AA$48:$AA$391,{"Ongoing","N/A",""}))</f>
        <v>224.25</v>
      </c>
      <c r="F22" s="152">
        <f>1/8*(SUMIFS($Z$48:$Z$391,$D$48:$D$391,Table!$C$3,$S$48:$S$391,C22)-SUM(SUMIFS($Z$48:$Z$391,$D$48:$D$391,Table!$C$3,$S$48:$S$391,C22,$AA$48:$AA$391,{"Ongoing","N/A",""})))</f>
        <v>1.625</v>
      </c>
      <c r="G22" s="152">
        <f t="shared" si="6"/>
        <v>138</v>
      </c>
      <c r="H22" s="153">
        <f t="shared" si="7"/>
        <v>1</v>
      </c>
    </row>
    <row r="23" spans="2:12" x14ac:dyDescent="0.25">
      <c r="B23" s="150">
        <v>5</v>
      </c>
      <c r="C23" s="151" t="s">
        <v>71</v>
      </c>
      <c r="D23" s="152">
        <f>SUMIFS($W$48:$W$391,$D$48:$D$391,Table!$C$3,$S$48:$S$391,C23)</f>
        <v>0</v>
      </c>
      <c r="E23" s="152">
        <f>SUMIFS($X$48:$X$391,$D$48:$D$391,Table!$C$3,$S$48:$S$391,C23)-SUM(SUMIFS($X$48:$X$391,$D$48:$D$391,Table!$C$3,$S$48:$S$391,C23,$AA$48:$AA$391,{"Ongoing","N/A",""}))</f>
        <v>0</v>
      </c>
      <c r="F23" s="152">
        <f>1/8*(SUMIFS($Z$48:$Z$391,$D$48:$D$391,Table!$C$3,$S$48:$S$391,C23)-SUM(SUMIFS($Z$48:$Z$391,$D$48:$D$391,Table!$C$3,$S$48:$S$391,C23,$AA$48:$AA$391,{"Ongoing","N/A",""})))</f>
        <v>0</v>
      </c>
      <c r="G23" s="152" t="str">
        <f t="shared" si="6"/>
        <v>N/A</v>
      </c>
      <c r="H23" s="153" t="str">
        <f t="shared" si="7"/>
        <v>N/A</v>
      </c>
    </row>
    <row r="24" spans="2:12" x14ac:dyDescent="0.25">
      <c r="B24" s="150">
        <v>6</v>
      </c>
      <c r="C24" s="151" t="s">
        <v>72</v>
      </c>
      <c r="D24" s="152">
        <f>SUMIFS($W$48:$W$391,$D$48:$D$391,Table!$C$3,$S$48:$S$391,C24)</f>
        <v>0</v>
      </c>
      <c r="E24" s="152">
        <f>SUMIFS($X$48:$X$391,$D$48:$D$391,Table!$C$3,$S$48:$S$391,C24)-SUM(SUMIFS($X$48:$X$391,$D$48:$D$391,Table!$C$3,$S$48:$S$391,C24,$AA$48:$AA$391,{"Ongoing","N/A",""}))</f>
        <v>0</v>
      </c>
      <c r="F24" s="152">
        <f>1/8*(SUMIFS($Z$48:$Z$391,$D$48:$D$391,Table!$C$3,$S$48:$S$391,C24)-SUM(SUMIFS($Z$48:$Z$391,$D$48:$D$391,Table!$C$3,$S$48:$S$391,C24,$AA$48:$AA$391,{"Ongoing","N/A",""})))</f>
        <v>0</v>
      </c>
      <c r="G24" s="152" t="str">
        <f t="shared" si="6"/>
        <v>N/A</v>
      </c>
      <c r="H24" s="153" t="str">
        <f t="shared" si="7"/>
        <v>N/A</v>
      </c>
    </row>
    <row r="25" spans="2:12" x14ac:dyDescent="0.25">
      <c r="B25" s="150">
        <v>7</v>
      </c>
      <c r="C25" s="151" t="s">
        <v>73</v>
      </c>
      <c r="D25" s="152">
        <f>SUMIFS($W$48:$W$391,$D$48:$D$391,Table!$C$3,$S$48:$S$391,C25)</f>
        <v>0</v>
      </c>
      <c r="E25" s="152">
        <f>SUMIFS($X$48:$X$391,$D$48:$D$391,Table!$C$3,$S$48:$S$391,C25)-SUM(SUMIFS($X$48:$X$391,$D$48:$D$391,Table!$C$3,$S$48:$S$391,C25,$AA$48:$AA$391,{"Ongoing","N/A",""}))</f>
        <v>0</v>
      </c>
      <c r="F25" s="152">
        <f>1/8*(SUMIFS($Z$48:$Z$391,$D$48:$D$391,Table!$C$3,$S$48:$S$391,C25)-SUM(SUMIFS($Z$48:$Z$391,$D$48:$D$391,Table!$C$3,$S$48:$S$391,C25,$AA$48:$AA$391,{"Ongoing","N/A",""})))</f>
        <v>0</v>
      </c>
      <c r="G25" s="152" t="str">
        <f t="shared" si="6"/>
        <v>N/A</v>
      </c>
      <c r="H25" s="153" t="str">
        <f t="shared" si="7"/>
        <v>N/A</v>
      </c>
    </row>
    <row r="26" spans="2:12" x14ac:dyDescent="0.25">
      <c r="B26" s="150">
        <v>8</v>
      </c>
      <c r="C26" s="151" t="s">
        <v>74</v>
      </c>
      <c r="D26" s="152">
        <f>SUMIFS($W$48:$W$391,$D$48:$D$391,Table!$C$3,$S$48:$S$391,C26)</f>
        <v>0</v>
      </c>
      <c r="E26" s="152">
        <f>SUMIFS($X$48:$X$391,$D$48:$D$391,Table!$C$3,$S$48:$S$391,C26)-SUM(SUMIFS($X$48:$X$391,$D$48:$D$391,Table!$C$3,$S$48:$S$391,C26,$AA$48:$AA$391,{"Ongoing","N/A",""}))</f>
        <v>0</v>
      </c>
      <c r="F26" s="152">
        <f>1/8*(SUMIFS($Z$48:$Z$391,$D$48:$D$391,Table!$C$3,$S$48:$S$391,C26)-SUM(SUMIFS($Z$48:$Z$391,$D$48:$D$391,Table!$C$3,$S$48:$S$391,C26,$AA$48:$AA$391,{"Ongoing","N/A",""})))</f>
        <v>0</v>
      </c>
      <c r="G26" s="152" t="str">
        <f t="shared" si="6"/>
        <v>N/A</v>
      </c>
      <c r="H26" s="153" t="str">
        <f t="shared" si="7"/>
        <v>N/A</v>
      </c>
    </row>
    <row r="27" spans="2:12" x14ac:dyDescent="0.25">
      <c r="B27" s="150">
        <v>9</v>
      </c>
      <c r="C27" s="151" t="s">
        <v>429</v>
      </c>
      <c r="D27" s="152">
        <f>SUMIFS($W$48:$W$391,$D$48:$D$391,Table!$C$3,$S$48:$S$391,C27)</f>
        <v>0</v>
      </c>
      <c r="E27" s="152">
        <f>SUMIFS($X$48:$X$391,$D$48:$D$391,Table!$C$3,$S$48:$S$391,C27)-SUM(SUMIFS($X$48:$X$391,$D$48:$D$391,Table!$C$3,$S$48:$S$391,C27,$AA$48:$AA$391,{"Ongoing","N/A",""}))</f>
        <v>0</v>
      </c>
      <c r="F27" s="152">
        <f>1/8*(SUMIFS($Z$48:$Z$391,$D$48:$D$391,Table!$C$3,$S$48:$S$391,C27)-SUM(SUMIFS($Z$48:$Z$391,$D$48:$D$391,Table!$C$3,$S$48:$S$391,C27,$AA$48:$AA$391,{"Ongoing","N/A",""})))</f>
        <v>0</v>
      </c>
      <c r="G27" s="152" t="str">
        <f t="shared" si="6"/>
        <v>N/A</v>
      </c>
      <c r="H27" s="153" t="str">
        <f t="shared" si="7"/>
        <v>N/A</v>
      </c>
    </row>
    <row r="28" spans="2:12" x14ac:dyDescent="0.25">
      <c r="B28" s="150">
        <v>10</v>
      </c>
      <c r="C28" s="151" t="s">
        <v>430</v>
      </c>
      <c r="D28" s="152">
        <f>SUMIFS($W$48:$W$391,$D$48:$D$391,Table!$C$3,$S$48:$S$391,C28)</f>
        <v>0</v>
      </c>
      <c r="E28" s="152">
        <f>SUMIFS($X$48:$X$391,$D$48:$D$391,Table!$C$3,$S$48:$S$391,C28)-SUM(SUMIFS($X$48:$X$391,$D$48:$D$391,Table!$C$3,$S$48:$S$391,C28,$AA$48:$AA$391,{"Ongoing","N/A",""}))</f>
        <v>0</v>
      </c>
      <c r="F28" s="152">
        <f>1/8*(SUMIFS($Z$48:$Z$391,$D$48:$D$391,Table!$C$3,$S$48:$S$391,C28)-SUM(SUMIFS($Z$48:$Z$391,$D$48:$D$391,Table!$C$3,$S$48:$S$391,C28,$AA$48:$AA$391,{"Ongoing","N/A",""})))</f>
        <v>0</v>
      </c>
      <c r="G28" s="152" t="str">
        <f t="shared" si="6"/>
        <v>N/A</v>
      </c>
      <c r="H28" s="153" t="str">
        <f t="shared" si="7"/>
        <v>N/A</v>
      </c>
    </row>
    <row r="29" spans="2:12" x14ac:dyDescent="0.25">
      <c r="B29" s="146" t="s">
        <v>129</v>
      </c>
      <c r="C29" s="154"/>
      <c r="D29" s="156">
        <f>ROUND(SUMIFS($W$48:$W$391,$D$48:$D$391,Table!$C$3),3)</f>
        <v>1278.55</v>
      </c>
      <c r="E29" s="156">
        <f>ROUND(SUMIFS($W$48:$W$391,$D$48:$D$391,Table!$C$3)-SUM(SUMIFS($W$48:$W$391,$D$48:$D$391,Table!$C$3,$AA$48:$AA$391,{"Ongoing","N/A",""})),3)</f>
        <v>1278.55</v>
      </c>
      <c r="F29" s="156">
        <f>1/8*(SUMIFS($Z$48:$Z$391,$D$48:$D$391,Table!$C$3)-SUM(SUMIFS($Z$48:$Z$391,$D$48:$D$391,Table!$C$3,$AA$48:$AA$391,{"Ongoing","N/A",""})))</f>
        <v>7.45</v>
      </c>
      <c r="G29" s="152">
        <f t="shared" si="4"/>
        <v>171.61744966442953</v>
      </c>
      <c r="H29" s="153">
        <f t="shared" si="5"/>
        <v>1</v>
      </c>
      <c r="L29" s="6"/>
    </row>
    <row r="31" spans="2:12" ht="19.5" customHeight="1" x14ac:dyDescent="0.25"/>
    <row r="32" spans="2:12" x14ac:dyDescent="0.25">
      <c r="B32" s="155" t="s">
        <v>130</v>
      </c>
    </row>
    <row r="33" spans="2:41" x14ac:dyDescent="0.25">
      <c r="B33" s="146" t="s">
        <v>0</v>
      </c>
      <c r="C33" s="146" t="s">
        <v>8</v>
      </c>
      <c r="D33" s="146" t="s">
        <v>159</v>
      </c>
      <c r="E33" s="146" t="s">
        <v>57</v>
      </c>
      <c r="F33" s="146" t="s">
        <v>120</v>
      </c>
      <c r="G33" s="146" t="s">
        <v>22</v>
      </c>
      <c r="H33" s="147" t="s">
        <v>24</v>
      </c>
    </row>
    <row r="34" spans="2:41" x14ac:dyDescent="0.25">
      <c r="B34" s="150">
        <v>1</v>
      </c>
      <c r="C34" s="151" t="s">
        <v>6</v>
      </c>
      <c r="D34" s="152">
        <f>SUM(D19*Table!$D$4/Table!$C$4,D4)</f>
        <v>8777.75</v>
      </c>
      <c r="E34" s="152">
        <f>SUM(E19*Table!$D$4/Table!$C$4,E4)</f>
        <v>8777.75</v>
      </c>
      <c r="F34" s="152">
        <f t="shared" ref="F34:F36" ca="1" si="8">$K$16</f>
        <v>21</v>
      </c>
      <c r="G34" s="152">
        <f t="shared" ref="G34" ca="1" si="9">IF(ISERROR(E34/(F34)),"N/A",E34/F34)</f>
        <v>417.98809523809524</v>
      </c>
      <c r="H34" s="153">
        <f t="shared" ref="H34:H44" si="10">IF(ISERROR(E34/D34),"N/A",E34/D34)</f>
        <v>1</v>
      </c>
    </row>
    <row r="35" spans="2:41" x14ac:dyDescent="0.25">
      <c r="B35" s="150">
        <v>2</v>
      </c>
      <c r="C35" s="151" t="s">
        <v>68</v>
      </c>
      <c r="D35" s="152">
        <f>SUM(D20*Table!$D$4/Table!$C$4,D5)</f>
        <v>8668.5</v>
      </c>
      <c r="E35" s="152">
        <f>SUM(E20*Table!$D$4/Table!$C$4,E5)</f>
        <v>8668.5</v>
      </c>
      <c r="F35" s="152">
        <f t="shared" ca="1" si="8"/>
        <v>21</v>
      </c>
      <c r="G35" s="152">
        <f ca="1">IF(ISERROR(E35/(F35)),"N/A",E35/F35)</f>
        <v>412.78571428571428</v>
      </c>
      <c r="H35" s="153">
        <f t="shared" si="10"/>
        <v>1</v>
      </c>
    </row>
    <row r="36" spans="2:41" x14ac:dyDescent="0.25">
      <c r="B36" s="150">
        <v>3</v>
      </c>
      <c r="C36" s="151" t="s">
        <v>69</v>
      </c>
      <c r="D36" s="152">
        <f>SUM(D21*Table!$D$4/Table!$C$4,D6)</f>
        <v>9343.5</v>
      </c>
      <c r="E36" s="152">
        <f>SUM(E21*Table!$D$4/Table!$C$4,E6)</f>
        <v>9343.5</v>
      </c>
      <c r="F36" s="152">
        <f t="shared" ca="1" si="8"/>
        <v>21</v>
      </c>
      <c r="G36" s="152">
        <f t="shared" ref="G36:G43" ca="1" si="11">IF(ISERROR(E36/(F36)),"N/A",E36/F36)</f>
        <v>444.92857142857144</v>
      </c>
      <c r="H36" s="153">
        <f t="shared" ref="H36:H43" si="12">IF(ISERROR(E36/D36),"N/A",E36/D36)</f>
        <v>1</v>
      </c>
    </row>
    <row r="37" spans="2:41" x14ac:dyDescent="0.25">
      <c r="B37" s="150">
        <v>4</v>
      </c>
      <c r="C37" s="151" t="s">
        <v>70</v>
      </c>
      <c r="D37" s="152">
        <f>SUM(D22*Table!$D$4/Table!$C$4,D7)</f>
        <v>8153.75</v>
      </c>
      <c r="E37" s="152">
        <f>SUM(E22*Table!$D$4/Table!$C$4,E7)</f>
        <v>8153.75</v>
      </c>
      <c r="F37" s="152">
        <f t="shared" ref="F37:F43" ca="1" si="13">$K$16</f>
        <v>21</v>
      </c>
      <c r="G37" s="152">
        <f t="shared" ca="1" si="11"/>
        <v>388.27380952380952</v>
      </c>
      <c r="H37" s="153">
        <f t="shared" si="12"/>
        <v>1</v>
      </c>
    </row>
    <row r="38" spans="2:41" x14ac:dyDescent="0.25">
      <c r="B38" s="150">
        <v>5</v>
      </c>
      <c r="C38" s="151" t="s">
        <v>71</v>
      </c>
      <c r="D38" s="152">
        <f>SUM(D23*Table!$D$4/Table!$C$4,D8)</f>
        <v>0</v>
      </c>
      <c r="E38" s="152">
        <f>SUM(E23*Table!$D$4/Table!$C$4,E8)</f>
        <v>0</v>
      </c>
      <c r="F38" s="152">
        <f t="shared" ca="1" si="13"/>
        <v>21</v>
      </c>
      <c r="G38" s="152">
        <f t="shared" ca="1" si="11"/>
        <v>0</v>
      </c>
      <c r="H38" s="153" t="str">
        <f t="shared" si="12"/>
        <v>N/A</v>
      </c>
    </row>
    <row r="39" spans="2:41" x14ac:dyDescent="0.25">
      <c r="B39" s="150">
        <v>6</v>
      </c>
      <c r="C39" s="151" t="s">
        <v>72</v>
      </c>
      <c r="D39" s="152">
        <f>SUM(D24*Table!$D$4/Table!$C$4,D9)</f>
        <v>4231</v>
      </c>
      <c r="E39" s="152">
        <f>SUM(E24*Table!$D$4/Table!$C$4,E9)</f>
        <v>4231</v>
      </c>
      <c r="F39" s="152">
        <f t="shared" ca="1" si="13"/>
        <v>21</v>
      </c>
      <c r="G39" s="152">
        <f t="shared" ca="1" si="11"/>
        <v>201.47619047619048</v>
      </c>
      <c r="H39" s="153">
        <f t="shared" si="12"/>
        <v>1</v>
      </c>
    </row>
    <row r="40" spans="2:41" x14ac:dyDescent="0.25">
      <c r="B40" s="150">
        <v>7</v>
      </c>
      <c r="C40" s="151" t="s">
        <v>73</v>
      </c>
      <c r="D40" s="152">
        <f>SUM(D25*Table!$D$4/Table!$C$4,D10)</f>
        <v>0</v>
      </c>
      <c r="E40" s="152">
        <f>SUM(E25*Table!$D$4/Table!$C$4,E10)</f>
        <v>0</v>
      </c>
      <c r="F40" s="152">
        <f t="shared" ca="1" si="13"/>
        <v>21</v>
      </c>
      <c r="G40" s="152">
        <f t="shared" ca="1" si="11"/>
        <v>0</v>
      </c>
      <c r="H40" s="153" t="str">
        <f t="shared" si="12"/>
        <v>N/A</v>
      </c>
    </row>
    <row r="41" spans="2:41" x14ac:dyDescent="0.25">
      <c r="B41" s="150">
        <v>8</v>
      </c>
      <c r="C41" s="151" t="s">
        <v>74</v>
      </c>
      <c r="D41" s="152">
        <f>SUM(D26*Table!$D$4/Table!$C$4,D11)</f>
        <v>0</v>
      </c>
      <c r="E41" s="152">
        <f>SUM(E26*Table!$D$4/Table!$C$4,E11)</f>
        <v>0</v>
      </c>
      <c r="F41" s="152">
        <f t="shared" ca="1" si="13"/>
        <v>21</v>
      </c>
      <c r="G41" s="152">
        <f t="shared" ca="1" si="11"/>
        <v>0</v>
      </c>
      <c r="H41" s="153" t="str">
        <f t="shared" si="12"/>
        <v>N/A</v>
      </c>
    </row>
    <row r="42" spans="2:41" x14ac:dyDescent="0.25">
      <c r="B42" s="150">
        <v>9</v>
      </c>
      <c r="C42" s="151" t="s">
        <v>429</v>
      </c>
      <c r="D42" s="152">
        <f>SUM(D27*Table!$D$4/Table!$C$4,D12)</f>
        <v>5682.5</v>
      </c>
      <c r="E42" s="152">
        <f>SUM(E27*Table!$D$4/Table!$C$4,E12)</f>
        <v>5682.5</v>
      </c>
      <c r="F42" s="152">
        <f t="shared" ca="1" si="13"/>
        <v>21</v>
      </c>
      <c r="G42" s="152">
        <f t="shared" ca="1" si="11"/>
        <v>270.59523809523807</v>
      </c>
      <c r="H42" s="153">
        <f t="shared" si="12"/>
        <v>1</v>
      </c>
    </row>
    <row r="43" spans="2:41" x14ac:dyDescent="0.25">
      <c r="B43" s="150">
        <v>10</v>
      </c>
      <c r="C43" s="151" t="s">
        <v>430</v>
      </c>
      <c r="D43" s="152">
        <f>SUM(D28*Table!$D$4/Table!$C$4,D13)</f>
        <v>4989.5</v>
      </c>
      <c r="E43" s="152">
        <f>SUM(E28*Table!$D$4/Table!$C$4,E13)</f>
        <v>4989.5</v>
      </c>
      <c r="F43" s="152">
        <f t="shared" ca="1" si="13"/>
        <v>21</v>
      </c>
      <c r="G43" s="152">
        <f t="shared" ca="1" si="11"/>
        <v>237.5952380952381</v>
      </c>
      <c r="H43" s="153">
        <f t="shared" si="12"/>
        <v>1</v>
      </c>
    </row>
    <row r="44" spans="2:41" x14ac:dyDescent="0.25">
      <c r="B44" s="146" t="s">
        <v>129</v>
      </c>
      <c r="C44" s="154"/>
      <c r="D44" s="152">
        <f>SUM(D34:D43)</f>
        <v>49846.5</v>
      </c>
      <c r="E44" s="152">
        <f>SUM(E34:E43)</f>
        <v>49846.5</v>
      </c>
      <c r="F44" s="152">
        <f ca="1">$K$16*5</f>
        <v>105</v>
      </c>
      <c r="G44" s="152">
        <f ca="1">IF(ISERROR(E44/(F44)),"N/A",E44/F44)</f>
        <v>474.72857142857146</v>
      </c>
      <c r="H44" s="153">
        <f t="shared" si="10"/>
        <v>1</v>
      </c>
    </row>
    <row r="47" spans="2:41" x14ac:dyDescent="0.25">
      <c r="B47" s="127" t="s">
        <v>0</v>
      </c>
      <c r="C47" s="127" t="s">
        <v>67</v>
      </c>
      <c r="D47" s="127" t="s">
        <v>1</v>
      </c>
      <c r="E47" s="127" t="s">
        <v>60</v>
      </c>
      <c r="F47" s="127" t="s">
        <v>61</v>
      </c>
      <c r="G47" s="127" t="s">
        <v>445</v>
      </c>
      <c r="H47" s="127" t="s">
        <v>133</v>
      </c>
      <c r="I47" s="127" t="s">
        <v>62</v>
      </c>
      <c r="J47" s="127" t="s">
        <v>132</v>
      </c>
      <c r="K47" s="127" t="s">
        <v>446</v>
      </c>
      <c r="L47" s="127" t="s">
        <v>76</v>
      </c>
      <c r="M47" s="127" t="s">
        <v>472</v>
      </c>
      <c r="N47" s="127" t="s">
        <v>75</v>
      </c>
      <c r="O47" s="127" t="s">
        <v>66</v>
      </c>
      <c r="P47" s="127" t="s">
        <v>84</v>
      </c>
      <c r="Q47" s="90" t="s">
        <v>59</v>
      </c>
      <c r="R47" s="129" t="s">
        <v>7</v>
      </c>
      <c r="S47" s="129" t="s">
        <v>8</v>
      </c>
      <c r="T47" s="129" t="s">
        <v>82</v>
      </c>
      <c r="U47" s="129" t="s">
        <v>96</v>
      </c>
      <c r="V47" s="129" t="s">
        <v>79</v>
      </c>
      <c r="W47" s="129" t="s">
        <v>80</v>
      </c>
      <c r="X47" s="129" t="s">
        <v>57</v>
      </c>
      <c r="Y47" s="129" t="s">
        <v>83</v>
      </c>
      <c r="Z47" s="129" t="s">
        <v>58</v>
      </c>
      <c r="AA47" s="129" t="s">
        <v>17</v>
      </c>
      <c r="AB47" s="129" t="s">
        <v>806</v>
      </c>
      <c r="AC47" s="129" t="s">
        <v>63</v>
      </c>
      <c r="AD47" s="129" t="s">
        <v>64</v>
      </c>
      <c r="AE47" s="127" t="s">
        <v>12</v>
      </c>
      <c r="AF47" s="127" t="s">
        <v>13</v>
      </c>
      <c r="AG47" s="127" t="s">
        <v>81</v>
      </c>
      <c r="AH47" s="127" t="s">
        <v>14</v>
      </c>
      <c r="AI47" s="127" t="s">
        <v>15</v>
      </c>
      <c r="AJ47" s="129" t="s">
        <v>16</v>
      </c>
      <c r="AK47" s="127" t="s">
        <v>447</v>
      </c>
      <c r="AL47" s="129" t="s">
        <v>250</v>
      </c>
      <c r="AM47" s="129" t="s">
        <v>249</v>
      </c>
      <c r="AN47" s="129" t="s">
        <v>85</v>
      </c>
    </row>
    <row r="48" spans="2:41" hidden="1" x14ac:dyDescent="0.25">
      <c r="B48" s="33">
        <v>1</v>
      </c>
      <c r="C48" s="53">
        <v>20200330</v>
      </c>
      <c r="D48" s="17" t="s">
        <v>3</v>
      </c>
      <c r="E48" s="17" t="s">
        <v>190</v>
      </c>
      <c r="F48" s="19" t="s">
        <v>65</v>
      </c>
      <c r="G48" s="19"/>
      <c r="H48" s="17" t="s">
        <v>191</v>
      </c>
      <c r="I48" s="17" t="s">
        <v>175</v>
      </c>
      <c r="J48" s="17" t="s">
        <v>147</v>
      </c>
      <c r="K48" s="17"/>
      <c r="L48" s="17" t="s">
        <v>65</v>
      </c>
      <c r="M48" s="17"/>
      <c r="N48" s="17" t="s">
        <v>318</v>
      </c>
      <c r="O48" s="19" t="s">
        <v>363</v>
      </c>
      <c r="P48" s="19" t="s">
        <v>212</v>
      </c>
      <c r="Q48" s="20" t="s">
        <v>213</v>
      </c>
      <c r="R48" s="18" t="s">
        <v>143</v>
      </c>
      <c r="S48" s="17" t="s">
        <v>6</v>
      </c>
      <c r="T48" s="17"/>
      <c r="U48" s="17"/>
      <c r="V48" s="17">
        <v>47</v>
      </c>
      <c r="W48" s="17">
        <f>ROUND(IF(D48=Table!$C$3,Y48*Table!$C$4/8,Y48*Table!$D$4/8),3)</f>
        <v>90</v>
      </c>
      <c r="X48" s="17">
        <f t="shared" ref="X48:X73" si="14">W48</f>
        <v>90</v>
      </c>
      <c r="Y48" s="17">
        <v>1.6</v>
      </c>
      <c r="Z48" s="17">
        <v>8</v>
      </c>
      <c r="AA48" s="17" t="s">
        <v>78</v>
      </c>
      <c r="AB48" s="17"/>
      <c r="AC48" s="21">
        <v>43920</v>
      </c>
      <c r="AD48" s="21">
        <v>43924</v>
      </c>
      <c r="AE48" s="21">
        <v>43920</v>
      </c>
      <c r="AF48" s="21">
        <v>43920</v>
      </c>
      <c r="AG48" s="21" t="s">
        <v>114</v>
      </c>
      <c r="AH48" s="38">
        <v>1</v>
      </c>
      <c r="AI48" s="38">
        <v>1</v>
      </c>
      <c r="AJ48" s="38">
        <v>1</v>
      </c>
      <c r="AK48" s="78"/>
      <c r="AL48" s="17"/>
      <c r="AM48" s="17"/>
      <c r="AN48" s="17" t="s">
        <v>197</v>
      </c>
      <c r="AO48" t="s">
        <v>940</v>
      </c>
    </row>
    <row r="49" spans="2:41" hidden="1" x14ac:dyDescent="0.25">
      <c r="B49" s="33">
        <f>B48+1</f>
        <v>2</v>
      </c>
      <c r="C49" s="53">
        <v>20200330</v>
      </c>
      <c r="D49" s="17" t="s">
        <v>3</v>
      </c>
      <c r="E49" s="17" t="s">
        <v>190</v>
      </c>
      <c r="F49" s="19" t="s">
        <v>65</v>
      </c>
      <c r="G49" s="19"/>
      <c r="H49" s="17" t="s">
        <v>116</v>
      </c>
      <c r="I49" s="17" t="s">
        <v>176</v>
      </c>
      <c r="J49" s="17" t="s">
        <v>148</v>
      </c>
      <c r="K49" s="17"/>
      <c r="L49" s="17" t="s">
        <v>65</v>
      </c>
      <c r="M49" s="17"/>
      <c r="N49" s="17" t="s">
        <v>318</v>
      </c>
      <c r="O49" s="19" t="s">
        <v>364</v>
      </c>
      <c r="P49" s="19" t="s">
        <v>212</v>
      </c>
      <c r="Q49" s="20" t="s">
        <v>214</v>
      </c>
      <c r="R49" s="18" t="s">
        <v>143</v>
      </c>
      <c r="S49" s="17" t="s">
        <v>6</v>
      </c>
      <c r="T49" s="17"/>
      <c r="U49" s="17"/>
      <c r="V49" s="17">
        <v>1823</v>
      </c>
      <c r="W49" s="17">
        <f>ROUND(IF(D49=Table!$C$3,Y49*Table!$C$4/8,Y49*Table!$D$4/8),3)</f>
        <v>225</v>
      </c>
      <c r="X49" s="17">
        <f t="shared" si="14"/>
        <v>225</v>
      </c>
      <c r="Y49" s="17">
        <v>4</v>
      </c>
      <c r="Z49" s="17">
        <v>8</v>
      </c>
      <c r="AA49" s="17" t="s">
        <v>78</v>
      </c>
      <c r="AB49" s="17"/>
      <c r="AC49" s="21">
        <v>43920</v>
      </c>
      <c r="AD49" s="21">
        <v>43924</v>
      </c>
      <c r="AE49" s="21">
        <v>43921</v>
      </c>
      <c r="AF49" s="21">
        <v>43921</v>
      </c>
      <c r="AG49" s="21" t="s">
        <v>114</v>
      </c>
      <c r="AH49" s="38">
        <v>1</v>
      </c>
      <c r="AI49" s="38">
        <v>0.83</v>
      </c>
      <c r="AJ49" s="38">
        <v>0</v>
      </c>
      <c r="AK49" s="78"/>
      <c r="AL49" s="17" t="s">
        <v>243</v>
      </c>
      <c r="AM49" s="54"/>
      <c r="AN49" s="17" t="s">
        <v>198</v>
      </c>
      <c r="AO49" t="s">
        <v>940</v>
      </c>
    </row>
    <row r="50" spans="2:41" hidden="1" x14ac:dyDescent="0.25">
      <c r="B50" s="33">
        <f t="shared" ref="B50:B113" si="15">B49+1</f>
        <v>3</v>
      </c>
      <c r="C50" s="53">
        <v>20200330</v>
      </c>
      <c r="D50" s="17" t="s">
        <v>3</v>
      </c>
      <c r="E50" s="17" t="s">
        <v>190</v>
      </c>
      <c r="F50" s="19" t="s">
        <v>65</v>
      </c>
      <c r="G50" s="19"/>
      <c r="H50" s="17" t="s">
        <v>192</v>
      </c>
      <c r="I50" s="17" t="s">
        <v>177</v>
      </c>
      <c r="J50" s="17" t="s">
        <v>148</v>
      </c>
      <c r="K50" s="17"/>
      <c r="L50" s="17" t="s">
        <v>65</v>
      </c>
      <c r="M50" s="17"/>
      <c r="N50" s="17" t="s">
        <v>318</v>
      </c>
      <c r="O50" s="19" t="s">
        <v>365</v>
      </c>
      <c r="P50" s="19" t="s">
        <v>212</v>
      </c>
      <c r="Q50" s="20" t="s">
        <v>215</v>
      </c>
      <c r="R50" s="18" t="s">
        <v>144</v>
      </c>
      <c r="S50" s="17" t="s">
        <v>68</v>
      </c>
      <c r="T50" s="17"/>
      <c r="U50" s="17"/>
      <c r="V50" s="17">
        <v>83</v>
      </c>
      <c r="W50" s="17">
        <f>ROUND(IF(D50=Table!$C$3,Y50*Table!$C$4/8,Y50*Table!$D$4/8),3)</f>
        <v>90</v>
      </c>
      <c r="X50" s="17">
        <f t="shared" si="14"/>
        <v>90</v>
      </c>
      <c r="Y50" s="17">
        <v>1.6</v>
      </c>
      <c r="Z50" s="17">
        <v>4</v>
      </c>
      <c r="AA50" s="17" t="s">
        <v>78</v>
      </c>
      <c r="AB50" s="17"/>
      <c r="AC50" s="21">
        <v>43920</v>
      </c>
      <c r="AD50" s="21">
        <v>43921</v>
      </c>
      <c r="AE50" s="21">
        <v>43920</v>
      </c>
      <c r="AF50" s="21">
        <v>43920</v>
      </c>
      <c r="AG50" s="21" t="s">
        <v>114</v>
      </c>
      <c r="AH50" s="38">
        <v>1</v>
      </c>
      <c r="AI50" s="38">
        <v>1</v>
      </c>
      <c r="AJ50" s="38">
        <v>0.83</v>
      </c>
      <c r="AK50" s="78"/>
      <c r="AL50" s="17"/>
      <c r="AM50" s="17"/>
      <c r="AN50" s="17" t="s">
        <v>199</v>
      </c>
      <c r="AO50" t="s">
        <v>940</v>
      </c>
    </row>
    <row r="51" spans="2:41" hidden="1" x14ac:dyDescent="0.25">
      <c r="B51" s="33">
        <f t="shared" si="15"/>
        <v>4</v>
      </c>
      <c r="C51" s="53">
        <v>20200330</v>
      </c>
      <c r="D51" s="17" t="s">
        <v>3</v>
      </c>
      <c r="E51" s="17" t="s">
        <v>190</v>
      </c>
      <c r="F51" s="19" t="s">
        <v>65</v>
      </c>
      <c r="G51" s="19"/>
      <c r="H51" s="17" t="s">
        <v>193</v>
      </c>
      <c r="I51" s="17" t="s">
        <v>178</v>
      </c>
      <c r="J51" s="17" t="s">
        <v>148</v>
      </c>
      <c r="K51" s="17"/>
      <c r="L51" s="17" t="s">
        <v>65</v>
      </c>
      <c r="M51" s="17"/>
      <c r="N51" s="17" t="s">
        <v>318</v>
      </c>
      <c r="O51" s="19" t="s">
        <v>366</v>
      </c>
      <c r="P51" s="19" t="s">
        <v>212</v>
      </c>
      <c r="Q51" s="20" t="s">
        <v>216</v>
      </c>
      <c r="R51" s="18" t="s">
        <v>144</v>
      </c>
      <c r="S51" s="17" t="s">
        <v>68</v>
      </c>
      <c r="T51" s="17"/>
      <c r="U51" s="17"/>
      <c r="V51" s="17">
        <v>765</v>
      </c>
      <c r="W51" s="17">
        <f>ROUND(IF(D51=Table!$C$3,Y51*Table!$C$4/8,Y51*Table!$D$4/8),3)</f>
        <v>135</v>
      </c>
      <c r="X51" s="17">
        <f t="shared" si="14"/>
        <v>135</v>
      </c>
      <c r="Y51" s="17">
        <v>2.4</v>
      </c>
      <c r="Z51" s="17">
        <v>4</v>
      </c>
      <c r="AA51" s="17" t="s">
        <v>78</v>
      </c>
      <c r="AB51" s="17"/>
      <c r="AC51" s="21">
        <v>43920</v>
      </c>
      <c r="AD51" s="21">
        <v>43921</v>
      </c>
      <c r="AE51" s="21">
        <v>43920</v>
      </c>
      <c r="AF51" s="21">
        <v>43920</v>
      </c>
      <c r="AG51" s="21" t="s">
        <v>114</v>
      </c>
      <c r="AH51" s="38">
        <v>1</v>
      </c>
      <c r="AI51" s="38">
        <v>1</v>
      </c>
      <c r="AJ51" s="38">
        <v>1</v>
      </c>
      <c r="AK51" s="78"/>
      <c r="AL51" s="17"/>
      <c r="AM51" s="17"/>
      <c r="AN51" s="17" t="s">
        <v>200</v>
      </c>
      <c r="AO51" t="s">
        <v>940</v>
      </c>
    </row>
    <row r="52" spans="2:41" hidden="1" x14ac:dyDescent="0.25">
      <c r="B52" s="33">
        <f t="shared" si="15"/>
        <v>5</v>
      </c>
      <c r="C52" s="53">
        <v>20200330</v>
      </c>
      <c r="D52" s="17" t="s">
        <v>3</v>
      </c>
      <c r="E52" s="17" t="s">
        <v>190</v>
      </c>
      <c r="F52" s="19" t="s">
        <v>65</v>
      </c>
      <c r="G52" s="19"/>
      <c r="H52" s="17" t="s">
        <v>98</v>
      </c>
      <c r="I52" s="17" t="s">
        <v>179</v>
      </c>
      <c r="J52" s="17" t="s">
        <v>148</v>
      </c>
      <c r="K52" s="17"/>
      <c r="L52" s="17" t="s">
        <v>65</v>
      </c>
      <c r="M52" s="17"/>
      <c r="N52" s="17" t="s">
        <v>318</v>
      </c>
      <c r="O52" s="19" t="s">
        <v>367</v>
      </c>
      <c r="P52" s="19" t="s">
        <v>212</v>
      </c>
      <c r="Q52" s="20" t="s">
        <v>217</v>
      </c>
      <c r="R52" s="18" t="s">
        <v>145</v>
      </c>
      <c r="S52" s="17" t="s">
        <v>70</v>
      </c>
      <c r="T52" s="17"/>
      <c r="U52" s="17"/>
      <c r="V52" s="17">
        <v>128</v>
      </c>
      <c r="W52" s="17">
        <f>ROUND(IF(D52=Table!$C$3,Y52*Table!$C$4/8,Y52*Table!$D$4/8),3)</f>
        <v>90</v>
      </c>
      <c r="X52" s="17">
        <f t="shared" si="14"/>
        <v>90</v>
      </c>
      <c r="Y52" s="17">
        <v>1.6</v>
      </c>
      <c r="Z52" s="17">
        <v>4</v>
      </c>
      <c r="AA52" s="17" t="s">
        <v>78</v>
      </c>
      <c r="AB52" s="17"/>
      <c r="AC52" s="21">
        <v>43920</v>
      </c>
      <c r="AD52" s="21">
        <v>43924</v>
      </c>
      <c r="AE52" s="21">
        <v>43924</v>
      </c>
      <c r="AF52" s="21">
        <v>43924</v>
      </c>
      <c r="AG52" s="21" t="s">
        <v>114</v>
      </c>
      <c r="AH52" s="38">
        <v>1</v>
      </c>
      <c r="AI52" s="38">
        <v>1</v>
      </c>
      <c r="AJ52" s="38">
        <v>1</v>
      </c>
      <c r="AK52" s="78"/>
      <c r="AL52" s="17"/>
      <c r="AM52" s="17"/>
      <c r="AN52" s="17" t="s">
        <v>201</v>
      </c>
      <c r="AO52" t="s">
        <v>940</v>
      </c>
    </row>
    <row r="53" spans="2:41" hidden="1" x14ac:dyDescent="0.25">
      <c r="B53" s="33">
        <f t="shared" si="15"/>
        <v>6</v>
      </c>
      <c r="C53" s="53">
        <v>20200330</v>
      </c>
      <c r="D53" s="17" t="s">
        <v>3</v>
      </c>
      <c r="E53" s="17" t="s">
        <v>190</v>
      </c>
      <c r="F53" s="19" t="s">
        <v>65</v>
      </c>
      <c r="G53" s="19"/>
      <c r="H53" s="17" t="s">
        <v>194</v>
      </c>
      <c r="I53" s="17" t="s">
        <v>180</v>
      </c>
      <c r="J53" s="17" t="s">
        <v>148</v>
      </c>
      <c r="K53" s="17"/>
      <c r="L53" s="17" t="s">
        <v>65</v>
      </c>
      <c r="M53" s="17"/>
      <c r="N53" s="17" t="s">
        <v>318</v>
      </c>
      <c r="O53" s="19" t="s">
        <v>368</v>
      </c>
      <c r="P53" s="19" t="s">
        <v>212</v>
      </c>
      <c r="Q53" s="20" t="s">
        <v>218</v>
      </c>
      <c r="R53" s="18" t="s">
        <v>145</v>
      </c>
      <c r="S53" s="17" t="s">
        <v>70</v>
      </c>
      <c r="T53" s="17"/>
      <c r="U53" s="17"/>
      <c r="V53" s="17">
        <v>283</v>
      </c>
      <c r="W53" s="17">
        <f>ROUND(IF(D53=Table!$C$3,Y53*Table!$C$4/8,Y53*Table!$D$4/8),3)</f>
        <v>90</v>
      </c>
      <c r="X53" s="17">
        <f t="shared" si="14"/>
        <v>90</v>
      </c>
      <c r="Y53" s="17">
        <v>1.6</v>
      </c>
      <c r="Z53" s="17">
        <v>4</v>
      </c>
      <c r="AA53" s="17" t="s">
        <v>78</v>
      </c>
      <c r="AB53" s="17"/>
      <c r="AC53" s="21">
        <v>43920</v>
      </c>
      <c r="AD53" s="21">
        <v>43924</v>
      </c>
      <c r="AE53" s="21">
        <v>43924</v>
      </c>
      <c r="AF53" s="21">
        <v>43924</v>
      </c>
      <c r="AG53" s="21" t="s">
        <v>114</v>
      </c>
      <c r="AH53" s="38">
        <v>1</v>
      </c>
      <c r="AI53" s="38">
        <v>1</v>
      </c>
      <c r="AJ53" s="38">
        <v>1</v>
      </c>
      <c r="AK53" s="78"/>
      <c r="AL53" s="17"/>
      <c r="AM53" s="17"/>
      <c r="AN53" s="17" t="s">
        <v>202</v>
      </c>
      <c r="AO53" t="s">
        <v>940</v>
      </c>
    </row>
    <row r="54" spans="2:41" hidden="1" x14ac:dyDescent="0.25">
      <c r="B54" s="33">
        <f t="shared" si="15"/>
        <v>7</v>
      </c>
      <c r="C54" s="53">
        <v>20200330</v>
      </c>
      <c r="D54" s="17" t="s">
        <v>3</v>
      </c>
      <c r="E54" s="17" t="s">
        <v>190</v>
      </c>
      <c r="F54" s="19" t="s">
        <v>65</v>
      </c>
      <c r="G54" s="19"/>
      <c r="H54" s="17" t="s">
        <v>101</v>
      </c>
      <c r="I54" s="17" t="s">
        <v>181</v>
      </c>
      <c r="J54" s="17" t="s">
        <v>148</v>
      </c>
      <c r="K54" s="17"/>
      <c r="L54" s="17" t="s">
        <v>65</v>
      </c>
      <c r="M54" s="17"/>
      <c r="N54" s="17" t="s">
        <v>318</v>
      </c>
      <c r="O54" s="19" t="s">
        <v>369</v>
      </c>
      <c r="P54" s="19" t="s">
        <v>212</v>
      </c>
      <c r="Q54" s="20" t="s">
        <v>219</v>
      </c>
      <c r="R54" s="18" t="s">
        <v>145</v>
      </c>
      <c r="S54" s="17" t="s">
        <v>70</v>
      </c>
      <c r="T54" s="17"/>
      <c r="U54" s="17"/>
      <c r="V54" s="17">
        <v>1998</v>
      </c>
      <c r="W54" s="17">
        <f>ROUND(IF(D54=Table!$C$3,Y54*Table!$C$4/8,Y54*Table!$D$4/8),3)</f>
        <v>135</v>
      </c>
      <c r="X54" s="17">
        <f t="shared" si="14"/>
        <v>135</v>
      </c>
      <c r="Y54" s="17">
        <v>2.4</v>
      </c>
      <c r="Z54" s="17">
        <v>4</v>
      </c>
      <c r="AA54" s="17" t="s">
        <v>78</v>
      </c>
      <c r="AB54" s="17"/>
      <c r="AC54" s="21">
        <v>43920</v>
      </c>
      <c r="AD54" s="21">
        <v>43924</v>
      </c>
      <c r="AE54" s="21">
        <v>43924</v>
      </c>
      <c r="AF54" s="21">
        <v>43924</v>
      </c>
      <c r="AG54" s="21" t="s">
        <v>114</v>
      </c>
      <c r="AH54" s="38">
        <v>1</v>
      </c>
      <c r="AI54" s="38">
        <v>1</v>
      </c>
      <c r="AJ54" s="38">
        <v>1</v>
      </c>
      <c r="AK54" s="78"/>
      <c r="AL54" s="17"/>
      <c r="AM54" s="17"/>
      <c r="AN54" s="17" t="s">
        <v>203</v>
      </c>
      <c r="AO54" t="s">
        <v>940</v>
      </c>
    </row>
    <row r="55" spans="2:41" hidden="1" x14ac:dyDescent="0.25">
      <c r="B55" s="33">
        <f t="shared" si="15"/>
        <v>8</v>
      </c>
      <c r="C55" s="53">
        <v>20200330</v>
      </c>
      <c r="D55" s="17" t="s">
        <v>3</v>
      </c>
      <c r="E55" s="17" t="s">
        <v>190</v>
      </c>
      <c r="F55" s="19" t="s">
        <v>65</v>
      </c>
      <c r="G55" s="19"/>
      <c r="H55" s="17" t="s">
        <v>102</v>
      </c>
      <c r="I55" s="17" t="s">
        <v>182</v>
      </c>
      <c r="J55" s="17" t="s">
        <v>148</v>
      </c>
      <c r="K55" s="17"/>
      <c r="L55" s="17" t="s">
        <v>65</v>
      </c>
      <c r="M55" s="17"/>
      <c r="N55" s="17" t="s">
        <v>318</v>
      </c>
      <c r="O55" s="19" t="s">
        <v>370</v>
      </c>
      <c r="P55" s="19" t="s">
        <v>212</v>
      </c>
      <c r="Q55" s="20" t="s">
        <v>220</v>
      </c>
      <c r="R55" s="18" t="s">
        <v>146</v>
      </c>
      <c r="S55" s="17" t="s">
        <v>69</v>
      </c>
      <c r="T55" s="17"/>
      <c r="U55" s="17"/>
      <c r="V55" s="17">
        <v>191</v>
      </c>
      <c r="W55" s="17">
        <f>ROUND(IF(D55=Table!$C$3,Y55*Table!$C$4/8,Y55*Table!$D$4/8),3)</f>
        <v>360</v>
      </c>
      <c r="X55" s="17">
        <f t="shared" si="14"/>
        <v>360</v>
      </c>
      <c r="Y55" s="17">
        <v>6.4</v>
      </c>
      <c r="Z55" s="17">
        <v>4</v>
      </c>
      <c r="AA55" s="17" t="s">
        <v>78</v>
      </c>
      <c r="AB55" s="17"/>
      <c r="AC55" s="21">
        <v>43920</v>
      </c>
      <c r="AD55" s="21">
        <v>43924</v>
      </c>
      <c r="AE55" s="21">
        <v>43924</v>
      </c>
      <c r="AF55" s="21">
        <v>43924</v>
      </c>
      <c r="AG55" s="21" t="s">
        <v>114</v>
      </c>
      <c r="AH55" s="38">
        <v>1</v>
      </c>
      <c r="AI55" s="38">
        <v>1</v>
      </c>
      <c r="AJ55" s="38">
        <v>1</v>
      </c>
      <c r="AK55" s="78"/>
      <c r="AL55" s="17"/>
      <c r="AM55" s="17"/>
      <c r="AN55" s="17" t="s">
        <v>204</v>
      </c>
      <c r="AO55" t="s">
        <v>940</v>
      </c>
    </row>
    <row r="56" spans="2:41" hidden="1" x14ac:dyDescent="0.25">
      <c r="B56" s="33">
        <f t="shared" si="15"/>
        <v>9</v>
      </c>
      <c r="C56" s="53">
        <v>20200330</v>
      </c>
      <c r="D56" s="17" t="s">
        <v>3</v>
      </c>
      <c r="E56" s="17" t="s">
        <v>190</v>
      </c>
      <c r="F56" s="19" t="s">
        <v>65</v>
      </c>
      <c r="G56" s="19"/>
      <c r="H56" s="17" t="s">
        <v>195</v>
      </c>
      <c r="I56" s="17" t="s">
        <v>183</v>
      </c>
      <c r="J56" s="17" t="s">
        <v>148</v>
      </c>
      <c r="K56" s="17"/>
      <c r="L56" s="17" t="s">
        <v>65</v>
      </c>
      <c r="M56" s="17"/>
      <c r="N56" s="17" t="s">
        <v>318</v>
      </c>
      <c r="O56" s="19" t="s">
        <v>371</v>
      </c>
      <c r="P56" s="19" t="s">
        <v>212</v>
      </c>
      <c r="Q56" s="20" t="s">
        <v>221</v>
      </c>
      <c r="R56" s="18" t="s">
        <v>146</v>
      </c>
      <c r="S56" s="17" t="s">
        <v>69</v>
      </c>
      <c r="T56" s="17"/>
      <c r="U56" s="17"/>
      <c r="V56" s="17">
        <v>1379</v>
      </c>
      <c r="W56" s="17">
        <f>ROUND(IF(D56=Table!$C$3,Y56*Table!$C$4/8,Y56*Table!$D$4/8),3)</f>
        <v>900</v>
      </c>
      <c r="X56" s="17">
        <f t="shared" si="14"/>
        <v>900</v>
      </c>
      <c r="Y56" s="17">
        <v>16</v>
      </c>
      <c r="Z56" s="17">
        <v>4</v>
      </c>
      <c r="AA56" s="17" t="s">
        <v>78</v>
      </c>
      <c r="AB56" s="17"/>
      <c r="AC56" s="21">
        <v>43920</v>
      </c>
      <c r="AD56" s="21">
        <v>43924</v>
      </c>
      <c r="AE56" s="21">
        <v>43924</v>
      </c>
      <c r="AF56" s="21">
        <v>43924</v>
      </c>
      <c r="AG56" s="21" t="s">
        <v>114</v>
      </c>
      <c r="AH56" s="38">
        <v>1</v>
      </c>
      <c r="AI56" s="38">
        <v>1</v>
      </c>
      <c r="AJ56" s="38">
        <v>1</v>
      </c>
      <c r="AK56" s="78"/>
      <c r="AL56" s="17"/>
      <c r="AM56" s="17"/>
      <c r="AN56" s="17" t="s">
        <v>205</v>
      </c>
      <c r="AO56" t="s">
        <v>940</v>
      </c>
    </row>
    <row r="57" spans="2:41" hidden="1" x14ac:dyDescent="0.25">
      <c r="B57" s="33">
        <f t="shared" si="15"/>
        <v>10</v>
      </c>
      <c r="C57" s="53">
        <v>20200330</v>
      </c>
      <c r="D57" s="17" t="s">
        <v>3</v>
      </c>
      <c r="E57" s="17" t="s">
        <v>190</v>
      </c>
      <c r="F57" s="19" t="s">
        <v>65</v>
      </c>
      <c r="G57" s="19"/>
      <c r="H57" s="17" t="s">
        <v>103</v>
      </c>
      <c r="I57" s="17" t="s">
        <v>184</v>
      </c>
      <c r="J57" s="17" t="s">
        <v>148</v>
      </c>
      <c r="K57" s="17"/>
      <c r="L57" s="17" t="s">
        <v>65</v>
      </c>
      <c r="M57" s="17"/>
      <c r="N57" s="17" t="s">
        <v>318</v>
      </c>
      <c r="O57" s="19" t="s">
        <v>372</v>
      </c>
      <c r="P57" s="19" t="s">
        <v>212</v>
      </c>
      <c r="Q57" s="20" t="s">
        <v>222</v>
      </c>
      <c r="R57" s="18" t="s">
        <v>145</v>
      </c>
      <c r="S57" s="17" t="s">
        <v>70</v>
      </c>
      <c r="T57" s="17"/>
      <c r="U57" s="17"/>
      <c r="V57" s="17">
        <v>1395</v>
      </c>
      <c r="W57" s="17">
        <f>ROUND(IF(D57=Table!$C$3,Y57*Table!$C$4/8,Y57*Table!$D$4/8),3)</f>
        <v>900</v>
      </c>
      <c r="X57" s="17">
        <f t="shared" si="14"/>
        <v>900</v>
      </c>
      <c r="Y57" s="17">
        <v>16</v>
      </c>
      <c r="Z57" s="17">
        <v>4</v>
      </c>
      <c r="AA57" s="17" t="s">
        <v>78</v>
      </c>
      <c r="AB57" s="17"/>
      <c r="AC57" s="21">
        <v>43920</v>
      </c>
      <c r="AD57" s="21">
        <v>43924</v>
      </c>
      <c r="AE57" s="21">
        <v>43924</v>
      </c>
      <c r="AF57" s="21">
        <v>43924</v>
      </c>
      <c r="AG57" s="21" t="s">
        <v>114</v>
      </c>
      <c r="AH57" s="38">
        <v>1</v>
      </c>
      <c r="AI57" s="38">
        <v>1</v>
      </c>
      <c r="AJ57" s="38">
        <v>1</v>
      </c>
      <c r="AK57" s="78"/>
      <c r="AL57" s="17"/>
      <c r="AM57" s="17"/>
      <c r="AN57" s="17" t="s">
        <v>206</v>
      </c>
      <c r="AO57" t="s">
        <v>940</v>
      </c>
    </row>
    <row r="58" spans="2:41" hidden="1" x14ac:dyDescent="0.25">
      <c r="B58" s="33">
        <f t="shared" si="15"/>
        <v>11</v>
      </c>
      <c r="C58" s="53">
        <v>20200330</v>
      </c>
      <c r="D58" s="17" t="s">
        <v>3</v>
      </c>
      <c r="E58" s="17" t="s">
        <v>190</v>
      </c>
      <c r="F58" s="19" t="s">
        <v>65</v>
      </c>
      <c r="G58" s="19"/>
      <c r="H58" s="17" t="s">
        <v>196</v>
      </c>
      <c r="I58" s="17" t="s">
        <v>185</v>
      </c>
      <c r="J58" s="17" t="s">
        <v>148</v>
      </c>
      <c r="K58" s="17"/>
      <c r="L58" s="17" t="s">
        <v>65</v>
      </c>
      <c r="M58" s="17"/>
      <c r="N58" s="17" t="s">
        <v>318</v>
      </c>
      <c r="O58" s="19" t="s">
        <v>373</v>
      </c>
      <c r="P58" s="19" t="s">
        <v>212</v>
      </c>
      <c r="Q58" s="20" t="s">
        <v>223</v>
      </c>
      <c r="R58" s="18" t="s">
        <v>144</v>
      </c>
      <c r="S58" s="17" t="s">
        <v>68</v>
      </c>
      <c r="T58" s="17"/>
      <c r="U58" s="17"/>
      <c r="V58" s="17">
        <v>1580</v>
      </c>
      <c r="W58" s="17">
        <f>ROUND(IF(D58=Table!$C$3,Y58*Table!$C$4/8,Y58*Table!$D$4/8),3)</f>
        <v>1125</v>
      </c>
      <c r="X58" s="17">
        <f t="shared" si="14"/>
        <v>1125</v>
      </c>
      <c r="Y58" s="17">
        <v>20</v>
      </c>
      <c r="Z58" s="17">
        <v>8</v>
      </c>
      <c r="AA58" s="17" t="s">
        <v>78</v>
      </c>
      <c r="AB58" s="17"/>
      <c r="AC58" s="21">
        <v>43920</v>
      </c>
      <c r="AD58" s="21">
        <v>43921</v>
      </c>
      <c r="AE58" s="21">
        <v>43921</v>
      </c>
      <c r="AF58" s="21">
        <v>43921</v>
      </c>
      <c r="AG58" s="21" t="s">
        <v>114</v>
      </c>
      <c r="AH58" s="38">
        <v>1</v>
      </c>
      <c r="AI58" s="38">
        <v>1</v>
      </c>
      <c r="AJ58" s="38">
        <v>0.67</v>
      </c>
      <c r="AK58" s="78"/>
      <c r="AL58" s="17"/>
      <c r="AM58" s="17"/>
      <c r="AN58" s="17" t="s">
        <v>207</v>
      </c>
      <c r="AO58" t="s">
        <v>940</v>
      </c>
    </row>
    <row r="59" spans="2:41" hidden="1" x14ac:dyDescent="0.25">
      <c r="B59" s="33">
        <f t="shared" si="15"/>
        <v>12</v>
      </c>
      <c r="C59" s="53">
        <v>20200330</v>
      </c>
      <c r="D59" s="17" t="s">
        <v>3</v>
      </c>
      <c r="E59" s="17" t="s">
        <v>190</v>
      </c>
      <c r="F59" s="19" t="s">
        <v>65</v>
      </c>
      <c r="G59" s="19"/>
      <c r="H59" s="17" t="s">
        <v>104</v>
      </c>
      <c r="I59" s="17" t="s">
        <v>186</v>
      </c>
      <c r="J59" s="17" t="s">
        <v>148</v>
      </c>
      <c r="K59" s="17"/>
      <c r="L59" s="17" t="s">
        <v>65</v>
      </c>
      <c r="M59" s="17"/>
      <c r="N59" s="17" t="s">
        <v>318</v>
      </c>
      <c r="O59" s="19" t="s">
        <v>374</v>
      </c>
      <c r="P59" s="19" t="s">
        <v>212</v>
      </c>
      <c r="Q59" s="20" t="s">
        <v>224</v>
      </c>
      <c r="R59" s="18" t="s">
        <v>143</v>
      </c>
      <c r="S59" s="17" t="s">
        <v>6</v>
      </c>
      <c r="T59" s="17"/>
      <c r="U59" s="17"/>
      <c r="V59" s="17">
        <v>171</v>
      </c>
      <c r="W59" s="17">
        <f>ROUND(IF(D59=Table!$C$3,Y59*Table!$C$4/8,Y59*Table!$D$4/8),3)</f>
        <v>315</v>
      </c>
      <c r="X59" s="17">
        <f t="shared" si="14"/>
        <v>315</v>
      </c>
      <c r="Y59" s="17">
        <v>5.6</v>
      </c>
      <c r="Z59" s="17">
        <v>8</v>
      </c>
      <c r="AA59" s="17" t="s">
        <v>78</v>
      </c>
      <c r="AB59" s="17"/>
      <c r="AC59" s="21">
        <v>43920</v>
      </c>
      <c r="AD59" s="21">
        <v>43924</v>
      </c>
      <c r="AE59" s="21">
        <v>43922</v>
      </c>
      <c r="AF59" s="21">
        <v>43922</v>
      </c>
      <c r="AG59" s="21" t="s">
        <v>114</v>
      </c>
      <c r="AH59" s="38">
        <v>1</v>
      </c>
      <c r="AI59" s="38">
        <v>1</v>
      </c>
      <c r="AJ59" s="38">
        <v>0.26</v>
      </c>
      <c r="AK59" s="78"/>
      <c r="AL59" s="17"/>
      <c r="AM59" s="17"/>
      <c r="AN59" s="17" t="s">
        <v>208</v>
      </c>
      <c r="AO59" t="s">
        <v>940</v>
      </c>
    </row>
    <row r="60" spans="2:41" hidden="1" x14ac:dyDescent="0.25">
      <c r="B60" s="33">
        <f t="shared" si="15"/>
        <v>13</v>
      </c>
      <c r="C60" s="53">
        <v>20200330</v>
      </c>
      <c r="D60" s="17" t="s">
        <v>3</v>
      </c>
      <c r="E60" s="17" t="s">
        <v>190</v>
      </c>
      <c r="F60" s="19" t="s">
        <v>65</v>
      </c>
      <c r="G60" s="19"/>
      <c r="H60" s="17" t="s">
        <v>105</v>
      </c>
      <c r="I60" s="17" t="s">
        <v>187</v>
      </c>
      <c r="J60" s="17" t="s">
        <v>148</v>
      </c>
      <c r="K60" s="17"/>
      <c r="L60" s="17" t="s">
        <v>65</v>
      </c>
      <c r="M60" s="17"/>
      <c r="N60" s="17" t="s">
        <v>318</v>
      </c>
      <c r="O60" s="19" t="s">
        <v>375</v>
      </c>
      <c r="P60" s="19" t="s">
        <v>212</v>
      </c>
      <c r="Q60" s="20" t="s">
        <v>225</v>
      </c>
      <c r="R60" s="18" t="s">
        <v>143</v>
      </c>
      <c r="S60" s="17" t="s">
        <v>6</v>
      </c>
      <c r="T60" s="17"/>
      <c r="U60" s="17"/>
      <c r="V60" s="17">
        <v>90</v>
      </c>
      <c r="W60" s="17">
        <f>ROUND(IF(D60=Table!$C$3,Y60*Table!$C$4/8,Y60*Table!$D$4/8),3)</f>
        <v>90</v>
      </c>
      <c r="X60" s="17">
        <f t="shared" si="14"/>
        <v>90</v>
      </c>
      <c r="Y60" s="17">
        <v>1.6</v>
      </c>
      <c r="Z60" s="17">
        <v>2</v>
      </c>
      <c r="AA60" s="17" t="s">
        <v>78</v>
      </c>
      <c r="AB60" s="17"/>
      <c r="AC60" s="21">
        <v>43920</v>
      </c>
      <c r="AD60" s="21">
        <v>43924</v>
      </c>
      <c r="AE60" s="21">
        <v>43924</v>
      </c>
      <c r="AF60" s="21">
        <v>43924</v>
      </c>
      <c r="AG60" s="21" t="s">
        <v>114</v>
      </c>
      <c r="AH60" s="38">
        <v>1</v>
      </c>
      <c r="AI60" s="38">
        <v>1</v>
      </c>
      <c r="AJ60" s="38">
        <v>1</v>
      </c>
      <c r="AK60" s="78"/>
      <c r="AL60" s="17"/>
      <c r="AM60" s="17"/>
      <c r="AN60" s="17" t="s">
        <v>209</v>
      </c>
      <c r="AO60" t="s">
        <v>940</v>
      </c>
    </row>
    <row r="61" spans="2:41" hidden="1" x14ac:dyDescent="0.25">
      <c r="B61" s="33">
        <f t="shared" si="15"/>
        <v>14</v>
      </c>
      <c r="C61" s="53">
        <v>20200330</v>
      </c>
      <c r="D61" s="17" t="s">
        <v>3</v>
      </c>
      <c r="E61" s="17" t="s">
        <v>190</v>
      </c>
      <c r="F61" s="19" t="s">
        <v>65</v>
      </c>
      <c r="G61" s="19"/>
      <c r="H61" s="17" t="s">
        <v>106</v>
      </c>
      <c r="I61" s="17" t="s">
        <v>188</v>
      </c>
      <c r="J61" s="17" t="s">
        <v>148</v>
      </c>
      <c r="K61" s="17"/>
      <c r="L61" s="17" t="s">
        <v>65</v>
      </c>
      <c r="M61" s="17"/>
      <c r="N61" s="17" t="s">
        <v>318</v>
      </c>
      <c r="O61" s="19" t="s">
        <v>376</v>
      </c>
      <c r="P61" s="19" t="s">
        <v>212</v>
      </c>
      <c r="Q61" s="20" t="s">
        <v>226</v>
      </c>
      <c r="R61" s="18" t="s">
        <v>143</v>
      </c>
      <c r="S61" s="17" t="s">
        <v>6</v>
      </c>
      <c r="T61" s="17"/>
      <c r="U61" s="17"/>
      <c r="V61" s="17">
        <v>234</v>
      </c>
      <c r="W61" s="17">
        <f>ROUND(IF(D61=Table!$C$3,Y61*Table!$C$4/8,Y61*Table!$D$4/8),3)</f>
        <v>450</v>
      </c>
      <c r="X61" s="17">
        <f t="shared" si="14"/>
        <v>450</v>
      </c>
      <c r="Y61" s="17">
        <v>8</v>
      </c>
      <c r="Z61" s="17">
        <v>4</v>
      </c>
      <c r="AA61" s="17" t="s">
        <v>78</v>
      </c>
      <c r="AB61" s="17"/>
      <c r="AC61" s="21">
        <v>43920</v>
      </c>
      <c r="AD61" s="21">
        <v>43924</v>
      </c>
      <c r="AE61" s="21">
        <v>43924</v>
      </c>
      <c r="AF61" s="21">
        <v>43924</v>
      </c>
      <c r="AG61" s="21" t="s">
        <v>114</v>
      </c>
      <c r="AH61" s="38">
        <v>1</v>
      </c>
      <c r="AI61" s="38">
        <v>1</v>
      </c>
      <c r="AJ61" s="38">
        <v>0.22</v>
      </c>
      <c r="AK61" s="78"/>
      <c r="AL61" s="17"/>
      <c r="AM61" s="17"/>
      <c r="AN61" s="17" t="s">
        <v>210</v>
      </c>
      <c r="AO61" t="s">
        <v>940</v>
      </c>
    </row>
    <row r="62" spans="2:41" hidden="1" x14ac:dyDescent="0.25">
      <c r="B62" s="33">
        <f t="shared" si="15"/>
        <v>15</v>
      </c>
      <c r="C62" s="53">
        <v>20200330</v>
      </c>
      <c r="D62" s="17" t="s">
        <v>3</v>
      </c>
      <c r="E62" s="17" t="s">
        <v>190</v>
      </c>
      <c r="F62" s="19" t="s">
        <v>65</v>
      </c>
      <c r="G62" s="19"/>
      <c r="H62" s="17" t="s">
        <v>107</v>
      </c>
      <c r="I62" s="17" t="s">
        <v>189</v>
      </c>
      <c r="J62" s="17" t="s">
        <v>147</v>
      </c>
      <c r="K62" s="17"/>
      <c r="L62" s="17" t="s">
        <v>65</v>
      </c>
      <c r="M62" s="17"/>
      <c r="N62" s="17" t="s">
        <v>318</v>
      </c>
      <c r="O62" s="19" t="s">
        <v>377</v>
      </c>
      <c r="P62" s="19" t="s">
        <v>212</v>
      </c>
      <c r="Q62" s="20" t="s">
        <v>227</v>
      </c>
      <c r="R62" s="18" t="s">
        <v>143</v>
      </c>
      <c r="S62" s="17" t="s">
        <v>6</v>
      </c>
      <c r="T62" s="17"/>
      <c r="U62" s="17"/>
      <c r="V62" s="17">
        <v>159</v>
      </c>
      <c r="W62" s="17">
        <f>ROUND(IF(D62=Table!$C$3,Y62*Table!$C$4/8,Y62*Table!$D$4/8),3)</f>
        <v>135</v>
      </c>
      <c r="X62" s="17">
        <f t="shared" si="14"/>
        <v>135</v>
      </c>
      <c r="Y62" s="17">
        <v>2.4</v>
      </c>
      <c r="Z62" s="17">
        <v>2</v>
      </c>
      <c r="AA62" s="17" t="s">
        <v>78</v>
      </c>
      <c r="AB62" s="17"/>
      <c r="AC62" s="21">
        <v>43920</v>
      </c>
      <c r="AD62" s="21">
        <v>43924</v>
      </c>
      <c r="AE62" s="21">
        <v>43924</v>
      </c>
      <c r="AF62" s="21">
        <v>43924</v>
      </c>
      <c r="AG62" s="21" t="s">
        <v>114</v>
      </c>
      <c r="AH62" s="38">
        <v>1</v>
      </c>
      <c r="AI62" s="38">
        <v>0.97</v>
      </c>
      <c r="AJ62" s="38">
        <v>0.75</v>
      </c>
      <c r="AK62" s="78"/>
      <c r="AL62" s="17" t="s">
        <v>244</v>
      </c>
      <c r="AM62" s="17"/>
      <c r="AN62" s="17" t="s">
        <v>211</v>
      </c>
      <c r="AO62" t="s">
        <v>940</v>
      </c>
    </row>
    <row r="63" spans="2:41" hidden="1" x14ac:dyDescent="0.25">
      <c r="B63" s="34">
        <f t="shared" si="15"/>
        <v>16</v>
      </c>
      <c r="C63" s="18">
        <v>20200401</v>
      </c>
      <c r="D63" s="17" t="s">
        <v>2</v>
      </c>
      <c r="E63" s="17" t="s">
        <v>232</v>
      </c>
      <c r="F63" s="19" t="s">
        <v>65</v>
      </c>
      <c r="G63" s="19"/>
      <c r="H63" s="17" t="s">
        <v>191</v>
      </c>
      <c r="I63" s="17" t="s">
        <v>233</v>
      </c>
      <c r="J63" s="17" t="s">
        <v>147</v>
      </c>
      <c r="K63" s="17"/>
      <c r="L63" s="17" t="s">
        <v>65</v>
      </c>
      <c r="M63" s="17"/>
      <c r="N63" s="63" t="s">
        <v>108</v>
      </c>
      <c r="O63" s="19" t="s">
        <v>236</v>
      </c>
      <c r="P63" s="19" t="s">
        <v>242</v>
      </c>
      <c r="Q63" s="20" t="s">
        <v>227</v>
      </c>
      <c r="R63" s="18" t="s">
        <v>112</v>
      </c>
      <c r="S63" s="17" t="s">
        <v>68</v>
      </c>
      <c r="T63" s="17"/>
      <c r="U63" s="17"/>
      <c r="V63" s="17"/>
      <c r="W63" s="17">
        <f>ROUND(IF(D63=Table!$C$3,Y63*Table!$C$4/8,Y63*Table!$D$4/8),3)</f>
        <v>39</v>
      </c>
      <c r="X63" s="17">
        <f t="shared" si="14"/>
        <v>39</v>
      </c>
      <c r="Y63" s="17">
        <v>2.4</v>
      </c>
      <c r="Z63" s="17">
        <f>Y63</f>
        <v>2.4</v>
      </c>
      <c r="AA63" s="17" t="s">
        <v>78</v>
      </c>
      <c r="AB63" s="17"/>
      <c r="AC63" s="21">
        <v>43920</v>
      </c>
      <c r="AD63" s="21">
        <v>43924</v>
      </c>
      <c r="AE63" s="21">
        <v>43924</v>
      </c>
      <c r="AF63" s="21">
        <v>43924</v>
      </c>
      <c r="AG63" s="21" t="s">
        <v>114</v>
      </c>
      <c r="AH63" s="38">
        <v>1</v>
      </c>
      <c r="AI63" s="38">
        <v>1</v>
      </c>
      <c r="AJ63" s="38" t="s">
        <v>118</v>
      </c>
      <c r="AK63" s="78"/>
      <c r="AL63" s="17"/>
      <c r="AM63" s="17"/>
      <c r="AN63" s="17"/>
      <c r="AO63" t="s">
        <v>940</v>
      </c>
    </row>
    <row r="64" spans="2:41" hidden="1" x14ac:dyDescent="0.25">
      <c r="B64" s="34">
        <f t="shared" si="15"/>
        <v>17</v>
      </c>
      <c r="C64" s="18">
        <v>20200401</v>
      </c>
      <c r="D64" s="17" t="s">
        <v>2</v>
      </c>
      <c r="E64" s="17" t="s">
        <v>232</v>
      </c>
      <c r="F64" s="19" t="s">
        <v>65</v>
      </c>
      <c r="G64" s="19"/>
      <c r="H64" s="17" t="s">
        <v>238</v>
      </c>
      <c r="I64" s="17" t="s">
        <v>109</v>
      </c>
      <c r="J64" s="17" t="s">
        <v>147</v>
      </c>
      <c r="K64" s="17"/>
      <c r="L64" s="17" t="s">
        <v>65</v>
      </c>
      <c r="M64" s="17"/>
      <c r="N64" s="17" t="s">
        <v>108</v>
      </c>
      <c r="O64" s="19" t="s">
        <v>127</v>
      </c>
      <c r="P64" s="19" t="s">
        <v>242</v>
      </c>
      <c r="Q64" s="20" t="s">
        <v>227</v>
      </c>
      <c r="R64" s="18" t="s">
        <v>112</v>
      </c>
      <c r="S64" s="17" t="s">
        <v>70</v>
      </c>
      <c r="T64" s="17"/>
      <c r="U64" s="17"/>
      <c r="V64" s="17"/>
      <c r="W64" s="17">
        <f>ROUND(IF(D64=Table!$C$3,Y64*Table!$C$4/8,Y64*Table!$D$4/8),3)</f>
        <v>39</v>
      </c>
      <c r="X64" s="17">
        <f t="shared" si="14"/>
        <v>39</v>
      </c>
      <c r="Y64" s="17">
        <v>2.4</v>
      </c>
      <c r="Z64" s="17">
        <v>1</v>
      </c>
      <c r="AA64" s="17" t="s">
        <v>78</v>
      </c>
      <c r="AB64" s="17"/>
      <c r="AC64" s="21">
        <v>43920</v>
      </c>
      <c r="AD64" s="21">
        <v>43924</v>
      </c>
      <c r="AE64" s="21">
        <v>43924</v>
      </c>
      <c r="AF64" s="21">
        <v>43924</v>
      </c>
      <c r="AG64" s="21" t="s">
        <v>114</v>
      </c>
      <c r="AH64" s="38">
        <v>1</v>
      </c>
      <c r="AI64" s="38">
        <v>1</v>
      </c>
      <c r="AJ64" s="38">
        <v>1</v>
      </c>
      <c r="AK64" s="78"/>
      <c r="AL64" s="17"/>
      <c r="AM64" s="17"/>
      <c r="AN64" s="17"/>
      <c r="AO64" t="s">
        <v>940</v>
      </c>
    </row>
    <row r="65" spans="2:41" hidden="1" x14ac:dyDescent="0.25">
      <c r="B65" s="34">
        <f t="shared" si="15"/>
        <v>18</v>
      </c>
      <c r="C65" s="18">
        <v>20200401</v>
      </c>
      <c r="D65" s="17" t="s">
        <v>2</v>
      </c>
      <c r="E65" s="17" t="s">
        <v>232</v>
      </c>
      <c r="F65" s="19" t="s">
        <v>65</v>
      </c>
      <c r="G65" s="19"/>
      <c r="H65" s="17" t="s">
        <v>239</v>
      </c>
      <c r="I65" s="17" t="s">
        <v>110</v>
      </c>
      <c r="J65" s="17" t="s">
        <v>147</v>
      </c>
      <c r="K65" s="17"/>
      <c r="L65" s="17" t="s">
        <v>65</v>
      </c>
      <c r="M65" s="17"/>
      <c r="N65" s="17" t="s">
        <v>108</v>
      </c>
      <c r="O65" s="19" t="s">
        <v>127</v>
      </c>
      <c r="P65" s="19" t="s">
        <v>242</v>
      </c>
      <c r="Q65" s="20" t="s">
        <v>227</v>
      </c>
      <c r="R65" s="18" t="s">
        <v>112</v>
      </c>
      <c r="S65" s="17" t="s">
        <v>70</v>
      </c>
      <c r="T65" s="17"/>
      <c r="U65" s="17"/>
      <c r="V65" s="17"/>
      <c r="W65" s="17">
        <f>ROUND(IF(D65=Table!$C$3,Y65*Table!$C$4/8,Y65*Table!$D$4/8),3)</f>
        <v>39</v>
      </c>
      <c r="X65" s="17">
        <f t="shared" si="14"/>
        <v>39</v>
      </c>
      <c r="Y65" s="17">
        <v>2.4</v>
      </c>
      <c r="Z65" s="17">
        <v>1</v>
      </c>
      <c r="AA65" s="17" t="s">
        <v>78</v>
      </c>
      <c r="AB65" s="17"/>
      <c r="AC65" s="21">
        <v>43920</v>
      </c>
      <c r="AD65" s="21">
        <v>43924</v>
      </c>
      <c r="AE65" s="21">
        <v>43924</v>
      </c>
      <c r="AF65" s="21">
        <v>43924</v>
      </c>
      <c r="AG65" s="21" t="s">
        <v>114</v>
      </c>
      <c r="AH65" s="38">
        <v>1</v>
      </c>
      <c r="AI65" s="38">
        <v>1</v>
      </c>
      <c r="AJ65" s="38">
        <v>1</v>
      </c>
      <c r="AK65" s="78"/>
      <c r="AL65" s="17"/>
      <c r="AM65" s="17"/>
      <c r="AN65" s="17"/>
      <c r="AO65" t="s">
        <v>940</v>
      </c>
    </row>
    <row r="66" spans="2:41" hidden="1" x14ac:dyDescent="0.25">
      <c r="B66" s="34">
        <f t="shared" si="15"/>
        <v>19</v>
      </c>
      <c r="C66" s="18">
        <v>20200401</v>
      </c>
      <c r="D66" s="17" t="s">
        <v>3</v>
      </c>
      <c r="E66" s="17" t="s">
        <v>232</v>
      </c>
      <c r="F66" s="19" t="s">
        <v>65</v>
      </c>
      <c r="G66" s="19"/>
      <c r="H66" s="17" t="s">
        <v>240</v>
      </c>
      <c r="I66" s="17" t="s">
        <v>234</v>
      </c>
      <c r="J66" s="17" t="s">
        <v>147</v>
      </c>
      <c r="K66" s="17"/>
      <c r="L66" s="17" t="s">
        <v>65</v>
      </c>
      <c r="M66" s="17"/>
      <c r="N66" s="63" t="s">
        <v>321</v>
      </c>
      <c r="O66" s="19" t="s">
        <v>237</v>
      </c>
      <c r="P66" s="19" t="s">
        <v>242</v>
      </c>
      <c r="Q66" s="20" t="s">
        <v>227</v>
      </c>
      <c r="R66" s="18" t="s">
        <v>112</v>
      </c>
      <c r="S66" s="17" t="s">
        <v>69</v>
      </c>
      <c r="T66" s="17"/>
      <c r="U66" s="17"/>
      <c r="V66" s="17"/>
      <c r="W66" s="17">
        <f>ROUND(IF(D66=Table!$C$3,Y66*Table!$C$4/8,Y66*Table!$D$4/8),3)</f>
        <v>67.5</v>
      </c>
      <c r="X66" s="17">
        <f t="shared" si="14"/>
        <v>67.5</v>
      </c>
      <c r="Y66" s="17">
        <v>1.2</v>
      </c>
      <c r="Z66" s="17">
        <v>4</v>
      </c>
      <c r="AA66" s="17" t="s">
        <v>78</v>
      </c>
      <c r="AB66" s="17"/>
      <c r="AC66" s="21">
        <v>43920</v>
      </c>
      <c r="AD66" s="21">
        <v>43924</v>
      </c>
      <c r="AE66" s="21">
        <v>43924</v>
      </c>
      <c r="AF66" s="21">
        <v>43924</v>
      </c>
      <c r="AG66" s="21" t="s">
        <v>114</v>
      </c>
      <c r="AH66" s="38">
        <v>1</v>
      </c>
      <c r="AI66" s="38">
        <v>1</v>
      </c>
      <c r="AJ66" s="38">
        <v>1</v>
      </c>
      <c r="AK66" s="78"/>
      <c r="AL66" s="17"/>
      <c r="AM66" s="17"/>
      <c r="AN66" s="17"/>
      <c r="AO66" t="s">
        <v>940</v>
      </c>
    </row>
    <row r="67" spans="2:41" hidden="1" x14ac:dyDescent="0.25">
      <c r="B67" s="34">
        <f t="shared" si="15"/>
        <v>20</v>
      </c>
      <c r="C67" s="18">
        <v>20200401</v>
      </c>
      <c r="D67" s="17" t="s">
        <v>3</v>
      </c>
      <c r="E67" s="17" t="s">
        <v>232</v>
      </c>
      <c r="F67" s="19" t="s">
        <v>65</v>
      </c>
      <c r="G67" s="19"/>
      <c r="H67" s="17" t="s">
        <v>241</v>
      </c>
      <c r="I67" s="17" t="s">
        <v>235</v>
      </c>
      <c r="J67" s="17" t="s">
        <v>147</v>
      </c>
      <c r="K67" s="17"/>
      <c r="L67" s="17" t="s">
        <v>65</v>
      </c>
      <c r="M67" s="17"/>
      <c r="N67" s="63" t="s">
        <v>321</v>
      </c>
      <c r="O67" s="19" t="s">
        <v>127</v>
      </c>
      <c r="P67" s="19" t="s">
        <v>242</v>
      </c>
      <c r="Q67" s="20" t="s">
        <v>227</v>
      </c>
      <c r="R67" s="18" t="s">
        <v>112</v>
      </c>
      <c r="S67" s="17" t="s">
        <v>69</v>
      </c>
      <c r="T67" s="17"/>
      <c r="U67" s="17"/>
      <c r="V67" s="17"/>
      <c r="W67" s="17">
        <f>ROUND(IF(D67=Table!$C$3,Y67*Table!$C$4/8,Y67*Table!$D$4/8),3)</f>
        <v>67.5</v>
      </c>
      <c r="X67" s="17">
        <f t="shared" si="14"/>
        <v>67.5</v>
      </c>
      <c r="Y67" s="17">
        <v>1.2</v>
      </c>
      <c r="Z67" s="17">
        <v>4</v>
      </c>
      <c r="AA67" s="17" t="s">
        <v>78</v>
      </c>
      <c r="AB67" s="17"/>
      <c r="AC67" s="21">
        <v>43920</v>
      </c>
      <c r="AD67" s="21">
        <v>43924</v>
      </c>
      <c r="AE67" s="21">
        <v>43924</v>
      </c>
      <c r="AF67" s="21">
        <v>43924</v>
      </c>
      <c r="AG67" s="21" t="s">
        <v>114</v>
      </c>
      <c r="AH67" s="38">
        <v>1</v>
      </c>
      <c r="AI67" s="38">
        <v>1</v>
      </c>
      <c r="AJ67" s="38">
        <v>1</v>
      </c>
      <c r="AK67" s="78"/>
      <c r="AL67" s="17"/>
      <c r="AM67" s="17"/>
      <c r="AN67" s="17"/>
      <c r="AO67" t="s">
        <v>940</v>
      </c>
    </row>
    <row r="68" spans="2:41" hidden="1" x14ac:dyDescent="0.25">
      <c r="B68" s="58">
        <f t="shared" si="15"/>
        <v>21</v>
      </c>
      <c r="C68" s="18">
        <v>20200403</v>
      </c>
      <c r="D68" s="17" t="s">
        <v>2</v>
      </c>
      <c r="E68" s="17" t="s">
        <v>256</v>
      </c>
      <c r="F68" s="19" t="s">
        <v>65</v>
      </c>
      <c r="G68" s="19"/>
      <c r="H68" s="19" t="s">
        <v>65</v>
      </c>
      <c r="I68" s="17" t="s">
        <v>252</v>
      </c>
      <c r="J68" s="17" t="s">
        <v>148</v>
      </c>
      <c r="K68" s="17"/>
      <c r="L68" s="17" t="s">
        <v>65</v>
      </c>
      <c r="M68" s="17"/>
      <c r="N68" s="17" t="s">
        <v>319</v>
      </c>
      <c r="O68" s="19" t="s">
        <v>257</v>
      </c>
      <c r="P68" s="19" t="s">
        <v>258</v>
      </c>
      <c r="Q68" s="20" t="s">
        <v>259</v>
      </c>
      <c r="R68" s="61" t="s">
        <v>65</v>
      </c>
      <c r="S68" s="17" t="s">
        <v>6</v>
      </c>
      <c r="T68" s="17"/>
      <c r="U68" s="17"/>
      <c r="V68" s="17"/>
      <c r="W68" s="17">
        <f>ROUND(IF(D68=Table!$C$3,Y68*Table!$C$4/8,Y68*Table!$D$4/8),3)</f>
        <v>32.5</v>
      </c>
      <c r="X68" s="17">
        <f t="shared" si="14"/>
        <v>32.5</v>
      </c>
      <c r="Y68" s="17">
        <v>2</v>
      </c>
      <c r="Z68" s="17">
        <v>2</v>
      </c>
      <c r="AA68" s="17" t="s">
        <v>78</v>
      </c>
      <c r="AB68" s="17"/>
      <c r="AC68" s="21">
        <v>43927</v>
      </c>
      <c r="AD68" s="21">
        <v>43927</v>
      </c>
      <c r="AE68" s="21">
        <v>43927</v>
      </c>
      <c r="AF68" s="21">
        <v>43927</v>
      </c>
      <c r="AG68" s="21" t="s">
        <v>114</v>
      </c>
      <c r="AH68" s="38">
        <v>0.95599999999999996</v>
      </c>
      <c r="AI68" s="38">
        <v>0.95599999999999996</v>
      </c>
      <c r="AJ68" s="38">
        <v>1</v>
      </c>
      <c r="AK68" s="78"/>
      <c r="AL68" s="17" t="s">
        <v>316</v>
      </c>
      <c r="AM68" s="17"/>
      <c r="AN68" s="17"/>
      <c r="AO68" t="s">
        <v>940</v>
      </c>
    </row>
    <row r="69" spans="2:41" hidden="1" x14ac:dyDescent="0.25">
      <c r="B69" s="58">
        <f t="shared" si="15"/>
        <v>22</v>
      </c>
      <c r="C69" s="18">
        <v>20200403</v>
      </c>
      <c r="D69" s="17" t="s">
        <v>2</v>
      </c>
      <c r="E69" s="17" t="s">
        <v>256</v>
      </c>
      <c r="F69" s="19" t="s">
        <v>65</v>
      </c>
      <c r="G69" s="19"/>
      <c r="H69" s="19" t="s">
        <v>65</v>
      </c>
      <c r="I69" s="17" t="s">
        <v>253</v>
      </c>
      <c r="J69" s="17" t="s">
        <v>148</v>
      </c>
      <c r="K69" s="17"/>
      <c r="L69" s="17" t="s">
        <v>65</v>
      </c>
      <c r="M69" s="17"/>
      <c r="N69" s="17" t="s">
        <v>319</v>
      </c>
      <c r="O69" s="19">
        <v>2.9</v>
      </c>
      <c r="P69" s="19" t="s">
        <v>258</v>
      </c>
      <c r="Q69" s="20" t="s">
        <v>260</v>
      </c>
      <c r="R69" s="61" t="s">
        <v>65</v>
      </c>
      <c r="S69" s="17" t="s">
        <v>68</v>
      </c>
      <c r="T69" s="17"/>
      <c r="U69" s="17"/>
      <c r="V69" s="17"/>
      <c r="W69" s="17">
        <f>ROUND(IF(D69=Table!$C$3,Y69*Table!$C$4/8,Y69*Table!$D$4/8),3)</f>
        <v>32.5</v>
      </c>
      <c r="X69" s="17">
        <f t="shared" si="14"/>
        <v>32.5</v>
      </c>
      <c r="Y69" s="17">
        <v>2</v>
      </c>
      <c r="Z69" s="17">
        <v>2</v>
      </c>
      <c r="AA69" s="17" t="s">
        <v>78</v>
      </c>
      <c r="AB69" s="17"/>
      <c r="AC69" s="21">
        <v>43927</v>
      </c>
      <c r="AD69" s="21">
        <v>43927</v>
      </c>
      <c r="AE69" s="21">
        <v>43927</v>
      </c>
      <c r="AF69" s="21">
        <v>43927</v>
      </c>
      <c r="AG69" s="21" t="s">
        <v>114</v>
      </c>
      <c r="AH69" s="38">
        <v>1</v>
      </c>
      <c r="AI69" s="38">
        <v>1</v>
      </c>
      <c r="AJ69" s="38">
        <v>1</v>
      </c>
      <c r="AK69" s="78"/>
      <c r="AL69" s="17"/>
      <c r="AM69" s="17"/>
      <c r="AN69" s="17"/>
      <c r="AO69" t="s">
        <v>940</v>
      </c>
    </row>
    <row r="70" spans="2:41" hidden="1" x14ac:dyDescent="0.25">
      <c r="B70" s="58">
        <f t="shared" si="15"/>
        <v>23</v>
      </c>
      <c r="C70" s="18">
        <v>20200403</v>
      </c>
      <c r="D70" s="17" t="s">
        <v>2</v>
      </c>
      <c r="E70" s="17" t="s">
        <v>256</v>
      </c>
      <c r="F70" s="19" t="s">
        <v>65</v>
      </c>
      <c r="G70" s="19"/>
      <c r="H70" s="19" t="s">
        <v>65</v>
      </c>
      <c r="I70" s="17" t="s">
        <v>254</v>
      </c>
      <c r="J70" s="17" t="s">
        <v>148</v>
      </c>
      <c r="K70" s="17"/>
      <c r="L70" s="17" t="s">
        <v>65</v>
      </c>
      <c r="M70" s="17"/>
      <c r="N70" s="17" t="s">
        <v>319</v>
      </c>
      <c r="O70" s="19">
        <v>1.9</v>
      </c>
      <c r="P70" s="19" t="s">
        <v>258</v>
      </c>
      <c r="Q70" s="20" t="s">
        <v>261</v>
      </c>
      <c r="R70" s="61" t="s">
        <v>65</v>
      </c>
      <c r="S70" s="17" t="s">
        <v>70</v>
      </c>
      <c r="T70" s="17"/>
      <c r="U70" s="17"/>
      <c r="V70" s="17"/>
      <c r="W70" s="17">
        <f>ROUND(IF(D70=Table!$C$3,Y70*Table!$C$4/8,Y70*Table!$D$4/8),3)</f>
        <v>48.75</v>
      </c>
      <c r="X70" s="17">
        <f t="shared" si="14"/>
        <v>48.75</v>
      </c>
      <c r="Y70" s="17">
        <v>3</v>
      </c>
      <c r="Z70" s="17">
        <v>3</v>
      </c>
      <c r="AA70" s="17" t="s">
        <v>78</v>
      </c>
      <c r="AB70" s="17"/>
      <c r="AC70" s="21">
        <v>43927</v>
      </c>
      <c r="AD70" s="21">
        <v>43927</v>
      </c>
      <c r="AE70" s="21">
        <v>43927</v>
      </c>
      <c r="AF70" s="21">
        <v>43927</v>
      </c>
      <c r="AG70" s="21" t="s">
        <v>114</v>
      </c>
      <c r="AH70" s="38">
        <v>1</v>
      </c>
      <c r="AI70" s="38">
        <v>1</v>
      </c>
      <c r="AJ70" s="38">
        <v>1</v>
      </c>
      <c r="AK70" s="78"/>
      <c r="AL70" s="17"/>
      <c r="AM70" s="17"/>
      <c r="AN70" s="17"/>
      <c r="AO70" t="s">
        <v>940</v>
      </c>
    </row>
    <row r="71" spans="2:41" hidden="1" x14ac:dyDescent="0.25">
      <c r="B71" s="58">
        <f t="shared" si="15"/>
        <v>24</v>
      </c>
      <c r="C71" s="18">
        <v>20200403</v>
      </c>
      <c r="D71" s="17" t="s">
        <v>2</v>
      </c>
      <c r="E71" s="17" t="s">
        <v>256</v>
      </c>
      <c r="F71" s="19" t="s">
        <v>65</v>
      </c>
      <c r="G71" s="19"/>
      <c r="H71" s="19" t="s">
        <v>65</v>
      </c>
      <c r="I71" s="17" t="s">
        <v>255</v>
      </c>
      <c r="J71" s="17" t="s">
        <v>147</v>
      </c>
      <c r="K71" s="17"/>
      <c r="L71" s="17" t="s">
        <v>65</v>
      </c>
      <c r="M71" s="17"/>
      <c r="N71" s="17" t="s">
        <v>319</v>
      </c>
      <c r="O71" s="19">
        <v>1.3</v>
      </c>
      <c r="P71" s="19" t="s">
        <v>258</v>
      </c>
      <c r="Q71" s="20" t="s">
        <v>262</v>
      </c>
      <c r="R71" s="61" t="s">
        <v>65</v>
      </c>
      <c r="S71" s="17" t="s">
        <v>69</v>
      </c>
      <c r="T71" s="17"/>
      <c r="U71" s="17"/>
      <c r="V71" s="17"/>
      <c r="W71" s="17">
        <f>ROUND(IF(D71=Table!$C$3,Y71*Table!$C$4/8,Y71*Table!$D$4/8),3)</f>
        <v>32.5</v>
      </c>
      <c r="X71" s="17">
        <f t="shared" si="14"/>
        <v>32.5</v>
      </c>
      <c r="Y71" s="17">
        <v>2</v>
      </c>
      <c r="Z71" s="17">
        <v>2</v>
      </c>
      <c r="AA71" s="17" t="s">
        <v>78</v>
      </c>
      <c r="AB71" s="17"/>
      <c r="AC71" s="21">
        <v>43927</v>
      </c>
      <c r="AD71" s="21">
        <v>43927</v>
      </c>
      <c r="AE71" s="21">
        <v>43927</v>
      </c>
      <c r="AF71" s="21">
        <v>43927</v>
      </c>
      <c r="AG71" s="21" t="s">
        <v>114</v>
      </c>
      <c r="AH71" s="38"/>
      <c r="AI71" s="38"/>
      <c r="AJ71" s="38"/>
      <c r="AK71" s="78"/>
      <c r="AL71" s="17"/>
      <c r="AM71" s="17"/>
      <c r="AN71" s="17"/>
      <c r="AO71" t="s">
        <v>940</v>
      </c>
    </row>
    <row r="72" spans="2:41" hidden="1" x14ac:dyDescent="0.25">
      <c r="B72" s="59">
        <f t="shared" si="15"/>
        <v>25</v>
      </c>
      <c r="C72" s="18">
        <v>20200407</v>
      </c>
      <c r="D72" s="17" t="s">
        <v>2</v>
      </c>
      <c r="E72" s="17" t="s">
        <v>271</v>
      </c>
      <c r="F72" s="19" t="s">
        <v>65</v>
      </c>
      <c r="G72" s="19"/>
      <c r="H72" s="19" t="s">
        <v>65</v>
      </c>
      <c r="I72" s="17" t="s">
        <v>263</v>
      </c>
      <c r="J72" s="17" t="s">
        <v>147</v>
      </c>
      <c r="K72" s="17"/>
      <c r="L72" s="17" t="s">
        <v>65</v>
      </c>
      <c r="M72" s="17"/>
      <c r="N72" s="17" t="s">
        <v>320</v>
      </c>
      <c r="O72" s="19">
        <v>1.5</v>
      </c>
      <c r="P72" s="19" t="s">
        <v>272</v>
      </c>
      <c r="Q72" s="20" t="s">
        <v>273</v>
      </c>
      <c r="R72" s="61" t="s">
        <v>65</v>
      </c>
      <c r="S72" s="17" t="s">
        <v>6</v>
      </c>
      <c r="T72" s="17"/>
      <c r="U72" s="17"/>
      <c r="V72" s="17"/>
      <c r="W72" s="17">
        <f>ROUND(IF(D72=Table!$C$3,Y72*Table!$C$4/8,Y72*Table!$D$4/8),3)</f>
        <v>24.375</v>
      </c>
      <c r="X72" s="17">
        <f t="shared" si="14"/>
        <v>24.375</v>
      </c>
      <c r="Y72" s="17">
        <v>1.5</v>
      </c>
      <c r="Z72" s="17">
        <v>1.5</v>
      </c>
      <c r="AA72" s="17" t="s">
        <v>78</v>
      </c>
      <c r="AB72" s="17"/>
      <c r="AC72" s="21">
        <v>43928</v>
      </c>
      <c r="AD72" s="21">
        <v>43928</v>
      </c>
      <c r="AE72" s="21">
        <v>43928</v>
      </c>
      <c r="AF72" s="21">
        <v>43928</v>
      </c>
      <c r="AG72" s="21" t="s">
        <v>114</v>
      </c>
      <c r="AH72" s="38">
        <v>0.86699999999999999</v>
      </c>
      <c r="AI72" s="38">
        <v>0.86699999999999999</v>
      </c>
      <c r="AJ72" s="38" t="s">
        <v>118</v>
      </c>
      <c r="AK72" s="78"/>
      <c r="AL72" s="17" t="s">
        <v>317</v>
      </c>
      <c r="AM72" s="17"/>
      <c r="AN72" s="17"/>
      <c r="AO72" t="s">
        <v>940</v>
      </c>
    </row>
    <row r="73" spans="2:41" hidden="1" x14ac:dyDescent="0.25">
      <c r="B73" s="59">
        <f t="shared" si="15"/>
        <v>26</v>
      </c>
      <c r="C73" s="18">
        <v>20200407</v>
      </c>
      <c r="D73" s="17" t="s">
        <v>2</v>
      </c>
      <c r="E73" s="17" t="s">
        <v>271</v>
      </c>
      <c r="F73" s="19" t="s">
        <v>65</v>
      </c>
      <c r="G73" s="19"/>
      <c r="H73" s="19" t="s">
        <v>65</v>
      </c>
      <c r="I73" s="17" t="s">
        <v>264</v>
      </c>
      <c r="J73" s="17" t="s">
        <v>147</v>
      </c>
      <c r="K73" s="17"/>
      <c r="L73" s="17" t="s">
        <v>65</v>
      </c>
      <c r="M73" s="17"/>
      <c r="N73" s="17" t="s">
        <v>320</v>
      </c>
      <c r="O73" s="19">
        <v>1.8</v>
      </c>
      <c r="P73" s="19" t="s">
        <v>272</v>
      </c>
      <c r="Q73" s="20" t="s">
        <v>274</v>
      </c>
      <c r="R73" s="61" t="s">
        <v>65</v>
      </c>
      <c r="S73" s="17" t="s">
        <v>6</v>
      </c>
      <c r="T73" s="17"/>
      <c r="U73" s="17"/>
      <c r="V73" s="17"/>
      <c r="W73" s="17">
        <f>ROUND(IF(D73=Table!$C$3,Y73*Table!$C$4/8,Y73*Table!$D$4/8),3)</f>
        <v>24.375</v>
      </c>
      <c r="X73" s="17">
        <f t="shared" si="14"/>
        <v>24.375</v>
      </c>
      <c r="Y73" s="17">
        <v>1.5</v>
      </c>
      <c r="Z73" s="17">
        <v>1.5</v>
      </c>
      <c r="AA73" s="17" t="s">
        <v>78</v>
      </c>
      <c r="AB73" s="17"/>
      <c r="AC73" s="21">
        <v>43928</v>
      </c>
      <c r="AD73" s="21">
        <v>43928</v>
      </c>
      <c r="AE73" s="21">
        <v>43928</v>
      </c>
      <c r="AF73" s="21">
        <v>43928</v>
      </c>
      <c r="AG73" s="21" t="s">
        <v>114</v>
      </c>
      <c r="AH73" s="38">
        <v>0.89500000000000002</v>
      </c>
      <c r="AI73" s="38">
        <v>0.89500000000000002</v>
      </c>
      <c r="AJ73" s="38" t="s">
        <v>118</v>
      </c>
      <c r="AK73" s="78"/>
      <c r="AL73" s="17" t="s">
        <v>317</v>
      </c>
      <c r="AM73" s="17"/>
      <c r="AN73" s="17"/>
      <c r="AO73" t="s">
        <v>940</v>
      </c>
    </row>
    <row r="74" spans="2:41" hidden="1" x14ac:dyDescent="0.25">
      <c r="B74" s="59">
        <f t="shared" si="15"/>
        <v>27</v>
      </c>
      <c r="C74" s="18">
        <v>20200407</v>
      </c>
      <c r="D74" s="17" t="s">
        <v>2</v>
      </c>
      <c r="E74" s="17" t="s">
        <v>271</v>
      </c>
      <c r="F74" s="19" t="s">
        <v>65</v>
      </c>
      <c r="G74" s="19"/>
      <c r="H74" s="19" t="s">
        <v>65</v>
      </c>
      <c r="I74" s="17" t="s">
        <v>265</v>
      </c>
      <c r="J74" s="17" t="s">
        <v>147</v>
      </c>
      <c r="K74" s="17"/>
      <c r="L74" s="17" t="s">
        <v>65</v>
      </c>
      <c r="M74" s="17"/>
      <c r="N74" s="17" t="s">
        <v>320</v>
      </c>
      <c r="O74" s="19">
        <v>1.8</v>
      </c>
      <c r="P74" s="19" t="s">
        <v>272</v>
      </c>
      <c r="Q74" s="20" t="s">
        <v>275</v>
      </c>
      <c r="R74" s="61" t="s">
        <v>65</v>
      </c>
      <c r="S74" s="17" t="s">
        <v>68</v>
      </c>
      <c r="T74" s="17"/>
      <c r="U74" s="17"/>
      <c r="V74" s="17"/>
      <c r="W74" s="17">
        <f>ROUND(IF(D74=Table!$C$3,Y74*Table!$C$4/8,Y74*Table!$D$4/8),3)</f>
        <v>24.375</v>
      </c>
      <c r="X74" s="17">
        <f t="shared" ref="X74:X82" si="16">W74</f>
        <v>24.375</v>
      </c>
      <c r="Y74" s="17">
        <v>1.5</v>
      </c>
      <c r="Z74" s="17">
        <f>Y74</f>
        <v>1.5</v>
      </c>
      <c r="AA74" s="17" t="s">
        <v>78</v>
      </c>
      <c r="AB74" s="17"/>
      <c r="AC74" s="21">
        <v>43928</v>
      </c>
      <c r="AD74" s="21">
        <v>43928</v>
      </c>
      <c r="AE74" s="21">
        <v>43928</v>
      </c>
      <c r="AF74" s="21">
        <v>43928</v>
      </c>
      <c r="AG74" s="21" t="s">
        <v>114</v>
      </c>
      <c r="AH74" s="38">
        <v>1</v>
      </c>
      <c r="AI74" s="38">
        <v>1</v>
      </c>
      <c r="AJ74" s="38" t="s">
        <v>118</v>
      </c>
      <c r="AK74" s="78"/>
      <c r="AL74" s="17"/>
      <c r="AM74" s="17"/>
      <c r="AN74" s="17"/>
      <c r="AO74" t="s">
        <v>940</v>
      </c>
    </row>
    <row r="75" spans="2:41" hidden="1" x14ac:dyDescent="0.25">
      <c r="B75" s="59">
        <f t="shared" si="15"/>
        <v>28</v>
      </c>
      <c r="C75" s="18">
        <v>20200407</v>
      </c>
      <c r="D75" s="17" t="s">
        <v>2</v>
      </c>
      <c r="E75" s="17" t="s">
        <v>271</v>
      </c>
      <c r="F75" s="19" t="s">
        <v>65</v>
      </c>
      <c r="G75" s="19"/>
      <c r="H75" s="19" t="s">
        <v>65</v>
      </c>
      <c r="I75" s="17" t="s">
        <v>266</v>
      </c>
      <c r="J75" s="17" t="s">
        <v>147</v>
      </c>
      <c r="K75" s="17"/>
      <c r="L75" s="17" t="s">
        <v>65</v>
      </c>
      <c r="M75" s="17"/>
      <c r="N75" s="17" t="s">
        <v>320</v>
      </c>
      <c r="O75" s="19">
        <v>1.8</v>
      </c>
      <c r="P75" s="19" t="s">
        <v>272</v>
      </c>
      <c r="Q75" s="20" t="s">
        <v>276</v>
      </c>
      <c r="R75" s="61" t="s">
        <v>65</v>
      </c>
      <c r="S75" s="17" t="s">
        <v>68</v>
      </c>
      <c r="T75" s="17"/>
      <c r="U75" s="17"/>
      <c r="V75" s="17"/>
      <c r="W75" s="17">
        <f>ROUND(IF(D75=Table!$C$3,Y75*Table!$C$4/8,Y75*Table!$D$4/8),3)</f>
        <v>24.375</v>
      </c>
      <c r="X75" s="17">
        <f t="shared" si="16"/>
        <v>24.375</v>
      </c>
      <c r="Y75" s="17">
        <v>1.5</v>
      </c>
      <c r="Z75" s="17">
        <f>Y75</f>
        <v>1.5</v>
      </c>
      <c r="AA75" s="17" t="s">
        <v>78</v>
      </c>
      <c r="AB75" s="17"/>
      <c r="AC75" s="21">
        <v>43928</v>
      </c>
      <c r="AD75" s="21">
        <v>43928</v>
      </c>
      <c r="AE75" s="21">
        <v>43928</v>
      </c>
      <c r="AF75" s="21">
        <v>43928</v>
      </c>
      <c r="AG75" s="21" t="s">
        <v>114</v>
      </c>
      <c r="AH75" s="38">
        <v>1</v>
      </c>
      <c r="AI75" s="38">
        <v>1</v>
      </c>
      <c r="AJ75" s="38" t="s">
        <v>118</v>
      </c>
      <c r="AK75" s="78"/>
      <c r="AL75" s="17"/>
      <c r="AM75" s="17"/>
      <c r="AN75" s="17"/>
      <c r="AO75" t="s">
        <v>940</v>
      </c>
    </row>
    <row r="76" spans="2:41" hidden="1" x14ac:dyDescent="0.25">
      <c r="B76" s="59">
        <f t="shared" si="15"/>
        <v>29</v>
      </c>
      <c r="C76" s="18">
        <v>20200407</v>
      </c>
      <c r="D76" s="17" t="s">
        <v>2</v>
      </c>
      <c r="E76" s="17" t="s">
        <v>271</v>
      </c>
      <c r="F76" s="19" t="s">
        <v>65</v>
      </c>
      <c r="G76" s="19"/>
      <c r="H76" s="19" t="s">
        <v>65</v>
      </c>
      <c r="I76" s="17" t="s">
        <v>267</v>
      </c>
      <c r="J76" s="17" t="s">
        <v>147</v>
      </c>
      <c r="K76" s="17"/>
      <c r="L76" s="17" t="s">
        <v>65</v>
      </c>
      <c r="M76" s="17"/>
      <c r="N76" s="17" t="s">
        <v>320</v>
      </c>
      <c r="O76" s="19">
        <v>1.1299999999999999</v>
      </c>
      <c r="P76" s="19" t="s">
        <v>272</v>
      </c>
      <c r="Q76" s="20" t="s">
        <v>277</v>
      </c>
      <c r="R76" s="61" t="s">
        <v>65</v>
      </c>
      <c r="S76" s="17" t="s">
        <v>69</v>
      </c>
      <c r="T76" s="17"/>
      <c r="U76" s="17"/>
      <c r="V76" s="17"/>
      <c r="W76" s="17">
        <f>ROUND(IF(D76=Table!$C$3,Y76*Table!$C$4/8,Y76*Table!$D$4/8),3)</f>
        <v>24.375</v>
      </c>
      <c r="X76" s="17">
        <f t="shared" si="16"/>
        <v>24.375</v>
      </c>
      <c r="Y76" s="17">
        <v>1.5</v>
      </c>
      <c r="Z76" s="17">
        <v>3</v>
      </c>
      <c r="AA76" s="17" t="s">
        <v>78</v>
      </c>
      <c r="AB76" s="17"/>
      <c r="AC76" s="21">
        <v>43928</v>
      </c>
      <c r="AD76" s="21">
        <v>43928</v>
      </c>
      <c r="AE76" s="21">
        <v>43928</v>
      </c>
      <c r="AF76" s="21">
        <v>43928</v>
      </c>
      <c r="AG76" s="21" t="s">
        <v>114</v>
      </c>
      <c r="AH76" s="38"/>
      <c r="AI76" s="38"/>
      <c r="AJ76" s="38"/>
      <c r="AK76" s="78"/>
      <c r="AL76" s="17"/>
      <c r="AM76" s="17"/>
      <c r="AN76" s="17"/>
      <c r="AO76" t="s">
        <v>940</v>
      </c>
    </row>
    <row r="77" spans="2:41" hidden="1" x14ac:dyDescent="0.25">
      <c r="B77" s="59">
        <f t="shared" si="15"/>
        <v>30</v>
      </c>
      <c r="C77" s="18">
        <v>20200407</v>
      </c>
      <c r="D77" s="17" t="s">
        <v>2</v>
      </c>
      <c r="E77" s="17" t="s">
        <v>271</v>
      </c>
      <c r="F77" s="19" t="s">
        <v>65</v>
      </c>
      <c r="G77" s="19"/>
      <c r="H77" s="19" t="s">
        <v>65</v>
      </c>
      <c r="I77" s="17" t="s">
        <v>268</v>
      </c>
      <c r="J77" s="17" t="s">
        <v>147</v>
      </c>
      <c r="K77" s="17"/>
      <c r="L77" s="17" t="s">
        <v>65</v>
      </c>
      <c r="M77" s="17"/>
      <c r="N77" s="17" t="s">
        <v>320</v>
      </c>
      <c r="O77" s="19">
        <v>1.17</v>
      </c>
      <c r="P77" s="19" t="s">
        <v>272</v>
      </c>
      <c r="Q77" s="20" t="s">
        <v>278</v>
      </c>
      <c r="R77" s="61" t="s">
        <v>65</v>
      </c>
      <c r="S77" s="17" t="s">
        <v>69</v>
      </c>
      <c r="T77" s="17"/>
      <c r="U77" s="17"/>
      <c r="V77" s="17"/>
      <c r="W77" s="17">
        <f>ROUND(IF(D77=Table!$C$3,Y77*Table!$C$4/8,Y77*Table!$D$4/8),3)</f>
        <v>24.375</v>
      </c>
      <c r="X77" s="17">
        <f t="shared" si="16"/>
        <v>24.375</v>
      </c>
      <c r="Y77" s="17">
        <v>1.5</v>
      </c>
      <c r="Z77" s="17">
        <v>3</v>
      </c>
      <c r="AA77" s="17" t="s">
        <v>78</v>
      </c>
      <c r="AB77" s="17"/>
      <c r="AC77" s="21">
        <v>43928</v>
      </c>
      <c r="AD77" s="21">
        <v>43928</v>
      </c>
      <c r="AE77" s="21">
        <v>43928</v>
      </c>
      <c r="AF77" s="21">
        <v>43928</v>
      </c>
      <c r="AG77" s="21" t="s">
        <v>114</v>
      </c>
      <c r="AH77" s="38"/>
      <c r="AI77" s="38"/>
      <c r="AJ77" s="38"/>
      <c r="AK77" s="78"/>
      <c r="AL77" s="17"/>
      <c r="AM77" s="17"/>
      <c r="AN77" s="17"/>
      <c r="AO77" t="s">
        <v>940</v>
      </c>
    </row>
    <row r="78" spans="2:41" hidden="1" x14ac:dyDescent="0.25">
      <c r="B78" s="59">
        <f t="shared" si="15"/>
        <v>31</v>
      </c>
      <c r="C78" s="18">
        <v>20200407</v>
      </c>
      <c r="D78" s="17" t="s">
        <v>2</v>
      </c>
      <c r="E78" s="17" t="s">
        <v>271</v>
      </c>
      <c r="F78" s="19" t="s">
        <v>65</v>
      </c>
      <c r="G78" s="19"/>
      <c r="H78" s="19" t="s">
        <v>65</v>
      </c>
      <c r="I78" s="17" t="s">
        <v>269</v>
      </c>
      <c r="J78" s="17" t="s">
        <v>147</v>
      </c>
      <c r="K78" s="17"/>
      <c r="L78" s="17" t="s">
        <v>65</v>
      </c>
      <c r="M78" s="17"/>
      <c r="N78" s="17" t="s">
        <v>320</v>
      </c>
      <c r="O78" s="19">
        <v>1.8</v>
      </c>
      <c r="P78" s="19" t="s">
        <v>272</v>
      </c>
      <c r="Q78" s="20" t="s">
        <v>279</v>
      </c>
      <c r="R78" s="61" t="s">
        <v>65</v>
      </c>
      <c r="S78" s="17" t="s">
        <v>70</v>
      </c>
      <c r="T78" s="17"/>
      <c r="U78" s="17"/>
      <c r="V78" s="17"/>
      <c r="W78" s="17">
        <f>ROUND(IF(D78=Table!$C$3,Y78*Table!$C$4/8,Y78*Table!$D$4/8),3)</f>
        <v>24.375</v>
      </c>
      <c r="X78" s="17">
        <f t="shared" si="16"/>
        <v>24.375</v>
      </c>
      <c r="Y78" s="17">
        <v>1.5</v>
      </c>
      <c r="Z78" s="17">
        <v>2</v>
      </c>
      <c r="AA78" s="17" t="s">
        <v>78</v>
      </c>
      <c r="AB78" s="17"/>
      <c r="AC78" s="21">
        <v>43928</v>
      </c>
      <c r="AD78" s="21">
        <v>43928</v>
      </c>
      <c r="AE78" s="21">
        <v>43928</v>
      </c>
      <c r="AF78" s="21">
        <v>43931</v>
      </c>
      <c r="AG78" s="21" t="s">
        <v>114</v>
      </c>
      <c r="AH78" s="38">
        <v>1</v>
      </c>
      <c r="AI78" s="38">
        <v>1</v>
      </c>
      <c r="AJ78" s="38">
        <v>1</v>
      </c>
      <c r="AK78" s="78"/>
      <c r="AL78" s="17"/>
      <c r="AM78" s="17"/>
      <c r="AN78" s="17"/>
      <c r="AO78" t="s">
        <v>940</v>
      </c>
    </row>
    <row r="79" spans="2:41" hidden="1" x14ac:dyDescent="0.25">
      <c r="B79" s="59">
        <f t="shared" si="15"/>
        <v>32</v>
      </c>
      <c r="C79" s="18">
        <v>20200407</v>
      </c>
      <c r="D79" s="17" t="s">
        <v>2</v>
      </c>
      <c r="E79" s="17" t="s">
        <v>271</v>
      </c>
      <c r="F79" s="19" t="s">
        <v>65</v>
      </c>
      <c r="G79" s="19"/>
      <c r="H79" s="19" t="s">
        <v>65</v>
      </c>
      <c r="I79" s="17" t="s">
        <v>270</v>
      </c>
      <c r="J79" s="17" t="s">
        <v>147</v>
      </c>
      <c r="K79" s="17"/>
      <c r="L79" s="17" t="s">
        <v>65</v>
      </c>
      <c r="M79" s="17"/>
      <c r="N79" s="17" t="s">
        <v>320</v>
      </c>
      <c r="O79" s="19">
        <v>1.4</v>
      </c>
      <c r="P79" s="19" t="s">
        <v>272</v>
      </c>
      <c r="Q79" s="20" t="s">
        <v>280</v>
      </c>
      <c r="R79" s="61" t="s">
        <v>65</v>
      </c>
      <c r="S79" s="17" t="s">
        <v>70</v>
      </c>
      <c r="T79" s="17"/>
      <c r="U79" s="17"/>
      <c r="V79" s="17"/>
      <c r="W79" s="17">
        <f>ROUND(IF(D79=Table!$C$3,Y79*Table!$C$4/8,Y79*Table!$D$4/8),3)</f>
        <v>24.375</v>
      </c>
      <c r="X79" s="17">
        <f t="shared" si="16"/>
        <v>24.375</v>
      </c>
      <c r="Y79" s="17">
        <v>1.5</v>
      </c>
      <c r="Z79" s="17">
        <v>2</v>
      </c>
      <c r="AA79" s="17" t="s">
        <v>78</v>
      </c>
      <c r="AB79" s="17"/>
      <c r="AC79" s="21">
        <v>43928</v>
      </c>
      <c r="AD79" s="21">
        <v>43928</v>
      </c>
      <c r="AE79" s="21">
        <v>43928</v>
      </c>
      <c r="AF79" s="21">
        <v>43931</v>
      </c>
      <c r="AG79" s="21" t="s">
        <v>114</v>
      </c>
      <c r="AH79" s="38">
        <v>1</v>
      </c>
      <c r="AI79" s="38">
        <v>1</v>
      </c>
      <c r="AJ79" s="38">
        <v>1</v>
      </c>
      <c r="AK79" s="78"/>
      <c r="AL79" s="17"/>
      <c r="AM79" s="17"/>
      <c r="AN79" s="17"/>
      <c r="AO79" t="s">
        <v>940</v>
      </c>
    </row>
    <row r="80" spans="2:41" hidden="1" x14ac:dyDescent="0.25">
      <c r="B80" s="62">
        <f t="shared" si="15"/>
        <v>33</v>
      </c>
      <c r="C80" s="18">
        <v>20200407</v>
      </c>
      <c r="D80" s="17" t="s">
        <v>2</v>
      </c>
      <c r="E80" s="17" t="s">
        <v>315</v>
      </c>
      <c r="F80" s="19" t="s">
        <v>65</v>
      </c>
      <c r="G80" s="19"/>
      <c r="H80" s="17" t="s">
        <v>195</v>
      </c>
      <c r="I80" s="17" t="s">
        <v>281</v>
      </c>
      <c r="J80" s="17" t="s">
        <v>147</v>
      </c>
      <c r="K80" s="17"/>
      <c r="L80" s="17" t="s">
        <v>65</v>
      </c>
      <c r="M80" s="17"/>
      <c r="N80" s="63" t="s">
        <v>323</v>
      </c>
      <c r="O80" s="19" t="s">
        <v>296</v>
      </c>
      <c r="P80" s="19" t="s">
        <v>299</v>
      </c>
      <c r="Q80" s="20" t="s">
        <v>300</v>
      </c>
      <c r="R80" s="18" t="s">
        <v>112</v>
      </c>
      <c r="S80" s="17" t="s">
        <v>6</v>
      </c>
      <c r="T80" s="17"/>
      <c r="U80" s="17"/>
      <c r="V80" s="17">
        <v>162</v>
      </c>
      <c r="W80" s="17">
        <f>ROUND(IF(D80=Table!$C$3,Y80*Table!$C$4/8,Y80*Table!$D$4/8),3)</f>
        <v>111.8</v>
      </c>
      <c r="X80" s="17">
        <f t="shared" si="16"/>
        <v>111.8</v>
      </c>
      <c r="Y80" s="17">
        <v>6.88</v>
      </c>
      <c r="Z80" s="17">
        <v>6</v>
      </c>
      <c r="AA80" s="17" t="s">
        <v>78</v>
      </c>
      <c r="AB80" s="17"/>
      <c r="AC80" s="21">
        <v>43929</v>
      </c>
      <c r="AD80" s="21">
        <v>43930</v>
      </c>
      <c r="AE80" s="21">
        <v>43929</v>
      </c>
      <c r="AF80" s="21">
        <v>43929</v>
      </c>
      <c r="AG80" s="21" t="s">
        <v>114</v>
      </c>
      <c r="AH80" s="38">
        <v>0.95699999999999996</v>
      </c>
      <c r="AI80" s="38">
        <v>0.96199999999999997</v>
      </c>
      <c r="AJ80" s="38">
        <v>0.96199999999999997</v>
      </c>
      <c r="AK80" s="78"/>
      <c r="AL80" s="17" t="s">
        <v>324</v>
      </c>
      <c r="AM80" s="17"/>
      <c r="AN80" s="17"/>
      <c r="AO80" t="s">
        <v>940</v>
      </c>
    </row>
    <row r="81" spans="2:41" hidden="1" x14ac:dyDescent="0.25">
      <c r="B81" s="62">
        <f t="shared" si="15"/>
        <v>34</v>
      </c>
      <c r="C81" s="18">
        <v>20200407</v>
      </c>
      <c r="D81" s="17" t="s">
        <v>3</v>
      </c>
      <c r="E81" s="17" t="s">
        <v>315</v>
      </c>
      <c r="F81" s="19" t="s">
        <v>65</v>
      </c>
      <c r="G81" s="19"/>
      <c r="H81" s="17" t="s">
        <v>191</v>
      </c>
      <c r="I81" s="17" t="s">
        <v>282</v>
      </c>
      <c r="J81" s="17" t="s">
        <v>148</v>
      </c>
      <c r="K81" s="17"/>
      <c r="L81" s="17" t="s">
        <v>65</v>
      </c>
      <c r="M81" s="17"/>
      <c r="N81" s="63" t="s">
        <v>322</v>
      </c>
      <c r="O81" s="19" t="s">
        <v>378</v>
      </c>
      <c r="P81" s="19" t="s">
        <v>299</v>
      </c>
      <c r="Q81" s="20" t="s">
        <v>301</v>
      </c>
      <c r="R81" s="18" t="s">
        <v>112</v>
      </c>
      <c r="S81" s="17" t="s">
        <v>6</v>
      </c>
      <c r="T81" s="17"/>
      <c r="U81" s="17"/>
      <c r="V81" s="17">
        <v>129</v>
      </c>
      <c r="W81" s="17">
        <f>ROUND(IF(D81=Table!$C$3,Y81*Table!$C$4/8,Y81*Table!$D$4/8),3)</f>
        <v>67.5</v>
      </c>
      <c r="X81" s="17">
        <f t="shared" si="16"/>
        <v>67.5</v>
      </c>
      <c r="Y81" s="17">
        <v>1.2</v>
      </c>
      <c r="Z81" s="17">
        <v>1</v>
      </c>
      <c r="AA81" s="17" t="s">
        <v>78</v>
      </c>
      <c r="AB81" s="17"/>
      <c r="AC81" s="21">
        <v>43929</v>
      </c>
      <c r="AD81" s="21">
        <v>43930</v>
      </c>
      <c r="AE81" s="21">
        <v>43930</v>
      </c>
      <c r="AF81" s="21">
        <v>43930</v>
      </c>
      <c r="AG81" s="21" t="s">
        <v>114</v>
      </c>
      <c r="AH81" s="38">
        <v>1</v>
      </c>
      <c r="AI81" s="38">
        <v>1</v>
      </c>
      <c r="AJ81" s="38" t="s">
        <v>118</v>
      </c>
      <c r="AK81" s="78"/>
      <c r="AL81" s="17"/>
      <c r="AM81" s="17"/>
      <c r="AN81" s="17"/>
      <c r="AO81" t="s">
        <v>940</v>
      </c>
    </row>
    <row r="82" spans="2:41" hidden="1" x14ac:dyDescent="0.25">
      <c r="B82" s="62">
        <f t="shared" si="15"/>
        <v>35</v>
      </c>
      <c r="C82" s="18">
        <v>20200407</v>
      </c>
      <c r="D82" s="17" t="s">
        <v>3</v>
      </c>
      <c r="E82" s="17" t="s">
        <v>315</v>
      </c>
      <c r="F82" s="19" t="s">
        <v>65</v>
      </c>
      <c r="G82" s="19"/>
      <c r="H82" s="17" t="s">
        <v>238</v>
      </c>
      <c r="I82" s="17" t="s">
        <v>283</v>
      </c>
      <c r="J82" s="17" t="s">
        <v>148</v>
      </c>
      <c r="K82" s="17"/>
      <c r="L82" s="17" t="s">
        <v>65</v>
      </c>
      <c r="M82" s="17"/>
      <c r="N82" s="17" t="s">
        <v>322</v>
      </c>
      <c r="O82" s="19" t="s">
        <v>379</v>
      </c>
      <c r="P82" s="19" t="s">
        <v>299</v>
      </c>
      <c r="Q82" s="20" t="s">
        <v>302</v>
      </c>
      <c r="R82" s="18" t="s">
        <v>111</v>
      </c>
      <c r="S82" s="17" t="s">
        <v>68</v>
      </c>
      <c r="T82" s="17"/>
      <c r="U82" s="17"/>
      <c r="V82" s="17">
        <v>75</v>
      </c>
      <c r="W82" s="17">
        <f>ROUND(IF(D82=Table!$C$3,Y82*Table!$C$4/8,Y82*Table!$D$4/8),3)</f>
        <v>67.5</v>
      </c>
      <c r="X82" s="17">
        <f t="shared" si="16"/>
        <v>67.5</v>
      </c>
      <c r="Y82" s="17">
        <v>1.2</v>
      </c>
      <c r="Z82" s="17">
        <v>1</v>
      </c>
      <c r="AA82" s="17" t="s">
        <v>78</v>
      </c>
      <c r="AB82" s="17"/>
      <c r="AC82" s="21">
        <v>43929</v>
      </c>
      <c r="AD82" s="21">
        <v>43930</v>
      </c>
      <c r="AE82" s="21">
        <v>43929</v>
      </c>
      <c r="AF82" s="21">
        <v>43929</v>
      </c>
      <c r="AG82" s="21" t="s">
        <v>114</v>
      </c>
      <c r="AH82" s="38">
        <v>1</v>
      </c>
      <c r="AI82" s="38">
        <v>1</v>
      </c>
      <c r="AJ82" s="38">
        <v>1</v>
      </c>
      <c r="AK82" s="78"/>
      <c r="AL82" s="17"/>
      <c r="AM82" s="17"/>
      <c r="AN82" s="17"/>
      <c r="AO82" t="s">
        <v>940</v>
      </c>
    </row>
    <row r="83" spans="2:41" hidden="1" x14ac:dyDescent="0.25">
      <c r="B83" s="62">
        <f t="shared" si="15"/>
        <v>36</v>
      </c>
      <c r="C83" s="18">
        <v>20200407</v>
      </c>
      <c r="D83" s="17" t="s">
        <v>3</v>
      </c>
      <c r="E83" s="17" t="s">
        <v>315</v>
      </c>
      <c r="F83" s="19" t="s">
        <v>65</v>
      </c>
      <c r="G83" s="19"/>
      <c r="H83" s="17" t="s">
        <v>239</v>
      </c>
      <c r="I83" s="17" t="s">
        <v>284</v>
      </c>
      <c r="J83" s="17" t="s">
        <v>148</v>
      </c>
      <c r="K83" s="17"/>
      <c r="L83" s="17" t="s">
        <v>65</v>
      </c>
      <c r="M83" s="17"/>
      <c r="N83" s="17" t="s">
        <v>322</v>
      </c>
      <c r="O83" s="19" t="s">
        <v>380</v>
      </c>
      <c r="P83" s="19" t="s">
        <v>299</v>
      </c>
      <c r="Q83" s="20" t="s">
        <v>303</v>
      </c>
      <c r="R83" s="18" t="s">
        <v>111</v>
      </c>
      <c r="S83" s="17" t="s">
        <v>68</v>
      </c>
      <c r="T83" s="17"/>
      <c r="U83" s="17"/>
      <c r="V83" s="17">
        <v>357</v>
      </c>
      <c r="W83" s="17">
        <f>ROUND(IF(D83=Table!$C$3,Y83*Table!$C$4/8,Y83*Table!$D$4/8),3)</f>
        <v>90</v>
      </c>
      <c r="X83" s="17">
        <f t="shared" ref="X83:X86" si="17">W83</f>
        <v>90</v>
      </c>
      <c r="Y83" s="17">
        <v>1.6</v>
      </c>
      <c r="Z83" s="17">
        <v>1</v>
      </c>
      <c r="AA83" s="17" t="s">
        <v>78</v>
      </c>
      <c r="AB83" s="17"/>
      <c r="AC83" s="21">
        <v>43929</v>
      </c>
      <c r="AD83" s="21">
        <v>43930</v>
      </c>
      <c r="AE83" s="21">
        <v>43929</v>
      </c>
      <c r="AF83" s="21">
        <v>43929</v>
      </c>
      <c r="AG83" s="21" t="s">
        <v>114</v>
      </c>
      <c r="AH83" s="38">
        <v>1</v>
      </c>
      <c r="AI83" s="38">
        <v>1</v>
      </c>
      <c r="AJ83" s="38">
        <v>0.33</v>
      </c>
      <c r="AK83" s="78"/>
      <c r="AL83" s="54"/>
      <c r="AM83" s="17"/>
      <c r="AN83" s="17"/>
      <c r="AO83" t="s">
        <v>940</v>
      </c>
    </row>
    <row r="84" spans="2:41" hidden="1" x14ac:dyDescent="0.25">
      <c r="B84" s="62">
        <f t="shared" si="15"/>
        <v>37</v>
      </c>
      <c r="C84" s="18">
        <v>20200407</v>
      </c>
      <c r="D84" s="17" t="s">
        <v>3</v>
      </c>
      <c r="E84" s="17" t="s">
        <v>315</v>
      </c>
      <c r="F84" s="19" t="s">
        <v>65</v>
      </c>
      <c r="G84" s="19"/>
      <c r="H84" s="17" t="s">
        <v>297</v>
      </c>
      <c r="I84" s="17" t="s">
        <v>285</v>
      </c>
      <c r="J84" s="17" t="s">
        <v>148</v>
      </c>
      <c r="K84" s="17"/>
      <c r="L84" s="17" t="s">
        <v>65</v>
      </c>
      <c r="M84" s="17"/>
      <c r="N84" s="17" t="s">
        <v>322</v>
      </c>
      <c r="O84" s="19" t="s">
        <v>381</v>
      </c>
      <c r="P84" s="19" t="s">
        <v>299</v>
      </c>
      <c r="Q84" s="20" t="s">
        <v>304</v>
      </c>
      <c r="R84" s="18" t="s">
        <v>111</v>
      </c>
      <c r="S84" s="17" t="s">
        <v>68</v>
      </c>
      <c r="T84" s="17"/>
      <c r="U84" s="17"/>
      <c r="V84" s="17">
        <v>312</v>
      </c>
      <c r="W84" s="17">
        <f>ROUND(IF(D84=Table!$C$3,Y84*Table!$C$4/8,Y84*Table!$D$4/8),3)</f>
        <v>225</v>
      </c>
      <c r="X84" s="17">
        <f t="shared" si="17"/>
        <v>225</v>
      </c>
      <c r="Y84" s="17">
        <v>4</v>
      </c>
      <c r="Z84" s="17">
        <v>4</v>
      </c>
      <c r="AA84" s="17" t="s">
        <v>78</v>
      </c>
      <c r="AB84" s="17"/>
      <c r="AC84" s="21">
        <v>43929</v>
      </c>
      <c r="AD84" s="21">
        <v>43930</v>
      </c>
      <c r="AE84" s="21">
        <v>43929</v>
      </c>
      <c r="AF84" s="21">
        <v>43929</v>
      </c>
      <c r="AG84" s="21" t="s">
        <v>114</v>
      </c>
      <c r="AH84" s="38">
        <v>1</v>
      </c>
      <c r="AI84" s="38">
        <v>1</v>
      </c>
      <c r="AJ84" s="38">
        <v>1</v>
      </c>
      <c r="AK84" s="78"/>
      <c r="AL84" s="17"/>
      <c r="AM84" s="17"/>
      <c r="AN84" s="17"/>
      <c r="AO84" t="s">
        <v>940</v>
      </c>
    </row>
    <row r="85" spans="2:41" hidden="1" x14ac:dyDescent="0.25">
      <c r="B85" s="62">
        <f t="shared" si="15"/>
        <v>38</v>
      </c>
      <c r="C85" s="18">
        <v>20200407</v>
      </c>
      <c r="D85" s="17" t="s">
        <v>3</v>
      </c>
      <c r="E85" s="17" t="s">
        <v>315</v>
      </c>
      <c r="F85" s="19" t="s">
        <v>65</v>
      </c>
      <c r="G85" s="19"/>
      <c r="H85" s="17" t="s">
        <v>298</v>
      </c>
      <c r="I85" s="17" t="s">
        <v>286</v>
      </c>
      <c r="J85" s="17" t="s">
        <v>148</v>
      </c>
      <c r="K85" s="17"/>
      <c r="L85" s="17" t="s">
        <v>65</v>
      </c>
      <c r="M85" s="17"/>
      <c r="N85" s="17" t="s">
        <v>322</v>
      </c>
      <c r="O85" s="19" t="s">
        <v>382</v>
      </c>
      <c r="P85" s="19" t="s">
        <v>299</v>
      </c>
      <c r="Q85" s="20" t="s">
        <v>305</v>
      </c>
      <c r="R85" s="18" t="s">
        <v>111</v>
      </c>
      <c r="S85" s="17" t="s">
        <v>68</v>
      </c>
      <c r="T85" s="17"/>
      <c r="U85" s="17"/>
      <c r="V85" s="17">
        <v>8</v>
      </c>
      <c r="W85" s="17">
        <f>ROUND(IF(D85=Table!$C$3,Y85*Table!$C$4/8,Y85*Table!$D$4/8),3)</f>
        <v>6.75</v>
      </c>
      <c r="X85" s="17">
        <f t="shared" si="17"/>
        <v>6.75</v>
      </c>
      <c r="Y85" s="17">
        <v>0.12</v>
      </c>
      <c r="Z85" s="17">
        <v>1</v>
      </c>
      <c r="AA85" s="17" t="s">
        <v>78</v>
      </c>
      <c r="AB85" s="17"/>
      <c r="AC85" s="21">
        <v>43929</v>
      </c>
      <c r="AD85" s="21">
        <v>43930</v>
      </c>
      <c r="AE85" s="21">
        <v>43929</v>
      </c>
      <c r="AF85" s="21">
        <v>43929</v>
      </c>
      <c r="AG85" s="21" t="s">
        <v>114</v>
      </c>
      <c r="AH85" s="38">
        <v>1</v>
      </c>
      <c r="AI85" s="38">
        <v>1</v>
      </c>
      <c r="AJ85" s="38">
        <v>1</v>
      </c>
      <c r="AK85" s="78"/>
      <c r="AL85" s="17"/>
      <c r="AM85" s="17"/>
      <c r="AN85" s="17"/>
      <c r="AO85" t="s">
        <v>940</v>
      </c>
    </row>
    <row r="86" spans="2:41" hidden="1" x14ac:dyDescent="0.25">
      <c r="B86" s="62">
        <f t="shared" si="15"/>
        <v>39</v>
      </c>
      <c r="C86" s="18">
        <v>20200407</v>
      </c>
      <c r="D86" s="17" t="s">
        <v>3</v>
      </c>
      <c r="E86" s="17" t="s">
        <v>315</v>
      </c>
      <c r="F86" s="19" t="s">
        <v>65</v>
      </c>
      <c r="G86" s="19"/>
      <c r="H86" s="17" t="s">
        <v>135</v>
      </c>
      <c r="I86" s="17" t="s">
        <v>287</v>
      </c>
      <c r="J86" s="17" t="s">
        <v>148</v>
      </c>
      <c r="K86" s="17"/>
      <c r="L86" s="17" t="s">
        <v>65</v>
      </c>
      <c r="M86" s="17"/>
      <c r="N86" s="17" t="s">
        <v>322</v>
      </c>
      <c r="O86" s="19" t="s">
        <v>383</v>
      </c>
      <c r="P86" s="19" t="s">
        <v>299</v>
      </c>
      <c r="Q86" s="20" t="s">
        <v>306</v>
      </c>
      <c r="R86" s="18" t="s">
        <v>111</v>
      </c>
      <c r="S86" s="17" t="s">
        <v>68</v>
      </c>
      <c r="T86" s="17"/>
      <c r="U86" s="17"/>
      <c r="V86" s="17">
        <v>38</v>
      </c>
      <c r="W86" s="17">
        <f>ROUND(IF(D86=Table!$C$3,Y86*Table!$C$4/8,Y86*Table!$D$4/8),3)</f>
        <v>72</v>
      </c>
      <c r="X86" s="17">
        <f t="shared" si="17"/>
        <v>72</v>
      </c>
      <c r="Y86" s="17">
        <v>1.2800000000000002</v>
      </c>
      <c r="Z86" s="17">
        <v>1</v>
      </c>
      <c r="AA86" s="17" t="s">
        <v>78</v>
      </c>
      <c r="AB86" s="17"/>
      <c r="AC86" s="21">
        <v>43929</v>
      </c>
      <c r="AD86" s="21">
        <v>43930</v>
      </c>
      <c r="AE86" s="21">
        <v>43929</v>
      </c>
      <c r="AF86" s="21">
        <v>43929</v>
      </c>
      <c r="AG86" s="21" t="s">
        <v>114</v>
      </c>
      <c r="AH86" s="38">
        <v>1</v>
      </c>
      <c r="AI86" s="38">
        <v>1</v>
      </c>
      <c r="AJ86" s="38">
        <v>0.5</v>
      </c>
      <c r="AK86" s="78"/>
      <c r="AL86" s="17"/>
      <c r="AM86" s="17"/>
      <c r="AN86" s="17"/>
      <c r="AO86" t="s">
        <v>940</v>
      </c>
    </row>
    <row r="87" spans="2:41" hidden="1" x14ac:dyDescent="0.25">
      <c r="B87" s="62">
        <f t="shared" si="15"/>
        <v>40</v>
      </c>
      <c r="C87" s="18">
        <v>20200407</v>
      </c>
      <c r="D87" s="17" t="s">
        <v>3</v>
      </c>
      <c r="E87" s="17" t="s">
        <v>315</v>
      </c>
      <c r="F87" s="19" t="s">
        <v>65</v>
      </c>
      <c r="G87" s="19"/>
      <c r="H87" s="17" t="s">
        <v>192</v>
      </c>
      <c r="I87" s="17" t="s">
        <v>288</v>
      </c>
      <c r="J87" s="17" t="s">
        <v>148</v>
      </c>
      <c r="K87" s="17"/>
      <c r="L87" s="17" t="s">
        <v>65</v>
      </c>
      <c r="M87" s="17"/>
      <c r="N87" s="17" t="s">
        <v>322</v>
      </c>
      <c r="O87" s="19" t="s">
        <v>384</v>
      </c>
      <c r="P87" s="19" t="s">
        <v>299</v>
      </c>
      <c r="Q87" s="20" t="s">
        <v>307</v>
      </c>
      <c r="R87" s="18" t="s">
        <v>113</v>
      </c>
      <c r="S87" s="17" t="s">
        <v>70</v>
      </c>
      <c r="T87" s="17"/>
      <c r="U87" s="17"/>
      <c r="V87" s="17">
        <v>26</v>
      </c>
      <c r="W87" s="17">
        <f>ROUND(IF(D87=Table!$C$3,Y87*Table!$C$4/8,Y87*Table!$D$4/8),3)</f>
        <v>72</v>
      </c>
      <c r="X87" s="17">
        <f>W87</f>
        <v>72</v>
      </c>
      <c r="Y87" s="17">
        <v>1.2800000000000002</v>
      </c>
      <c r="Z87" s="17">
        <v>2</v>
      </c>
      <c r="AA87" s="17" t="s">
        <v>78</v>
      </c>
      <c r="AB87" s="17"/>
      <c r="AC87" s="21">
        <v>43929</v>
      </c>
      <c r="AD87" s="21">
        <v>43930</v>
      </c>
      <c r="AE87" s="21">
        <v>43931</v>
      </c>
      <c r="AF87" s="21">
        <v>43931</v>
      </c>
      <c r="AG87" s="21" t="s">
        <v>114</v>
      </c>
      <c r="AH87" s="38">
        <v>1</v>
      </c>
      <c r="AI87" s="38">
        <v>1</v>
      </c>
      <c r="AJ87" s="38">
        <v>1</v>
      </c>
      <c r="AK87" s="78"/>
      <c r="AL87" s="17"/>
      <c r="AM87" s="17"/>
      <c r="AN87" s="17"/>
      <c r="AO87" t="s">
        <v>940</v>
      </c>
    </row>
    <row r="88" spans="2:41" hidden="1" x14ac:dyDescent="0.25">
      <c r="B88" s="62">
        <f t="shared" si="15"/>
        <v>41</v>
      </c>
      <c r="C88" s="18">
        <v>20200407</v>
      </c>
      <c r="D88" s="17" t="s">
        <v>3</v>
      </c>
      <c r="E88" s="17" t="s">
        <v>315</v>
      </c>
      <c r="F88" s="19" t="s">
        <v>65</v>
      </c>
      <c r="G88" s="19"/>
      <c r="H88" s="17" t="s">
        <v>193</v>
      </c>
      <c r="I88" s="17" t="s">
        <v>289</v>
      </c>
      <c r="J88" s="17" t="s">
        <v>148</v>
      </c>
      <c r="K88" s="17"/>
      <c r="L88" s="17" t="s">
        <v>65</v>
      </c>
      <c r="M88" s="17"/>
      <c r="N88" s="17" t="s">
        <v>322</v>
      </c>
      <c r="O88" s="19" t="s">
        <v>385</v>
      </c>
      <c r="P88" s="19" t="s">
        <v>299</v>
      </c>
      <c r="Q88" s="20" t="s">
        <v>308</v>
      </c>
      <c r="R88" s="18" t="s">
        <v>113</v>
      </c>
      <c r="S88" s="17" t="s">
        <v>70</v>
      </c>
      <c r="T88" s="17"/>
      <c r="U88" s="17"/>
      <c r="V88" s="17">
        <v>127</v>
      </c>
      <c r="W88" s="17">
        <f>ROUND(IF(D88=Table!$C$3,Y88*Table!$C$4/8,Y88*Table!$D$4/8),3)</f>
        <v>144</v>
      </c>
      <c r="X88" s="17">
        <f>W88</f>
        <v>144</v>
      </c>
      <c r="Y88" s="17">
        <v>2.5600000000000005</v>
      </c>
      <c r="Z88" s="17">
        <v>3</v>
      </c>
      <c r="AA88" s="17" t="s">
        <v>78</v>
      </c>
      <c r="AB88" s="17"/>
      <c r="AC88" s="21">
        <v>43929</v>
      </c>
      <c r="AD88" s="21">
        <v>43930</v>
      </c>
      <c r="AE88" s="21">
        <v>43931</v>
      </c>
      <c r="AF88" s="21">
        <v>43931</v>
      </c>
      <c r="AG88" s="21" t="s">
        <v>114</v>
      </c>
      <c r="AH88" s="38">
        <v>1</v>
      </c>
      <c r="AI88" s="38">
        <v>1</v>
      </c>
      <c r="AJ88" s="38">
        <v>1</v>
      </c>
      <c r="AK88" s="22" t="s">
        <v>573</v>
      </c>
      <c r="AL88" s="17"/>
      <c r="AM88" s="17"/>
      <c r="AN88" s="17" t="s">
        <v>902</v>
      </c>
      <c r="AO88" t="s">
        <v>940</v>
      </c>
    </row>
    <row r="89" spans="2:41" hidden="1" x14ac:dyDescent="0.25">
      <c r="B89" s="62">
        <f t="shared" si="15"/>
        <v>42</v>
      </c>
      <c r="C89" s="18">
        <v>20200407</v>
      </c>
      <c r="D89" s="17" t="s">
        <v>3</v>
      </c>
      <c r="E89" s="17" t="s">
        <v>315</v>
      </c>
      <c r="F89" s="19" t="s">
        <v>65</v>
      </c>
      <c r="G89" s="19"/>
      <c r="H89" s="17" t="s">
        <v>98</v>
      </c>
      <c r="I89" s="17" t="s">
        <v>290</v>
      </c>
      <c r="J89" s="17" t="s">
        <v>148</v>
      </c>
      <c r="K89" s="17"/>
      <c r="L89" s="17" t="s">
        <v>65</v>
      </c>
      <c r="M89" s="17"/>
      <c r="N89" s="17" t="s">
        <v>322</v>
      </c>
      <c r="O89" s="19" t="s">
        <v>386</v>
      </c>
      <c r="P89" s="19" t="s">
        <v>299</v>
      </c>
      <c r="Q89" s="20" t="s">
        <v>309</v>
      </c>
      <c r="R89" s="18" t="s">
        <v>113</v>
      </c>
      <c r="S89" s="17" t="s">
        <v>70</v>
      </c>
      <c r="T89" s="17"/>
      <c r="U89" s="17"/>
      <c r="V89" s="17">
        <v>200</v>
      </c>
      <c r="W89" s="17">
        <f>ROUND(IF(D89=Table!$C$3,Y89*Table!$C$4/8,Y89*Table!$D$4/8),3)</f>
        <v>180</v>
      </c>
      <c r="X89" s="17">
        <f>W89</f>
        <v>180</v>
      </c>
      <c r="Y89" s="17">
        <v>3.2</v>
      </c>
      <c r="Z89" s="17">
        <v>3</v>
      </c>
      <c r="AA89" s="17" t="s">
        <v>78</v>
      </c>
      <c r="AB89" s="17"/>
      <c r="AC89" s="21">
        <v>43929</v>
      </c>
      <c r="AD89" s="21">
        <v>43930</v>
      </c>
      <c r="AE89" s="21">
        <v>43931</v>
      </c>
      <c r="AF89" s="21">
        <v>43931</v>
      </c>
      <c r="AG89" s="21" t="s">
        <v>114</v>
      </c>
      <c r="AH89" s="38">
        <v>1</v>
      </c>
      <c r="AI89" s="38">
        <v>1</v>
      </c>
      <c r="AJ89" s="38">
        <v>1</v>
      </c>
      <c r="AK89" s="78"/>
      <c r="AL89" s="17"/>
      <c r="AM89" s="17"/>
      <c r="AN89" s="17"/>
      <c r="AO89" t="s">
        <v>940</v>
      </c>
    </row>
    <row r="90" spans="2:41" hidden="1" x14ac:dyDescent="0.25">
      <c r="B90" s="62">
        <f t="shared" si="15"/>
        <v>43</v>
      </c>
      <c r="C90" s="18">
        <v>20200407</v>
      </c>
      <c r="D90" s="17" t="s">
        <v>3</v>
      </c>
      <c r="E90" s="17" t="s">
        <v>315</v>
      </c>
      <c r="F90" s="19" t="s">
        <v>65</v>
      </c>
      <c r="G90" s="19"/>
      <c r="H90" s="17" t="s">
        <v>99</v>
      </c>
      <c r="I90" s="17" t="s">
        <v>291</v>
      </c>
      <c r="J90" s="17" t="s">
        <v>148</v>
      </c>
      <c r="K90" s="17"/>
      <c r="L90" s="17" t="s">
        <v>65</v>
      </c>
      <c r="M90" s="17"/>
      <c r="N90" s="17" t="s">
        <v>322</v>
      </c>
      <c r="O90" s="19" t="s">
        <v>387</v>
      </c>
      <c r="P90" s="19" t="s">
        <v>299</v>
      </c>
      <c r="Q90" s="20" t="s">
        <v>310</v>
      </c>
      <c r="R90" s="18" t="s">
        <v>113</v>
      </c>
      <c r="S90" s="17" t="s">
        <v>70</v>
      </c>
      <c r="T90" s="17"/>
      <c r="U90" s="17"/>
      <c r="V90" s="17">
        <v>56</v>
      </c>
      <c r="W90" s="17">
        <f>ROUND(IF(D90=Table!$C$3,Y90*Table!$C$4/8,Y90*Table!$D$4/8),3)</f>
        <v>72</v>
      </c>
      <c r="X90" s="17">
        <f>W90</f>
        <v>72</v>
      </c>
      <c r="Y90" s="17">
        <v>1.2800000000000002</v>
      </c>
      <c r="Z90" s="17">
        <v>2</v>
      </c>
      <c r="AA90" s="17" t="s">
        <v>78</v>
      </c>
      <c r="AB90" s="17"/>
      <c r="AC90" s="21">
        <v>43929</v>
      </c>
      <c r="AD90" s="21">
        <v>43930</v>
      </c>
      <c r="AE90" s="21">
        <v>43931</v>
      </c>
      <c r="AF90" s="21">
        <v>43931</v>
      </c>
      <c r="AG90" s="21" t="s">
        <v>114</v>
      </c>
      <c r="AH90" s="38">
        <v>1</v>
      </c>
      <c r="AI90" s="38">
        <v>1</v>
      </c>
      <c r="AJ90" s="38">
        <v>1</v>
      </c>
      <c r="AK90" s="78"/>
      <c r="AL90" s="17"/>
      <c r="AM90" s="17"/>
      <c r="AN90" s="17"/>
      <c r="AO90" t="s">
        <v>940</v>
      </c>
    </row>
    <row r="91" spans="2:41" hidden="1" x14ac:dyDescent="0.25">
      <c r="B91" s="62">
        <f t="shared" si="15"/>
        <v>44</v>
      </c>
      <c r="C91" s="18">
        <v>20200407</v>
      </c>
      <c r="D91" s="17" t="s">
        <v>3</v>
      </c>
      <c r="E91" s="17" t="s">
        <v>315</v>
      </c>
      <c r="F91" s="19" t="s">
        <v>65</v>
      </c>
      <c r="G91" s="19"/>
      <c r="H91" s="17" t="s">
        <v>100</v>
      </c>
      <c r="I91" s="17" t="s">
        <v>292</v>
      </c>
      <c r="J91" s="17" t="s">
        <v>148</v>
      </c>
      <c r="K91" s="17"/>
      <c r="L91" s="17" t="s">
        <v>65</v>
      </c>
      <c r="M91" s="17"/>
      <c r="N91" s="17" t="s">
        <v>322</v>
      </c>
      <c r="O91" s="19" t="s">
        <v>388</v>
      </c>
      <c r="P91" s="19" t="s">
        <v>299</v>
      </c>
      <c r="Q91" s="20" t="s">
        <v>311</v>
      </c>
      <c r="R91" s="18" t="s">
        <v>174</v>
      </c>
      <c r="S91" s="17" t="s">
        <v>6</v>
      </c>
      <c r="T91" s="17"/>
      <c r="U91" s="17"/>
      <c r="V91" s="17">
        <v>213</v>
      </c>
      <c r="W91" s="17">
        <f>ROUND(IF(D91=Table!$C$3,Y91*Table!$C$4/8,Y91*Table!$D$4/8),3)</f>
        <v>180</v>
      </c>
      <c r="X91" s="17">
        <f t="shared" ref="X91" si="18">W91</f>
        <v>180</v>
      </c>
      <c r="Y91" s="17">
        <v>3.2</v>
      </c>
      <c r="Z91" s="17">
        <v>3</v>
      </c>
      <c r="AA91" s="17" t="s">
        <v>78</v>
      </c>
      <c r="AB91" s="17"/>
      <c r="AC91" s="21">
        <v>43929</v>
      </c>
      <c r="AD91" s="21">
        <v>43930</v>
      </c>
      <c r="AE91" s="21">
        <v>43931</v>
      </c>
      <c r="AF91" s="21">
        <v>43931</v>
      </c>
      <c r="AG91" s="21" t="s">
        <v>114</v>
      </c>
      <c r="AH91" s="38">
        <v>0.97</v>
      </c>
      <c r="AI91" s="38">
        <v>0.95</v>
      </c>
      <c r="AJ91" s="38">
        <v>0.5</v>
      </c>
      <c r="AK91" s="78"/>
      <c r="AL91" s="17" t="s">
        <v>351</v>
      </c>
      <c r="AM91" s="17"/>
      <c r="AN91" s="17"/>
      <c r="AO91" t="s">
        <v>940</v>
      </c>
    </row>
    <row r="92" spans="2:41" hidden="1" x14ac:dyDescent="0.25">
      <c r="B92" s="62">
        <f t="shared" si="15"/>
        <v>45</v>
      </c>
      <c r="C92" s="18">
        <v>20200407</v>
      </c>
      <c r="D92" s="17" t="s">
        <v>3</v>
      </c>
      <c r="E92" s="17" t="s">
        <v>315</v>
      </c>
      <c r="F92" s="19" t="s">
        <v>65</v>
      </c>
      <c r="G92" s="19"/>
      <c r="H92" s="17" t="s">
        <v>194</v>
      </c>
      <c r="I92" s="17" t="s">
        <v>293</v>
      </c>
      <c r="J92" s="17" t="s">
        <v>148</v>
      </c>
      <c r="K92" s="17"/>
      <c r="L92" s="17" t="s">
        <v>65</v>
      </c>
      <c r="M92" s="17"/>
      <c r="N92" s="17" t="s">
        <v>322</v>
      </c>
      <c r="O92" s="19" t="s">
        <v>389</v>
      </c>
      <c r="P92" s="19" t="s">
        <v>299</v>
      </c>
      <c r="Q92" s="20" t="s">
        <v>312</v>
      </c>
      <c r="R92" s="18" t="s">
        <v>174</v>
      </c>
      <c r="S92" s="17" t="s">
        <v>6</v>
      </c>
      <c r="T92" s="17"/>
      <c r="U92" s="17"/>
      <c r="V92" s="17">
        <v>138</v>
      </c>
      <c r="W92" s="17">
        <f>ROUND(IF(D92=Table!$C$3,Y92*Table!$C$4/8,Y92*Table!$D$4/8),3)</f>
        <v>144</v>
      </c>
      <c r="X92" s="17">
        <f>W92</f>
        <v>144</v>
      </c>
      <c r="Y92" s="17">
        <v>2.56</v>
      </c>
      <c r="Z92" s="17">
        <v>2</v>
      </c>
      <c r="AA92" s="17" t="s">
        <v>78</v>
      </c>
      <c r="AB92" s="17"/>
      <c r="AC92" s="21">
        <v>43929</v>
      </c>
      <c r="AD92" s="21">
        <v>43930</v>
      </c>
      <c r="AE92" s="21">
        <v>43931</v>
      </c>
      <c r="AF92" s="21">
        <v>43931</v>
      </c>
      <c r="AG92" s="21" t="s">
        <v>114</v>
      </c>
      <c r="AH92" s="38">
        <v>1</v>
      </c>
      <c r="AI92" s="38">
        <v>1</v>
      </c>
      <c r="AJ92" s="38">
        <v>0.5</v>
      </c>
      <c r="AK92" s="78"/>
      <c r="AL92" s="17"/>
      <c r="AM92" s="17"/>
      <c r="AN92" s="17"/>
      <c r="AO92" t="s">
        <v>940</v>
      </c>
    </row>
    <row r="93" spans="2:41" hidden="1" x14ac:dyDescent="0.25">
      <c r="B93" s="62">
        <f t="shared" si="15"/>
        <v>46</v>
      </c>
      <c r="C93" s="18">
        <v>20200407</v>
      </c>
      <c r="D93" s="17" t="s">
        <v>3</v>
      </c>
      <c r="E93" s="17" t="s">
        <v>315</v>
      </c>
      <c r="F93" s="19" t="s">
        <v>65</v>
      </c>
      <c r="G93" s="19"/>
      <c r="H93" s="17" t="s">
        <v>101</v>
      </c>
      <c r="I93" s="17" t="s">
        <v>294</v>
      </c>
      <c r="J93" s="17" t="s">
        <v>148</v>
      </c>
      <c r="K93" s="17"/>
      <c r="L93" s="17" t="s">
        <v>65</v>
      </c>
      <c r="M93" s="17"/>
      <c r="N93" s="17" t="s">
        <v>322</v>
      </c>
      <c r="O93" s="19" t="s">
        <v>390</v>
      </c>
      <c r="P93" s="19" t="s">
        <v>299</v>
      </c>
      <c r="Q93" s="20" t="s">
        <v>313</v>
      </c>
      <c r="R93" s="18" t="s">
        <v>174</v>
      </c>
      <c r="S93" s="17" t="s">
        <v>69</v>
      </c>
      <c r="T93" s="17"/>
      <c r="U93" s="17"/>
      <c r="V93" s="17">
        <v>430</v>
      </c>
      <c r="W93" s="17">
        <f>ROUND(IF(D93=Table!$C$3,Y93*Table!$C$4/8,Y93*Table!$D$4/8),3)</f>
        <v>315</v>
      </c>
      <c r="X93" s="17">
        <f t="shared" ref="X93:X94" si="19">W93</f>
        <v>315</v>
      </c>
      <c r="Y93" s="17">
        <v>5.6</v>
      </c>
      <c r="Z93" s="17">
        <v>8</v>
      </c>
      <c r="AA93" s="17" t="s">
        <v>78</v>
      </c>
      <c r="AB93" s="17"/>
      <c r="AC93" s="21">
        <v>43929</v>
      </c>
      <c r="AD93" s="21">
        <v>43930</v>
      </c>
      <c r="AE93" s="21">
        <v>43931</v>
      </c>
      <c r="AF93" s="21">
        <v>43931</v>
      </c>
      <c r="AG93" s="21" t="s">
        <v>114</v>
      </c>
      <c r="AH93" s="38"/>
      <c r="AI93" s="38"/>
      <c r="AJ93" s="38"/>
      <c r="AK93" s="78"/>
      <c r="AL93" s="17"/>
      <c r="AM93" s="17"/>
      <c r="AN93" s="17"/>
      <c r="AO93" t="s">
        <v>940</v>
      </c>
    </row>
    <row r="94" spans="2:41" hidden="1" x14ac:dyDescent="0.25">
      <c r="B94" s="62">
        <f t="shared" si="15"/>
        <v>47</v>
      </c>
      <c r="C94" s="18">
        <v>20200407</v>
      </c>
      <c r="D94" s="17" t="s">
        <v>3</v>
      </c>
      <c r="E94" s="17" t="s">
        <v>315</v>
      </c>
      <c r="F94" s="19" t="s">
        <v>65</v>
      </c>
      <c r="G94" s="19"/>
      <c r="H94" s="17" t="s">
        <v>102</v>
      </c>
      <c r="I94" s="17" t="s">
        <v>295</v>
      </c>
      <c r="J94" s="17" t="s">
        <v>148</v>
      </c>
      <c r="K94" s="17"/>
      <c r="L94" s="17" t="s">
        <v>65</v>
      </c>
      <c r="M94" s="17"/>
      <c r="N94" s="17" t="s">
        <v>322</v>
      </c>
      <c r="O94" s="19" t="s">
        <v>391</v>
      </c>
      <c r="P94" s="19" t="s">
        <v>299</v>
      </c>
      <c r="Q94" s="20" t="s">
        <v>314</v>
      </c>
      <c r="R94" s="18" t="s">
        <v>174</v>
      </c>
      <c r="S94" s="17" t="s">
        <v>69</v>
      </c>
      <c r="T94" s="17"/>
      <c r="U94" s="17"/>
      <c r="V94" s="17">
        <v>56</v>
      </c>
      <c r="W94" s="17">
        <f>ROUND(IF(D94=Table!$C$3,Y94*Table!$C$4/8,Y94*Table!$D$4/8),3)</f>
        <v>72</v>
      </c>
      <c r="X94" s="17">
        <f t="shared" si="19"/>
        <v>72</v>
      </c>
      <c r="Y94" s="17">
        <v>1.28</v>
      </c>
      <c r="Z94" s="17">
        <v>8</v>
      </c>
      <c r="AA94" s="17" t="s">
        <v>78</v>
      </c>
      <c r="AB94" s="17"/>
      <c r="AC94" s="21">
        <v>43929</v>
      </c>
      <c r="AD94" s="21">
        <v>43930</v>
      </c>
      <c r="AE94" s="21">
        <v>43931</v>
      </c>
      <c r="AF94" s="21">
        <v>43931</v>
      </c>
      <c r="AG94" s="21" t="s">
        <v>114</v>
      </c>
      <c r="AH94" s="38"/>
      <c r="AI94" s="38"/>
      <c r="AJ94" s="38"/>
      <c r="AK94" s="78"/>
      <c r="AL94" s="17"/>
      <c r="AM94" s="17"/>
      <c r="AN94" s="17"/>
      <c r="AO94" t="s">
        <v>940</v>
      </c>
    </row>
    <row r="95" spans="2:41" hidden="1" x14ac:dyDescent="0.25">
      <c r="B95" s="69">
        <f t="shared" si="15"/>
        <v>48</v>
      </c>
      <c r="C95" s="18">
        <v>20200409</v>
      </c>
      <c r="D95" s="17" t="s">
        <v>2</v>
      </c>
      <c r="E95" s="17" t="s">
        <v>432</v>
      </c>
      <c r="F95" s="19" t="s">
        <v>65</v>
      </c>
      <c r="G95" s="19"/>
      <c r="H95" s="19" t="s">
        <v>65</v>
      </c>
      <c r="I95" s="17" t="s">
        <v>330</v>
      </c>
      <c r="J95" s="17" t="s">
        <v>147</v>
      </c>
      <c r="K95" s="17"/>
      <c r="L95" s="17" t="s">
        <v>65</v>
      </c>
      <c r="M95" s="17"/>
      <c r="N95" s="17" t="s">
        <v>65</v>
      </c>
      <c r="O95" s="19">
        <v>1.3</v>
      </c>
      <c r="P95" s="19" t="s">
        <v>338</v>
      </c>
      <c r="Q95" s="20" t="s">
        <v>339</v>
      </c>
      <c r="R95" s="61" t="s">
        <v>65</v>
      </c>
      <c r="S95" s="17" t="s">
        <v>6</v>
      </c>
      <c r="T95" s="17"/>
      <c r="U95" s="17"/>
      <c r="V95" s="17"/>
      <c r="W95" s="17">
        <f>ROUND(IF(D95=Table!$C$3,Y95*Table!$C$4/8,Y95*Table!$D$4/8),3)</f>
        <v>300.625</v>
      </c>
      <c r="X95" s="17">
        <f t="shared" ref="X95:X108" si="20">W95</f>
        <v>300.625</v>
      </c>
      <c r="Y95" s="100">
        <v>18.5</v>
      </c>
      <c r="Z95" s="17">
        <v>1</v>
      </c>
      <c r="AA95" s="17" t="s">
        <v>78</v>
      </c>
      <c r="AB95" s="17"/>
      <c r="AC95" s="21">
        <v>43931</v>
      </c>
      <c r="AD95" s="21">
        <v>43931</v>
      </c>
      <c r="AE95" s="21">
        <v>43931</v>
      </c>
      <c r="AF95" s="21">
        <v>43931</v>
      </c>
      <c r="AG95" s="21" t="s">
        <v>114</v>
      </c>
      <c r="AH95" s="38">
        <v>0.93300000000000005</v>
      </c>
      <c r="AI95" s="38">
        <v>0.93799999999999994</v>
      </c>
      <c r="AJ95" s="38">
        <v>1</v>
      </c>
      <c r="AK95" s="78"/>
      <c r="AL95" s="17" t="s">
        <v>353</v>
      </c>
      <c r="AM95" s="17"/>
      <c r="AN95" s="50" t="s">
        <v>759</v>
      </c>
      <c r="AO95" t="s">
        <v>940</v>
      </c>
    </row>
    <row r="96" spans="2:41" hidden="1" x14ac:dyDescent="0.25">
      <c r="B96" s="69">
        <f t="shared" si="15"/>
        <v>49</v>
      </c>
      <c r="C96" s="18">
        <v>20200409</v>
      </c>
      <c r="D96" s="17" t="s">
        <v>2</v>
      </c>
      <c r="E96" s="17" t="s">
        <v>432</v>
      </c>
      <c r="F96" s="19" t="s">
        <v>65</v>
      </c>
      <c r="G96" s="19"/>
      <c r="H96" s="19" t="s">
        <v>65</v>
      </c>
      <c r="I96" s="17" t="s">
        <v>331</v>
      </c>
      <c r="J96" s="17" t="s">
        <v>147</v>
      </c>
      <c r="K96" s="17"/>
      <c r="L96" s="17" t="s">
        <v>65</v>
      </c>
      <c r="M96" s="17"/>
      <c r="N96" s="17" t="s">
        <v>65</v>
      </c>
      <c r="O96" s="19">
        <v>1.5</v>
      </c>
      <c r="P96" s="19" t="s">
        <v>338</v>
      </c>
      <c r="Q96" s="20" t="s">
        <v>340</v>
      </c>
      <c r="R96" s="61" t="s">
        <v>65</v>
      </c>
      <c r="S96" s="17" t="s">
        <v>68</v>
      </c>
      <c r="T96" s="17"/>
      <c r="U96" s="17"/>
      <c r="V96" s="17"/>
      <c r="W96" s="17">
        <f>ROUND(IF(D96=Table!$C$3,Y96*Table!$C$4/8,Y96*Table!$D$4/8),3)</f>
        <v>40.625</v>
      </c>
      <c r="X96" s="17">
        <f t="shared" si="20"/>
        <v>40.625</v>
      </c>
      <c r="Y96" s="17">
        <v>2.5</v>
      </c>
      <c r="Z96" s="17">
        <f>Y96</f>
        <v>2.5</v>
      </c>
      <c r="AA96" s="17" t="s">
        <v>78</v>
      </c>
      <c r="AB96" s="17"/>
      <c r="AC96" s="21">
        <v>43931</v>
      </c>
      <c r="AD96" s="21">
        <v>43931</v>
      </c>
      <c r="AE96" s="21">
        <v>43931</v>
      </c>
      <c r="AF96" s="21">
        <v>43931</v>
      </c>
      <c r="AG96" s="21" t="s">
        <v>114</v>
      </c>
      <c r="AH96" s="38">
        <v>1</v>
      </c>
      <c r="AI96" s="38">
        <v>1</v>
      </c>
      <c r="AJ96" s="38" t="s">
        <v>118</v>
      </c>
      <c r="AK96" s="78"/>
      <c r="AL96" s="17"/>
      <c r="AM96" s="17"/>
      <c r="AN96" s="17"/>
      <c r="AO96" t="s">
        <v>940</v>
      </c>
    </row>
    <row r="97" spans="2:41" hidden="1" x14ac:dyDescent="0.25">
      <c r="B97" s="69">
        <f t="shared" si="15"/>
        <v>50</v>
      </c>
      <c r="C97" s="18">
        <v>20200409</v>
      </c>
      <c r="D97" s="17" t="s">
        <v>2</v>
      </c>
      <c r="E97" s="17" t="s">
        <v>432</v>
      </c>
      <c r="F97" s="19" t="s">
        <v>65</v>
      </c>
      <c r="G97" s="19"/>
      <c r="H97" s="19" t="s">
        <v>65</v>
      </c>
      <c r="I97" s="17" t="s">
        <v>332</v>
      </c>
      <c r="J97" s="17" t="s">
        <v>147</v>
      </c>
      <c r="K97" s="17"/>
      <c r="L97" s="17" t="s">
        <v>65</v>
      </c>
      <c r="M97" s="17"/>
      <c r="N97" s="17" t="s">
        <v>65</v>
      </c>
      <c r="O97" s="19">
        <v>1.4</v>
      </c>
      <c r="P97" s="19" t="s">
        <v>338</v>
      </c>
      <c r="Q97" s="20" t="s">
        <v>341</v>
      </c>
      <c r="R97" s="61" t="s">
        <v>65</v>
      </c>
      <c r="S97" s="17" t="s">
        <v>69</v>
      </c>
      <c r="T97" s="17"/>
      <c r="U97" s="17"/>
      <c r="V97" s="17"/>
      <c r="W97" s="17">
        <f>ROUND(IF(D97=Table!$C$3,Y97*Table!$C$4/8,Y97*Table!$D$4/8),3)</f>
        <v>24.375</v>
      </c>
      <c r="X97" s="17">
        <f t="shared" si="20"/>
        <v>24.375</v>
      </c>
      <c r="Y97" s="17">
        <v>1.5</v>
      </c>
      <c r="Z97" s="17">
        <v>1.5</v>
      </c>
      <c r="AA97" s="17" t="s">
        <v>78</v>
      </c>
      <c r="AB97" s="17"/>
      <c r="AC97" s="21">
        <v>43931</v>
      </c>
      <c r="AD97" s="21">
        <v>43931</v>
      </c>
      <c r="AE97" s="21">
        <v>43931</v>
      </c>
      <c r="AF97" s="21">
        <v>43931</v>
      </c>
      <c r="AG97" s="21" t="s">
        <v>114</v>
      </c>
      <c r="AH97" s="38"/>
      <c r="AI97" s="38"/>
      <c r="AJ97" s="38"/>
      <c r="AK97" s="78"/>
      <c r="AL97" s="17"/>
      <c r="AM97" s="17"/>
      <c r="AN97" s="17"/>
      <c r="AO97" t="s">
        <v>940</v>
      </c>
    </row>
    <row r="98" spans="2:41" hidden="1" x14ac:dyDescent="0.25">
      <c r="B98" s="69">
        <f t="shared" si="15"/>
        <v>51</v>
      </c>
      <c r="C98" s="18">
        <v>20200409</v>
      </c>
      <c r="D98" s="17" t="s">
        <v>2</v>
      </c>
      <c r="E98" s="17" t="s">
        <v>432</v>
      </c>
      <c r="F98" s="19" t="s">
        <v>65</v>
      </c>
      <c r="G98" s="19"/>
      <c r="H98" s="19" t="s">
        <v>65</v>
      </c>
      <c r="I98" s="17" t="s">
        <v>333</v>
      </c>
      <c r="J98" s="17" t="s">
        <v>147</v>
      </c>
      <c r="K98" s="17"/>
      <c r="L98" s="17" t="s">
        <v>65</v>
      </c>
      <c r="M98" s="17"/>
      <c r="N98" s="17" t="s">
        <v>65</v>
      </c>
      <c r="O98" s="19">
        <v>1.3</v>
      </c>
      <c r="P98" s="19" t="s">
        <v>338</v>
      </c>
      <c r="Q98" s="20" t="s">
        <v>342</v>
      </c>
      <c r="R98" s="61" t="s">
        <v>65</v>
      </c>
      <c r="S98" s="17" t="s">
        <v>69</v>
      </c>
      <c r="T98" s="17"/>
      <c r="U98" s="17"/>
      <c r="V98" s="17"/>
      <c r="W98" s="17">
        <f>ROUND(IF(D98=Table!$C$3,Y98*Table!$C$4/8,Y98*Table!$D$4/8),3)</f>
        <v>24.375</v>
      </c>
      <c r="X98" s="17">
        <f t="shared" si="20"/>
        <v>24.375</v>
      </c>
      <c r="Y98" s="17">
        <v>1.5</v>
      </c>
      <c r="Z98" s="17">
        <v>1.5</v>
      </c>
      <c r="AA98" s="17" t="s">
        <v>78</v>
      </c>
      <c r="AB98" s="17"/>
      <c r="AC98" s="21">
        <v>43931</v>
      </c>
      <c r="AD98" s="21">
        <v>43931</v>
      </c>
      <c r="AE98" s="21">
        <v>43931</v>
      </c>
      <c r="AF98" s="21">
        <v>43931</v>
      </c>
      <c r="AG98" s="21" t="s">
        <v>114</v>
      </c>
      <c r="AH98" s="38"/>
      <c r="AI98" s="38"/>
      <c r="AJ98" s="38"/>
      <c r="AK98" s="78"/>
      <c r="AL98" s="17"/>
      <c r="AM98" s="17"/>
      <c r="AN98" s="17"/>
      <c r="AO98" t="s">
        <v>940</v>
      </c>
    </row>
    <row r="99" spans="2:41" hidden="1" x14ac:dyDescent="0.25">
      <c r="B99" s="69">
        <f t="shared" si="15"/>
        <v>52</v>
      </c>
      <c r="C99" s="18">
        <v>20200409</v>
      </c>
      <c r="D99" s="17" t="s">
        <v>2</v>
      </c>
      <c r="E99" s="17" t="s">
        <v>432</v>
      </c>
      <c r="F99" s="19" t="s">
        <v>65</v>
      </c>
      <c r="G99" s="19"/>
      <c r="H99" s="19" t="s">
        <v>65</v>
      </c>
      <c r="I99" s="17" t="s">
        <v>334</v>
      </c>
      <c r="J99" s="17" t="s">
        <v>147</v>
      </c>
      <c r="K99" s="17"/>
      <c r="L99" s="17" t="s">
        <v>65</v>
      </c>
      <c r="M99" s="17"/>
      <c r="N99" s="17" t="s">
        <v>65</v>
      </c>
      <c r="O99" s="19">
        <v>1.2</v>
      </c>
      <c r="P99" s="19" t="s">
        <v>338</v>
      </c>
      <c r="Q99" s="20" t="s">
        <v>343</v>
      </c>
      <c r="R99" s="61" t="s">
        <v>65</v>
      </c>
      <c r="S99" s="17" t="s">
        <v>70</v>
      </c>
      <c r="T99" s="17"/>
      <c r="U99" s="17"/>
      <c r="V99" s="17"/>
      <c r="W99" s="17">
        <f>ROUND(IF(D99=Table!$C$3,Y99*Table!$C$4/8,Y99*Table!$D$4/8),3)</f>
        <v>24.375</v>
      </c>
      <c r="X99" s="17">
        <f t="shared" si="20"/>
        <v>24.375</v>
      </c>
      <c r="Y99" s="17">
        <v>1.5</v>
      </c>
      <c r="Z99" s="17">
        <v>2</v>
      </c>
      <c r="AA99" s="17" t="s">
        <v>78</v>
      </c>
      <c r="AB99" s="17"/>
      <c r="AC99" s="21">
        <v>43931</v>
      </c>
      <c r="AD99" s="21">
        <v>43931</v>
      </c>
      <c r="AE99" s="21">
        <v>43931</v>
      </c>
      <c r="AF99" s="21">
        <v>43931</v>
      </c>
      <c r="AG99" s="21" t="s">
        <v>114</v>
      </c>
      <c r="AH99" s="38">
        <v>1</v>
      </c>
      <c r="AI99" s="38">
        <v>1</v>
      </c>
      <c r="AJ99" s="38" t="s">
        <v>118</v>
      </c>
      <c r="AK99" s="78"/>
      <c r="AL99" s="17"/>
      <c r="AM99" s="17"/>
      <c r="AN99" s="17"/>
      <c r="AO99" t="s">
        <v>940</v>
      </c>
    </row>
    <row r="100" spans="2:41" hidden="1" x14ac:dyDescent="0.25">
      <c r="B100" s="69">
        <f t="shared" si="15"/>
        <v>53</v>
      </c>
      <c r="C100" s="18">
        <v>20200409</v>
      </c>
      <c r="D100" s="17" t="s">
        <v>2</v>
      </c>
      <c r="E100" s="17" t="s">
        <v>432</v>
      </c>
      <c r="F100" s="19" t="s">
        <v>65</v>
      </c>
      <c r="G100" s="19"/>
      <c r="H100" s="19" t="s">
        <v>65</v>
      </c>
      <c r="I100" s="17" t="s">
        <v>335</v>
      </c>
      <c r="J100" s="17" t="s">
        <v>147</v>
      </c>
      <c r="K100" s="17"/>
      <c r="L100" s="17" t="s">
        <v>65</v>
      </c>
      <c r="M100" s="17"/>
      <c r="N100" s="17" t="s">
        <v>65</v>
      </c>
      <c r="O100" s="19">
        <v>1.4</v>
      </c>
      <c r="P100" s="19" t="s">
        <v>338</v>
      </c>
      <c r="Q100" s="20" t="s">
        <v>344</v>
      </c>
      <c r="R100" s="61" t="s">
        <v>65</v>
      </c>
      <c r="S100" s="17" t="s">
        <v>70</v>
      </c>
      <c r="T100" s="17"/>
      <c r="U100" s="17"/>
      <c r="V100" s="17"/>
      <c r="W100" s="17">
        <f>ROUND(IF(D100=Table!$C$3,Y100*Table!$C$4/8,Y100*Table!$D$4/8),3)</f>
        <v>24.375</v>
      </c>
      <c r="X100" s="17">
        <f t="shared" si="20"/>
        <v>24.375</v>
      </c>
      <c r="Y100" s="17">
        <v>1.5</v>
      </c>
      <c r="Z100" s="17">
        <v>2</v>
      </c>
      <c r="AA100" s="17" t="s">
        <v>78</v>
      </c>
      <c r="AB100" s="17"/>
      <c r="AC100" s="21">
        <v>43931</v>
      </c>
      <c r="AD100" s="21">
        <v>43931</v>
      </c>
      <c r="AE100" s="21">
        <v>43931</v>
      </c>
      <c r="AF100" s="21">
        <v>43931</v>
      </c>
      <c r="AG100" s="21" t="s">
        <v>114</v>
      </c>
      <c r="AH100" s="38">
        <v>1</v>
      </c>
      <c r="AI100" s="38">
        <v>1</v>
      </c>
      <c r="AJ100" s="38" t="s">
        <v>118</v>
      </c>
      <c r="AK100" s="78"/>
      <c r="AL100" s="17"/>
      <c r="AM100" s="17"/>
      <c r="AN100" s="17"/>
      <c r="AO100" t="s">
        <v>940</v>
      </c>
    </row>
    <row r="101" spans="2:41" hidden="1" x14ac:dyDescent="0.25">
      <c r="B101" s="69">
        <f t="shared" si="15"/>
        <v>54</v>
      </c>
      <c r="C101" s="18">
        <v>20200409</v>
      </c>
      <c r="D101" s="17" t="s">
        <v>2</v>
      </c>
      <c r="E101" s="17" t="s">
        <v>432</v>
      </c>
      <c r="F101" s="19" t="s">
        <v>65</v>
      </c>
      <c r="G101" s="19"/>
      <c r="H101" s="19" t="s">
        <v>65</v>
      </c>
      <c r="I101" s="17" t="s">
        <v>336</v>
      </c>
      <c r="J101" s="17" t="s">
        <v>147</v>
      </c>
      <c r="K101" s="17"/>
      <c r="L101" s="17" t="s">
        <v>65</v>
      </c>
      <c r="M101" s="17"/>
      <c r="N101" s="17" t="s">
        <v>65</v>
      </c>
      <c r="O101" s="19">
        <v>1.1000000000000001</v>
      </c>
      <c r="P101" s="19" t="s">
        <v>338</v>
      </c>
      <c r="Q101" s="20" t="s">
        <v>345</v>
      </c>
      <c r="R101" s="61" t="s">
        <v>65</v>
      </c>
      <c r="S101" s="17" t="s">
        <v>6</v>
      </c>
      <c r="T101" s="17"/>
      <c r="U101" s="17"/>
      <c r="V101" s="17"/>
      <c r="W101" s="17">
        <f>ROUND(IF(D101=Table!$C$3,Y101*Table!$C$4/8,Y101*Table!$D$4/8),3)</f>
        <v>24.375</v>
      </c>
      <c r="X101" s="17">
        <f t="shared" si="20"/>
        <v>24.375</v>
      </c>
      <c r="Y101" s="17">
        <v>1.5</v>
      </c>
      <c r="Z101" s="17">
        <v>1</v>
      </c>
      <c r="AA101" s="17" t="s">
        <v>78</v>
      </c>
      <c r="AB101" s="17"/>
      <c r="AC101" s="21">
        <v>43931</v>
      </c>
      <c r="AD101" s="21">
        <v>43931</v>
      </c>
      <c r="AE101" s="21">
        <v>43931</v>
      </c>
      <c r="AF101" s="21">
        <v>43931</v>
      </c>
      <c r="AG101" s="21" t="s">
        <v>114</v>
      </c>
      <c r="AH101" s="38">
        <v>1</v>
      </c>
      <c r="AI101" s="38">
        <v>1</v>
      </c>
      <c r="AJ101" s="38" t="s">
        <v>118</v>
      </c>
      <c r="AK101" s="78"/>
      <c r="AL101" s="17"/>
      <c r="AM101" s="17"/>
      <c r="AN101" s="17"/>
      <c r="AO101" t="s">
        <v>940</v>
      </c>
    </row>
    <row r="102" spans="2:41" hidden="1" x14ac:dyDescent="0.25">
      <c r="B102" s="69">
        <f t="shared" si="15"/>
        <v>55</v>
      </c>
      <c r="C102" s="18">
        <v>20200409</v>
      </c>
      <c r="D102" s="17" t="s">
        <v>2</v>
      </c>
      <c r="E102" s="17" t="s">
        <v>432</v>
      </c>
      <c r="F102" s="19" t="s">
        <v>65</v>
      </c>
      <c r="G102" s="19"/>
      <c r="H102" s="19" t="s">
        <v>65</v>
      </c>
      <c r="I102" s="17" t="s">
        <v>337</v>
      </c>
      <c r="J102" s="17" t="s">
        <v>147</v>
      </c>
      <c r="K102" s="17"/>
      <c r="L102" s="17" t="s">
        <v>65</v>
      </c>
      <c r="M102" s="17"/>
      <c r="N102" s="17" t="s">
        <v>65</v>
      </c>
      <c r="O102" s="19">
        <v>1.7</v>
      </c>
      <c r="P102" s="19" t="s">
        <v>338</v>
      </c>
      <c r="Q102" s="20" t="s">
        <v>346</v>
      </c>
      <c r="R102" s="61" t="s">
        <v>65</v>
      </c>
      <c r="S102" s="17" t="s">
        <v>68</v>
      </c>
      <c r="T102" s="17"/>
      <c r="U102" s="17"/>
      <c r="V102" s="17"/>
      <c r="W102" s="17">
        <f>ROUND(IF(D102=Table!$C$3,Y102*Table!$C$4/8,Y102*Table!$D$4/8),3)</f>
        <v>24.375</v>
      </c>
      <c r="X102" s="17">
        <f t="shared" si="20"/>
        <v>24.375</v>
      </c>
      <c r="Y102" s="17">
        <v>1.5</v>
      </c>
      <c r="Z102" s="17">
        <f>Y102</f>
        <v>1.5</v>
      </c>
      <c r="AA102" s="17" t="s">
        <v>78</v>
      </c>
      <c r="AB102" s="17"/>
      <c r="AC102" s="21">
        <v>43931</v>
      </c>
      <c r="AD102" s="21">
        <v>43931</v>
      </c>
      <c r="AE102" s="21">
        <v>43931</v>
      </c>
      <c r="AF102" s="21">
        <v>43931</v>
      </c>
      <c r="AG102" s="21" t="s">
        <v>114</v>
      </c>
      <c r="AH102" s="38">
        <v>1</v>
      </c>
      <c r="AI102" s="38">
        <v>1</v>
      </c>
      <c r="AJ102" s="38" t="s">
        <v>118</v>
      </c>
      <c r="AK102" s="78"/>
      <c r="AL102" s="17"/>
      <c r="AM102" s="17"/>
      <c r="AN102" s="17"/>
      <c r="AO102" t="s">
        <v>940</v>
      </c>
    </row>
    <row r="103" spans="2:41" hidden="1" x14ac:dyDescent="0.25">
      <c r="B103" s="70">
        <f t="shared" si="15"/>
        <v>56</v>
      </c>
      <c r="C103" s="18">
        <v>20200409</v>
      </c>
      <c r="D103" s="17" t="s">
        <v>2</v>
      </c>
      <c r="E103" s="17" t="s">
        <v>347</v>
      </c>
      <c r="F103" s="19" t="s">
        <v>65</v>
      </c>
      <c r="G103" s="19"/>
      <c r="H103" s="17" t="s">
        <v>191</v>
      </c>
      <c r="I103" s="17" t="s">
        <v>349</v>
      </c>
      <c r="J103" s="17" t="s">
        <v>147</v>
      </c>
      <c r="K103" s="17"/>
      <c r="L103" s="17" t="s">
        <v>65</v>
      </c>
      <c r="M103" s="17"/>
      <c r="N103" s="17" t="s">
        <v>65</v>
      </c>
      <c r="O103" s="19" t="s">
        <v>350</v>
      </c>
      <c r="P103" s="19" t="s">
        <v>348</v>
      </c>
      <c r="Q103" s="20" t="s">
        <v>352</v>
      </c>
      <c r="R103" s="18" t="s">
        <v>112</v>
      </c>
      <c r="S103" s="17" t="s">
        <v>68</v>
      </c>
      <c r="T103" s="17"/>
      <c r="U103" s="17"/>
      <c r="V103" s="17"/>
      <c r="W103" s="17">
        <f>ROUND(IF(D103=Table!$C$3,Y103*Table!$C$4/8,Y103*Table!$D$4/8),3)</f>
        <v>52</v>
      </c>
      <c r="X103" s="17">
        <f t="shared" si="20"/>
        <v>52</v>
      </c>
      <c r="Y103" s="17">
        <v>3.2</v>
      </c>
      <c r="Z103" s="17">
        <f>Y103</f>
        <v>3.2</v>
      </c>
      <c r="AA103" s="17" t="s">
        <v>78</v>
      </c>
      <c r="AB103" s="17"/>
      <c r="AC103" s="21">
        <v>43931</v>
      </c>
      <c r="AD103" s="21">
        <v>43931</v>
      </c>
      <c r="AE103" s="21">
        <v>43931</v>
      </c>
      <c r="AF103" s="21">
        <v>43931</v>
      </c>
      <c r="AG103" s="21" t="s">
        <v>114</v>
      </c>
      <c r="AH103" s="38">
        <v>1</v>
      </c>
      <c r="AI103" s="38">
        <v>1</v>
      </c>
      <c r="AJ103" s="38">
        <v>1</v>
      </c>
      <c r="AK103" s="78"/>
      <c r="AL103" s="17"/>
      <c r="AM103" s="17"/>
      <c r="AN103" s="17"/>
      <c r="AO103" t="s">
        <v>940</v>
      </c>
    </row>
    <row r="104" spans="2:41" hidden="1" x14ac:dyDescent="0.25">
      <c r="B104" s="79">
        <f t="shared" si="15"/>
        <v>57</v>
      </c>
      <c r="C104" s="18">
        <v>20200409</v>
      </c>
      <c r="D104" s="17" t="s">
        <v>2</v>
      </c>
      <c r="E104" s="17" t="s">
        <v>359</v>
      </c>
      <c r="F104" s="19" t="s">
        <v>65</v>
      </c>
      <c r="G104" s="19"/>
      <c r="H104" s="17" t="s">
        <v>238</v>
      </c>
      <c r="I104" s="17" t="s">
        <v>361</v>
      </c>
      <c r="J104" s="17" t="s">
        <v>147</v>
      </c>
      <c r="K104" s="17"/>
      <c r="L104" s="17" t="s">
        <v>65</v>
      </c>
      <c r="M104" s="17"/>
      <c r="N104" s="17" t="s">
        <v>65</v>
      </c>
      <c r="O104" s="19">
        <v>3.1</v>
      </c>
      <c r="P104" s="19" t="s">
        <v>360</v>
      </c>
      <c r="Q104" s="20" t="s">
        <v>357</v>
      </c>
      <c r="R104" s="18" t="s">
        <v>143</v>
      </c>
      <c r="S104" s="17" t="s">
        <v>69</v>
      </c>
      <c r="T104" s="17"/>
      <c r="U104" s="17"/>
      <c r="V104" s="17"/>
      <c r="W104" s="17">
        <f>ROUND(IF(D104=Table!$C$3,Y104*Table!$C$4/8,Y104*Table!$D$4/8),3)</f>
        <v>78</v>
      </c>
      <c r="X104" s="17">
        <f t="shared" si="20"/>
        <v>78</v>
      </c>
      <c r="Y104" s="17">
        <v>4.8</v>
      </c>
      <c r="Z104" s="17">
        <v>4</v>
      </c>
      <c r="AA104" s="17" t="s">
        <v>78</v>
      </c>
      <c r="AB104" s="17"/>
      <c r="AC104" s="21">
        <v>43934</v>
      </c>
      <c r="AD104" s="21">
        <v>43934</v>
      </c>
      <c r="AE104" s="21">
        <v>43934</v>
      </c>
      <c r="AF104" s="21">
        <v>43934</v>
      </c>
      <c r="AG104" s="21" t="s">
        <v>114</v>
      </c>
      <c r="AH104" s="38">
        <v>1</v>
      </c>
      <c r="AI104" s="38">
        <v>1</v>
      </c>
      <c r="AJ104" s="38">
        <v>1</v>
      </c>
      <c r="AK104" s="21"/>
      <c r="AL104" s="17"/>
      <c r="AM104" s="17"/>
      <c r="AN104" s="17"/>
      <c r="AO104" t="s">
        <v>940</v>
      </c>
    </row>
    <row r="105" spans="2:41" hidden="1" x14ac:dyDescent="0.25">
      <c r="B105" s="79">
        <f t="shared" si="15"/>
        <v>58</v>
      </c>
      <c r="C105" s="18">
        <v>20200409</v>
      </c>
      <c r="D105" s="17" t="s">
        <v>2</v>
      </c>
      <c r="E105" s="17" t="s">
        <v>359</v>
      </c>
      <c r="F105" s="19" t="s">
        <v>65</v>
      </c>
      <c r="G105" s="19"/>
      <c r="H105" s="17" t="s">
        <v>239</v>
      </c>
      <c r="I105" s="17" t="s">
        <v>362</v>
      </c>
      <c r="J105" s="17" t="s">
        <v>356</v>
      </c>
      <c r="K105" s="17"/>
      <c r="L105" s="17" t="s">
        <v>65</v>
      </c>
      <c r="M105" s="17"/>
      <c r="N105" s="17" t="s">
        <v>65</v>
      </c>
      <c r="O105" s="19">
        <v>1.4</v>
      </c>
      <c r="P105" s="19" t="s">
        <v>360</v>
      </c>
      <c r="Q105" s="20" t="s">
        <v>358</v>
      </c>
      <c r="R105" s="18" t="s">
        <v>144</v>
      </c>
      <c r="S105" s="17" t="s">
        <v>6</v>
      </c>
      <c r="T105" s="17"/>
      <c r="U105" s="17"/>
      <c r="V105" s="17"/>
      <c r="W105" s="17">
        <f>ROUND(IF(D105=Table!$C$3,Y105*Table!$C$4/8,Y105*Table!$D$4/8),3)</f>
        <v>91</v>
      </c>
      <c r="X105" s="17">
        <f t="shared" si="20"/>
        <v>91</v>
      </c>
      <c r="Y105" s="17">
        <v>5.6</v>
      </c>
      <c r="Z105" s="17">
        <v>4</v>
      </c>
      <c r="AA105" s="17" t="s">
        <v>78</v>
      </c>
      <c r="AB105" s="17"/>
      <c r="AC105" s="21">
        <v>43934</v>
      </c>
      <c r="AD105" s="21">
        <v>43934</v>
      </c>
      <c r="AE105" s="21">
        <v>43934</v>
      </c>
      <c r="AF105" s="21">
        <v>43934</v>
      </c>
      <c r="AG105" s="21" t="s">
        <v>114</v>
      </c>
      <c r="AH105" s="38">
        <v>0.92300000000000004</v>
      </c>
      <c r="AI105" s="38">
        <v>0.92300000000000004</v>
      </c>
      <c r="AJ105" s="38">
        <v>1</v>
      </c>
      <c r="AK105" s="21"/>
      <c r="AL105" s="17" t="s">
        <v>431</v>
      </c>
      <c r="AM105" s="17"/>
      <c r="AN105" s="17"/>
      <c r="AO105" t="s">
        <v>940</v>
      </c>
    </row>
    <row r="106" spans="2:41" hidden="1" x14ac:dyDescent="0.25">
      <c r="B106" s="80">
        <f t="shared" si="15"/>
        <v>59</v>
      </c>
      <c r="C106" s="18">
        <v>20200413</v>
      </c>
      <c r="D106" s="17" t="s">
        <v>3</v>
      </c>
      <c r="E106" s="17" t="s">
        <v>427</v>
      </c>
      <c r="F106" s="19" t="s">
        <v>424</v>
      </c>
      <c r="G106" s="19"/>
      <c r="H106" s="17" t="s">
        <v>402</v>
      </c>
      <c r="I106" s="17" t="s">
        <v>392</v>
      </c>
      <c r="J106" s="17" t="s">
        <v>147</v>
      </c>
      <c r="K106" s="17"/>
      <c r="L106" s="17" t="s">
        <v>65</v>
      </c>
      <c r="M106" s="17"/>
      <c r="N106" s="17" t="s">
        <v>428</v>
      </c>
      <c r="O106" s="17" t="s">
        <v>65</v>
      </c>
      <c r="P106" s="19" t="s">
        <v>412</v>
      </c>
      <c r="Q106" s="20" t="s">
        <v>413</v>
      </c>
      <c r="R106" s="18" t="s">
        <v>112</v>
      </c>
      <c r="S106" s="17" t="s">
        <v>429</v>
      </c>
      <c r="T106" s="17"/>
      <c r="U106" s="17"/>
      <c r="V106" s="17">
        <v>211</v>
      </c>
      <c r="W106" s="17">
        <f>ROUND(IF(D106=Table!$C$3,Y106*Table!$C$4/8,Y106*Table!$D$4/8),3)</f>
        <v>292.5</v>
      </c>
      <c r="X106" s="17">
        <f t="shared" si="20"/>
        <v>292.5</v>
      </c>
      <c r="Y106" s="17">
        <v>5.2</v>
      </c>
      <c r="Z106" s="17">
        <v>5</v>
      </c>
      <c r="AA106" s="17" t="s">
        <v>78</v>
      </c>
      <c r="AB106" s="17"/>
      <c r="AC106" s="21">
        <v>43934</v>
      </c>
      <c r="AD106" s="21">
        <v>43935</v>
      </c>
      <c r="AE106" s="21">
        <v>43934</v>
      </c>
      <c r="AF106" s="21">
        <v>43934</v>
      </c>
      <c r="AG106" s="21" t="s">
        <v>114</v>
      </c>
      <c r="AH106" s="38">
        <v>1</v>
      </c>
      <c r="AI106" s="38">
        <v>1</v>
      </c>
      <c r="AJ106" s="38">
        <v>1</v>
      </c>
      <c r="AK106" s="21"/>
      <c r="AL106" s="17"/>
      <c r="AM106" s="17"/>
      <c r="AN106" s="17"/>
      <c r="AO106" t="s">
        <v>940</v>
      </c>
    </row>
    <row r="107" spans="2:41" hidden="1" x14ac:dyDescent="0.25">
      <c r="B107" s="80">
        <f t="shared" si="15"/>
        <v>60</v>
      </c>
      <c r="C107" s="18">
        <v>20200413</v>
      </c>
      <c r="D107" s="17" t="s">
        <v>3</v>
      </c>
      <c r="E107" s="17" t="s">
        <v>427</v>
      </c>
      <c r="F107" s="19" t="s">
        <v>424</v>
      </c>
      <c r="G107" s="19"/>
      <c r="H107" s="17" t="s">
        <v>403</v>
      </c>
      <c r="I107" s="17" t="s">
        <v>393</v>
      </c>
      <c r="J107" s="17" t="s">
        <v>147</v>
      </c>
      <c r="K107" s="17"/>
      <c r="L107" s="17" t="s">
        <v>65</v>
      </c>
      <c r="M107" s="17"/>
      <c r="N107" s="17" t="s">
        <v>428</v>
      </c>
      <c r="O107" s="17" t="s">
        <v>65</v>
      </c>
      <c r="P107" s="19" t="s">
        <v>412</v>
      </c>
      <c r="Q107" s="20" t="s">
        <v>414</v>
      </c>
      <c r="R107" s="18" t="s">
        <v>174</v>
      </c>
      <c r="S107" s="17" t="s">
        <v>69</v>
      </c>
      <c r="T107" s="17"/>
      <c r="U107" s="17"/>
      <c r="V107" s="17">
        <v>125</v>
      </c>
      <c r="W107" s="17">
        <f>ROUND(IF(D107=Table!$C$3,Y107*Table!$C$4/8,Y107*Table!$D$4/8),3)</f>
        <v>180</v>
      </c>
      <c r="X107" s="17">
        <f t="shared" si="20"/>
        <v>180</v>
      </c>
      <c r="Y107" s="17">
        <v>3.2</v>
      </c>
      <c r="Z107" s="17">
        <v>3</v>
      </c>
      <c r="AA107" s="17" t="s">
        <v>78</v>
      </c>
      <c r="AB107" s="17"/>
      <c r="AC107" s="21">
        <v>43934</v>
      </c>
      <c r="AD107" s="21">
        <v>43935</v>
      </c>
      <c r="AE107" s="21">
        <v>43934</v>
      </c>
      <c r="AF107" s="21">
        <v>43934</v>
      </c>
      <c r="AG107" s="21" t="s">
        <v>114</v>
      </c>
      <c r="AH107" s="38">
        <v>1</v>
      </c>
      <c r="AI107" s="38">
        <v>1</v>
      </c>
      <c r="AJ107" s="38">
        <v>1</v>
      </c>
      <c r="AK107" s="21"/>
      <c r="AL107" s="17"/>
      <c r="AM107" s="17"/>
      <c r="AN107" s="17"/>
      <c r="AO107" t="s">
        <v>940</v>
      </c>
    </row>
    <row r="108" spans="2:41" hidden="1" x14ac:dyDescent="0.25">
      <c r="B108" s="80">
        <f t="shared" si="15"/>
        <v>61</v>
      </c>
      <c r="C108" s="18">
        <v>20200413</v>
      </c>
      <c r="D108" s="17" t="s">
        <v>3</v>
      </c>
      <c r="E108" s="17" t="s">
        <v>427</v>
      </c>
      <c r="F108" s="19" t="s">
        <v>424</v>
      </c>
      <c r="G108" s="19"/>
      <c r="H108" s="17" t="s">
        <v>404</v>
      </c>
      <c r="I108" s="17" t="s">
        <v>394</v>
      </c>
      <c r="J108" s="17" t="s">
        <v>147</v>
      </c>
      <c r="K108" s="17"/>
      <c r="L108" s="17" t="s">
        <v>65</v>
      </c>
      <c r="M108" s="17"/>
      <c r="N108" s="17" t="s">
        <v>428</v>
      </c>
      <c r="O108" s="17" t="s">
        <v>65</v>
      </c>
      <c r="P108" s="19" t="s">
        <v>412</v>
      </c>
      <c r="Q108" s="20" t="s">
        <v>415</v>
      </c>
      <c r="R108" s="18" t="s">
        <v>111</v>
      </c>
      <c r="S108" s="17" t="s">
        <v>430</v>
      </c>
      <c r="T108" s="17"/>
      <c r="U108" s="17"/>
      <c r="V108" s="17">
        <v>167</v>
      </c>
      <c r="W108" s="17">
        <f>ROUND(IF(D108=Table!$C$3,Y108*Table!$C$4/8,Y108*Table!$D$4/8),3)</f>
        <v>180</v>
      </c>
      <c r="X108" s="17">
        <f t="shared" si="20"/>
        <v>180</v>
      </c>
      <c r="Y108" s="17">
        <v>3.2</v>
      </c>
      <c r="Z108" s="17">
        <v>3.2</v>
      </c>
      <c r="AA108" s="17" t="s">
        <v>78</v>
      </c>
      <c r="AB108" s="17"/>
      <c r="AC108" s="21">
        <v>43934</v>
      </c>
      <c r="AD108" s="21">
        <v>43935</v>
      </c>
      <c r="AE108" s="21">
        <v>43934</v>
      </c>
      <c r="AF108" s="21">
        <v>43934</v>
      </c>
      <c r="AG108" s="21" t="s">
        <v>114</v>
      </c>
      <c r="AH108" s="38">
        <v>1</v>
      </c>
      <c r="AI108" s="38">
        <v>1</v>
      </c>
      <c r="AJ108" s="38">
        <v>1</v>
      </c>
      <c r="AK108" s="21"/>
      <c r="AL108" s="17"/>
      <c r="AM108" s="17"/>
      <c r="AN108" s="17"/>
      <c r="AO108" t="s">
        <v>940</v>
      </c>
    </row>
    <row r="109" spans="2:41" hidden="1" x14ac:dyDescent="0.25">
      <c r="B109" s="80">
        <f t="shared" si="15"/>
        <v>62</v>
      </c>
      <c r="C109" s="18">
        <v>20200413</v>
      </c>
      <c r="D109" s="17" t="s">
        <v>3</v>
      </c>
      <c r="E109" s="17" t="s">
        <v>427</v>
      </c>
      <c r="F109" s="19" t="s">
        <v>424</v>
      </c>
      <c r="G109" s="19"/>
      <c r="H109" s="17" t="s">
        <v>405</v>
      </c>
      <c r="I109" s="17" t="s">
        <v>395</v>
      </c>
      <c r="J109" s="17" t="s">
        <v>147</v>
      </c>
      <c r="K109" s="17"/>
      <c r="L109" s="17" t="s">
        <v>65</v>
      </c>
      <c r="M109" s="17"/>
      <c r="N109" s="17" t="s">
        <v>428</v>
      </c>
      <c r="O109" s="17" t="s">
        <v>65</v>
      </c>
      <c r="P109" s="19" t="s">
        <v>412</v>
      </c>
      <c r="Q109" s="20" t="s">
        <v>416</v>
      </c>
      <c r="R109" s="18" t="s">
        <v>111</v>
      </c>
      <c r="S109" s="17" t="s">
        <v>68</v>
      </c>
      <c r="T109" s="17"/>
      <c r="U109" s="17"/>
      <c r="V109" s="17">
        <v>446</v>
      </c>
      <c r="W109" s="17">
        <f>ROUND(IF(D109=Table!$C$3,Y109*Table!$C$4/8,Y109*Table!$D$4/8),3)</f>
        <v>540</v>
      </c>
      <c r="X109" s="17">
        <f>W109</f>
        <v>540</v>
      </c>
      <c r="Y109" s="17">
        <v>9.6</v>
      </c>
      <c r="Z109" s="17">
        <v>8</v>
      </c>
      <c r="AA109" s="17" t="s">
        <v>78</v>
      </c>
      <c r="AB109" s="17"/>
      <c r="AC109" s="21">
        <v>43934</v>
      </c>
      <c r="AD109" s="21">
        <v>43935</v>
      </c>
      <c r="AE109" s="21">
        <v>43934</v>
      </c>
      <c r="AF109" s="21">
        <v>43934</v>
      </c>
      <c r="AG109" s="21" t="s">
        <v>114</v>
      </c>
      <c r="AH109" s="38">
        <v>1</v>
      </c>
      <c r="AI109" s="38">
        <v>1</v>
      </c>
      <c r="AJ109" s="38">
        <v>1</v>
      </c>
      <c r="AK109" s="21"/>
      <c r="AL109" s="17"/>
      <c r="AM109" s="17"/>
      <c r="AN109" s="17"/>
      <c r="AO109" t="s">
        <v>940</v>
      </c>
    </row>
    <row r="110" spans="2:41" hidden="1" x14ac:dyDescent="0.25">
      <c r="B110" s="80">
        <f t="shared" si="15"/>
        <v>63</v>
      </c>
      <c r="C110" s="18">
        <v>20200413</v>
      </c>
      <c r="D110" s="17" t="s">
        <v>3</v>
      </c>
      <c r="E110" s="17" t="s">
        <v>427</v>
      </c>
      <c r="F110" s="19" t="s">
        <v>424</v>
      </c>
      <c r="G110" s="19"/>
      <c r="H110" s="17" t="s">
        <v>406</v>
      </c>
      <c r="I110" s="17" t="s">
        <v>396</v>
      </c>
      <c r="J110" s="17" t="s">
        <v>147</v>
      </c>
      <c r="K110" s="17"/>
      <c r="L110" s="17" t="s">
        <v>65</v>
      </c>
      <c r="M110" s="17"/>
      <c r="N110" s="17" t="s">
        <v>428</v>
      </c>
      <c r="O110" s="17" t="s">
        <v>65</v>
      </c>
      <c r="P110" s="19" t="s">
        <v>412</v>
      </c>
      <c r="Q110" s="20" t="s">
        <v>417</v>
      </c>
      <c r="R110" s="18" t="s">
        <v>113</v>
      </c>
      <c r="S110" s="17" t="s">
        <v>70</v>
      </c>
      <c r="T110" s="17"/>
      <c r="U110" s="17"/>
      <c r="V110" s="17">
        <v>87</v>
      </c>
      <c r="W110" s="17">
        <f>ROUND(IF(D110=Table!$C$3,Y110*Table!$C$4/8,Y110*Table!$D$4/8),3)</f>
        <v>135</v>
      </c>
      <c r="X110" s="17">
        <f>W110</f>
        <v>135</v>
      </c>
      <c r="Y110" s="17">
        <v>2.4</v>
      </c>
      <c r="Z110" s="17">
        <v>4</v>
      </c>
      <c r="AA110" s="17" t="s">
        <v>78</v>
      </c>
      <c r="AB110" s="17"/>
      <c r="AC110" s="21">
        <v>43934</v>
      </c>
      <c r="AD110" s="21">
        <v>43935</v>
      </c>
      <c r="AE110" s="21">
        <v>43936</v>
      </c>
      <c r="AF110" s="21">
        <v>43936</v>
      </c>
      <c r="AG110" s="21" t="s">
        <v>114</v>
      </c>
      <c r="AH110" s="38">
        <v>1</v>
      </c>
      <c r="AI110" s="38">
        <v>1</v>
      </c>
      <c r="AJ110" s="38" t="s">
        <v>118</v>
      </c>
      <c r="AK110" s="21"/>
      <c r="AL110" s="17"/>
      <c r="AM110" s="17"/>
      <c r="AN110" s="17"/>
      <c r="AO110" t="s">
        <v>940</v>
      </c>
    </row>
    <row r="111" spans="2:41" hidden="1" x14ac:dyDescent="0.25">
      <c r="B111" s="80">
        <f t="shared" si="15"/>
        <v>64</v>
      </c>
      <c r="C111" s="18">
        <v>20200413</v>
      </c>
      <c r="D111" s="17" t="s">
        <v>3</v>
      </c>
      <c r="E111" s="17" t="s">
        <v>427</v>
      </c>
      <c r="F111" s="19" t="s">
        <v>424</v>
      </c>
      <c r="G111" s="19"/>
      <c r="H111" s="17" t="s">
        <v>407</v>
      </c>
      <c r="I111" s="17" t="s">
        <v>397</v>
      </c>
      <c r="J111" s="17" t="s">
        <v>147</v>
      </c>
      <c r="K111" s="17"/>
      <c r="L111" s="17" t="s">
        <v>65</v>
      </c>
      <c r="M111" s="17"/>
      <c r="N111" s="17" t="s">
        <v>428</v>
      </c>
      <c r="O111" s="17" t="s">
        <v>65</v>
      </c>
      <c r="P111" s="19" t="s">
        <v>412</v>
      </c>
      <c r="Q111" s="20" t="s">
        <v>418</v>
      </c>
      <c r="R111" s="18" t="s">
        <v>113</v>
      </c>
      <c r="S111" s="17" t="s">
        <v>70</v>
      </c>
      <c r="T111" s="17"/>
      <c r="U111" s="17"/>
      <c r="V111" s="17">
        <v>57</v>
      </c>
      <c r="W111" s="17">
        <f>ROUND(IF(D111=Table!$C$3,Y111*Table!$C$4/8,Y111*Table!$D$4/8),3)</f>
        <v>90</v>
      </c>
      <c r="X111" s="17">
        <f>W111</f>
        <v>90</v>
      </c>
      <c r="Y111" s="17">
        <v>1.6</v>
      </c>
      <c r="Z111" s="17">
        <v>4</v>
      </c>
      <c r="AA111" s="17" t="s">
        <v>78</v>
      </c>
      <c r="AB111" s="17"/>
      <c r="AC111" s="21">
        <v>43934</v>
      </c>
      <c r="AD111" s="21">
        <v>43935</v>
      </c>
      <c r="AE111" s="21">
        <v>43936</v>
      </c>
      <c r="AF111" s="21">
        <v>43936</v>
      </c>
      <c r="AG111" s="21" t="s">
        <v>114</v>
      </c>
      <c r="AH111" s="38">
        <v>1</v>
      </c>
      <c r="AI111" s="38">
        <v>1</v>
      </c>
      <c r="AJ111" s="38" t="s">
        <v>118</v>
      </c>
      <c r="AK111" s="21"/>
      <c r="AL111" s="17"/>
      <c r="AM111" s="17"/>
      <c r="AN111" s="17"/>
      <c r="AO111" t="s">
        <v>940</v>
      </c>
    </row>
    <row r="112" spans="2:41" hidden="1" x14ac:dyDescent="0.25">
      <c r="B112" s="80">
        <f t="shared" si="15"/>
        <v>65</v>
      </c>
      <c r="C112" s="18">
        <v>20200413</v>
      </c>
      <c r="D112" s="17" t="s">
        <v>3</v>
      </c>
      <c r="E112" s="17" t="s">
        <v>427</v>
      </c>
      <c r="F112" s="19" t="s">
        <v>425</v>
      </c>
      <c r="G112" s="19"/>
      <c r="H112" s="17" t="s">
        <v>408</v>
      </c>
      <c r="I112" s="17" t="s">
        <v>398</v>
      </c>
      <c r="J112" s="17" t="s">
        <v>147</v>
      </c>
      <c r="K112" s="17"/>
      <c r="L112" s="17" t="s">
        <v>65</v>
      </c>
      <c r="M112" s="17"/>
      <c r="N112" s="17" t="s">
        <v>428</v>
      </c>
      <c r="O112" s="17" t="s">
        <v>65</v>
      </c>
      <c r="P112" s="19" t="s">
        <v>412</v>
      </c>
      <c r="Q112" s="20" t="s">
        <v>419</v>
      </c>
      <c r="R112" s="18" t="s">
        <v>113</v>
      </c>
      <c r="S112" s="17" t="s">
        <v>430</v>
      </c>
      <c r="T112" s="17"/>
      <c r="U112" s="17"/>
      <c r="V112" s="17">
        <v>8</v>
      </c>
      <c r="W112" s="17">
        <f>ROUND(IF(D112=Table!$C$3,Y112*Table!$C$4/8,Y112*Table!$D$4/8),3)</f>
        <v>67.5</v>
      </c>
      <c r="X112" s="17">
        <f t="shared" ref="X112:X114" si="21">W112</f>
        <v>67.5</v>
      </c>
      <c r="Y112" s="17">
        <v>1.2</v>
      </c>
      <c r="Z112" s="17">
        <v>1.2</v>
      </c>
      <c r="AA112" s="17" t="s">
        <v>78</v>
      </c>
      <c r="AB112" s="17"/>
      <c r="AC112" s="21">
        <v>43934</v>
      </c>
      <c r="AD112" s="21">
        <v>43935</v>
      </c>
      <c r="AE112" s="21">
        <v>43934</v>
      </c>
      <c r="AF112" s="21">
        <v>43934</v>
      </c>
      <c r="AG112" s="21" t="s">
        <v>114</v>
      </c>
      <c r="AH112" s="38">
        <v>1</v>
      </c>
      <c r="AI112" s="38">
        <v>1</v>
      </c>
      <c r="AJ112" s="38">
        <v>1</v>
      </c>
      <c r="AK112" s="21"/>
      <c r="AL112" s="17"/>
      <c r="AM112" s="17"/>
      <c r="AN112" s="17"/>
      <c r="AO112" t="s">
        <v>940</v>
      </c>
    </row>
    <row r="113" spans="2:41" hidden="1" x14ac:dyDescent="0.25">
      <c r="B113" s="80">
        <f t="shared" si="15"/>
        <v>66</v>
      </c>
      <c r="C113" s="18">
        <v>20200413</v>
      </c>
      <c r="D113" s="17" t="s">
        <v>3</v>
      </c>
      <c r="E113" s="17" t="s">
        <v>427</v>
      </c>
      <c r="F113" s="19" t="s">
        <v>424</v>
      </c>
      <c r="G113" s="19"/>
      <c r="H113" s="17" t="s">
        <v>409</v>
      </c>
      <c r="I113" s="17" t="s">
        <v>399</v>
      </c>
      <c r="J113" s="17" t="s">
        <v>147</v>
      </c>
      <c r="K113" s="17"/>
      <c r="L113" s="17" t="s">
        <v>65</v>
      </c>
      <c r="M113" s="17"/>
      <c r="N113" s="17" t="s">
        <v>428</v>
      </c>
      <c r="O113" s="17" t="s">
        <v>65</v>
      </c>
      <c r="P113" s="19" t="s">
        <v>412</v>
      </c>
      <c r="Q113" s="20" t="s">
        <v>420</v>
      </c>
      <c r="R113" s="18" t="s">
        <v>113</v>
      </c>
      <c r="S113" s="17" t="s">
        <v>70</v>
      </c>
      <c r="T113" s="17"/>
      <c r="U113" s="17"/>
      <c r="V113" s="17">
        <v>30</v>
      </c>
      <c r="W113" s="17">
        <f>ROUND(IF(D113=Table!$C$3,Y113*Table!$C$4/8,Y113*Table!$D$4/8),3)</f>
        <v>67.5</v>
      </c>
      <c r="X113" s="17">
        <f t="shared" si="21"/>
        <v>67.5</v>
      </c>
      <c r="Y113" s="17">
        <v>1.2</v>
      </c>
      <c r="Z113" s="17">
        <v>4</v>
      </c>
      <c r="AA113" s="17" t="s">
        <v>78</v>
      </c>
      <c r="AB113" s="17"/>
      <c r="AC113" s="21">
        <v>43934</v>
      </c>
      <c r="AD113" s="21">
        <v>43935</v>
      </c>
      <c r="AE113" s="21">
        <v>43936</v>
      </c>
      <c r="AF113" s="21">
        <v>43936</v>
      </c>
      <c r="AG113" s="21" t="s">
        <v>114</v>
      </c>
      <c r="AH113" s="38">
        <v>1</v>
      </c>
      <c r="AI113" s="38">
        <v>1</v>
      </c>
      <c r="AJ113" s="38" t="s">
        <v>118</v>
      </c>
      <c r="AK113" s="21"/>
      <c r="AL113" s="17"/>
      <c r="AM113" s="17"/>
      <c r="AN113" s="17"/>
      <c r="AO113" t="s">
        <v>940</v>
      </c>
    </row>
    <row r="114" spans="2:41" hidden="1" x14ac:dyDescent="0.25">
      <c r="B114" s="80">
        <f t="shared" ref="B114:B177" si="22">B113+1</f>
        <v>67</v>
      </c>
      <c r="C114" s="18">
        <v>20200413</v>
      </c>
      <c r="D114" s="17" t="s">
        <v>3</v>
      </c>
      <c r="E114" s="17" t="s">
        <v>427</v>
      </c>
      <c r="F114" s="19" t="s">
        <v>426</v>
      </c>
      <c r="G114" s="19"/>
      <c r="H114" s="17" t="s">
        <v>410</v>
      </c>
      <c r="I114" s="17" t="s">
        <v>400</v>
      </c>
      <c r="J114" s="17" t="s">
        <v>147</v>
      </c>
      <c r="K114" s="17"/>
      <c r="L114" s="17" t="s">
        <v>65</v>
      </c>
      <c r="M114" s="17"/>
      <c r="N114" s="17" t="s">
        <v>428</v>
      </c>
      <c r="O114" s="17" t="s">
        <v>65</v>
      </c>
      <c r="P114" s="19" t="s">
        <v>412</v>
      </c>
      <c r="Q114" s="20" t="s">
        <v>421</v>
      </c>
      <c r="R114" s="18" t="s">
        <v>113</v>
      </c>
      <c r="S114" s="17" t="s">
        <v>70</v>
      </c>
      <c r="T114" s="17"/>
      <c r="U114" s="17"/>
      <c r="V114" s="17">
        <v>110</v>
      </c>
      <c r="W114" s="17">
        <f>ROUND(IF(D114=Table!$C$3,Y114*Table!$C$4/8,Y114*Table!$D$4/8),3)</f>
        <v>180</v>
      </c>
      <c r="X114" s="17">
        <f t="shared" si="21"/>
        <v>180</v>
      </c>
      <c r="Y114" s="17">
        <v>3.2</v>
      </c>
      <c r="Z114" s="17">
        <v>4</v>
      </c>
      <c r="AA114" s="17" t="s">
        <v>78</v>
      </c>
      <c r="AB114" s="17"/>
      <c r="AC114" s="21">
        <v>43934</v>
      </c>
      <c r="AD114" s="21">
        <v>43935</v>
      </c>
      <c r="AE114" s="21">
        <v>43936</v>
      </c>
      <c r="AF114" s="21">
        <v>43936</v>
      </c>
      <c r="AG114" s="21" t="s">
        <v>114</v>
      </c>
      <c r="AH114" s="38">
        <v>1</v>
      </c>
      <c r="AI114" s="38">
        <v>1</v>
      </c>
      <c r="AJ114" s="38" t="s">
        <v>118</v>
      </c>
      <c r="AK114" s="21"/>
      <c r="AL114" s="17"/>
      <c r="AM114" s="17"/>
      <c r="AN114" s="17"/>
      <c r="AO114" t="s">
        <v>940</v>
      </c>
    </row>
    <row r="115" spans="2:41" hidden="1" x14ac:dyDescent="0.25">
      <c r="B115" s="80">
        <f t="shared" si="22"/>
        <v>68</v>
      </c>
      <c r="C115" s="18">
        <v>20200413</v>
      </c>
      <c r="D115" s="17" t="s">
        <v>3</v>
      </c>
      <c r="E115" s="17" t="s">
        <v>427</v>
      </c>
      <c r="F115" s="19" t="s">
        <v>426</v>
      </c>
      <c r="G115" s="19"/>
      <c r="H115" s="17" t="s">
        <v>411</v>
      </c>
      <c r="I115" s="17" t="s">
        <v>401</v>
      </c>
      <c r="J115" s="17" t="s">
        <v>147</v>
      </c>
      <c r="K115" s="17"/>
      <c r="L115" s="17" t="s">
        <v>65</v>
      </c>
      <c r="M115" s="17"/>
      <c r="N115" s="17" t="s">
        <v>428</v>
      </c>
      <c r="O115" s="17" t="s">
        <v>65</v>
      </c>
      <c r="P115" s="19" t="s">
        <v>412</v>
      </c>
      <c r="Q115" s="20" t="s">
        <v>422</v>
      </c>
      <c r="R115" s="18" t="s">
        <v>174</v>
      </c>
      <c r="S115" s="17" t="s">
        <v>69</v>
      </c>
      <c r="T115" s="17"/>
      <c r="U115" s="17"/>
      <c r="V115" s="17">
        <v>112</v>
      </c>
      <c r="W115" s="17">
        <f>ROUND(IF(D115=Table!$C$3,Y115*Table!$C$4/8,Y115*Table!$D$4/8),3)</f>
        <v>90</v>
      </c>
      <c r="X115" s="17">
        <f t="shared" ref="X115:X116" si="23">W115</f>
        <v>90</v>
      </c>
      <c r="Y115" s="17">
        <v>1.6</v>
      </c>
      <c r="Z115" s="17">
        <v>2</v>
      </c>
      <c r="AA115" s="17" t="s">
        <v>78</v>
      </c>
      <c r="AB115" s="17"/>
      <c r="AC115" s="21">
        <v>43934</v>
      </c>
      <c r="AD115" s="21">
        <v>43935</v>
      </c>
      <c r="AE115" s="21">
        <v>43934</v>
      </c>
      <c r="AF115" s="21">
        <v>43934</v>
      </c>
      <c r="AG115" s="21" t="s">
        <v>114</v>
      </c>
      <c r="AH115" s="38">
        <v>1</v>
      </c>
      <c r="AI115" s="38">
        <v>1</v>
      </c>
      <c r="AJ115" s="38">
        <v>1</v>
      </c>
      <c r="AK115" s="21"/>
      <c r="AL115" s="17"/>
      <c r="AM115" s="17"/>
      <c r="AN115" s="17"/>
      <c r="AO115" t="s">
        <v>940</v>
      </c>
    </row>
    <row r="116" spans="2:41" hidden="1" x14ac:dyDescent="0.25">
      <c r="B116" s="80">
        <f t="shared" si="22"/>
        <v>69</v>
      </c>
      <c r="C116" s="18">
        <v>20200413</v>
      </c>
      <c r="D116" s="17" t="s">
        <v>3</v>
      </c>
      <c r="E116" s="17" t="s">
        <v>427</v>
      </c>
      <c r="F116" s="19" t="s">
        <v>426</v>
      </c>
      <c r="G116" s="19"/>
      <c r="H116" s="17" t="s">
        <v>134</v>
      </c>
      <c r="I116" s="17" t="s">
        <v>399</v>
      </c>
      <c r="J116" s="17" t="s">
        <v>147</v>
      </c>
      <c r="K116" s="17"/>
      <c r="L116" s="17" t="s">
        <v>65</v>
      </c>
      <c r="M116" s="17"/>
      <c r="N116" s="17" t="s">
        <v>428</v>
      </c>
      <c r="O116" s="17" t="s">
        <v>65</v>
      </c>
      <c r="P116" s="19" t="s">
        <v>412</v>
      </c>
      <c r="Q116" s="20" t="s">
        <v>423</v>
      </c>
      <c r="R116" s="18" t="s">
        <v>174</v>
      </c>
      <c r="S116" s="17" t="s">
        <v>69</v>
      </c>
      <c r="T116" s="17"/>
      <c r="U116" s="17"/>
      <c r="V116" s="17">
        <v>30</v>
      </c>
      <c r="W116" s="17">
        <f>ROUND(IF(D116=Table!$C$3,Y116*Table!$C$4/8,Y116*Table!$D$4/8),3)</f>
        <v>67.5</v>
      </c>
      <c r="X116" s="17">
        <f t="shared" si="23"/>
        <v>67.5</v>
      </c>
      <c r="Y116" s="17">
        <v>1.2</v>
      </c>
      <c r="Z116" s="17">
        <v>1</v>
      </c>
      <c r="AA116" s="17" t="s">
        <v>78</v>
      </c>
      <c r="AB116" s="17"/>
      <c r="AC116" s="21">
        <v>43934</v>
      </c>
      <c r="AD116" s="21">
        <v>43935</v>
      </c>
      <c r="AE116" s="21">
        <v>43934</v>
      </c>
      <c r="AF116" s="21">
        <v>43934</v>
      </c>
      <c r="AG116" s="21" t="s">
        <v>114</v>
      </c>
      <c r="AH116" s="38">
        <v>1</v>
      </c>
      <c r="AI116" s="38">
        <v>1</v>
      </c>
      <c r="AJ116" s="38">
        <v>1</v>
      </c>
      <c r="AK116" s="21"/>
      <c r="AL116" s="17"/>
      <c r="AM116" s="17"/>
      <c r="AN116" s="17"/>
      <c r="AO116" t="s">
        <v>940</v>
      </c>
    </row>
    <row r="117" spans="2:41" hidden="1" x14ac:dyDescent="0.25">
      <c r="B117" s="58">
        <f t="shared" si="22"/>
        <v>70</v>
      </c>
      <c r="C117" s="18">
        <v>20200414</v>
      </c>
      <c r="D117" s="17" t="s">
        <v>3</v>
      </c>
      <c r="E117" s="17" t="s">
        <v>433</v>
      </c>
      <c r="F117" s="19" t="s">
        <v>434</v>
      </c>
      <c r="G117" s="19">
        <v>1415974</v>
      </c>
      <c r="H117" s="86" t="s">
        <v>65</v>
      </c>
      <c r="I117" s="17" t="s">
        <v>448</v>
      </c>
      <c r="J117" s="86" t="s">
        <v>65</v>
      </c>
      <c r="K117" s="17" t="s">
        <v>469</v>
      </c>
      <c r="L117" s="17">
        <v>80433</v>
      </c>
      <c r="M117" s="17" t="s">
        <v>473</v>
      </c>
      <c r="N117" s="17" t="s">
        <v>468</v>
      </c>
      <c r="O117" s="19" t="s">
        <v>65</v>
      </c>
      <c r="P117" s="19" t="s">
        <v>583</v>
      </c>
      <c r="Q117" s="20"/>
      <c r="R117" s="86" t="s">
        <v>65</v>
      </c>
      <c r="S117" s="17" t="s">
        <v>6</v>
      </c>
      <c r="T117" s="17"/>
      <c r="U117" s="17"/>
      <c r="V117" s="17">
        <v>62</v>
      </c>
      <c r="W117" s="17">
        <f>V117</f>
        <v>62</v>
      </c>
      <c r="X117" s="17">
        <f>W117</f>
        <v>62</v>
      </c>
      <c r="Y117" s="17">
        <f>ROUNDDOWN(W117/HLOOKUP(D117,Table!$C$3:$D$4,2,0)*8,2)</f>
        <v>1.1000000000000001</v>
      </c>
      <c r="Z117" s="17">
        <v>2</v>
      </c>
      <c r="AA117" s="17" t="s">
        <v>78</v>
      </c>
      <c r="AB117" s="21">
        <v>43938</v>
      </c>
      <c r="AC117" s="21">
        <v>43935</v>
      </c>
      <c r="AD117" s="21">
        <v>43938</v>
      </c>
      <c r="AE117" s="21">
        <v>43935</v>
      </c>
      <c r="AF117" s="21">
        <v>43935</v>
      </c>
      <c r="AG117" s="22" t="s">
        <v>114</v>
      </c>
      <c r="AH117" s="38">
        <v>1</v>
      </c>
      <c r="AI117" s="38">
        <v>1</v>
      </c>
      <c r="AJ117" s="38">
        <v>1</v>
      </c>
      <c r="AK117" s="22" t="s">
        <v>574</v>
      </c>
      <c r="AL117" s="17"/>
      <c r="AM117" s="17"/>
      <c r="AN117" s="17"/>
      <c r="AO117" t="s">
        <v>941</v>
      </c>
    </row>
    <row r="118" spans="2:41" hidden="1" x14ac:dyDescent="0.25">
      <c r="B118" s="58">
        <f t="shared" si="22"/>
        <v>71</v>
      </c>
      <c r="C118" s="18">
        <v>20200414</v>
      </c>
      <c r="D118" s="17" t="s">
        <v>3</v>
      </c>
      <c r="E118" s="17" t="s">
        <v>433</v>
      </c>
      <c r="F118" s="19" t="s">
        <v>435</v>
      </c>
      <c r="G118" s="19">
        <v>1415974</v>
      </c>
      <c r="H118" s="86" t="s">
        <v>65</v>
      </c>
      <c r="I118" s="17" t="s">
        <v>449</v>
      </c>
      <c r="J118" s="86" t="s">
        <v>65</v>
      </c>
      <c r="K118" s="17" t="s">
        <v>469</v>
      </c>
      <c r="L118" s="17">
        <v>80433</v>
      </c>
      <c r="M118" s="17" t="s">
        <v>473</v>
      </c>
      <c r="N118" s="17" t="s">
        <v>468</v>
      </c>
      <c r="O118" s="19" t="s">
        <v>65</v>
      </c>
      <c r="P118" s="19" t="s">
        <v>583</v>
      </c>
      <c r="Q118" s="20"/>
      <c r="R118" s="86" t="s">
        <v>65</v>
      </c>
      <c r="S118" s="17" t="s">
        <v>6</v>
      </c>
      <c r="T118" s="17"/>
      <c r="U118" s="17"/>
      <c r="V118" s="17">
        <v>22</v>
      </c>
      <c r="W118" s="17">
        <f t="shared" ref="W118:X181" si="24">V118</f>
        <v>22</v>
      </c>
      <c r="X118" s="17">
        <f t="shared" si="24"/>
        <v>22</v>
      </c>
      <c r="Y118" s="17">
        <f>ROUNDDOWN(W118/HLOOKUP(D118,Table!$C$3:$D$4,2,0)*8,2)</f>
        <v>0.39</v>
      </c>
      <c r="Z118" s="17">
        <v>0.5</v>
      </c>
      <c r="AA118" s="17" t="s">
        <v>78</v>
      </c>
      <c r="AB118" s="21">
        <v>43938</v>
      </c>
      <c r="AC118" s="21">
        <v>43935</v>
      </c>
      <c r="AD118" s="21">
        <v>43938</v>
      </c>
      <c r="AE118" s="21">
        <v>43936</v>
      </c>
      <c r="AF118" s="21">
        <v>43936</v>
      </c>
      <c r="AG118" s="22" t="s">
        <v>114</v>
      </c>
      <c r="AH118" s="38">
        <v>1</v>
      </c>
      <c r="AI118" s="38">
        <v>1</v>
      </c>
      <c r="AJ118" s="38">
        <v>1</v>
      </c>
      <c r="AK118" s="22" t="s">
        <v>574</v>
      </c>
      <c r="AL118" s="17"/>
      <c r="AM118" s="17"/>
      <c r="AN118" s="17"/>
      <c r="AO118" t="s">
        <v>941</v>
      </c>
    </row>
    <row r="119" spans="2:41" hidden="1" x14ac:dyDescent="0.25">
      <c r="B119" s="58">
        <f t="shared" si="22"/>
        <v>72</v>
      </c>
      <c r="C119" s="18">
        <v>20200414</v>
      </c>
      <c r="D119" s="17" t="s">
        <v>3</v>
      </c>
      <c r="E119" s="17" t="s">
        <v>433</v>
      </c>
      <c r="F119" s="19" t="s">
        <v>436</v>
      </c>
      <c r="G119" s="19">
        <v>1415974</v>
      </c>
      <c r="H119" s="86" t="s">
        <v>65</v>
      </c>
      <c r="I119" s="17" t="s">
        <v>450</v>
      </c>
      <c r="J119" s="86" t="s">
        <v>65</v>
      </c>
      <c r="K119" s="17" t="s">
        <v>469</v>
      </c>
      <c r="L119" s="17">
        <v>80433</v>
      </c>
      <c r="M119" s="17" t="s">
        <v>473</v>
      </c>
      <c r="N119" s="17" t="s">
        <v>468</v>
      </c>
      <c r="O119" s="19" t="s">
        <v>65</v>
      </c>
      <c r="P119" s="19" t="s">
        <v>583</v>
      </c>
      <c r="Q119" s="20"/>
      <c r="R119" s="86" t="s">
        <v>65</v>
      </c>
      <c r="S119" s="17" t="s">
        <v>6</v>
      </c>
      <c r="T119" s="17"/>
      <c r="U119" s="17"/>
      <c r="V119" s="17">
        <v>26</v>
      </c>
      <c r="W119" s="17">
        <f t="shared" si="24"/>
        <v>26</v>
      </c>
      <c r="X119" s="17">
        <f t="shared" si="24"/>
        <v>26</v>
      </c>
      <c r="Y119" s="17">
        <f>ROUNDDOWN(W119/HLOOKUP(D119,Table!$C$3:$D$4,2,0)*8,2)</f>
        <v>0.46</v>
      </c>
      <c r="Z119" s="17">
        <v>0.5</v>
      </c>
      <c r="AA119" s="17" t="s">
        <v>78</v>
      </c>
      <c r="AB119" s="21">
        <v>43938</v>
      </c>
      <c r="AC119" s="21">
        <v>43935</v>
      </c>
      <c r="AD119" s="21">
        <v>43938</v>
      </c>
      <c r="AE119" s="21">
        <v>43936</v>
      </c>
      <c r="AF119" s="21">
        <v>43936</v>
      </c>
      <c r="AG119" s="22" t="s">
        <v>114</v>
      </c>
      <c r="AH119" s="38">
        <v>1</v>
      </c>
      <c r="AI119" s="38">
        <v>1</v>
      </c>
      <c r="AJ119" s="38">
        <v>1</v>
      </c>
      <c r="AK119" s="22" t="s">
        <v>574</v>
      </c>
      <c r="AL119" s="17"/>
      <c r="AM119" s="17"/>
      <c r="AN119" s="17"/>
      <c r="AO119" t="s">
        <v>941</v>
      </c>
    </row>
    <row r="120" spans="2:41" hidden="1" x14ac:dyDescent="0.25">
      <c r="B120" s="58">
        <f t="shared" si="22"/>
        <v>73</v>
      </c>
      <c r="C120" s="18">
        <v>20200414</v>
      </c>
      <c r="D120" s="17" t="s">
        <v>3</v>
      </c>
      <c r="E120" s="17" t="s">
        <v>433</v>
      </c>
      <c r="F120" s="19" t="s">
        <v>437</v>
      </c>
      <c r="G120" s="19">
        <v>1415974</v>
      </c>
      <c r="H120" s="86" t="s">
        <v>65</v>
      </c>
      <c r="I120" s="17" t="s">
        <v>451</v>
      </c>
      <c r="J120" s="86" t="s">
        <v>65</v>
      </c>
      <c r="K120" s="17" t="s">
        <v>469</v>
      </c>
      <c r="L120" s="17">
        <v>80433</v>
      </c>
      <c r="M120" s="17" t="s">
        <v>473</v>
      </c>
      <c r="N120" s="17" t="s">
        <v>468</v>
      </c>
      <c r="O120" s="19" t="s">
        <v>65</v>
      </c>
      <c r="P120" s="19" t="s">
        <v>583</v>
      </c>
      <c r="Q120" s="20"/>
      <c r="R120" s="86" t="s">
        <v>65</v>
      </c>
      <c r="S120" s="17" t="s">
        <v>6</v>
      </c>
      <c r="T120" s="17"/>
      <c r="U120" s="17"/>
      <c r="V120" s="17">
        <v>35</v>
      </c>
      <c r="W120" s="17">
        <f t="shared" si="24"/>
        <v>35</v>
      </c>
      <c r="X120" s="17">
        <f t="shared" si="24"/>
        <v>35</v>
      </c>
      <c r="Y120" s="17">
        <f>ROUNDDOWN(W120/HLOOKUP(D120,Table!$C$3:$D$4,2,0)*8,2)</f>
        <v>0.62</v>
      </c>
      <c r="Z120" s="17">
        <v>1</v>
      </c>
      <c r="AA120" s="17" t="s">
        <v>78</v>
      </c>
      <c r="AB120" s="21">
        <v>43938</v>
      </c>
      <c r="AC120" s="21">
        <v>43935</v>
      </c>
      <c r="AD120" s="21">
        <v>43938</v>
      </c>
      <c r="AE120" s="21">
        <v>43936</v>
      </c>
      <c r="AF120" s="21">
        <v>43936</v>
      </c>
      <c r="AG120" s="22" t="s">
        <v>114</v>
      </c>
      <c r="AH120" s="38">
        <v>1</v>
      </c>
      <c r="AI120" s="38">
        <v>1</v>
      </c>
      <c r="AJ120" s="38">
        <v>1</v>
      </c>
      <c r="AK120" s="22" t="s">
        <v>574</v>
      </c>
      <c r="AL120" s="17"/>
      <c r="AM120" s="17"/>
      <c r="AN120" s="17"/>
      <c r="AO120" t="s">
        <v>941</v>
      </c>
    </row>
    <row r="121" spans="2:41" hidden="1" x14ac:dyDescent="0.25">
      <c r="B121" s="58">
        <f t="shared" si="22"/>
        <v>74</v>
      </c>
      <c r="C121" s="18">
        <v>20200414</v>
      </c>
      <c r="D121" s="17" t="s">
        <v>3</v>
      </c>
      <c r="E121" s="17" t="s">
        <v>433</v>
      </c>
      <c r="F121" s="19" t="s">
        <v>438</v>
      </c>
      <c r="G121" s="19">
        <v>1415974</v>
      </c>
      <c r="H121" s="86" t="s">
        <v>65</v>
      </c>
      <c r="I121" s="17" t="s">
        <v>452</v>
      </c>
      <c r="J121" s="86" t="s">
        <v>65</v>
      </c>
      <c r="K121" s="17" t="s">
        <v>469</v>
      </c>
      <c r="L121" s="17">
        <v>80433</v>
      </c>
      <c r="M121" s="17" t="s">
        <v>473</v>
      </c>
      <c r="N121" s="17" t="s">
        <v>468</v>
      </c>
      <c r="O121" s="19" t="s">
        <v>65</v>
      </c>
      <c r="P121" s="19" t="s">
        <v>583</v>
      </c>
      <c r="Q121" s="20"/>
      <c r="R121" s="86" t="s">
        <v>65</v>
      </c>
      <c r="S121" s="17" t="s">
        <v>6</v>
      </c>
      <c r="T121" s="17"/>
      <c r="U121" s="17"/>
      <c r="V121" s="17">
        <v>101</v>
      </c>
      <c r="W121" s="17">
        <f t="shared" si="24"/>
        <v>101</v>
      </c>
      <c r="X121" s="17">
        <f t="shared" si="24"/>
        <v>101</v>
      </c>
      <c r="Y121" s="17">
        <f>ROUNDDOWN(W121/HLOOKUP(D121,Table!$C$3:$D$4,2,0)*8,2)</f>
        <v>1.79</v>
      </c>
      <c r="Z121" s="17">
        <v>1</v>
      </c>
      <c r="AA121" s="17" t="s">
        <v>78</v>
      </c>
      <c r="AB121" s="21">
        <v>43938</v>
      </c>
      <c r="AC121" s="21">
        <v>43935</v>
      </c>
      <c r="AD121" s="21">
        <v>43938</v>
      </c>
      <c r="AE121" s="21">
        <v>43936</v>
      </c>
      <c r="AF121" s="21">
        <v>43936</v>
      </c>
      <c r="AG121" s="22" t="s">
        <v>114</v>
      </c>
      <c r="AH121" s="38">
        <v>1</v>
      </c>
      <c r="AI121" s="38">
        <v>1</v>
      </c>
      <c r="AJ121" s="38">
        <v>1</v>
      </c>
      <c r="AK121" s="22" t="s">
        <v>574</v>
      </c>
      <c r="AL121" s="17"/>
      <c r="AM121" s="17"/>
      <c r="AN121" s="17"/>
      <c r="AO121" t="s">
        <v>941</v>
      </c>
    </row>
    <row r="122" spans="2:41" hidden="1" x14ac:dyDescent="0.25">
      <c r="B122" s="58">
        <f t="shared" si="22"/>
        <v>75</v>
      </c>
      <c r="C122" s="18">
        <v>20200414</v>
      </c>
      <c r="D122" s="17" t="s">
        <v>3</v>
      </c>
      <c r="E122" s="17" t="s">
        <v>433</v>
      </c>
      <c r="F122" s="19" t="s">
        <v>437</v>
      </c>
      <c r="G122" s="19">
        <v>1415974</v>
      </c>
      <c r="H122" s="86" t="s">
        <v>65</v>
      </c>
      <c r="I122" s="17" t="s">
        <v>453</v>
      </c>
      <c r="J122" s="86" t="s">
        <v>65</v>
      </c>
      <c r="K122" s="17" t="s">
        <v>469</v>
      </c>
      <c r="L122" s="17">
        <v>80433</v>
      </c>
      <c r="M122" s="17" t="s">
        <v>473</v>
      </c>
      <c r="N122" s="17" t="s">
        <v>468</v>
      </c>
      <c r="O122" s="19" t="s">
        <v>65</v>
      </c>
      <c r="P122" s="19" t="s">
        <v>583</v>
      </c>
      <c r="Q122" s="20"/>
      <c r="R122" s="86" t="s">
        <v>65</v>
      </c>
      <c r="S122" s="17" t="s">
        <v>6</v>
      </c>
      <c r="T122" s="17"/>
      <c r="U122" s="17"/>
      <c r="V122" s="17">
        <v>67</v>
      </c>
      <c r="W122" s="17">
        <f t="shared" si="24"/>
        <v>67</v>
      </c>
      <c r="X122" s="17">
        <f t="shared" si="24"/>
        <v>67</v>
      </c>
      <c r="Y122" s="17">
        <f>ROUNDDOWN(W122/HLOOKUP(D122,Table!$C$3:$D$4,2,0)*8,2)</f>
        <v>1.19</v>
      </c>
      <c r="Z122" s="17">
        <v>1</v>
      </c>
      <c r="AA122" s="17" t="s">
        <v>78</v>
      </c>
      <c r="AB122" s="21">
        <v>43938</v>
      </c>
      <c r="AC122" s="21">
        <v>43935</v>
      </c>
      <c r="AD122" s="21">
        <v>43938</v>
      </c>
      <c r="AE122" s="21">
        <v>43936</v>
      </c>
      <c r="AF122" s="21">
        <v>43936</v>
      </c>
      <c r="AG122" s="22" t="s">
        <v>114</v>
      </c>
      <c r="AH122" s="38">
        <v>1</v>
      </c>
      <c r="AI122" s="38">
        <v>1</v>
      </c>
      <c r="AJ122" s="38">
        <v>1</v>
      </c>
      <c r="AK122" s="22" t="s">
        <v>574</v>
      </c>
      <c r="AL122" s="17"/>
      <c r="AM122" s="17"/>
      <c r="AN122" s="17"/>
      <c r="AO122" t="s">
        <v>941</v>
      </c>
    </row>
    <row r="123" spans="2:41" hidden="1" x14ac:dyDescent="0.25">
      <c r="B123" s="58">
        <f t="shared" si="22"/>
        <v>76</v>
      </c>
      <c r="C123" s="18">
        <v>20200414</v>
      </c>
      <c r="D123" s="17" t="s">
        <v>3</v>
      </c>
      <c r="E123" s="17" t="s">
        <v>433</v>
      </c>
      <c r="F123" s="19" t="s">
        <v>439</v>
      </c>
      <c r="G123" s="19">
        <v>1415974</v>
      </c>
      <c r="H123" s="86" t="s">
        <v>65</v>
      </c>
      <c r="I123" s="17" t="s">
        <v>454</v>
      </c>
      <c r="J123" s="86" t="s">
        <v>65</v>
      </c>
      <c r="K123" s="17" t="s">
        <v>469</v>
      </c>
      <c r="L123" s="17">
        <v>80433</v>
      </c>
      <c r="M123" s="17" t="s">
        <v>473</v>
      </c>
      <c r="N123" s="17" t="s">
        <v>468</v>
      </c>
      <c r="O123" s="19" t="s">
        <v>65</v>
      </c>
      <c r="P123" s="19" t="s">
        <v>583</v>
      </c>
      <c r="Q123" s="20"/>
      <c r="R123" s="86" t="s">
        <v>65</v>
      </c>
      <c r="S123" s="17" t="s">
        <v>6</v>
      </c>
      <c r="T123" s="17"/>
      <c r="U123" s="17"/>
      <c r="V123" s="17">
        <v>137</v>
      </c>
      <c r="W123" s="17">
        <f t="shared" si="24"/>
        <v>137</v>
      </c>
      <c r="X123" s="17">
        <f t="shared" si="24"/>
        <v>137</v>
      </c>
      <c r="Y123" s="17">
        <f>ROUNDDOWN(W123/HLOOKUP(D123,Table!$C$3:$D$4,2,0)*8,2)</f>
        <v>2.4300000000000002</v>
      </c>
      <c r="Z123" s="17">
        <v>1</v>
      </c>
      <c r="AA123" s="17" t="s">
        <v>78</v>
      </c>
      <c r="AB123" s="21">
        <v>43938</v>
      </c>
      <c r="AC123" s="21">
        <v>43935</v>
      </c>
      <c r="AD123" s="21">
        <v>43938</v>
      </c>
      <c r="AE123" s="21">
        <v>43936</v>
      </c>
      <c r="AF123" s="21">
        <v>43936</v>
      </c>
      <c r="AG123" s="22" t="s">
        <v>114</v>
      </c>
      <c r="AH123" s="38">
        <v>1</v>
      </c>
      <c r="AI123" s="38">
        <v>1</v>
      </c>
      <c r="AJ123" s="38">
        <v>1</v>
      </c>
      <c r="AK123" s="22" t="s">
        <v>574</v>
      </c>
      <c r="AL123" s="17"/>
      <c r="AM123" s="17"/>
      <c r="AN123" s="17"/>
      <c r="AO123" t="s">
        <v>941</v>
      </c>
    </row>
    <row r="124" spans="2:41" hidden="1" x14ac:dyDescent="0.25">
      <c r="B124" s="58">
        <f t="shared" si="22"/>
        <v>77</v>
      </c>
      <c r="C124" s="18">
        <v>20200414</v>
      </c>
      <c r="D124" s="17" t="s">
        <v>3</v>
      </c>
      <c r="E124" s="17" t="s">
        <v>433</v>
      </c>
      <c r="F124" s="19" t="s">
        <v>438</v>
      </c>
      <c r="G124" s="19">
        <v>1415974</v>
      </c>
      <c r="H124" s="86" t="s">
        <v>65</v>
      </c>
      <c r="I124" s="17" t="s">
        <v>455</v>
      </c>
      <c r="J124" s="86" t="s">
        <v>65</v>
      </c>
      <c r="K124" s="17" t="s">
        <v>469</v>
      </c>
      <c r="L124" s="17">
        <v>80433</v>
      </c>
      <c r="M124" s="17" t="s">
        <v>473</v>
      </c>
      <c r="N124" s="17" t="s">
        <v>468</v>
      </c>
      <c r="O124" s="19" t="s">
        <v>65</v>
      </c>
      <c r="P124" s="19" t="s">
        <v>583</v>
      </c>
      <c r="Q124" s="20"/>
      <c r="R124" s="86" t="s">
        <v>65</v>
      </c>
      <c r="S124" s="17" t="s">
        <v>6</v>
      </c>
      <c r="T124" s="17"/>
      <c r="U124" s="17"/>
      <c r="V124" s="17">
        <v>160</v>
      </c>
      <c r="W124" s="17">
        <f t="shared" si="24"/>
        <v>160</v>
      </c>
      <c r="X124" s="17">
        <f t="shared" si="24"/>
        <v>160</v>
      </c>
      <c r="Y124" s="17">
        <f>ROUNDDOWN(W124/HLOOKUP(D124,Table!$C$3:$D$4,2,0)*8,2)</f>
        <v>2.84</v>
      </c>
      <c r="Z124" s="17">
        <v>1</v>
      </c>
      <c r="AA124" s="17" t="s">
        <v>78</v>
      </c>
      <c r="AB124" s="21">
        <v>43938</v>
      </c>
      <c r="AC124" s="21">
        <v>43935</v>
      </c>
      <c r="AD124" s="21">
        <v>43938</v>
      </c>
      <c r="AE124" s="21">
        <v>43936</v>
      </c>
      <c r="AF124" s="21">
        <v>43936</v>
      </c>
      <c r="AG124" s="22" t="s">
        <v>114</v>
      </c>
      <c r="AH124" s="38">
        <v>1</v>
      </c>
      <c r="AI124" s="38">
        <v>1</v>
      </c>
      <c r="AJ124" s="38">
        <v>1</v>
      </c>
      <c r="AK124" s="22" t="s">
        <v>574</v>
      </c>
      <c r="AL124" s="17"/>
      <c r="AM124" s="17"/>
      <c r="AN124" s="17"/>
      <c r="AO124" t="s">
        <v>941</v>
      </c>
    </row>
    <row r="125" spans="2:41" hidden="1" x14ac:dyDescent="0.25">
      <c r="B125" s="58">
        <f t="shared" si="22"/>
        <v>78</v>
      </c>
      <c r="C125" s="18">
        <v>20200414</v>
      </c>
      <c r="D125" s="17" t="s">
        <v>3</v>
      </c>
      <c r="E125" s="17" t="s">
        <v>433</v>
      </c>
      <c r="F125" s="19" t="s">
        <v>437</v>
      </c>
      <c r="G125" s="19">
        <v>1415974</v>
      </c>
      <c r="H125" s="86" t="s">
        <v>65</v>
      </c>
      <c r="I125" s="17" t="s">
        <v>456</v>
      </c>
      <c r="J125" s="86" t="s">
        <v>65</v>
      </c>
      <c r="K125" s="17" t="s">
        <v>469</v>
      </c>
      <c r="L125" s="17">
        <v>80433</v>
      </c>
      <c r="M125" s="17" t="s">
        <v>473</v>
      </c>
      <c r="N125" s="17" t="s">
        <v>468</v>
      </c>
      <c r="O125" s="19" t="s">
        <v>65</v>
      </c>
      <c r="P125" s="19" t="s">
        <v>583</v>
      </c>
      <c r="Q125" s="20"/>
      <c r="R125" s="86" t="s">
        <v>65</v>
      </c>
      <c r="S125" s="17" t="s">
        <v>6</v>
      </c>
      <c r="T125" s="17"/>
      <c r="U125" s="17"/>
      <c r="V125" s="17">
        <v>138</v>
      </c>
      <c r="W125" s="17">
        <f t="shared" si="24"/>
        <v>138</v>
      </c>
      <c r="X125" s="17">
        <f t="shared" si="24"/>
        <v>138</v>
      </c>
      <c r="Y125" s="17">
        <f>ROUNDDOWN(W125/HLOOKUP(D125,Table!$C$3:$D$4,2,0)*8,2)</f>
        <v>2.4500000000000002</v>
      </c>
      <c r="Z125" s="17">
        <v>1</v>
      </c>
      <c r="AA125" s="17" t="s">
        <v>78</v>
      </c>
      <c r="AB125" s="21">
        <v>43938</v>
      </c>
      <c r="AC125" s="21">
        <v>43935</v>
      </c>
      <c r="AD125" s="21">
        <v>43938</v>
      </c>
      <c r="AE125" s="21">
        <v>43936</v>
      </c>
      <c r="AF125" s="21">
        <v>43936</v>
      </c>
      <c r="AG125" s="22" t="s">
        <v>114</v>
      </c>
      <c r="AH125" s="38">
        <v>1</v>
      </c>
      <c r="AI125" s="38">
        <v>1</v>
      </c>
      <c r="AJ125" s="38">
        <v>1</v>
      </c>
      <c r="AK125" s="22" t="s">
        <v>574</v>
      </c>
      <c r="AL125" s="17"/>
      <c r="AM125" s="17"/>
      <c r="AN125" s="17"/>
      <c r="AO125" t="s">
        <v>941</v>
      </c>
    </row>
    <row r="126" spans="2:41" hidden="1" x14ac:dyDescent="0.25">
      <c r="B126" s="58">
        <f t="shared" si="22"/>
        <v>79</v>
      </c>
      <c r="C126" s="18">
        <v>20200414</v>
      </c>
      <c r="D126" s="17" t="s">
        <v>3</v>
      </c>
      <c r="E126" s="17" t="s">
        <v>433</v>
      </c>
      <c r="F126" s="19" t="s">
        <v>438</v>
      </c>
      <c r="G126" s="19">
        <v>1415974</v>
      </c>
      <c r="H126" s="86" t="s">
        <v>65</v>
      </c>
      <c r="I126" s="17" t="s">
        <v>457</v>
      </c>
      <c r="J126" s="86" t="s">
        <v>65</v>
      </c>
      <c r="K126" s="17" t="s">
        <v>469</v>
      </c>
      <c r="L126" s="17">
        <v>80433</v>
      </c>
      <c r="M126" s="17" t="s">
        <v>473</v>
      </c>
      <c r="N126" s="17" t="s">
        <v>468</v>
      </c>
      <c r="O126" s="19" t="s">
        <v>65</v>
      </c>
      <c r="P126" s="19" t="s">
        <v>583</v>
      </c>
      <c r="Q126" s="20"/>
      <c r="R126" s="86" t="s">
        <v>65</v>
      </c>
      <c r="S126" s="17" t="s">
        <v>6</v>
      </c>
      <c r="T126" s="17"/>
      <c r="U126" s="17"/>
      <c r="V126" s="17">
        <v>188</v>
      </c>
      <c r="W126" s="17">
        <f t="shared" si="24"/>
        <v>188</v>
      </c>
      <c r="X126" s="17">
        <f t="shared" si="24"/>
        <v>188</v>
      </c>
      <c r="Y126" s="17">
        <f>ROUNDDOWN(W126/HLOOKUP(D126,Table!$C$3:$D$4,2,0)*8,2)</f>
        <v>3.34</v>
      </c>
      <c r="Z126" s="17">
        <v>1</v>
      </c>
      <c r="AA126" s="17" t="s">
        <v>78</v>
      </c>
      <c r="AB126" s="21">
        <v>43938</v>
      </c>
      <c r="AC126" s="21">
        <v>43935</v>
      </c>
      <c r="AD126" s="21">
        <v>43938</v>
      </c>
      <c r="AE126" s="21">
        <v>43936</v>
      </c>
      <c r="AF126" s="21">
        <v>43936</v>
      </c>
      <c r="AG126" s="22" t="s">
        <v>114</v>
      </c>
      <c r="AH126" s="38">
        <v>1</v>
      </c>
      <c r="AI126" s="38">
        <v>1</v>
      </c>
      <c r="AJ126" s="38">
        <v>1</v>
      </c>
      <c r="AK126" s="22" t="s">
        <v>574</v>
      </c>
      <c r="AL126" s="17"/>
      <c r="AM126" s="17"/>
      <c r="AN126" s="17"/>
      <c r="AO126" t="s">
        <v>941</v>
      </c>
    </row>
    <row r="127" spans="2:41" hidden="1" x14ac:dyDescent="0.25">
      <c r="B127" s="58">
        <f t="shared" si="22"/>
        <v>80</v>
      </c>
      <c r="C127" s="18">
        <v>20200414</v>
      </c>
      <c r="D127" s="17" t="s">
        <v>3</v>
      </c>
      <c r="E127" s="17" t="s">
        <v>433</v>
      </c>
      <c r="F127" s="19" t="s">
        <v>438</v>
      </c>
      <c r="G127" s="19">
        <v>1415974</v>
      </c>
      <c r="H127" s="86" t="s">
        <v>65</v>
      </c>
      <c r="I127" s="17" t="s">
        <v>458</v>
      </c>
      <c r="J127" s="86" t="s">
        <v>65</v>
      </c>
      <c r="K127" s="17" t="s">
        <v>469</v>
      </c>
      <c r="L127" s="17">
        <v>80433</v>
      </c>
      <c r="M127" s="17" t="s">
        <v>473</v>
      </c>
      <c r="N127" s="17" t="s">
        <v>468</v>
      </c>
      <c r="O127" s="19" t="s">
        <v>65</v>
      </c>
      <c r="P127" s="19" t="s">
        <v>583</v>
      </c>
      <c r="Q127" s="20"/>
      <c r="R127" s="86" t="s">
        <v>65</v>
      </c>
      <c r="S127" s="17" t="s">
        <v>68</v>
      </c>
      <c r="T127" s="17"/>
      <c r="U127" s="17"/>
      <c r="V127" s="17">
        <v>189</v>
      </c>
      <c r="W127" s="17">
        <f t="shared" si="24"/>
        <v>189</v>
      </c>
      <c r="X127" s="17">
        <f>W127</f>
        <v>189</v>
      </c>
      <c r="Y127" s="17">
        <f>ROUNDDOWN(W127/HLOOKUP(D127,Table!$C$3:$D$4,2,0)*8,2)</f>
        <v>3.36</v>
      </c>
      <c r="Z127" s="17">
        <v>2</v>
      </c>
      <c r="AA127" s="17" t="s">
        <v>78</v>
      </c>
      <c r="AB127" s="21">
        <v>43938</v>
      </c>
      <c r="AC127" s="21">
        <v>43935</v>
      </c>
      <c r="AD127" s="21">
        <v>43938</v>
      </c>
      <c r="AE127" s="21">
        <v>43935</v>
      </c>
      <c r="AF127" s="21">
        <v>43935</v>
      </c>
      <c r="AG127" s="22" t="s">
        <v>114</v>
      </c>
      <c r="AH127" s="38">
        <v>1</v>
      </c>
      <c r="AI127" s="38">
        <v>1</v>
      </c>
      <c r="AJ127" s="38">
        <v>1</v>
      </c>
      <c r="AK127" s="22" t="s">
        <v>574</v>
      </c>
      <c r="AL127" s="17"/>
      <c r="AM127" s="17"/>
      <c r="AN127" s="17"/>
      <c r="AO127" t="s">
        <v>941</v>
      </c>
    </row>
    <row r="128" spans="2:41" hidden="1" x14ac:dyDescent="0.25">
      <c r="B128" s="58">
        <f t="shared" si="22"/>
        <v>81</v>
      </c>
      <c r="C128" s="18">
        <v>20200414</v>
      </c>
      <c r="D128" s="17" t="s">
        <v>3</v>
      </c>
      <c r="E128" s="17" t="s">
        <v>433</v>
      </c>
      <c r="F128" s="19" t="s">
        <v>438</v>
      </c>
      <c r="G128" s="19">
        <v>1415974</v>
      </c>
      <c r="H128" s="86" t="s">
        <v>65</v>
      </c>
      <c r="I128" s="17" t="s">
        <v>459</v>
      </c>
      <c r="J128" s="86" t="s">
        <v>65</v>
      </c>
      <c r="K128" s="17" t="s">
        <v>469</v>
      </c>
      <c r="L128" s="17">
        <v>80433</v>
      </c>
      <c r="M128" s="17" t="s">
        <v>473</v>
      </c>
      <c r="N128" s="17" t="s">
        <v>468</v>
      </c>
      <c r="O128" s="19" t="s">
        <v>65</v>
      </c>
      <c r="P128" s="19" t="s">
        <v>583</v>
      </c>
      <c r="Q128" s="20"/>
      <c r="R128" s="86" t="s">
        <v>65</v>
      </c>
      <c r="S128" s="17" t="s">
        <v>68</v>
      </c>
      <c r="T128" s="17"/>
      <c r="U128" s="17"/>
      <c r="V128" s="17">
        <v>173</v>
      </c>
      <c r="W128" s="17">
        <f t="shared" si="24"/>
        <v>173</v>
      </c>
      <c r="X128" s="17">
        <f t="shared" si="24"/>
        <v>173</v>
      </c>
      <c r="Y128" s="17">
        <f>ROUNDDOWN(W128/HLOOKUP(D128,Table!$C$3:$D$4,2,0)*8,2)</f>
        <v>3.07</v>
      </c>
      <c r="Z128" s="17">
        <v>2</v>
      </c>
      <c r="AA128" s="17" t="s">
        <v>78</v>
      </c>
      <c r="AB128" s="21">
        <v>43938</v>
      </c>
      <c r="AC128" s="21">
        <v>43935</v>
      </c>
      <c r="AD128" s="21">
        <v>43938</v>
      </c>
      <c r="AE128" s="21">
        <v>43935</v>
      </c>
      <c r="AF128" s="21">
        <v>43935</v>
      </c>
      <c r="AG128" s="22" t="s">
        <v>114</v>
      </c>
      <c r="AH128" s="38">
        <v>1</v>
      </c>
      <c r="AI128" s="38">
        <v>1</v>
      </c>
      <c r="AJ128" s="38">
        <v>1</v>
      </c>
      <c r="AK128" s="22" t="s">
        <v>574</v>
      </c>
      <c r="AL128" s="17"/>
      <c r="AM128" s="17"/>
      <c r="AN128" s="17"/>
      <c r="AO128" t="s">
        <v>941</v>
      </c>
    </row>
    <row r="129" spans="2:41" hidden="1" x14ac:dyDescent="0.25">
      <c r="B129" s="58">
        <f t="shared" si="22"/>
        <v>82</v>
      </c>
      <c r="C129" s="18">
        <v>20200414</v>
      </c>
      <c r="D129" s="17" t="s">
        <v>3</v>
      </c>
      <c r="E129" s="17" t="s">
        <v>433</v>
      </c>
      <c r="F129" s="19" t="s">
        <v>438</v>
      </c>
      <c r="G129" s="19">
        <v>1415974</v>
      </c>
      <c r="H129" s="86" t="s">
        <v>65</v>
      </c>
      <c r="I129" s="17" t="s">
        <v>460</v>
      </c>
      <c r="J129" s="86" t="s">
        <v>65</v>
      </c>
      <c r="K129" s="17" t="s">
        <v>469</v>
      </c>
      <c r="L129" s="17">
        <v>80433</v>
      </c>
      <c r="M129" s="17" t="s">
        <v>473</v>
      </c>
      <c r="N129" s="17" t="s">
        <v>468</v>
      </c>
      <c r="O129" s="19" t="s">
        <v>65</v>
      </c>
      <c r="P129" s="19" t="s">
        <v>583</v>
      </c>
      <c r="Q129" s="20"/>
      <c r="R129" s="86" t="s">
        <v>65</v>
      </c>
      <c r="S129" s="17" t="s">
        <v>68</v>
      </c>
      <c r="T129" s="17"/>
      <c r="U129" s="17"/>
      <c r="V129" s="17">
        <v>176</v>
      </c>
      <c r="W129" s="17">
        <f t="shared" si="24"/>
        <v>176</v>
      </c>
      <c r="X129" s="17">
        <f t="shared" si="24"/>
        <v>176</v>
      </c>
      <c r="Y129" s="17">
        <f>ROUNDDOWN(W129/HLOOKUP(D129,Table!$C$3:$D$4,2,0)*8,2)</f>
        <v>3.12</v>
      </c>
      <c r="Z129" s="17">
        <v>2</v>
      </c>
      <c r="AA129" s="17" t="s">
        <v>78</v>
      </c>
      <c r="AB129" s="21">
        <v>43938</v>
      </c>
      <c r="AC129" s="21">
        <v>43935</v>
      </c>
      <c r="AD129" s="21">
        <v>43938</v>
      </c>
      <c r="AE129" s="21">
        <v>43935</v>
      </c>
      <c r="AF129" s="21">
        <v>43935</v>
      </c>
      <c r="AG129" s="22" t="s">
        <v>115</v>
      </c>
      <c r="AH129" s="38">
        <v>0.98</v>
      </c>
      <c r="AI129" s="38">
        <v>0.97</v>
      </c>
      <c r="AJ129" s="38">
        <v>1</v>
      </c>
      <c r="AK129" s="22" t="s">
        <v>354</v>
      </c>
      <c r="AL129" s="17" t="s">
        <v>575</v>
      </c>
      <c r="AM129" s="17"/>
      <c r="AN129" s="17"/>
      <c r="AO129" t="s">
        <v>941</v>
      </c>
    </row>
    <row r="130" spans="2:41" hidden="1" x14ac:dyDescent="0.25">
      <c r="B130" s="58">
        <f t="shared" si="22"/>
        <v>83</v>
      </c>
      <c r="C130" s="18">
        <v>20200414</v>
      </c>
      <c r="D130" s="17" t="s">
        <v>3</v>
      </c>
      <c r="E130" s="17" t="s">
        <v>433</v>
      </c>
      <c r="F130" s="19" t="s">
        <v>438</v>
      </c>
      <c r="G130" s="19">
        <v>1415974</v>
      </c>
      <c r="H130" s="86" t="s">
        <v>65</v>
      </c>
      <c r="I130" s="17" t="s">
        <v>461</v>
      </c>
      <c r="J130" s="86" t="s">
        <v>65</v>
      </c>
      <c r="K130" s="17" t="s">
        <v>469</v>
      </c>
      <c r="L130" s="17">
        <v>80433</v>
      </c>
      <c r="M130" s="17" t="s">
        <v>473</v>
      </c>
      <c r="N130" s="17" t="s">
        <v>468</v>
      </c>
      <c r="O130" s="19" t="s">
        <v>65</v>
      </c>
      <c r="P130" s="19" t="s">
        <v>583</v>
      </c>
      <c r="Q130" s="20"/>
      <c r="R130" s="86" t="s">
        <v>65</v>
      </c>
      <c r="S130" s="17" t="s">
        <v>68</v>
      </c>
      <c r="T130" s="17"/>
      <c r="U130" s="17"/>
      <c r="V130" s="17">
        <v>239</v>
      </c>
      <c r="W130" s="17">
        <f t="shared" si="24"/>
        <v>239</v>
      </c>
      <c r="X130" s="17">
        <f>W130</f>
        <v>239</v>
      </c>
      <c r="Y130" s="17">
        <f>ROUNDDOWN(W130/HLOOKUP(D130,Table!$C$3:$D$4,2,0)*8,2)</f>
        <v>4.24</v>
      </c>
      <c r="Z130" s="17">
        <v>2</v>
      </c>
      <c r="AA130" s="17" t="s">
        <v>78</v>
      </c>
      <c r="AB130" s="21">
        <v>43938</v>
      </c>
      <c r="AC130" s="21">
        <v>43935</v>
      </c>
      <c r="AD130" s="21">
        <v>43938</v>
      </c>
      <c r="AE130" s="21">
        <v>43936</v>
      </c>
      <c r="AF130" s="21">
        <v>43936</v>
      </c>
      <c r="AG130" s="22" t="s">
        <v>114</v>
      </c>
      <c r="AH130" s="38">
        <v>1</v>
      </c>
      <c r="AI130" s="38">
        <v>1</v>
      </c>
      <c r="AJ130" s="38">
        <v>1</v>
      </c>
      <c r="AK130" s="22" t="s">
        <v>574</v>
      </c>
      <c r="AL130" s="17"/>
      <c r="AM130" s="17"/>
      <c r="AN130" s="17"/>
      <c r="AO130" t="s">
        <v>941</v>
      </c>
    </row>
    <row r="131" spans="2:41" hidden="1" x14ac:dyDescent="0.25">
      <c r="B131" s="58">
        <f t="shared" si="22"/>
        <v>84</v>
      </c>
      <c r="C131" s="18">
        <v>20200414</v>
      </c>
      <c r="D131" s="17" t="s">
        <v>3</v>
      </c>
      <c r="E131" s="17" t="s">
        <v>433</v>
      </c>
      <c r="F131" s="19" t="s">
        <v>438</v>
      </c>
      <c r="G131" s="19">
        <v>1415974</v>
      </c>
      <c r="H131" s="86" t="s">
        <v>65</v>
      </c>
      <c r="I131" s="17" t="s">
        <v>462</v>
      </c>
      <c r="J131" s="86" t="s">
        <v>65</v>
      </c>
      <c r="K131" s="17" t="s">
        <v>469</v>
      </c>
      <c r="L131" s="17">
        <v>80433</v>
      </c>
      <c r="M131" s="17" t="s">
        <v>473</v>
      </c>
      <c r="N131" s="17" t="s">
        <v>468</v>
      </c>
      <c r="O131" s="19" t="s">
        <v>65</v>
      </c>
      <c r="P131" s="19" t="s">
        <v>583</v>
      </c>
      <c r="Q131" s="20"/>
      <c r="R131" s="86" t="s">
        <v>65</v>
      </c>
      <c r="S131" s="17" t="s">
        <v>68</v>
      </c>
      <c r="T131" s="17"/>
      <c r="U131" s="17"/>
      <c r="V131" s="17">
        <v>237</v>
      </c>
      <c r="W131" s="17">
        <f t="shared" si="24"/>
        <v>237</v>
      </c>
      <c r="X131" s="17">
        <f>W131</f>
        <v>237</v>
      </c>
      <c r="Y131" s="17">
        <f>ROUNDDOWN(W131/HLOOKUP(D131,Table!$C$3:$D$4,2,0)*8,2)</f>
        <v>4.21</v>
      </c>
      <c r="Z131" s="17">
        <v>1</v>
      </c>
      <c r="AA131" s="17" t="s">
        <v>78</v>
      </c>
      <c r="AB131" s="21">
        <v>43938</v>
      </c>
      <c r="AC131" s="21">
        <v>43935</v>
      </c>
      <c r="AD131" s="21">
        <v>43938</v>
      </c>
      <c r="AE131" s="21">
        <v>43936</v>
      </c>
      <c r="AF131" s="21">
        <v>43936</v>
      </c>
      <c r="AG131" s="22" t="s">
        <v>114</v>
      </c>
      <c r="AH131" s="38">
        <v>1</v>
      </c>
      <c r="AI131" s="38">
        <v>1</v>
      </c>
      <c r="AJ131" s="38">
        <v>1</v>
      </c>
      <c r="AK131" s="22" t="s">
        <v>574</v>
      </c>
      <c r="AL131" s="17"/>
      <c r="AM131" s="17"/>
      <c r="AN131" s="17"/>
      <c r="AO131" t="s">
        <v>941</v>
      </c>
    </row>
    <row r="132" spans="2:41" hidden="1" x14ac:dyDescent="0.25">
      <c r="B132" s="58">
        <f t="shared" si="22"/>
        <v>85</v>
      </c>
      <c r="C132" s="18">
        <v>20200414</v>
      </c>
      <c r="D132" s="17" t="s">
        <v>3</v>
      </c>
      <c r="E132" s="17" t="s">
        <v>433</v>
      </c>
      <c r="F132" s="19" t="s">
        <v>440</v>
      </c>
      <c r="G132" s="19">
        <v>1415974</v>
      </c>
      <c r="H132" s="86" t="s">
        <v>65</v>
      </c>
      <c r="I132" s="17" t="s">
        <v>463</v>
      </c>
      <c r="J132" s="86" t="s">
        <v>65</v>
      </c>
      <c r="K132" s="17" t="s">
        <v>469</v>
      </c>
      <c r="L132" s="17">
        <v>80433</v>
      </c>
      <c r="M132" s="17" t="s">
        <v>473</v>
      </c>
      <c r="N132" s="17" t="s">
        <v>468</v>
      </c>
      <c r="O132" s="19" t="s">
        <v>65</v>
      </c>
      <c r="P132" s="19" t="s">
        <v>583</v>
      </c>
      <c r="Q132" s="20"/>
      <c r="R132" s="86" t="s">
        <v>65</v>
      </c>
      <c r="S132" s="17" t="s">
        <v>68</v>
      </c>
      <c r="T132" s="17"/>
      <c r="U132" s="17"/>
      <c r="V132" s="17">
        <v>8</v>
      </c>
      <c r="W132" s="17">
        <f t="shared" si="24"/>
        <v>8</v>
      </c>
      <c r="X132" s="17">
        <f>W132</f>
        <v>8</v>
      </c>
      <c r="Y132" s="17">
        <f>ROUNDDOWN(W132/HLOOKUP(D132,Table!$C$3:$D$4,2,0)*8,2)</f>
        <v>0.14000000000000001</v>
      </c>
      <c r="Z132" s="17">
        <v>1</v>
      </c>
      <c r="AA132" s="17" t="s">
        <v>78</v>
      </c>
      <c r="AB132" s="21">
        <v>43938</v>
      </c>
      <c r="AC132" s="21">
        <v>43935</v>
      </c>
      <c r="AD132" s="21">
        <v>43938</v>
      </c>
      <c r="AE132" s="21">
        <v>43936</v>
      </c>
      <c r="AF132" s="21">
        <v>43936</v>
      </c>
      <c r="AG132" s="22" t="s">
        <v>114</v>
      </c>
      <c r="AH132" s="38">
        <v>1</v>
      </c>
      <c r="AI132" s="38">
        <v>1</v>
      </c>
      <c r="AJ132" s="38">
        <v>1</v>
      </c>
      <c r="AK132" s="22" t="s">
        <v>574</v>
      </c>
      <c r="AL132" s="17"/>
      <c r="AM132" s="17"/>
      <c r="AN132" s="17"/>
      <c r="AO132" t="s">
        <v>941</v>
      </c>
    </row>
    <row r="133" spans="2:41" hidden="1" x14ac:dyDescent="0.25">
      <c r="B133" s="58">
        <f t="shared" si="22"/>
        <v>86</v>
      </c>
      <c r="C133" s="18">
        <v>20200414</v>
      </c>
      <c r="D133" s="17" t="s">
        <v>3</v>
      </c>
      <c r="E133" s="17" t="s">
        <v>433</v>
      </c>
      <c r="F133" s="19" t="s">
        <v>441</v>
      </c>
      <c r="G133" s="19">
        <v>1415974</v>
      </c>
      <c r="H133" s="86" t="s">
        <v>65</v>
      </c>
      <c r="I133" s="17" t="s">
        <v>464</v>
      </c>
      <c r="J133" s="86" t="s">
        <v>65</v>
      </c>
      <c r="K133" s="17" t="s">
        <v>469</v>
      </c>
      <c r="L133" s="17">
        <v>80433</v>
      </c>
      <c r="M133" s="17" t="s">
        <v>473</v>
      </c>
      <c r="N133" s="17" t="s">
        <v>468</v>
      </c>
      <c r="O133" s="19" t="s">
        <v>65</v>
      </c>
      <c r="P133" s="19" t="s">
        <v>583</v>
      </c>
      <c r="Q133" s="20"/>
      <c r="R133" s="86" t="s">
        <v>65</v>
      </c>
      <c r="S133" s="17" t="s">
        <v>68</v>
      </c>
      <c r="T133" s="17"/>
      <c r="U133" s="17"/>
      <c r="V133" s="17">
        <v>165</v>
      </c>
      <c r="W133" s="17">
        <f t="shared" si="24"/>
        <v>165</v>
      </c>
      <c r="X133" s="17">
        <f>W133</f>
        <v>165</v>
      </c>
      <c r="Y133" s="17">
        <f>ROUNDDOWN(W133/HLOOKUP(D133,Table!$C$3:$D$4,2,0)*8,2)</f>
        <v>2.93</v>
      </c>
      <c r="Z133" s="17">
        <v>1</v>
      </c>
      <c r="AA133" s="17" t="s">
        <v>78</v>
      </c>
      <c r="AB133" s="21">
        <v>43938</v>
      </c>
      <c r="AC133" s="21">
        <v>43935</v>
      </c>
      <c r="AD133" s="21">
        <v>43938</v>
      </c>
      <c r="AE133" s="21">
        <v>43936</v>
      </c>
      <c r="AF133" s="21">
        <v>43936</v>
      </c>
      <c r="AG133" s="22" t="s">
        <v>114</v>
      </c>
      <c r="AH133" s="38">
        <v>1</v>
      </c>
      <c r="AI133" s="38">
        <v>1</v>
      </c>
      <c r="AJ133" s="38">
        <v>1</v>
      </c>
      <c r="AK133" s="22" t="s">
        <v>574</v>
      </c>
      <c r="AL133" s="17"/>
      <c r="AM133" s="17"/>
      <c r="AN133" s="17"/>
      <c r="AO133" t="s">
        <v>941</v>
      </c>
    </row>
    <row r="134" spans="2:41" hidden="1" x14ac:dyDescent="0.25">
      <c r="B134" s="58">
        <f t="shared" si="22"/>
        <v>87</v>
      </c>
      <c r="C134" s="18">
        <v>20200414</v>
      </c>
      <c r="D134" s="17" t="s">
        <v>3</v>
      </c>
      <c r="E134" s="17" t="s">
        <v>433</v>
      </c>
      <c r="F134" s="19" t="s">
        <v>442</v>
      </c>
      <c r="G134" s="19">
        <v>1415974</v>
      </c>
      <c r="H134" s="86" t="s">
        <v>65</v>
      </c>
      <c r="I134" s="17" t="s">
        <v>570</v>
      </c>
      <c r="J134" s="86" t="s">
        <v>65</v>
      </c>
      <c r="K134" s="17" t="s">
        <v>469</v>
      </c>
      <c r="L134" s="17">
        <v>80433</v>
      </c>
      <c r="M134" s="17" t="s">
        <v>473</v>
      </c>
      <c r="N134" s="17" t="s">
        <v>468</v>
      </c>
      <c r="O134" s="19" t="s">
        <v>65</v>
      </c>
      <c r="P134" s="19" t="s">
        <v>583</v>
      </c>
      <c r="Q134" s="20"/>
      <c r="R134" s="86" t="s">
        <v>65</v>
      </c>
      <c r="S134" s="17" t="s">
        <v>68</v>
      </c>
      <c r="T134" s="17"/>
      <c r="U134" s="17"/>
      <c r="V134" s="17">
        <v>0</v>
      </c>
      <c r="W134" s="17">
        <f t="shared" si="24"/>
        <v>0</v>
      </c>
      <c r="X134" s="17">
        <v>0</v>
      </c>
      <c r="Y134" s="17">
        <f>ROUNDDOWN(W134/HLOOKUP(D134,Table!$C$3:$D$4,2,0)*8,2)</f>
        <v>0</v>
      </c>
      <c r="Z134" s="17">
        <v>0</v>
      </c>
      <c r="AA134" s="17" t="s">
        <v>78</v>
      </c>
      <c r="AB134" s="21">
        <v>43938</v>
      </c>
      <c r="AC134" s="21">
        <v>43935</v>
      </c>
      <c r="AD134" s="21">
        <v>43938</v>
      </c>
      <c r="AE134" s="21">
        <v>43936</v>
      </c>
      <c r="AF134" s="21">
        <v>43936</v>
      </c>
      <c r="AG134" s="22" t="s">
        <v>114</v>
      </c>
      <c r="AH134" s="39" t="s">
        <v>65</v>
      </c>
      <c r="AI134" s="39" t="s">
        <v>65</v>
      </c>
      <c r="AJ134" s="39" t="s">
        <v>65</v>
      </c>
      <c r="AK134" s="22" t="s">
        <v>574</v>
      </c>
      <c r="AL134" s="17"/>
      <c r="AM134" s="17"/>
      <c r="AN134" s="17" t="s">
        <v>718</v>
      </c>
      <c r="AO134" t="s">
        <v>941</v>
      </c>
    </row>
    <row r="135" spans="2:41" hidden="1" x14ac:dyDescent="0.25">
      <c r="B135" s="58">
        <f t="shared" si="22"/>
        <v>88</v>
      </c>
      <c r="C135" s="18">
        <v>20200414</v>
      </c>
      <c r="D135" s="17" t="s">
        <v>3</v>
      </c>
      <c r="E135" s="17" t="s">
        <v>433</v>
      </c>
      <c r="F135" s="19" t="s">
        <v>443</v>
      </c>
      <c r="G135" s="19">
        <v>1415974</v>
      </c>
      <c r="H135" s="86" t="s">
        <v>65</v>
      </c>
      <c r="I135" s="17" t="s">
        <v>465</v>
      </c>
      <c r="J135" s="86" t="s">
        <v>65</v>
      </c>
      <c r="K135" s="17" t="s">
        <v>469</v>
      </c>
      <c r="L135" s="17">
        <v>80433</v>
      </c>
      <c r="M135" s="17" t="s">
        <v>473</v>
      </c>
      <c r="N135" s="17" t="s">
        <v>468</v>
      </c>
      <c r="O135" s="19" t="s">
        <v>65</v>
      </c>
      <c r="P135" s="19" t="s">
        <v>583</v>
      </c>
      <c r="Q135" s="20"/>
      <c r="R135" s="86" t="s">
        <v>65</v>
      </c>
      <c r="S135" s="17" t="s">
        <v>70</v>
      </c>
      <c r="T135" s="17"/>
      <c r="U135" s="17"/>
      <c r="V135" s="17">
        <v>12</v>
      </c>
      <c r="W135" s="17">
        <f t="shared" si="24"/>
        <v>12</v>
      </c>
      <c r="X135" s="17">
        <f>W135</f>
        <v>12</v>
      </c>
      <c r="Y135" s="17">
        <f>ROUNDDOWN(W135/HLOOKUP(D135,Table!$C$3:$D$4,2,0)*8,2)</f>
        <v>0.21</v>
      </c>
      <c r="Z135" s="17">
        <v>1</v>
      </c>
      <c r="AA135" s="17" t="s">
        <v>78</v>
      </c>
      <c r="AB135" s="21">
        <v>43938</v>
      </c>
      <c r="AC135" s="21">
        <v>43935</v>
      </c>
      <c r="AD135" s="21">
        <v>43938</v>
      </c>
      <c r="AE135" s="21">
        <v>43936</v>
      </c>
      <c r="AF135" s="21">
        <v>43936</v>
      </c>
      <c r="AG135" s="22" t="s">
        <v>114</v>
      </c>
      <c r="AH135" s="39" t="s">
        <v>65</v>
      </c>
      <c r="AI135" s="39" t="s">
        <v>65</v>
      </c>
      <c r="AJ135" s="39" t="s">
        <v>65</v>
      </c>
      <c r="AK135" s="22" t="s">
        <v>574</v>
      </c>
      <c r="AL135" s="17"/>
      <c r="AM135" s="17"/>
      <c r="AN135" s="17" t="s">
        <v>718</v>
      </c>
      <c r="AO135" t="s">
        <v>941</v>
      </c>
    </row>
    <row r="136" spans="2:41" hidden="1" x14ac:dyDescent="0.25">
      <c r="B136" s="58">
        <f t="shared" si="22"/>
        <v>89</v>
      </c>
      <c r="C136" s="18">
        <v>20200414</v>
      </c>
      <c r="D136" s="17" t="s">
        <v>3</v>
      </c>
      <c r="E136" s="17" t="s">
        <v>433</v>
      </c>
      <c r="F136" s="19" t="s">
        <v>443</v>
      </c>
      <c r="G136" s="19">
        <v>1415974</v>
      </c>
      <c r="H136" s="86" t="s">
        <v>65</v>
      </c>
      <c r="I136" s="17" t="s">
        <v>466</v>
      </c>
      <c r="J136" s="86" t="s">
        <v>65</v>
      </c>
      <c r="K136" s="17" t="s">
        <v>469</v>
      </c>
      <c r="L136" s="17">
        <v>80433</v>
      </c>
      <c r="M136" s="17" t="s">
        <v>473</v>
      </c>
      <c r="N136" s="17" t="s">
        <v>468</v>
      </c>
      <c r="O136" s="19" t="s">
        <v>65</v>
      </c>
      <c r="P136" s="19" t="s">
        <v>583</v>
      </c>
      <c r="Q136" s="20"/>
      <c r="R136" s="86" t="s">
        <v>65</v>
      </c>
      <c r="S136" s="17" t="s">
        <v>70</v>
      </c>
      <c r="T136" s="17"/>
      <c r="U136" s="17"/>
      <c r="V136" s="17">
        <v>37</v>
      </c>
      <c r="W136" s="17">
        <f t="shared" si="24"/>
        <v>37</v>
      </c>
      <c r="X136" s="17">
        <f t="shared" si="24"/>
        <v>37</v>
      </c>
      <c r="Y136" s="17">
        <f>ROUNDDOWN(W136/HLOOKUP(D136,Table!$C$3:$D$4,2,0)*8,2)</f>
        <v>0.65</v>
      </c>
      <c r="Z136" s="17">
        <v>1</v>
      </c>
      <c r="AA136" s="17" t="s">
        <v>78</v>
      </c>
      <c r="AB136" s="21">
        <v>43938</v>
      </c>
      <c r="AC136" s="21">
        <v>43935</v>
      </c>
      <c r="AD136" s="21">
        <v>43938</v>
      </c>
      <c r="AE136" s="21">
        <v>43936</v>
      </c>
      <c r="AF136" s="21">
        <v>43936</v>
      </c>
      <c r="AG136" s="22" t="s">
        <v>114</v>
      </c>
      <c r="AH136" s="38">
        <v>1</v>
      </c>
      <c r="AI136" s="38">
        <v>1</v>
      </c>
      <c r="AJ136" s="38">
        <v>1</v>
      </c>
      <c r="AK136" s="22" t="s">
        <v>574</v>
      </c>
      <c r="AL136" s="17"/>
      <c r="AM136" s="17"/>
      <c r="AN136" s="17"/>
      <c r="AO136" t="s">
        <v>941</v>
      </c>
    </row>
    <row r="137" spans="2:41" hidden="1" x14ac:dyDescent="0.25">
      <c r="B137" s="58">
        <f t="shared" si="22"/>
        <v>90</v>
      </c>
      <c r="C137" s="18">
        <v>20200414</v>
      </c>
      <c r="D137" s="17" t="s">
        <v>3</v>
      </c>
      <c r="E137" s="17" t="s">
        <v>433</v>
      </c>
      <c r="F137" s="19" t="s">
        <v>444</v>
      </c>
      <c r="G137" s="19">
        <v>1415974</v>
      </c>
      <c r="H137" s="86" t="s">
        <v>65</v>
      </c>
      <c r="I137" s="17" t="s">
        <v>467</v>
      </c>
      <c r="J137" s="86" t="s">
        <v>65</v>
      </c>
      <c r="K137" s="17" t="s">
        <v>469</v>
      </c>
      <c r="L137" s="17">
        <v>80433</v>
      </c>
      <c r="M137" s="17" t="s">
        <v>473</v>
      </c>
      <c r="N137" s="17" t="s">
        <v>468</v>
      </c>
      <c r="O137" s="19" t="s">
        <v>65</v>
      </c>
      <c r="P137" s="19" t="s">
        <v>583</v>
      </c>
      <c r="Q137" s="20"/>
      <c r="R137" s="86" t="s">
        <v>65</v>
      </c>
      <c r="S137" s="17" t="s">
        <v>70</v>
      </c>
      <c r="T137" s="17"/>
      <c r="U137" s="17"/>
      <c r="V137" s="17">
        <v>3</v>
      </c>
      <c r="W137" s="17">
        <f t="shared" si="24"/>
        <v>3</v>
      </c>
      <c r="X137" s="17">
        <f t="shared" si="24"/>
        <v>3</v>
      </c>
      <c r="Y137" s="17">
        <f>ROUNDDOWN(W137/HLOOKUP(D137,Table!$C$3:$D$4,2,0)*8,2)</f>
        <v>0.05</v>
      </c>
      <c r="Z137" s="17">
        <v>0.1</v>
      </c>
      <c r="AA137" s="17" t="s">
        <v>78</v>
      </c>
      <c r="AB137" s="21">
        <v>43938</v>
      </c>
      <c r="AC137" s="21">
        <v>43935</v>
      </c>
      <c r="AD137" s="21">
        <v>43938</v>
      </c>
      <c r="AE137" s="21">
        <v>43936</v>
      </c>
      <c r="AF137" s="21">
        <v>43936</v>
      </c>
      <c r="AG137" s="22" t="s">
        <v>114</v>
      </c>
      <c r="AH137" s="39" t="s">
        <v>65</v>
      </c>
      <c r="AI137" s="39" t="s">
        <v>65</v>
      </c>
      <c r="AJ137" s="39" t="s">
        <v>65</v>
      </c>
      <c r="AK137" s="22" t="s">
        <v>574</v>
      </c>
      <c r="AL137" s="17"/>
      <c r="AM137" s="17"/>
      <c r="AN137" s="17" t="s">
        <v>718</v>
      </c>
      <c r="AO137" t="s">
        <v>941</v>
      </c>
    </row>
    <row r="138" spans="2:41" hidden="1" x14ac:dyDescent="0.25">
      <c r="B138" s="81">
        <f t="shared" si="22"/>
        <v>91</v>
      </c>
      <c r="C138" s="18">
        <v>20200414</v>
      </c>
      <c r="D138" s="17" t="s">
        <v>3</v>
      </c>
      <c r="E138" s="17" t="s">
        <v>470</v>
      </c>
      <c r="F138" s="19" t="s">
        <v>476</v>
      </c>
      <c r="G138" s="19">
        <v>1416009</v>
      </c>
      <c r="H138" s="86" t="s">
        <v>65</v>
      </c>
      <c r="I138" s="17" t="s">
        <v>479</v>
      </c>
      <c r="J138" s="86" t="s">
        <v>65</v>
      </c>
      <c r="K138" s="17" t="s">
        <v>469</v>
      </c>
      <c r="L138" s="17">
        <v>80426</v>
      </c>
      <c r="M138" s="17" t="s">
        <v>474</v>
      </c>
      <c r="N138" s="17" t="s">
        <v>487</v>
      </c>
      <c r="O138" s="19" t="s">
        <v>65</v>
      </c>
      <c r="P138" s="19" t="s">
        <v>585</v>
      </c>
      <c r="Q138" s="20"/>
      <c r="R138" s="86" t="s">
        <v>65</v>
      </c>
      <c r="S138" s="17" t="s">
        <v>70</v>
      </c>
      <c r="T138" s="17"/>
      <c r="U138" s="17"/>
      <c r="V138" s="17">
        <v>322</v>
      </c>
      <c r="W138" s="17">
        <f t="shared" si="24"/>
        <v>322</v>
      </c>
      <c r="X138" s="17">
        <f t="shared" si="24"/>
        <v>322</v>
      </c>
      <c r="Y138" s="17">
        <f>ROUNDDOWN(W138/HLOOKUP(D138,Table!$C$3:$D$4,2,0)*8,2)</f>
        <v>5.72</v>
      </c>
      <c r="Z138" s="17">
        <v>1</v>
      </c>
      <c r="AA138" s="17" t="s">
        <v>78</v>
      </c>
      <c r="AB138" s="21">
        <v>43938</v>
      </c>
      <c r="AC138" s="21">
        <v>43935</v>
      </c>
      <c r="AD138" s="21">
        <v>43938</v>
      </c>
      <c r="AE138" s="21">
        <v>43936</v>
      </c>
      <c r="AF138" s="21">
        <v>43936</v>
      </c>
      <c r="AG138" s="22" t="s">
        <v>114</v>
      </c>
      <c r="AH138" s="38">
        <v>1</v>
      </c>
      <c r="AI138" s="38">
        <v>1</v>
      </c>
      <c r="AJ138" s="38">
        <v>1</v>
      </c>
      <c r="AK138" s="22" t="s">
        <v>574</v>
      </c>
      <c r="AL138" s="17"/>
      <c r="AM138" s="17"/>
      <c r="AN138" s="17"/>
      <c r="AO138" t="s">
        <v>941</v>
      </c>
    </row>
    <row r="139" spans="2:41" hidden="1" x14ac:dyDescent="0.25">
      <c r="B139" s="81">
        <f t="shared" si="22"/>
        <v>92</v>
      </c>
      <c r="C139" s="18">
        <v>20200414</v>
      </c>
      <c r="D139" s="17" t="s">
        <v>3</v>
      </c>
      <c r="E139" s="17" t="s">
        <v>471</v>
      </c>
      <c r="F139" s="19" t="s">
        <v>477</v>
      </c>
      <c r="G139" s="19">
        <v>1416093</v>
      </c>
      <c r="H139" s="86" t="s">
        <v>65</v>
      </c>
      <c r="I139" s="17" t="s">
        <v>480</v>
      </c>
      <c r="J139" s="86" t="s">
        <v>65</v>
      </c>
      <c r="K139" s="17" t="s">
        <v>469</v>
      </c>
      <c r="L139" s="17">
        <v>80426</v>
      </c>
      <c r="M139" s="17" t="s">
        <v>475</v>
      </c>
      <c r="N139" s="17" t="s">
        <v>487</v>
      </c>
      <c r="O139" s="19" t="s">
        <v>65</v>
      </c>
      <c r="P139" s="19" t="s">
        <v>584</v>
      </c>
      <c r="Q139" s="20"/>
      <c r="R139" s="86" t="s">
        <v>65</v>
      </c>
      <c r="S139" s="17" t="s">
        <v>70</v>
      </c>
      <c r="T139" s="17"/>
      <c r="U139" s="17"/>
      <c r="V139" s="17">
        <v>25</v>
      </c>
      <c r="W139" s="17">
        <f t="shared" si="24"/>
        <v>25</v>
      </c>
      <c r="X139" s="17">
        <f t="shared" si="24"/>
        <v>25</v>
      </c>
      <c r="Y139" s="17">
        <f>ROUNDDOWN(W139/HLOOKUP(D139,Table!$C$3:$D$4,2,0)*8,2)</f>
        <v>0.44</v>
      </c>
      <c r="Z139" s="17">
        <v>0.2</v>
      </c>
      <c r="AA139" s="17" t="s">
        <v>78</v>
      </c>
      <c r="AB139" s="21">
        <v>43938</v>
      </c>
      <c r="AC139" s="21">
        <v>43935</v>
      </c>
      <c r="AD139" s="21">
        <v>43938</v>
      </c>
      <c r="AE139" s="21">
        <v>43936</v>
      </c>
      <c r="AF139" s="21">
        <v>43936</v>
      </c>
      <c r="AG139" s="22" t="s">
        <v>114</v>
      </c>
      <c r="AH139" s="38">
        <v>1</v>
      </c>
      <c r="AI139" s="38">
        <v>1</v>
      </c>
      <c r="AJ139" s="38">
        <v>1</v>
      </c>
      <c r="AK139" s="22" t="s">
        <v>574</v>
      </c>
      <c r="AL139" s="17"/>
      <c r="AM139" s="17"/>
      <c r="AN139" s="17"/>
      <c r="AO139" t="s">
        <v>941</v>
      </c>
    </row>
    <row r="140" spans="2:41" hidden="1" x14ac:dyDescent="0.25">
      <c r="B140" s="81">
        <f t="shared" si="22"/>
        <v>93</v>
      </c>
      <c r="C140" s="18">
        <v>20200414</v>
      </c>
      <c r="D140" s="17" t="s">
        <v>3</v>
      </c>
      <c r="E140" s="17" t="s">
        <v>471</v>
      </c>
      <c r="F140" s="19" t="s">
        <v>477</v>
      </c>
      <c r="G140" s="19">
        <v>1416093</v>
      </c>
      <c r="H140" s="86" t="s">
        <v>65</v>
      </c>
      <c r="I140" s="17" t="s">
        <v>481</v>
      </c>
      <c r="J140" s="86" t="s">
        <v>65</v>
      </c>
      <c r="K140" s="17" t="s">
        <v>469</v>
      </c>
      <c r="L140" s="17">
        <v>80426</v>
      </c>
      <c r="M140" s="17" t="s">
        <v>475</v>
      </c>
      <c r="N140" s="17" t="s">
        <v>487</v>
      </c>
      <c r="O140" s="19" t="s">
        <v>65</v>
      </c>
      <c r="P140" s="19" t="s">
        <v>584</v>
      </c>
      <c r="Q140" s="20"/>
      <c r="R140" s="86" t="s">
        <v>65</v>
      </c>
      <c r="S140" s="17" t="s">
        <v>70</v>
      </c>
      <c r="T140" s="17"/>
      <c r="U140" s="17"/>
      <c r="V140" s="17">
        <v>28</v>
      </c>
      <c r="W140" s="17">
        <f t="shared" si="24"/>
        <v>28</v>
      </c>
      <c r="X140" s="17">
        <f t="shared" si="24"/>
        <v>28</v>
      </c>
      <c r="Y140" s="17">
        <f>ROUNDDOWN(W140/HLOOKUP(D140,Table!$C$3:$D$4,2,0)*8,2)</f>
        <v>0.49</v>
      </c>
      <c r="Z140" s="17">
        <v>0.2</v>
      </c>
      <c r="AA140" s="17" t="s">
        <v>78</v>
      </c>
      <c r="AB140" s="21">
        <v>43938</v>
      </c>
      <c r="AC140" s="21">
        <v>43935</v>
      </c>
      <c r="AD140" s="21">
        <v>43938</v>
      </c>
      <c r="AE140" s="21">
        <v>43936</v>
      </c>
      <c r="AF140" s="21">
        <v>43936</v>
      </c>
      <c r="AG140" s="22" t="s">
        <v>114</v>
      </c>
      <c r="AH140" s="38">
        <v>1</v>
      </c>
      <c r="AI140" s="38">
        <v>1</v>
      </c>
      <c r="AJ140" s="38">
        <v>1</v>
      </c>
      <c r="AK140" s="22" t="s">
        <v>574</v>
      </c>
      <c r="AL140" s="17"/>
      <c r="AM140" s="17"/>
      <c r="AN140" s="17"/>
      <c r="AO140" t="s">
        <v>941</v>
      </c>
    </row>
    <row r="141" spans="2:41" hidden="1" x14ac:dyDescent="0.25">
      <c r="B141" s="81">
        <f t="shared" si="22"/>
        <v>94</v>
      </c>
      <c r="C141" s="18">
        <v>20200414</v>
      </c>
      <c r="D141" s="17" t="s">
        <v>3</v>
      </c>
      <c r="E141" s="17" t="s">
        <v>471</v>
      </c>
      <c r="F141" s="19" t="s">
        <v>477</v>
      </c>
      <c r="G141" s="19">
        <v>1416093</v>
      </c>
      <c r="H141" s="86" t="s">
        <v>65</v>
      </c>
      <c r="I141" s="17" t="s">
        <v>482</v>
      </c>
      <c r="J141" s="86" t="s">
        <v>65</v>
      </c>
      <c r="K141" s="17" t="s">
        <v>469</v>
      </c>
      <c r="L141" s="17">
        <v>80426</v>
      </c>
      <c r="M141" s="17" t="s">
        <v>475</v>
      </c>
      <c r="N141" s="17" t="s">
        <v>487</v>
      </c>
      <c r="O141" s="19" t="s">
        <v>65</v>
      </c>
      <c r="P141" s="19" t="s">
        <v>584</v>
      </c>
      <c r="Q141" s="20"/>
      <c r="R141" s="86" t="s">
        <v>65</v>
      </c>
      <c r="S141" s="17" t="s">
        <v>70</v>
      </c>
      <c r="T141" s="17"/>
      <c r="U141" s="17"/>
      <c r="V141" s="17">
        <v>46</v>
      </c>
      <c r="W141" s="17">
        <f t="shared" si="24"/>
        <v>46</v>
      </c>
      <c r="X141" s="17">
        <f>W141</f>
        <v>46</v>
      </c>
      <c r="Y141" s="17">
        <f>ROUNDDOWN(W141/HLOOKUP(D141,Table!$C$3:$D$4,2,0)*8,2)</f>
        <v>0.81</v>
      </c>
      <c r="Z141" s="17">
        <v>0.1</v>
      </c>
      <c r="AA141" s="17" t="s">
        <v>78</v>
      </c>
      <c r="AB141" s="21">
        <v>43938</v>
      </c>
      <c r="AC141" s="21">
        <v>43935</v>
      </c>
      <c r="AD141" s="21">
        <v>43938</v>
      </c>
      <c r="AE141" s="21">
        <v>43936</v>
      </c>
      <c r="AF141" s="21">
        <v>43936</v>
      </c>
      <c r="AG141" s="22" t="s">
        <v>114</v>
      </c>
      <c r="AH141" s="38">
        <v>1</v>
      </c>
      <c r="AI141" s="38">
        <v>1</v>
      </c>
      <c r="AJ141" s="38">
        <v>1</v>
      </c>
      <c r="AK141" s="22" t="s">
        <v>574</v>
      </c>
      <c r="AL141" s="17"/>
      <c r="AM141" s="17"/>
      <c r="AN141" s="17"/>
      <c r="AO141" t="s">
        <v>941</v>
      </c>
    </row>
    <row r="142" spans="2:41" hidden="1" x14ac:dyDescent="0.25">
      <c r="B142" s="81">
        <f t="shared" si="22"/>
        <v>95</v>
      </c>
      <c r="C142" s="18">
        <v>20200414</v>
      </c>
      <c r="D142" s="17" t="s">
        <v>3</v>
      </c>
      <c r="E142" s="17" t="s">
        <v>471</v>
      </c>
      <c r="F142" s="19" t="s">
        <v>477</v>
      </c>
      <c r="G142" s="19">
        <v>1416093</v>
      </c>
      <c r="H142" s="86" t="s">
        <v>65</v>
      </c>
      <c r="I142" s="17" t="s">
        <v>483</v>
      </c>
      <c r="J142" s="86" t="s">
        <v>65</v>
      </c>
      <c r="K142" s="17" t="s">
        <v>469</v>
      </c>
      <c r="L142" s="17">
        <v>80426</v>
      </c>
      <c r="M142" s="17" t="s">
        <v>475</v>
      </c>
      <c r="N142" s="17" t="s">
        <v>487</v>
      </c>
      <c r="O142" s="19" t="s">
        <v>65</v>
      </c>
      <c r="P142" s="19" t="s">
        <v>584</v>
      </c>
      <c r="Q142" s="20"/>
      <c r="R142" s="86" t="s">
        <v>65</v>
      </c>
      <c r="S142" s="17" t="s">
        <v>70</v>
      </c>
      <c r="T142" s="17"/>
      <c r="U142" s="17"/>
      <c r="V142" s="17">
        <v>31</v>
      </c>
      <c r="W142" s="17">
        <f t="shared" si="24"/>
        <v>31</v>
      </c>
      <c r="X142" s="17">
        <f>W142</f>
        <v>31</v>
      </c>
      <c r="Y142" s="17">
        <f>ROUNDDOWN(W142/HLOOKUP(D142,Table!$C$3:$D$4,2,0)*8,2)</f>
        <v>0.55000000000000004</v>
      </c>
      <c r="Z142" s="17">
        <v>0.1</v>
      </c>
      <c r="AA142" s="17" t="s">
        <v>78</v>
      </c>
      <c r="AB142" s="21">
        <v>43938</v>
      </c>
      <c r="AC142" s="21">
        <v>43935</v>
      </c>
      <c r="AD142" s="21">
        <v>43938</v>
      </c>
      <c r="AE142" s="21">
        <v>43936</v>
      </c>
      <c r="AF142" s="21">
        <v>43936</v>
      </c>
      <c r="AG142" s="22" t="s">
        <v>114</v>
      </c>
      <c r="AH142" s="38">
        <v>1</v>
      </c>
      <c r="AI142" s="38">
        <v>1</v>
      </c>
      <c r="AJ142" s="38">
        <v>1</v>
      </c>
      <c r="AK142" s="22" t="s">
        <v>574</v>
      </c>
      <c r="AL142" s="17"/>
      <c r="AM142" s="17"/>
      <c r="AN142" s="17"/>
      <c r="AO142" t="s">
        <v>941</v>
      </c>
    </row>
    <row r="143" spans="2:41" hidden="1" x14ac:dyDescent="0.25">
      <c r="B143" s="81">
        <f t="shared" si="22"/>
        <v>96</v>
      </c>
      <c r="C143" s="18">
        <v>20200414</v>
      </c>
      <c r="D143" s="17" t="s">
        <v>3</v>
      </c>
      <c r="E143" s="17" t="s">
        <v>471</v>
      </c>
      <c r="F143" s="19" t="s">
        <v>477</v>
      </c>
      <c r="G143" s="19">
        <v>1416093</v>
      </c>
      <c r="H143" s="86" t="s">
        <v>65</v>
      </c>
      <c r="I143" s="17" t="s">
        <v>484</v>
      </c>
      <c r="J143" s="86" t="s">
        <v>65</v>
      </c>
      <c r="K143" s="17" t="s">
        <v>469</v>
      </c>
      <c r="L143" s="17">
        <v>80426</v>
      </c>
      <c r="M143" s="17" t="s">
        <v>475</v>
      </c>
      <c r="N143" s="17" t="s">
        <v>487</v>
      </c>
      <c r="O143" s="19" t="s">
        <v>65</v>
      </c>
      <c r="P143" s="19" t="s">
        <v>584</v>
      </c>
      <c r="Q143" s="20"/>
      <c r="R143" s="86" t="s">
        <v>65</v>
      </c>
      <c r="S143" s="17" t="s">
        <v>70</v>
      </c>
      <c r="T143" s="17"/>
      <c r="U143" s="17"/>
      <c r="V143" s="17">
        <v>102</v>
      </c>
      <c r="W143" s="17">
        <f t="shared" si="24"/>
        <v>102</v>
      </c>
      <c r="X143" s="17">
        <f>W143</f>
        <v>102</v>
      </c>
      <c r="Y143" s="17">
        <f>ROUNDDOWN(W143/HLOOKUP(D143,Table!$C$3:$D$4,2,0)*8,2)</f>
        <v>1.81</v>
      </c>
      <c r="Z143" s="17">
        <v>1</v>
      </c>
      <c r="AA143" s="17" t="s">
        <v>78</v>
      </c>
      <c r="AB143" s="21">
        <v>43938</v>
      </c>
      <c r="AC143" s="21">
        <v>43935</v>
      </c>
      <c r="AD143" s="21">
        <v>43938</v>
      </c>
      <c r="AE143" s="21">
        <v>43936</v>
      </c>
      <c r="AF143" s="21">
        <v>43936</v>
      </c>
      <c r="AG143" s="22" t="s">
        <v>114</v>
      </c>
      <c r="AH143" s="38">
        <v>1</v>
      </c>
      <c r="AI143" s="38">
        <v>1</v>
      </c>
      <c r="AJ143" s="38">
        <v>1</v>
      </c>
      <c r="AK143" s="22" t="s">
        <v>574</v>
      </c>
      <c r="AL143" s="17"/>
      <c r="AM143" s="17"/>
      <c r="AN143" s="17"/>
      <c r="AO143" t="s">
        <v>941</v>
      </c>
    </row>
    <row r="144" spans="2:41" hidden="1" x14ac:dyDescent="0.25">
      <c r="B144" s="81">
        <f t="shared" si="22"/>
        <v>97</v>
      </c>
      <c r="C144" s="18">
        <v>20200414</v>
      </c>
      <c r="D144" s="17" t="s">
        <v>3</v>
      </c>
      <c r="E144" s="17" t="s">
        <v>471</v>
      </c>
      <c r="F144" s="19" t="s">
        <v>477</v>
      </c>
      <c r="G144" s="19">
        <v>1416093</v>
      </c>
      <c r="H144" s="86" t="s">
        <v>65</v>
      </c>
      <c r="I144" s="17" t="s">
        <v>485</v>
      </c>
      <c r="J144" s="86" t="s">
        <v>65</v>
      </c>
      <c r="K144" s="17" t="s">
        <v>469</v>
      </c>
      <c r="L144" s="17">
        <v>80426</v>
      </c>
      <c r="M144" s="17" t="s">
        <v>475</v>
      </c>
      <c r="N144" s="17" t="s">
        <v>487</v>
      </c>
      <c r="O144" s="19" t="s">
        <v>65</v>
      </c>
      <c r="P144" s="19" t="s">
        <v>584</v>
      </c>
      <c r="Q144" s="20"/>
      <c r="R144" s="86" t="s">
        <v>65</v>
      </c>
      <c r="S144" s="17" t="s">
        <v>70</v>
      </c>
      <c r="T144" s="17"/>
      <c r="U144" s="17"/>
      <c r="V144" s="17">
        <v>66</v>
      </c>
      <c r="W144" s="17">
        <f t="shared" si="24"/>
        <v>66</v>
      </c>
      <c r="X144" s="17">
        <f>W144</f>
        <v>66</v>
      </c>
      <c r="Y144" s="17">
        <f>ROUNDDOWN(W144/HLOOKUP(D144,Table!$C$3:$D$4,2,0)*8,2)</f>
        <v>1.17</v>
      </c>
      <c r="Z144" s="17">
        <v>1</v>
      </c>
      <c r="AA144" s="17" t="s">
        <v>78</v>
      </c>
      <c r="AB144" s="21">
        <v>43938</v>
      </c>
      <c r="AC144" s="21">
        <v>43935</v>
      </c>
      <c r="AD144" s="21">
        <v>43938</v>
      </c>
      <c r="AE144" s="21">
        <v>43936</v>
      </c>
      <c r="AF144" s="21">
        <v>43936</v>
      </c>
      <c r="AG144" s="22" t="s">
        <v>114</v>
      </c>
      <c r="AH144" s="38">
        <v>1</v>
      </c>
      <c r="AI144" s="38">
        <v>1</v>
      </c>
      <c r="AJ144" s="38">
        <v>1</v>
      </c>
      <c r="AK144" s="22" t="s">
        <v>574</v>
      </c>
      <c r="AL144" s="17"/>
      <c r="AM144" s="17"/>
      <c r="AN144" s="17"/>
      <c r="AO144" t="s">
        <v>941</v>
      </c>
    </row>
    <row r="145" spans="2:41" hidden="1" x14ac:dyDescent="0.25">
      <c r="B145" s="81">
        <f t="shared" si="22"/>
        <v>98</v>
      </c>
      <c r="C145" s="18">
        <v>20200414</v>
      </c>
      <c r="D145" s="17" t="s">
        <v>3</v>
      </c>
      <c r="E145" s="17" t="s">
        <v>471</v>
      </c>
      <c r="F145" s="19" t="s">
        <v>478</v>
      </c>
      <c r="G145" s="19">
        <v>1416093</v>
      </c>
      <c r="H145" s="86" t="s">
        <v>65</v>
      </c>
      <c r="I145" s="16" t="s">
        <v>486</v>
      </c>
      <c r="J145" s="86" t="s">
        <v>65</v>
      </c>
      <c r="K145" s="17" t="s">
        <v>469</v>
      </c>
      <c r="L145" s="17">
        <v>80426</v>
      </c>
      <c r="M145" s="17" t="s">
        <v>475</v>
      </c>
      <c r="N145" s="17" t="s">
        <v>487</v>
      </c>
      <c r="O145" s="19" t="s">
        <v>65</v>
      </c>
      <c r="P145" s="19" t="s">
        <v>584</v>
      </c>
      <c r="Q145" s="20"/>
      <c r="R145" s="86" t="s">
        <v>65</v>
      </c>
      <c r="S145" s="17" t="s">
        <v>70</v>
      </c>
      <c r="T145" s="17"/>
      <c r="U145" s="17"/>
      <c r="V145" s="17">
        <v>19</v>
      </c>
      <c r="W145" s="17">
        <f t="shared" si="24"/>
        <v>19</v>
      </c>
      <c r="X145" s="17">
        <f>W145</f>
        <v>19</v>
      </c>
      <c r="Y145" s="17">
        <f>ROUNDDOWN(W145/HLOOKUP(D145,Table!$C$3:$D$4,2,0)*8,2)</f>
        <v>0.33</v>
      </c>
      <c r="Z145" s="17">
        <v>0.1</v>
      </c>
      <c r="AA145" s="17" t="s">
        <v>78</v>
      </c>
      <c r="AB145" s="21">
        <v>43938</v>
      </c>
      <c r="AC145" s="21">
        <v>43935</v>
      </c>
      <c r="AD145" s="21">
        <v>43938</v>
      </c>
      <c r="AE145" s="21">
        <v>43936</v>
      </c>
      <c r="AF145" s="21">
        <v>43936</v>
      </c>
      <c r="AG145" s="22" t="s">
        <v>114</v>
      </c>
      <c r="AH145" s="39" t="s">
        <v>65</v>
      </c>
      <c r="AI145" s="39" t="s">
        <v>65</v>
      </c>
      <c r="AJ145" s="39" t="s">
        <v>65</v>
      </c>
      <c r="AK145" s="22" t="s">
        <v>574</v>
      </c>
      <c r="AL145" s="17"/>
      <c r="AM145" s="17"/>
      <c r="AN145" s="17" t="s">
        <v>718</v>
      </c>
      <c r="AO145" t="s">
        <v>941</v>
      </c>
    </row>
    <row r="146" spans="2:41" hidden="1" x14ac:dyDescent="0.25">
      <c r="B146" s="82">
        <f t="shared" si="22"/>
        <v>99</v>
      </c>
      <c r="C146" s="18">
        <v>20200414</v>
      </c>
      <c r="D146" s="17" t="s">
        <v>3</v>
      </c>
      <c r="E146" s="17" t="s">
        <v>488</v>
      </c>
      <c r="F146" s="19" t="s">
        <v>489</v>
      </c>
      <c r="G146" s="19">
        <v>1416090</v>
      </c>
      <c r="H146" s="86" t="s">
        <v>65</v>
      </c>
      <c r="I146" s="17" t="s">
        <v>480</v>
      </c>
      <c r="J146" s="86" t="s">
        <v>65</v>
      </c>
      <c r="K146" s="17" t="s">
        <v>469</v>
      </c>
      <c r="L146" s="17">
        <v>80428</v>
      </c>
      <c r="M146" s="17" t="s">
        <v>475</v>
      </c>
      <c r="N146" s="17" t="s">
        <v>495</v>
      </c>
      <c r="O146" s="19" t="s">
        <v>65</v>
      </c>
      <c r="P146" s="19" t="s">
        <v>584</v>
      </c>
      <c r="Q146" s="20"/>
      <c r="R146" s="86" t="s">
        <v>65</v>
      </c>
      <c r="S146" s="17" t="s">
        <v>430</v>
      </c>
      <c r="T146" s="17"/>
      <c r="U146" s="17"/>
      <c r="V146" s="17">
        <v>25</v>
      </c>
      <c r="W146" s="17">
        <v>25</v>
      </c>
      <c r="X146" s="17">
        <v>25</v>
      </c>
      <c r="Y146" s="17">
        <v>0.44</v>
      </c>
      <c r="Z146" s="17">
        <v>0.25</v>
      </c>
      <c r="AA146" s="17" t="s">
        <v>78</v>
      </c>
      <c r="AB146" s="21">
        <v>43938</v>
      </c>
      <c r="AC146" s="21">
        <v>43935</v>
      </c>
      <c r="AD146" s="21">
        <v>43938</v>
      </c>
      <c r="AE146" s="21">
        <v>43938</v>
      </c>
      <c r="AF146" s="21">
        <v>43938</v>
      </c>
      <c r="AG146" s="22" t="s">
        <v>114</v>
      </c>
      <c r="AH146" s="38">
        <v>1</v>
      </c>
      <c r="AI146" s="38">
        <v>1</v>
      </c>
      <c r="AJ146" s="38">
        <v>1</v>
      </c>
      <c r="AK146" s="22" t="s">
        <v>574</v>
      </c>
      <c r="AL146" s="17"/>
      <c r="AM146" s="17"/>
      <c r="AN146" s="17"/>
      <c r="AO146" t="s">
        <v>941</v>
      </c>
    </row>
    <row r="147" spans="2:41" hidden="1" x14ac:dyDescent="0.25">
      <c r="B147" s="82">
        <f t="shared" si="22"/>
        <v>100</v>
      </c>
      <c r="C147" s="18">
        <v>20200414</v>
      </c>
      <c r="D147" s="17" t="s">
        <v>3</v>
      </c>
      <c r="E147" s="17" t="s">
        <v>488</v>
      </c>
      <c r="F147" s="19" t="s">
        <v>489</v>
      </c>
      <c r="G147" s="19">
        <v>1416090</v>
      </c>
      <c r="H147" s="86" t="s">
        <v>65</v>
      </c>
      <c r="I147" s="17" t="s">
        <v>481</v>
      </c>
      <c r="J147" s="86" t="s">
        <v>65</v>
      </c>
      <c r="K147" s="17" t="s">
        <v>469</v>
      </c>
      <c r="L147" s="17">
        <v>80428</v>
      </c>
      <c r="M147" s="17" t="s">
        <v>475</v>
      </c>
      <c r="N147" s="17" t="s">
        <v>495</v>
      </c>
      <c r="O147" s="19" t="s">
        <v>65</v>
      </c>
      <c r="P147" s="19" t="s">
        <v>584</v>
      </c>
      <c r="Q147" s="20"/>
      <c r="R147" s="86" t="s">
        <v>65</v>
      </c>
      <c r="S147" s="17" t="s">
        <v>430</v>
      </c>
      <c r="T147" s="17"/>
      <c r="U147" s="17"/>
      <c r="V147" s="17">
        <v>28</v>
      </c>
      <c r="W147" s="17">
        <v>28</v>
      </c>
      <c r="X147" s="17">
        <v>28</v>
      </c>
      <c r="Y147" s="17">
        <v>0.49</v>
      </c>
      <c r="Z147" s="17">
        <v>0.12</v>
      </c>
      <c r="AA147" s="17" t="s">
        <v>78</v>
      </c>
      <c r="AB147" s="21">
        <v>43938</v>
      </c>
      <c r="AC147" s="21">
        <v>43935</v>
      </c>
      <c r="AD147" s="21">
        <v>43938</v>
      </c>
      <c r="AE147" s="21">
        <v>43938</v>
      </c>
      <c r="AF147" s="21">
        <v>43938</v>
      </c>
      <c r="AG147" s="22" t="s">
        <v>114</v>
      </c>
      <c r="AH147" s="38">
        <v>1</v>
      </c>
      <c r="AI147" s="38">
        <v>1</v>
      </c>
      <c r="AJ147" s="38">
        <v>1</v>
      </c>
      <c r="AK147" s="22" t="s">
        <v>574</v>
      </c>
      <c r="AL147" s="17"/>
      <c r="AM147" s="17"/>
      <c r="AN147" s="17"/>
      <c r="AO147" t="s">
        <v>941</v>
      </c>
    </row>
    <row r="148" spans="2:41" hidden="1" x14ac:dyDescent="0.25">
      <c r="B148" s="82">
        <f t="shared" si="22"/>
        <v>101</v>
      </c>
      <c r="C148" s="18">
        <v>20200414</v>
      </c>
      <c r="D148" s="17" t="s">
        <v>3</v>
      </c>
      <c r="E148" s="17" t="s">
        <v>488</v>
      </c>
      <c r="F148" s="19" t="s">
        <v>489</v>
      </c>
      <c r="G148" s="19">
        <v>1416090</v>
      </c>
      <c r="H148" s="86" t="s">
        <v>65</v>
      </c>
      <c r="I148" s="17" t="s">
        <v>482</v>
      </c>
      <c r="J148" s="86" t="s">
        <v>65</v>
      </c>
      <c r="K148" s="17" t="s">
        <v>469</v>
      </c>
      <c r="L148" s="17">
        <v>80428</v>
      </c>
      <c r="M148" s="17" t="s">
        <v>475</v>
      </c>
      <c r="N148" s="17" t="s">
        <v>495</v>
      </c>
      <c r="O148" s="19" t="s">
        <v>65</v>
      </c>
      <c r="P148" s="19" t="s">
        <v>584</v>
      </c>
      <c r="Q148" s="20"/>
      <c r="R148" s="86" t="s">
        <v>65</v>
      </c>
      <c r="S148" s="17" t="s">
        <v>430</v>
      </c>
      <c r="T148" s="17"/>
      <c r="U148" s="17"/>
      <c r="V148" s="17">
        <v>46</v>
      </c>
      <c r="W148" s="17">
        <v>46</v>
      </c>
      <c r="X148" s="17">
        <v>46</v>
      </c>
      <c r="Y148" s="17">
        <v>0.81</v>
      </c>
      <c r="Z148" s="17">
        <v>0.12</v>
      </c>
      <c r="AA148" s="17" t="s">
        <v>78</v>
      </c>
      <c r="AB148" s="21">
        <v>43938</v>
      </c>
      <c r="AC148" s="21">
        <v>43935</v>
      </c>
      <c r="AD148" s="21">
        <v>43938</v>
      </c>
      <c r="AE148" s="21">
        <v>43938</v>
      </c>
      <c r="AF148" s="21">
        <v>43938</v>
      </c>
      <c r="AG148" s="22" t="s">
        <v>114</v>
      </c>
      <c r="AH148" s="38">
        <v>1</v>
      </c>
      <c r="AI148" s="38">
        <v>1</v>
      </c>
      <c r="AJ148" s="38">
        <v>1</v>
      </c>
      <c r="AK148" s="22" t="s">
        <v>574</v>
      </c>
      <c r="AL148" s="17"/>
      <c r="AM148" s="17"/>
      <c r="AN148" s="17"/>
      <c r="AO148" t="s">
        <v>941</v>
      </c>
    </row>
    <row r="149" spans="2:41" hidden="1" x14ac:dyDescent="0.25">
      <c r="B149" s="82">
        <f t="shared" si="22"/>
        <v>102</v>
      </c>
      <c r="C149" s="18">
        <v>20200414</v>
      </c>
      <c r="D149" s="17" t="s">
        <v>3</v>
      </c>
      <c r="E149" s="17" t="s">
        <v>488</v>
      </c>
      <c r="F149" s="19" t="s">
        <v>489</v>
      </c>
      <c r="G149" s="19">
        <v>1416090</v>
      </c>
      <c r="H149" s="86" t="s">
        <v>65</v>
      </c>
      <c r="I149" s="17" t="s">
        <v>483</v>
      </c>
      <c r="J149" s="86" t="s">
        <v>65</v>
      </c>
      <c r="K149" s="17" t="s">
        <v>469</v>
      </c>
      <c r="L149" s="17">
        <v>80428</v>
      </c>
      <c r="M149" s="17" t="s">
        <v>475</v>
      </c>
      <c r="N149" s="17" t="s">
        <v>495</v>
      </c>
      <c r="O149" s="19" t="s">
        <v>65</v>
      </c>
      <c r="P149" s="19" t="s">
        <v>584</v>
      </c>
      <c r="Q149" s="20"/>
      <c r="R149" s="86" t="s">
        <v>65</v>
      </c>
      <c r="S149" s="17" t="s">
        <v>430</v>
      </c>
      <c r="T149" s="17"/>
      <c r="U149" s="17"/>
      <c r="V149" s="17">
        <v>31</v>
      </c>
      <c r="W149" s="17">
        <v>31</v>
      </c>
      <c r="X149" s="17">
        <v>31</v>
      </c>
      <c r="Y149" s="17">
        <v>0.55000000000000004</v>
      </c>
      <c r="Z149" s="17">
        <v>0.25</v>
      </c>
      <c r="AA149" s="17" t="s">
        <v>78</v>
      </c>
      <c r="AB149" s="21">
        <v>43938</v>
      </c>
      <c r="AC149" s="21">
        <v>43935</v>
      </c>
      <c r="AD149" s="21">
        <v>43938</v>
      </c>
      <c r="AE149" s="21">
        <v>43938</v>
      </c>
      <c r="AF149" s="21">
        <v>43938</v>
      </c>
      <c r="AG149" s="22" t="s">
        <v>114</v>
      </c>
      <c r="AH149" s="38">
        <v>1</v>
      </c>
      <c r="AI149" s="38">
        <v>1</v>
      </c>
      <c r="AJ149" s="38">
        <v>1</v>
      </c>
      <c r="AK149" s="22" t="s">
        <v>574</v>
      </c>
      <c r="AL149" s="17"/>
      <c r="AM149" s="17"/>
      <c r="AN149" s="17"/>
      <c r="AO149" t="s">
        <v>941</v>
      </c>
    </row>
    <row r="150" spans="2:41" hidden="1" x14ac:dyDescent="0.25">
      <c r="B150" s="82">
        <f t="shared" si="22"/>
        <v>103</v>
      </c>
      <c r="C150" s="18">
        <v>20200414</v>
      </c>
      <c r="D150" s="17" t="s">
        <v>3</v>
      </c>
      <c r="E150" s="17" t="s">
        <v>488</v>
      </c>
      <c r="F150" s="19" t="s">
        <v>489</v>
      </c>
      <c r="G150" s="19">
        <v>1416090</v>
      </c>
      <c r="H150" s="86" t="s">
        <v>65</v>
      </c>
      <c r="I150" s="17" t="s">
        <v>484</v>
      </c>
      <c r="J150" s="86" t="s">
        <v>65</v>
      </c>
      <c r="K150" s="17" t="s">
        <v>469</v>
      </c>
      <c r="L150" s="17">
        <v>80428</v>
      </c>
      <c r="M150" s="17" t="s">
        <v>475</v>
      </c>
      <c r="N150" s="17" t="s">
        <v>495</v>
      </c>
      <c r="O150" s="19" t="s">
        <v>65</v>
      </c>
      <c r="P150" s="19" t="s">
        <v>584</v>
      </c>
      <c r="Q150" s="20"/>
      <c r="R150" s="86" t="s">
        <v>65</v>
      </c>
      <c r="S150" s="17" t="s">
        <v>70</v>
      </c>
      <c r="T150" s="17"/>
      <c r="U150" s="17"/>
      <c r="V150" s="17">
        <v>102</v>
      </c>
      <c r="W150" s="17">
        <f t="shared" si="24"/>
        <v>102</v>
      </c>
      <c r="X150" s="17">
        <v>102</v>
      </c>
      <c r="Y150" s="17">
        <f>ROUNDDOWN(W150/HLOOKUP(D150,Table!$C$3:$D$4,2,0)*8,2)</f>
        <v>1.81</v>
      </c>
      <c r="Z150" s="17">
        <v>1</v>
      </c>
      <c r="AA150" s="17" t="s">
        <v>78</v>
      </c>
      <c r="AB150" s="21">
        <v>43938</v>
      </c>
      <c r="AC150" s="21">
        <v>43935</v>
      </c>
      <c r="AD150" s="21">
        <v>43938</v>
      </c>
      <c r="AE150" s="21">
        <v>43936</v>
      </c>
      <c r="AF150" s="21">
        <v>43936</v>
      </c>
      <c r="AG150" s="22" t="s">
        <v>114</v>
      </c>
      <c r="AH150" s="38">
        <v>1</v>
      </c>
      <c r="AI150" s="38">
        <v>1</v>
      </c>
      <c r="AJ150" s="38">
        <v>1</v>
      </c>
      <c r="AK150" s="22" t="s">
        <v>574</v>
      </c>
      <c r="AL150" s="17"/>
      <c r="AM150" s="17"/>
      <c r="AN150" s="17"/>
      <c r="AO150" t="s">
        <v>941</v>
      </c>
    </row>
    <row r="151" spans="2:41" hidden="1" x14ac:dyDescent="0.25">
      <c r="B151" s="82">
        <f t="shared" si="22"/>
        <v>104</v>
      </c>
      <c r="C151" s="18">
        <v>20200414</v>
      </c>
      <c r="D151" s="17" t="s">
        <v>3</v>
      </c>
      <c r="E151" s="17" t="s">
        <v>488</v>
      </c>
      <c r="F151" s="19" t="s">
        <v>489</v>
      </c>
      <c r="G151" s="19">
        <v>1416090</v>
      </c>
      <c r="H151" s="86" t="s">
        <v>65</v>
      </c>
      <c r="I151" s="17" t="s">
        <v>485</v>
      </c>
      <c r="J151" s="86" t="s">
        <v>65</v>
      </c>
      <c r="K151" s="17" t="s">
        <v>469</v>
      </c>
      <c r="L151" s="17">
        <v>80428</v>
      </c>
      <c r="M151" s="17" t="s">
        <v>475</v>
      </c>
      <c r="N151" s="17" t="s">
        <v>495</v>
      </c>
      <c r="O151" s="19" t="s">
        <v>65</v>
      </c>
      <c r="P151" s="19" t="s">
        <v>584</v>
      </c>
      <c r="Q151" s="20"/>
      <c r="R151" s="86" t="s">
        <v>65</v>
      </c>
      <c r="S151" s="17" t="s">
        <v>70</v>
      </c>
      <c r="T151" s="17"/>
      <c r="U151" s="17"/>
      <c r="V151" s="17">
        <v>66</v>
      </c>
      <c r="W151" s="17">
        <f t="shared" si="24"/>
        <v>66</v>
      </c>
      <c r="X151" s="17">
        <v>66</v>
      </c>
      <c r="Y151" s="17">
        <f>ROUNDDOWN(W151/HLOOKUP(D151,Table!$C$3:$D$4,2,0)*8,2)</f>
        <v>1.17</v>
      </c>
      <c r="Z151" s="17">
        <v>1</v>
      </c>
      <c r="AA151" s="17" t="s">
        <v>78</v>
      </c>
      <c r="AB151" s="21">
        <v>43938</v>
      </c>
      <c r="AC151" s="21">
        <v>43935</v>
      </c>
      <c r="AD151" s="21">
        <v>43938</v>
      </c>
      <c r="AE151" s="21">
        <v>43936</v>
      </c>
      <c r="AF151" s="21">
        <v>43936</v>
      </c>
      <c r="AG151" s="22" t="s">
        <v>114</v>
      </c>
      <c r="AH151" s="38">
        <v>1</v>
      </c>
      <c r="AI151" s="38">
        <v>1</v>
      </c>
      <c r="AJ151" s="38">
        <v>1</v>
      </c>
      <c r="AK151" s="22" t="s">
        <v>574</v>
      </c>
      <c r="AL151" s="17"/>
      <c r="AM151" s="17"/>
      <c r="AN151" s="17"/>
      <c r="AO151" t="s">
        <v>941</v>
      </c>
    </row>
    <row r="152" spans="2:41" hidden="1" x14ac:dyDescent="0.25">
      <c r="B152" s="82">
        <f t="shared" si="22"/>
        <v>105</v>
      </c>
      <c r="C152" s="18">
        <v>20200414</v>
      </c>
      <c r="D152" s="17" t="s">
        <v>3</v>
      </c>
      <c r="E152" s="17" t="s">
        <v>488</v>
      </c>
      <c r="F152" s="19" t="s">
        <v>490</v>
      </c>
      <c r="G152" s="19">
        <v>1416090</v>
      </c>
      <c r="H152" s="86" t="s">
        <v>65</v>
      </c>
      <c r="I152" s="17" t="s">
        <v>486</v>
      </c>
      <c r="J152" s="86" t="s">
        <v>65</v>
      </c>
      <c r="K152" s="17" t="s">
        <v>469</v>
      </c>
      <c r="L152" s="17">
        <v>80428</v>
      </c>
      <c r="M152" s="17" t="s">
        <v>475</v>
      </c>
      <c r="N152" s="17" t="s">
        <v>495</v>
      </c>
      <c r="O152" s="19" t="s">
        <v>65</v>
      </c>
      <c r="P152" s="19" t="s">
        <v>584</v>
      </c>
      <c r="Q152" s="20"/>
      <c r="R152" s="86" t="s">
        <v>65</v>
      </c>
      <c r="S152" s="17" t="s">
        <v>70</v>
      </c>
      <c r="T152" s="17"/>
      <c r="U152" s="17"/>
      <c r="V152" s="17">
        <v>19</v>
      </c>
      <c r="W152" s="17">
        <f t="shared" si="24"/>
        <v>19</v>
      </c>
      <c r="X152" s="17">
        <v>19</v>
      </c>
      <c r="Y152" s="17">
        <f>ROUNDDOWN(W152/HLOOKUP(D152,Table!$C$3:$D$4,2,0)*8,2)</f>
        <v>0.33</v>
      </c>
      <c r="Z152" s="17">
        <v>0.1</v>
      </c>
      <c r="AA152" s="17" t="s">
        <v>78</v>
      </c>
      <c r="AB152" s="21">
        <v>43938</v>
      </c>
      <c r="AC152" s="21">
        <v>43935</v>
      </c>
      <c r="AD152" s="21">
        <v>43938</v>
      </c>
      <c r="AE152" s="21">
        <v>43936</v>
      </c>
      <c r="AF152" s="21">
        <v>43936</v>
      </c>
      <c r="AG152" s="22" t="s">
        <v>114</v>
      </c>
      <c r="AH152" s="38" t="s">
        <v>65</v>
      </c>
      <c r="AI152" s="38" t="s">
        <v>65</v>
      </c>
      <c r="AJ152" s="38" t="s">
        <v>65</v>
      </c>
      <c r="AK152" s="22" t="s">
        <v>574</v>
      </c>
      <c r="AL152" s="17"/>
      <c r="AM152" s="17"/>
      <c r="AN152" s="17" t="s">
        <v>718</v>
      </c>
      <c r="AO152" t="s">
        <v>941</v>
      </c>
    </row>
    <row r="153" spans="2:41" hidden="1" x14ac:dyDescent="0.25">
      <c r="B153" s="82">
        <f t="shared" si="22"/>
        <v>106</v>
      </c>
      <c r="C153" s="18">
        <v>20200414</v>
      </c>
      <c r="D153" s="17" t="s">
        <v>3</v>
      </c>
      <c r="E153" s="17" t="s">
        <v>488</v>
      </c>
      <c r="F153" s="19" t="s">
        <v>491</v>
      </c>
      <c r="G153" s="19">
        <v>1417373</v>
      </c>
      <c r="H153" s="86" t="s">
        <v>65</v>
      </c>
      <c r="I153" s="17" t="s">
        <v>479</v>
      </c>
      <c r="J153" s="86" t="s">
        <v>65</v>
      </c>
      <c r="K153" s="17" t="s">
        <v>469</v>
      </c>
      <c r="L153" s="17">
        <v>80428</v>
      </c>
      <c r="M153" s="17" t="s">
        <v>475</v>
      </c>
      <c r="N153" s="17" t="s">
        <v>495</v>
      </c>
      <c r="O153" s="19" t="s">
        <v>65</v>
      </c>
      <c r="P153" s="19" t="s">
        <v>586</v>
      </c>
      <c r="Q153" s="20"/>
      <c r="R153" s="86" t="s">
        <v>65</v>
      </c>
      <c r="S153" s="17" t="s">
        <v>69</v>
      </c>
      <c r="T153" s="17"/>
      <c r="U153" s="17"/>
      <c r="V153" s="17">
        <v>322</v>
      </c>
      <c r="W153" s="17">
        <f t="shared" si="24"/>
        <v>322</v>
      </c>
      <c r="X153" s="17">
        <f t="shared" si="24"/>
        <v>322</v>
      </c>
      <c r="Y153" s="17">
        <f>ROUNDDOWN(W153/HLOOKUP(D153,Table!$C$3:$D$4,2,0)*8,2)</f>
        <v>5.72</v>
      </c>
      <c r="Z153" s="17">
        <v>2</v>
      </c>
      <c r="AA153" s="17" t="s">
        <v>78</v>
      </c>
      <c r="AB153" s="21">
        <v>43938</v>
      </c>
      <c r="AC153" s="21">
        <v>43935</v>
      </c>
      <c r="AD153" s="21">
        <v>43938</v>
      </c>
      <c r="AE153" s="21">
        <v>43935</v>
      </c>
      <c r="AF153" s="21">
        <v>43935</v>
      </c>
      <c r="AG153" s="22" t="s">
        <v>114</v>
      </c>
      <c r="AH153" s="38">
        <v>1</v>
      </c>
      <c r="AI153" s="38">
        <v>1</v>
      </c>
      <c r="AJ153" s="38">
        <v>1</v>
      </c>
      <c r="AK153" s="22" t="s">
        <v>574</v>
      </c>
      <c r="AL153" s="17"/>
      <c r="AM153" s="17"/>
      <c r="AN153" s="17"/>
      <c r="AO153" t="s">
        <v>941</v>
      </c>
    </row>
    <row r="154" spans="2:41" hidden="1" x14ac:dyDescent="0.25">
      <c r="B154" s="82">
        <f t="shared" si="22"/>
        <v>107</v>
      </c>
      <c r="C154" s="18">
        <v>20200414</v>
      </c>
      <c r="D154" s="17" t="s">
        <v>3</v>
      </c>
      <c r="E154" s="17" t="s">
        <v>488</v>
      </c>
      <c r="F154" s="19" t="s">
        <v>571</v>
      </c>
      <c r="G154" s="19">
        <v>1417373</v>
      </c>
      <c r="H154" s="86" t="s">
        <v>65</v>
      </c>
      <c r="I154" s="17" t="s">
        <v>492</v>
      </c>
      <c r="J154" s="86" t="s">
        <v>65</v>
      </c>
      <c r="K154" s="17" t="s">
        <v>469</v>
      </c>
      <c r="L154" s="17">
        <v>80428</v>
      </c>
      <c r="M154" s="17" t="s">
        <v>475</v>
      </c>
      <c r="N154" s="17" t="s">
        <v>495</v>
      </c>
      <c r="O154" s="19" t="s">
        <v>65</v>
      </c>
      <c r="P154" s="19" t="s">
        <v>586</v>
      </c>
      <c r="Q154" s="20"/>
      <c r="R154" s="86" t="s">
        <v>65</v>
      </c>
      <c r="S154" s="17" t="s">
        <v>69</v>
      </c>
      <c r="T154" s="17"/>
      <c r="U154" s="17"/>
      <c r="V154" s="17">
        <v>268</v>
      </c>
      <c r="W154" s="17">
        <f t="shared" si="24"/>
        <v>268</v>
      </c>
      <c r="X154" s="17">
        <f t="shared" si="24"/>
        <v>268</v>
      </c>
      <c r="Y154" s="17">
        <f>ROUNDDOWN(W154/HLOOKUP(D154,Table!$C$3:$D$4,2,0)*8,2)</f>
        <v>4.76</v>
      </c>
      <c r="Z154" s="17">
        <v>2</v>
      </c>
      <c r="AA154" s="17" t="s">
        <v>78</v>
      </c>
      <c r="AB154" s="21">
        <v>43938</v>
      </c>
      <c r="AC154" s="21">
        <v>43935</v>
      </c>
      <c r="AD154" s="21">
        <v>43938</v>
      </c>
      <c r="AE154" s="21">
        <v>43936</v>
      </c>
      <c r="AF154" s="21">
        <v>43936</v>
      </c>
      <c r="AG154" s="22" t="s">
        <v>114</v>
      </c>
      <c r="AH154" s="38">
        <v>1</v>
      </c>
      <c r="AI154" s="38">
        <v>1</v>
      </c>
      <c r="AJ154" s="38">
        <v>1</v>
      </c>
      <c r="AK154" s="22" t="s">
        <v>574</v>
      </c>
      <c r="AL154" s="17"/>
      <c r="AM154" s="17"/>
      <c r="AN154" s="17"/>
      <c r="AO154" t="s">
        <v>941</v>
      </c>
    </row>
    <row r="155" spans="2:41" hidden="1" x14ac:dyDescent="0.25">
      <c r="B155" s="82">
        <f t="shared" si="22"/>
        <v>108</v>
      </c>
      <c r="C155" s="18">
        <v>20200414</v>
      </c>
      <c r="D155" s="17" t="s">
        <v>3</v>
      </c>
      <c r="E155" s="17" t="s">
        <v>488</v>
      </c>
      <c r="F155" s="19" t="s">
        <v>571</v>
      </c>
      <c r="G155" s="19">
        <v>1417373</v>
      </c>
      <c r="H155" s="86" t="s">
        <v>65</v>
      </c>
      <c r="I155" s="17" t="s">
        <v>493</v>
      </c>
      <c r="J155" s="86" t="s">
        <v>65</v>
      </c>
      <c r="K155" s="17" t="s">
        <v>469</v>
      </c>
      <c r="L155" s="17">
        <v>80428</v>
      </c>
      <c r="M155" s="17" t="s">
        <v>475</v>
      </c>
      <c r="N155" s="17" t="s">
        <v>495</v>
      </c>
      <c r="O155" s="19" t="s">
        <v>65</v>
      </c>
      <c r="P155" s="19" t="s">
        <v>586</v>
      </c>
      <c r="Q155" s="20"/>
      <c r="R155" s="86" t="s">
        <v>65</v>
      </c>
      <c r="S155" s="17" t="s">
        <v>69</v>
      </c>
      <c r="T155" s="17"/>
      <c r="U155" s="17"/>
      <c r="V155" s="17">
        <v>275</v>
      </c>
      <c r="W155" s="17">
        <f t="shared" si="24"/>
        <v>275</v>
      </c>
      <c r="X155" s="17">
        <f t="shared" si="24"/>
        <v>275</v>
      </c>
      <c r="Y155" s="17">
        <f>ROUNDDOWN(W155/HLOOKUP(D155,Table!$C$3:$D$4,2,0)*8,2)</f>
        <v>4.88</v>
      </c>
      <c r="Z155" s="17">
        <v>2</v>
      </c>
      <c r="AA155" s="17" t="s">
        <v>78</v>
      </c>
      <c r="AB155" s="21">
        <v>43938</v>
      </c>
      <c r="AC155" s="21">
        <v>43935</v>
      </c>
      <c r="AD155" s="21">
        <v>43938</v>
      </c>
      <c r="AE155" s="21">
        <v>43936</v>
      </c>
      <c r="AF155" s="21">
        <v>43936</v>
      </c>
      <c r="AG155" s="22" t="s">
        <v>114</v>
      </c>
      <c r="AH155" s="38">
        <v>1</v>
      </c>
      <c r="AI155" s="38">
        <v>1</v>
      </c>
      <c r="AJ155" s="38">
        <v>1</v>
      </c>
      <c r="AK155" s="22" t="s">
        <v>574</v>
      </c>
      <c r="AL155" s="17"/>
      <c r="AM155" s="17"/>
      <c r="AN155" s="17"/>
      <c r="AO155" t="s">
        <v>941</v>
      </c>
    </row>
    <row r="156" spans="2:41" hidden="1" x14ac:dyDescent="0.25">
      <c r="B156" s="82">
        <f t="shared" si="22"/>
        <v>109</v>
      </c>
      <c r="C156" s="18">
        <v>20200414</v>
      </c>
      <c r="D156" s="17" t="s">
        <v>3</v>
      </c>
      <c r="E156" s="17" t="s">
        <v>488</v>
      </c>
      <c r="F156" s="19" t="s">
        <v>571</v>
      </c>
      <c r="G156" s="19">
        <v>1417373</v>
      </c>
      <c r="H156" s="86" t="s">
        <v>65</v>
      </c>
      <c r="I156" s="17" t="s">
        <v>494</v>
      </c>
      <c r="J156" s="86" t="s">
        <v>65</v>
      </c>
      <c r="K156" s="17" t="s">
        <v>469</v>
      </c>
      <c r="L156" s="17">
        <v>80428</v>
      </c>
      <c r="M156" s="17" t="s">
        <v>475</v>
      </c>
      <c r="N156" s="17" t="s">
        <v>495</v>
      </c>
      <c r="O156" s="19" t="s">
        <v>65</v>
      </c>
      <c r="P156" s="19" t="s">
        <v>586</v>
      </c>
      <c r="Q156" s="20"/>
      <c r="R156" s="86" t="s">
        <v>65</v>
      </c>
      <c r="S156" s="17" t="s">
        <v>69</v>
      </c>
      <c r="T156" s="17"/>
      <c r="U156" s="17"/>
      <c r="V156" s="17">
        <v>267</v>
      </c>
      <c r="W156" s="17">
        <f t="shared" si="24"/>
        <v>267</v>
      </c>
      <c r="X156" s="17">
        <f t="shared" si="24"/>
        <v>267</v>
      </c>
      <c r="Y156" s="17">
        <f>ROUNDDOWN(W156/HLOOKUP(D156,Table!$C$3:$D$4,2,0)*8,2)</f>
        <v>4.74</v>
      </c>
      <c r="Z156" s="17">
        <v>2.5</v>
      </c>
      <c r="AA156" s="17" t="s">
        <v>78</v>
      </c>
      <c r="AB156" s="21">
        <v>43938</v>
      </c>
      <c r="AC156" s="21">
        <v>43935</v>
      </c>
      <c r="AD156" s="21">
        <v>43938</v>
      </c>
      <c r="AE156" s="21">
        <v>43936</v>
      </c>
      <c r="AF156" s="21">
        <v>43936</v>
      </c>
      <c r="AG156" s="22" t="s">
        <v>114</v>
      </c>
      <c r="AH156" s="38">
        <v>1</v>
      </c>
      <c r="AI156" s="38">
        <v>1</v>
      </c>
      <c r="AJ156" s="38">
        <v>1</v>
      </c>
      <c r="AK156" s="22" t="s">
        <v>574</v>
      </c>
      <c r="AL156" s="17"/>
      <c r="AM156" s="17"/>
      <c r="AN156" s="17"/>
      <c r="AO156" t="s">
        <v>941</v>
      </c>
    </row>
    <row r="157" spans="2:41" hidden="1" x14ac:dyDescent="0.25">
      <c r="B157" s="83">
        <f t="shared" si="22"/>
        <v>110</v>
      </c>
      <c r="C157" s="18">
        <v>20200414</v>
      </c>
      <c r="D157" s="17" t="s">
        <v>3</v>
      </c>
      <c r="E157" s="17" t="s">
        <v>496</v>
      </c>
      <c r="F157" s="19" t="s">
        <v>497</v>
      </c>
      <c r="G157" s="19">
        <v>1417493</v>
      </c>
      <c r="H157" s="86" t="s">
        <v>65</v>
      </c>
      <c r="I157" s="17" t="s">
        <v>498</v>
      </c>
      <c r="J157" s="86" t="s">
        <v>65</v>
      </c>
      <c r="K157" s="17" t="s">
        <v>469</v>
      </c>
      <c r="L157" s="19" t="s">
        <v>574</v>
      </c>
      <c r="M157" s="17" t="s">
        <v>512</v>
      </c>
      <c r="N157" s="17" t="s">
        <v>511</v>
      </c>
      <c r="O157" s="19" t="s">
        <v>65</v>
      </c>
      <c r="P157" s="19" t="s">
        <v>588</v>
      </c>
      <c r="Q157" s="20"/>
      <c r="R157" s="86" t="s">
        <v>65</v>
      </c>
      <c r="S157" s="17" t="s">
        <v>70</v>
      </c>
      <c r="T157" s="17"/>
      <c r="U157" s="17"/>
      <c r="V157" s="17">
        <v>200</v>
      </c>
      <c r="W157" s="17">
        <f t="shared" si="24"/>
        <v>200</v>
      </c>
      <c r="X157" s="17">
        <f t="shared" si="24"/>
        <v>200</v>
      </c>
      <c r="Y157" s="17">
        <f>ROUNDDOWN(W157/HLOOKUP(D157,Table!$C$3:$D$4,2,0)*8,2)</f>
        <v>3.55</v>
      </c>
      <c r="Z157" s="17">
        <v>1</v>
      </c>
      <c r="AA157" s="17" t="s">
        <v>78</v>
      </c>
      <c r="AB157" s="21">
        <v>43938</v>
      </c>
      <c r="AC157" s="21">
        <v>43935</v>
      </c>
      <c r="AD157" s="21">
        <v>43938</v>
      </c>
      <c r="AE157" s="21">
        <v>43936</v>
      </c>
      <c r="AF157" s="21">
        <v>43936</v>
      </c>
      <c r="AG157" s="22" t="s">
        <v>114</v>
      </c>
      <c r="AH157" s="38">
        <v>1</v>
      </c>
      <c r="AI157" s="38">
        <v>1</v>
      </c>
      <c r="AJ157" s="38">
        <v>1</v>
      </c>
      <c r="AK157" s="22" t="s">
        <v>574</v>
      </c>
      <c r="AL157" s="17"/>
      <c r="AM157" s="17"/>
      <c r="AN157" s="17"/>
      <c r="AO157" t="s">
        <v>941</v>
      </c>
    </row>
    <row r="158" spans="2:41" hidden="1" x14ac:dyDescent="0.25">
      <c r="B158" s="83">
        <f t="shared" si="22"/>
        <v>111</v>
      </c>
      <c r="C158" s="18">
        <v>20200414</v>
      </c>
      <c r="D158" s="17" t="s">
        <v>3</v>
      </c>
      <c r="E158" s="17" t="s">
        <v>496</v>
      </c>
      <c r="F158" s="19" t="s">
        <v>497</v>
      </c>
      <c r="G158" s="19">
        <v>1417493</v>
      </c>
      <c r="H158" s="86" t="s">
        <v>65</v>
      </c>
      <c r="I158" s="17" t="s">
        <v>499</v>
      </c>
      <c r="J158" s="86" t="s">
        <v>65</v>
      </c>
      <c r="K158" s="17" t="s">
        <v>469</v>
      </c>
      <c r="L158" s="19" t="s">
        <v>574</v>
      </c>
      <c r="M158" s="17" t="s">
        <v>512</v>
      </c>
      <c r="N158" s="17" t="s">
        <v>511</v>
      </c>
      <c r="O158" s="19" t="s">
        <v>65</v>
      </c>
      <c r="P158" s="19" t="s">
        <v>588</v>
      </c>
      <c r="Q158" s="20"/>
      <c r="R158" s="86" t="s">
        <v>65</v>
      </c>
      <c r="S158" s="17" t="s">
        <v>70</v>
      </c>
      <c r="T158" s="17"/>
      <c r="U158" s="17"/>
      <c r="V158" s="17">
        <v>137</v>
      </c>
      <c r="W158" s="17">
        <f t="shared" si="24"/>
        <v>137</v>
      </c>
      <c r="X158" s="17">
        <f t="shared" si="24"/>
        <v>137</v>
      </c>
      <c r="Y158" s="17">
        <f>ROUNDDOWN(W158/HLOOKUP(D158,Table!$C$3:$D$4,2,0)*8,2)</f>
        <v>2.4300000000000002</v>
      </c>
      <c r="Z158" s="17">
        <v>1</v>
      </c>
      <c r="AA158" s="17" t="s">
        <v>78</v>
      </c>
      <c r="AB158" s="21">
        <v>43938</v>
      </c>
      <c r="AC158" s="21">
        <v>43935</v>
      </c>
      <c r="AD158" s="21">
        <v>43938</v>
      </c>
      <c r="AE158" s="21">
        <v>43936</v>
      </c>
      <c r="AF158" s="21">
        <v>43936</v>
      </c>
      <c r="AG158" s="22" t="s">
        <v>114</v>
      </c>
      <c r="AH158" s="38">
        <v>1</v>
      </c>
      <c r="AI158" s="38">
        <v>1</v>
      </c>
      <c r="AJ158" s="38">
        <v>1</v>
      </c>
      <c r="AK158" s="22" t="s">
        <v>574</v>
      </c>
      <c r="AL158" s="17"/>
      <c r="AM158" s="17"/>
      <c r="AN158" s="17"/>
      <c r="AO158" t="s">
        <v>941</v>
      </c>
    </row>
    <row r="159" spans="2:41" hidden="1" x14ac:dyDescent="0.25">
      <c r="B159" s="83">
        <f t="shared" si="22"/>
        <v>112</v>
      </c>
      <c r="C159" s="18">
        <v>20200414</v>
      </c>
      <c r="D159" s="17" t="s">
        <v>3</v>
      </c>
      <c r="E159" s="17" t="s">
        <v>496</v>
      </c>
      <c r="F159" s="19" t="s">
        <v>497</v>
      </c>
      <c r="G159" s="19">
        <v>1417493</v>
      </c>
      <c r="H159" s="86" t="s">
        <v>65</v>
      </c>
      <c r="I159" s="17" t="s">
        <v>500</v>
      </c>
      <c r="J159" s="86" t="s">
        <v>65</v>
      </c>
      <c r="K159" s="17" t="s">
        <v>469</v>
      </c>
      <c r="L159" s="19" t="s">
        <v>574</v>
      </c>
      <c r="M159" s="17" t="s">
        <v>512</v>
      </c>
      <c r="N159" s="17" t="s">
        <v>511</v>
      </c>
      <c r="O159" s="19" t="s">
        <v>65</v>
      </c>
      <c r="P159" s="19" t="s">
        <v>588</v>
      </c>
      <c r="Q159" s="20"/>
      <c r="R159" s="86" t="s">
        <v>65</v>
      </c>
      <c r="S159" s="17" t="s">
        <v>6</v>
      </c>
      <c r="T159" s="17"/>
      <c r="U159" s="17"/>
      <c r="V159" s="17">
        <v>343</v>
      </c>
      <c r="W159" s="17">
        <f t="shared" si="24"/>
        <v>343</v>
      </c>
      <c r="X159" s="17">
        <f t="shared" si="24"/>
        <v>343</v>
      </c>
      <c r="Y159" s="17">
        <f>ROUNDDOWN(W159/HLOOKUP(D159,Table!$C$3:$D$4,2,0)*8,2)</f>
        <v>6.09</v>
      </c>
      <c r="Z159" s="17">
        <v>6</v>
      </c>
      <c r="AA159" s="17" t="s">
        <v>78</v>
      </c>
      <c r="AB159" s="21">
        <v>43938</v>
      </c>
      <c r="AC159" s="21">
        <v>43935</v>
      </c>
      <c r="AD159" s="21">
        <v>43938</v>
      </c>
      <c r="AE159" s="21">
        <v>43938</v>
      </c>
      <c r="AF159" s="21">
        <v>43938</v>
      </c>
      <c r="AG159" s="22" t="s">
        <v>115</v>
      </c>
      <c r="AH159" s="38">
        <v>0.97</v>
      </c>
      <c r="AI159" s="38">
        <v>0.97</v>
      </c>
      <c r="AJ159" s="38">
        <v>0.81</v>
      </c>
      <c r="AK159" s="22" t="s">
        <v>354</v>
      </c>
      <c r="AL159" s="17" t="s">
        <v>723</v>
      </c>
      <c r="AM159" s="17"/>
      <c r="AN159" s="17"/>
      <c r="AO159" t="s">
        <v>941</v>
      </c>
    </row>
    <row r="160" spans="2:41" hidden="1" x14ac:dyDescent="0.25">
      <c r="B160" s="83">
        <f t="shared" si="22"/>
        <v>113</v>
      </c>
      <c r="C160" s="18">
        <v>20200414</v>
      </c>
      <c r="D160" s="17" t="s">
        <v>3</v>
      </c>
      <c r="E160" s="17" t="s">
        <v>496</v>
      </c>
      <c r="F160" s="19" t="s">
        <v>497</v>
      </c>
      <c r="G160" s="19">
        <v>1417493</v>
      </c>
      <c r="H160" s="86" t="s">
        <v>65</v>
      </c>
      <c r="I160" s="17" t="s">
        <v>501</v>
      </c>
      <c r="J160" s="86" t="s">
        <v>65</v>
      </c>
      <c r="K160" s="17" t="s">
        <v>469</v>
      </c>
      <c r="L160" s="19" t="s">
        <v>574</v>
      </c>
      <c r="M160" s="17" t="s">
        <v>512</v>
      </c>
      <c r="N160" s="17" t="s">
        <v>511</v>
      </c>
      <c r="O160" s="19" t="s">
        <v>65</v>
      </c>
      <c r="P160" s="19" t="s">
        <v>588</v>
      </c>
      <c r="Q160" s="20"/>
      <c r="R160" s="86" t="s">
        <v>65</v>
      </c>
      <c r="S160" s="17" t="s">
        <v>70</v>
      </c>
      <c r="T160" s="17"/>
      <c r="U160" s="17"/>
      <c r="V160" s="17">
        <v>36</v>
      </c>
      <c r="W160" s="17">
        <f t="shared" si="24"/>
        <v>36</v>
      </c>
      <c r="X160" s="17">
        <f t="shared" si="24"/>
        <v>36</v>
      </c>
      <c r="Y160" s="17">
        <f>ROUNDDOWN(W160/HLOOKUP(D160,Table!$C$3:$D$4,2,0)*8,2)</f>
        <v>0.64</v>
      </c>
      <c r="Z160" s="17">
        <v>0.1</v>
      </c>
      <c r="AA160" s="17" t="s">
        <v>78</v>
      </c>
      <c r="AB160" s="21">
        <v>43938</v>
      </c>
      <c r="AC160" s="21">
        <v>43935</v>
      </c>
      <c r="AD160" s="21">
        <v>43938</v>
      </c>
      <c r="AE160" s="21">
        <v>43936</v>
      </c>
      <c r="AF160" s="21">
        <v>43936</v>
      </c>
      <c r="AG160" s="22" t="s">
        <v>114</v>
      </c>
      <c r="AH160" s="38">
        <v>1</v>
      </c>
      <c r="AI160" s="38">
        <v>1</v>
      </c>
      <c r="AJ160" s="38">
        <v>1</v>
      </c>
      <c r="AK160" s="22" t="s">
        <v>574</v>
      </c>
      <c r="AL160" s="17"/>
      <c r="AM160" s="17"/>
      <c r="AN160" s="17"/>
      <c r="AO160" t="s">
        <v>941</v>
      </c>
    </row>
    <row r="161" spans="2:41" hidden="1" x14ac:dyDescent="0.25">
      <c r="B161" s="83">
        <f t="shared" si="22"/>
        <v>114</v>
      </c>
      <c r="C161" s="18">
        <v>20200414</v>
      </c>
      <c r="D161" s="17" t="s">
        <v>3</v>
      </c>
      <c r="E161" s="17" t="s">
        <v>496</v>
      </c>
      <c r="F161" s="19" t="s">
        <v>497</v>
      </c>
      <c r="G161" s="19">
        <v>1417493</v>
      </c>
      <c r="H161" s="86" t="s">
        <v>65</v>
      </c>
      <c r="I161" s="17" t="s">
        <v>502</v>
      </c>
      <c r="J161" s="86" t="s">
        <v>65</v>
      </c>
      <c r="K161" s="17" t="s">
        <v>469</v>
      </c>
      <c r="L161" s="19" t="s">
        <v>574</v>
      </c>
      <c r="M161" s="17" t="s">
        <v>512</v>
      </c>
      <c r="N161" s="17" t="s">
        <v>511</v>
      </c>
      <c r="O161" s="19" t="s">
        <v>65</v>
      </c>
      <c r="P161" s="19" t="s">
        <v>588</v>
      </c>
      <c r="Q161" s="20"/>
      <c r="R161" s="86" t="s">
        <v>65</v>
      </c>
      <c r="S161" s="17" t="s">
        <v>70</v>
      </c>
      <c r="T161" s="17"/>
      <c r="U161" s="17"/>
      <c r="V161" s="17">
        <v>225</v>
      </c>
      <c r="W161" s="17">
        <f t="shared" si="24"/>
        <v>225</v>
      </c>
      <c r="X161" s="17">
        <f t="shared" si="24"/>
        <v>225</v>
      </c>
      <c r="Y161" s="17">
        <f>ROUNDDOWN(W161/HLOOKUP(D161,Table!$C$3:$D$4,2,0)*8,2)</f>
        <v>4</v>
      </c>
      <c r="Z161" s="17">
        <v>6</v>
      </c>
      <c r="AA161" s="17" t="s">
        <v>78</v>
      </c>
      <c r="AB161" s="21">
        <v>43938</v>
      </c>
      <c r="AC161" s="21">
        <v>43935</v>
      </c>
      <c r="AD161" s="21">
        <v>43938</v>
      </c>
      <c r="AE161" s="21">
        <v>43936</v>
      </c>
      <c r="AF161" s="21">
        <v>43936</v>
      </c>
      <c r="AG161" s="22" t="s">
        <v>115</v>
      </c>
      <c r="AH161" s="38">
        <v>0.98</v>
      </c>
      <c r="AI161" s="38">
        <v>0.92</v>
      </c>
      <c r="AJ161" s="38">
        <v>0.33</v>
      </c>
      <c r="AK161" s="22" t="s">
        <v>354</v>
      </c>
      <c r="AL161" s="17"/>
      <c r="AM161" s="17"/>
      <c r="AN161" s="17"/>
      <c r="AO161" t="s">
        <v>941</v>
      </c>
    </row>
    <row r="162" spans="2:41" hidden="1" x14ac:dyDescent="0.25">
      <c r="B162" s="83">
        <f t="shared" si="22"/>
        <v>115</v>
      </c>
      <c r="C162" s="18">
        <v>20200414</v>
      </c>
      <c r="D162" s="17" t="s">
        <v>3</v>
      </c>
      <c r="E162" s="17" t="s">
        <v>496</v>
      </c>
      <c r="F162" s="19" t="s">
        <v>497</v>
      </c>
      <c r="G162" s="19">
        <v>1417493</v>
      </c>
      <c r="H162" s="86" t="s">
        <v>65</v>
      </c>
      <c r="I162" s="17" t="s">
        <v>503</v>
      </c>
      <c r="J162" s="86" t="s">
        <v>65</v>
      </c>
      <c r="K162" s="17" t="s">
        <v>469</v>
      </c>
      <c r="L162" s="19" t="s">
        <v>574</v>
      </c>
      <c r="M162" s="17" t="s">
        <v>512</v>
      </c>
      <c r="N162" s="17" t="s">
        <v>511</v>
      </c>
      <c r="O162" s="19" t="s">
        <v>65</v>
      </c>
      <c r="P162" s="19" t="s">
        <v>588</v>
      </c>
      <c r="Q162" s="20"/>
      <c r="R162" s="86" t="s">
        <v>65</v>
      </c>
      <c r="S162" s="17" t="s">
        <v>69</v>
      </c>
      <c r="T162" s="17"/>
      <c r="U162" s="17"/>
      <c r="V162" s="17">
        <v>194</v>
      </c>
      <c r="W162" s="17">
        <f t="shared" si="24"/>
        <v>194</v>
      </c>
      <c r="X162" s="17">
        <f t="shared" si="24"/>
        <v>194</v>
      </c>
      <c r="Y162" s="17">
        <f>ROUNDDOWN(W162/HLOOKUP(D162,Table!$C$3:$D$4,2,0)*8,2)</f>
        <v>3.44</v>
      </c>
      <c r="Z162" s="17">
        <v>3</v>
      </c>
      <c r="AA162" s="17" t="s">
        <v>78</v>
      </c>
      <c r="AB162" s="21">
        <v>43938</v>
      </c>
      <c r="AC162" s="21">
        <v>43935</v>
      </c>
      <c r="AD162" s="21">
        <v>43938</v>
      </c>
      <c r="AE162" s="21">
        <v>43936</v>
      </c>
      <c r="AF162" s="21">
        <v>43936</v>
      </c>
      <c r="AG162" s="22" t="s">
        <v>114</v>
      </c>
      <c r="AH162" s="38">
        <v>1</v>
      </c>
      <c r="AI162" s="38">
        <v>1</v>
      </c>
      <c r="AJ162" s="38">
        <v>1</v>
      </c>
      <c r="AK162" s="22" t="s">
        <v>574</v>
      </c>
      <c r="AL162" s="17"/>
      <c r="AM162" s="17"/>
      <c r="AN162" s="17"/>
      <c r="AO162" t="s">
        <v>941</v>
      </c>
    </row>
    <row r="163" spans="2:41" hidden="1" x14ac:dyDescent="0.25">
      <c r="B163" s="83">
        <f t="shared" si="22"/>
        <v>116</v>
      </c>
      <c r="C163" s="18">
        <v>20200414</v>
      </c>
      <c r="D163" s="17" t="s">
        <v>3</v>
      </c>
      <c r="E163" s="17" t="s">
        <v>496</v>
      </c>
      <c r="F163" s="19" t="s">
        <v>497</v>
      </c>
      <c r="G163" s="19">
        <v>1417493</v>
      </c>
      <c r="H163" s="86" t="s">
        <v>65</v>
      </c>
      <c r="I163" s="17" t="s">
        <v>504</v>
      </c>
      <c r="J163" s="86" t="s">
        <v>65</v>
      </c>
      <c r="K163" s="17" t="s">
        <v>469</v>
      </c>
      <c r="L163" s="19" t="s">
        <v>574</v>
      </c>
      <c r="M163" s="17" t="s">
        <v>512</v>
      </c>
      <c r="N163" s="17" t="s">
        <v>511</v>
      </c>
      <c r="O163" s="19" t="s">
        <v>65</v>
      </c>
      <c r="P163" s="19" t="s">
        <v>588</v>
      </c>
      <c r="Q163" s="20"/>
      <c r="R163" s="86" t="s">
        <v>65</v>
      </c>
      <c r="S163" s="17" t="s">
        <v>69</v>
      </c>
      <c r="T163" s="17"/>
      <c r="U163" s="17"/>
      <c r="V163" s="17">
        <v>321</v>
      </c>
      <c r="W163" s="17">
        <f t="shared" si="24"/>
        <v>321</v>
      </c>
      <c r="X163" s="17">
        <f t="shared" si="24"/>
        <v>321</v>
      </c>
      <c r="Y163" s="17">
        <f>ROUNDDOWN(W163/HLOOKUP(D163,Table!$C$3:$D$4,2,0)*8,2)</f>
        <v>5.7</v>
      </c>
      <c r="Z163" s="17">
        <v>6</v>
      </c>
      <c r="AA163" s="17" t="s">
        <v>78</v>
      </c>
      <c r="AB163" s="21">
        <v>43938</v>
      </c>
      <c r="AC163" s="21">
        <v>43935</v>
      </c>
      <c r="AD163" s="21">
        <v>43938</v>
      </c>
      <c r="AE163" s="21">
        <v>43937</v>
      </c>
      <c r="AF163" s="21">
        <v>43937</v>
      </c>
      <c r="AG163" s="22" t="s">
        <v>114</v>
      </c>
      <c r="AH163" s="38">
        <v>1</v>
      </c>
      <c r="AI163" s="38">
        <v>1</v>
      </c>
      <c r="AJ163" s="38">
        <v>1</v>
      </c>
      <c r="AK163" s="22" t="s">
        <v>574</v>
      </c>
      <c r="AL163" s="17"/>
      <c r="AM163" s="17"/>
      <c r="AN163" s="17"/>
      <c r="AO163" t="s">
        <v>941</v>
      </c>
    </row>
    <row r="164" spans="2:41" hidden="1" x14ac:dyDescent="0.25">
      <c r="B164" s="83">
        <f t="shared" si="22"/>
        <v>117</v>
      </c>
      <c r="C164" s="18">
        <v>20200414</v>
      </c>
      <c r="D164" s="17" t="s">
        <v>3</v>
      </c>
      <c r="E164" s="17" t="s">
        <v>496</v>
      </c>
      <c r="F164" s="19" t="s">
        <v>497</v>
      </c>
      <c r="G164" s="19">
        <v>1417493</v>
      </c>
      <c r="H164" s="86" t="s">
        <v>65</v>
      </c>
      <c r="I164" s="17" t="s">
        <v>505</v>
      </c>
      <c r="J164" s="86" t="s">
        <v>65</v>
      </c>
      <c r="K164" s="17" t="s">
        <v>469</v>
      </c>
      <c r="L164" s="19" t="s">
        <v>574</v>
      </c>
      <c r="M164" s="17" t="s">
        <v>512</v>
      </c>
      <c r="N164" s="17" t="s">
        <v>511</v>
      </c>
      <c r="O164" s="19" t="s">
        <v>65</v>
      </c>
      <c r="P164" s="19" t="s">
        <v>588</v>
      </c>
      <c r="Q164" s="20"/>
      <c r="R164" s="86" t="s">
        <v>65</v>
      </c>
      <c r="S164" s="17" t="s">
        <v>69</v>
      </c>
      <c r="T164" s="17"/>
      <c r="U164" s="17"/>
      <c r="V164" s="17">
        <v>52</v>
      </c>
      <c r="W164" s="17">
        <f t="shared" si="24"/>
        <v>52</v>
      </c>
      <c r="X164" s="17">
        <f t="shared" si="24"/>
        <v>52</v>
      </c>
      <c r="Y164" s="17">
        <f>ROUNDDOWN(W164/HLOOKUP(D164,Table!$C$3:$D$4,2,0)*8,2)</f>
        <v>0.92</v>
      </c>
      <c r="Z164" s="17">
        <v>1</v>
      </c>
      <c r="AA164" s="17" t="s">
        <v>78</v>
      </c>
      <c r="AB164" s="21">
        <v>43938</v>
      </c>
      <c r="AC164" s="21">
        <v>43935</v>
      </c>
      <c r="AD164" s="21">
        <v>43938</v>
      </c>
      <c r="AE164" s="21">
        <v>43938</v>
      </c>
      <c r="AF164" s="21">
        <v>43938</v>
      </c>
      <c r="AG164" s="22" t="s">
        <v>114</v>
      </c>
      <c r="AH164" s="38">
        <v>1</v>
      </c>
      <c r="AI164" s="38">
        <v>1</v>
      </c>
      <c r="AJ164" s="38">
        <v>1</v>
      </c>
      <c r="AK164" s="22" t="s">
        <v>574</v>
      </c>
      <c r="AL164" s="17"/>
      <c r="AM164" s="17"/>
      <c r="AN164" s="17"/>
      <c r="AO164" t="s">
        <v>941</v>
      </c>
    </row>
    <row r="165" spans="2:41" hidden="1" x14ac:dyDescent="0.25">
      <c r="B165" s="83">
        <f t="shared" si="22"/>
        <v>118</v>
      </c>
      <c r="C165" s="18">
        <v>20200414</v>
      </c>
      <c r="D165" s="17" t="s">
        <v>3</v>
      </c>
      <c r="E165" s="17" t="s">
        <v>496</v>
      </c>
      <c r="F165" s="19" t="s">
        <v>497</v>
      </c>
      <c r="G165" s="19">
        <v>1417493</v>
      </c>
      <c r="H165" s="86" t="s">
        <v>65</v>
      </c>
      <c r="I165" s="17" t="s">
        <v>506</v>
      </c>
      <c r="J165" s="86" t="s">
        <v>65</v>
      </c>
      <c r="K165" s="17" t="s">
        <v>469</v>
      </c>
      <c r="L165" s="19" t="s">
        <v>574</v>
      </c>
      <c r="M165" s="17" t="s">
        <v>512</v>
      </c>
      <c r="N165" s="17" t="s">
        <v>511</v>
      </c>
      <c r="O165" s="19" t="s">
        <v>65</v>
      </c>
      <c r="P165" s="19" t="s">
        <v>588</v>
      </c>
      <c r="Q165" s="20"/>
      <c r="R165" s="86" t="s">
        <v>65</v>
      </c>
      <c r="S165" s="17" t="s">
        <v>69</v>
      </c>
      <c r="T165" s="17"/>
      <c r="U165" s="17"/>
      <c r="V165" s="17">
        <v>209</v>
      </c>
      <c r="W165" s="17">
        <f t="shared" si="24"/>
        <v>209</v>
      </c>
      <c r="X165" s="17">
        <f t="shared" si="24"/>
        <v>209</v>
      </c>
      <c r="Y165" s="17">
        <f>ROUNDDOWN(W165/HLOOKUP(D165,Table!$C$3:$D$4,2,0)*8,2)</f>
        <v>3.71</v>
      </c>
      <c r="Z165" s="17">
        <v>3</v>
      </c>
      <c r="AA165" s="17" t="s">
        <v>78</v>
      </c>
      <c r="AB165" s="21">
        <v>43938</v>
      </c>
      <c r="AC165" s="21">
        <v>43935</v>
      </c>
      <c r="AD165" s="21">
        <v>43938</v>
      </c>
      <c r="AE165" s="21">
        <v>43938</v>
      </c>
      <c r="AF165" s="21">
        <v>43938</v>
      </c>
      <c r="AG165" s="22" t="s">
        <v>115</v>
      </c>
      <c r="AH165" s="38">
        <v>1</v>
      </c>
      <c r="AI165" s="38">
        <v>1</v>
      </c>
      <c r="AJ165" s="38">
        <v>0.75</v>
      </c>
      <c r="AK165" s="22" t="s">
        <v>354</v>
      </c>
      <c r="AL165" s="148" t="s">
        <v>939</v>
      </c>
      <c r="AM165" s="17"/>
      <c r="AN165" s="17"/>
      <c r="AO165" t="s">
        <v>941</v>
      </c>
    </row>
    <row r="166" spans="2:41" hidden="1" x14ac:dyDescent="0.25">
      <c r="B166" s="83">
        <f t="shared" si="22"/>
        <v>119</v>
      </c>
      <c r="C166" s="18">
        <v>20200414</v>
      </c>
      <c r="D166" s="17" t="s">
        <v>3</v>
      </c>
      <c r="E166" s="17" t="s">
        <v>496</v>
      </c>
      <c r="F166" s="19" t="s">
        <v>497</v>
      </c>
      <c r="G166" s="19">
        <v>1417493</v>
      </c>
      <c r="H166" s="86" t="s">
        <v>65</v>
      </c>
      <c r="I166" s="17" t="s">
        <v>507</v>
      </c>
      <c r="J166" s="86" t="s">
        <v>65</v>
      </c>
      <c r="K166" s="17" t="s">
        <v>469</v>
      </c>
      <c r="L166" s="19" t="s">
        <v>574</v>
      </c>
      <c r="M166" s="17" t="s">
        <v>512</v>
      </c>
      <c r="N166" s="17" t="s">
        <v>511</v>
      </c>
      <c r="O166" s="19" t="s">
        <v>65</v>
      </c>
      <c r="P166" s="19" t="s">
        <v>588</v>
      </c>
      <c r="Q166" s="20"/>
      <c r="R166" s="86" t="s">
        <v>65</v>
      </c>
      <c r="S166" s="17" t="s">
        <v>69</v>
      </c>
      <c r="T166" s="17"/>
      <c r="U166" s="17"/>
      <c r="V166" s="17">
        <v>67</v>
      </c>
      <c r="W166" s="17">
        <f t="shared" si="24"/>
        <v>67</v>
      </c>
      <c r="X166" s="17">
        <f t="shared" si="24"/>
        <v>67</v>
      </c>
      <c r="Y166" s="17">
        <f>ROUNDDOWN(W166/HLOOKUP(D166,Table!$C$3:$D$4,2,0)*8,2)</f>
        <v>1.19</v>
      </c>
      <c r="Z166" s="17">
        <v>2</v>
      </c>
      <c r="AA166" s="17" t="s">
        <v>78</v>
      </c>
      <c r="AB166" s="21">
        <v>43938</v>
      </c>
      <c r="AC166" s="21">
        <v>43935</v>
      </c>
      <c r="AD166" s="21">
        <v>43938</v>
      </c>
      <c r="AE166" s="21">
        <v>43938</v>
      </c>
      <c r="AF166" s="21">
        <v>43938</v>
      </c>
      <c r="AG166" s="22" t="s">
        <v>114</v>
      </c>
      <c r="AH166" s="38">
        <v>1</v>
      </c>
      <c r="AI166" s="38">
        <v>1</v>
      </c>
      <c r="AJ166" s="38">
        <v>1</v>
      </c>
      <c r="AK166" s="22" t="s">
        <v>574</v>
      </c>
      <c r="AL166" s="17"/>
      <c r="AM166" s="17"/>
      <c r="AN166" s="17"/>
      <c r="AO166" t="s">
        <v>941</v>
      </c>
    </row>
    <row r="167" spans="2:41" hidden="1" x14ac:dyDescent="0.25">
      <c r="B167" s="83">
        <f t="shared" si="22"/>
        <v>120</v>
      </c>
      <c r="C167" s="18">
        <v>20200414</v>
      </c>
      <c r="D167" s="17" t="s">
        <v>3</v>
      </c>
      <c r="E167" s="17" t="s">
        <v>496</v>
      </c>
      <c r="F167" s="19" t="s">
        <v>497</v>
      </c>
      <c r="G167" s="19">
        <v>1417493</v>
      </c>
      <c r="H167" s="86" t="s">
        <v>65</v>
      </c>
      <c r="I167" s="17" t="s">
        <v>508</v>
      </c>
      <c r="J167" s="86" t="s">
        <v>65</v>
      </c>
      <c r="K167" s="17" t="s">
        <v>469</v>
      </c>
      <c r="L167" s="19" t="s">
        <v>574</v>
      </c>
      <c r="M167" s="17" t="s">
        <v>512</v>
      </c>
      <c r="N167" s="17" t="s">
        <v>511</v>
      </c>
      <c r="O167" s="19" t="s">
        <v>65</v>
      </c>
      <c r="P167" s="19" t="s">
        <v>588</v>
      </c>
      <c r="Q167" s="20"/>
      <c r="R167" s="86" t="s">
        <v>65</v>
      </c>
      <c r="S167" s="17" t="s">
        <v>69</v>
      </c>
      <c r="T167" s="17"/>
      <c r="U167" s="17"/>
      <c r="V167" s="17">
        <v>202</v>
      </c>
      <c r="W167" s="17">
        <f t="shared" si="24"/>
        <v>202</v>
      </c>
      <c r="X167" s="17">
        <f t="shared" si="24"/>
        <v>202</v>
      </c>
      <c r="Y167" s="17">
        <f>ROUNDDOWN(W167/HLOOKUP(D167,Table!$C$3:$D$4,2,0)*8,2)</f>
        <v>3.59</v>
      </c>
      <c r="Z167" s="17">
        <v>3</v>
      </c>
      <c r="AA167" s="17" t="s">
        <v>78</v>
      </c>
      <c r="AB167" s="21">
        <v>43938</v>
      </c>
      <c r="AC167" s="21">
        <v>43935</v>
      </c>
      <c r="AD167" s="21">
        <v>43938</v>
      </c>
      <c r="AE167" s="21">
        <v>43938</v>
      </c>
      <c r="AF167" s="21">
        <v>43938</v>
      </c>
      <c r="AG167" s="22" t="s">
        <v>114</v>
      </c>
      <c r="AH167" s="38">
        <v>1</v>
      </c>
      <c r="AI167" s="38">
        <v>1</v>
      </c>
      <c r="AJ167" s="38">
        <v>1</v>
      </c>
      <c r="AK167" s="22" t="s">
        <v>574</v>
      </c>
      <c r="AL167" s="17"/>
      <c r="AM167" s="17"/>
      <c r="AN167" s="17"/>
      <c r="AO167" t="s">
        <v>941</v>
      </c>
    </row>
    <row r="168" spans="2:41" hidden="1" x14ac:dyDescent="0.25">
      <c r="B168" s="83">
        <f t="shared" si="22"/>
        <v>121</v>
      </c>
      <c r="C168" s="18">
        <v>20200414</v>
      </c>
      <c r="D168" s="17" t="s">
        <v>3</v>
      </c>
      <c r="E168" s="17" t="s">
        <v>496</v>
      </c>
      <c r="F168" s="19" t="s">
        <v>497</v>
      </c>
      <c r="G168" s="19">
        <v>1417493</v>
      </c>
      <c r="H168" s="86" t="s">
        <v>65</v>
      </c>
      <c r="I168" s="17" t="s">
        <v>509</v>
      </c>
      <c r="J168" s="86" t="s">
        <v>65</v>
      </c>
      <c r="K168" s="17" t="s">
        <v>469</v>
      </c>
      <c r="L168" s="19" t="s">
        <v>574</v>
      </c>
      <c r="M168" s="17" t="s">
        <v>512</v>
      </c>
      <c r="N168" s="17" t="s">
        <v>511</v>
      </c>
      <c r="O168" s="19" t="s">
        <v>65</v>
      </c>
      <c r="P168" s="19" t="s">
        <v>588</v>
      </c>
      <c r="Q168" s="20"/>
      <c r="R168" s="86" t="s">
        <v>65</v>
      </c>
      <c r="S168" s="17" t="s">
        <v>68</v>
      </c>
      <c r="T168" s="17"/>
      <c r="U168" s="17"/>
      <c r="V168" s="17">
        <v>133</v>
      </c>
      <c r="W168" s="17">
        <f t="shared" si="24"/>
        <v>133</v>
      </c>
      <c r="X168" s="17">
        <f t="shared" si="24"/>
        <v>133</v>
      </c>
      <c r="Y168" s="17">
        <f>ROUNDDOWN(W168/HLOOKUP(D168,Table!$C$3:$D$4,2,0)*8,2)</f>
        <v>2.36</v>
      </c>
      <c r="Z168" s="17">
        <v>2</v>
      </c>
      <c r="AA168" s="17" t="s">
        <v>78</v>
      </c>
      <c r="AB168" s="21">
        <v>43938</v>
      </c>
      <c r="AC168" s="21">
        <v>43935</v>
      </c>
      <c r="AD168" s="21">
        <v>43938</v>
      </c>
      <c r="AE168" s="21">
        <v>43937</v>
      </c>
      <c r="AF168" s="21">
        <v>43937</v>
      </c>
      <c r="AG168" s="22" t="s">
        <v>114</v>
      </c>
      <c r="AH168" s="38">
        <v>1</v>
      </c>
      <c r="AI168" s="38">
        <v>1</v>
      </c>
      <c r="AJ168" s="38">
        <v>1</v>
      </c>
      <c r="AK168" s="22" t="s">
        <v>574</v>
      </c>
      <c r="AL168" s="17"/>
      <c r="AM168" s="17"/>
      <c r="AN168" s="17"/>
      <c r="AO168" t="s">
        <v>941</v>
      </c>
    </row>
    <row r="169" spans="2:41" hidden="1" x14ac:dyDescent="0.25">
      <c r="B169" s="83">
        <f t="shared" si="22"/>
        <v>122</v>
      </c>
      <c r="C169" s="18">
        <v>20200414</v>
      </c>
      <c r="D169" s="17" t="s">
        <v>3</v>
      </c>
      <c r="E169" s="17" t="s">
        <v>496</v>
      </c>
      <c r="F169" s="19" t="s">
        <v>497</v>
      </c>
      <c r="G169" s="19">
        <v>1417493</v>
      </c>
      <c r="H169" s="86" t="s">
        <v>65</v>
      </c>
      <c r="I169" s="17" t="s">
        <v>510</v>
      </c>
      <c r="J169" s="86" t="s">
        <v>65</v>
      </c>
      <c r="K169" s="17" t="s">
        <v>469</v>
      </c>
      <c r="L169" s="19" t="s">
        <v>574</v>
      </c>
      <c r="M169" s="17" t="s">
        <v>512</v>
      </c>
      <c r="N169" s="17" t="s">
        <v>511</v>
      </c>
      <c r="O169" s="19" t="s">
        <v>65</v>
      </c>
      <c r="P169" s="19" t="s">
        <v>588</v>
      </c>
      <c r="Q169" s="20"/>
      <c r="R169" s="86" t="s">
        <v>65</v>
      </c>
      <c r="S169" s="17" t="s">
        <v>68</v>
      </c>
      <c r="T169" s="17"/>
      <c r="U169" s="17"/>
      <c r="V169" s="17">
        <v>141</v>
      </c>
      <c r="W169" s="17">
        <f t="shared" si="24"/>
        <v>141</v>
      </c>
      <c r="X169" s="17">
        <f t="shared" si="24"/>
        <v>141</v>
      </c>
      <c r="Y169" s="17">
        <f>ROUNDDOWN(W169/HLOOKUP(D169,Table!$C$3:$D$4,2,0)*8,2)</f>
        <v>2.5</v>
      </c>
      <c r="Z169" s="17">
        <v>1</v>
      </c>
      <c r="AA169" s="17" t="s">
        <v>78</v>
      </c>
      <c r="AB169" s="21">
        <v>43938</v>
      </c>
      <c r="AC169" s="21">
        <v>43935</v>
      </c>
      <c r="AD169" s="21">
        <v>43938</v>
      </c>
      <c r="AE169" s="21">
        <v>43937</v>
      </c>
      <c r="AF169" s="21">
        <v>43937</v>
      </c>
      <c r="AG169" s="22" t="s">
        <v>114</v>
      </c>
      <c r="AH169" s="38">
        <v>1</v>
      </c>
      <c r="AI169" s="38">
        <v>1</v>
      </c>
      <c r="AJ169" s="38">
        <v>1</v>
      </c>
      <c r="AK169" s="22" t="s">
        <v>574</v>
      </c>
      <c r="AL169" s="17"/>
      <c r="AM169" s="17"/>
      <c r="AN169" s="17"/>
      <c r="AO169" t="s">
        <v>941</v>
      </c>
    </row>
    <row r="170" spans="2:41" hidden="1" x14ac:dyDescent="0.25">
      <c r="B170" s="69">
        <f t="shared" si="22"/>
        <v>123</v>
      </c>
      <c r="C170" s="18">
        <v>20200414</v>
      </c>
      <c r="D170" s="17" t="s">
        <v>3</v>
      </c>
      <c r="E170" s="17" t="s">
        <v>513</v>
      </c>
      <c r="F170" s="19" t="s">
        <v>515</v>
      </c>
      <c r="G170" s="19">
        <v>1416608</v>
      </c>
      <c r="H170" s="86" t="s">
        <v>65</v>
      </c>
      <c r="I170" s="17" t="s">
        <v>516</v>
      </c>
      <c r="J170" s="86" t="s">
        <v>65</v>
      </c>
      <c r="K170" s="17" t="s">
        <v>469</v>
      </c>
      <c r="L170" s="19">
        <v>81003</v>
      </c>
      <c r="M170" s="17" t="s">
        <v>514</v>
      </c>
      <c r="N170" s="17" t="s">
        <v>468</v>
      </c>
      <c r="O170" s="19" t="s">
        <v>65</v>
      </c>
      <c r="P170" s="19" t="s">
        <v>587</v>
      </c>
      <c r="Q170" s="20"/>
      <c r="R170" s="86" t="s">
        <v>65</v>
      </c>
      <c r="S170" s="17" t="s">
        <v>68</v>
      </c>
      <c r="T170" s="17"/>
      <c r="U170" s="17"/>
      <c r="V170" s="17">
        <v>84</v>
      </c>
      <c r="W170" s="17">
        <f t="shared" si="24"/>
        <v>84</v>
      </c>
      <c r="X170" s="17">
        <f t="shared" si="24"/>
        <v>84</v>
      </c>
      <c r="Y170" s="17">
        <f>ROUNDDOWN(W170/HLOOKUP(D170,Table!$C$3:$D$4,2,0)*8,2)</f>
        <v>1.49</v>
      </c>
      <c r="Z170" s="17">
        <v>0.5</v>
      </c>
      <c r="AA170" s="17" t="s">
        <v>78</v>
      </c>
      <c r="AB170" s="21">
        <v>43938</v>
      </c>
      <c r="AC170" s="21">
        <v>43935</v>
      </c>
      <c r="AD170" s="21">
        <v>43938</v>
      </c>
      <c r="AE170" s="21">
        <v>43936</v>
      </c>
      <c r="AF170" s="21">
        <v>43936</v>
      </c>
      <c r="AG170" s="22" t="s">
        <v>114</v>
      </c>
      <c r="AH170" s="38">
        <v>1</v>
      </c>
      <c r="AI170" s="38">
        <v>1</v>
      </c>
      <c r="AJ170" s="38">
        <v>1</v>
      </c>
      <c r="AK170" s="22" t="s">
        <v>574</v>
      </c>
      <c r="AL170" s="17"/>
      <c r="AM170" s="17"/>
      <c r="AN170" s="17"/>
      <c r="AO170" t="s">
        <v>941</v>
      </c>
    </row>
    <row r="171" spans="2:41" hidden="1" x14ac:dyDescent="0.25">
      <c r="B171" s="69">
        <f t="shared" si="22"/>
        <v>124</v>
      </c>
      <c r="C171" s="18">
        <v>20200414</v>
      </c>
      <c r="D171" s="17" t="s">
        <v>3</v>
      </c>
      <c r="E171" s="17" t="s">
        <v>513</v>
      </c>
      <c r="F171" s="19" t="s">
        <v>515</v>
      </c>
      <c r="G171" s="19">
        <v>1416608</v>
      </c>
      <c r="H171" s="86" t="s">
        <v>65</v>
      </c>
      <c r="I171" s="17" t="s">
        <v>517</v>
      </c>
      <c r="J171" s="86" t="s">
        <v>65</v>
      </c>
      <c r="K171" s="17" t="s">
        <v>469</v>
      </c>
      <c r="L171" s="19">
        <v>81003</v>
      </c>
      <c r="M171" s="17" t="s">
        <v>514</v>
      </c>
      <c r="N171" s="17" t="s">
        <v>468</v>
      </c>
      <c r="O171" s="19" t="s">
        <v>65</v>
      </c>
      <c r="P171" s="19" t="s">
        <v>587</v>
      </c>
      <c r="Q171" s="20"/>
      <c r="R171" s="86" t="s">
        <v>65</v>
      </c>
      <c r="S171" s="17" t="s">
        <v>68</v>
      </c>
      <c r="T171" s="17"/>
      <c r="U171" s="17"/>
      <c r="V171" s="17">
        <v>106</v>
      </c>
      <c r="W171" s="17">
        <f t="shared" si="24"/>
        <v>106</v>
      </c>
      <c r="X171" s="17">
        <f t="shared" si="24"/>
        <v>106</v>
      </c>
      <c r="Y171" s="17">
        <f>ROUNDDOWN(W171/HLOOKUP(D171,Table!$C$3:$D$4,2,0)*8,2)</f>
        <v>1.88</v>
      </c>
      <c r="Z171" s="17">
        <v>0.5</v>
      </c>
      <c r="AA171" s="17" t="s">
        <v>78</v>
      </c>
      <c r="AB171" s="21">
        <v>43938</v>
      </c>
      <c r="AC171" s="21">
        <v>43935</v>
      </c>
      <c r="AD171" s="21">
        <v>43938</v>
      </c>
      <c r="AE171" s="21">
        <v>43936</v>
      </c>
      <c r="AF171" s="21">
        <v>43936</v>
      </c>
      <c r="AG171" s="22" t="s">
        <v>114</v>
      </c>
      <c r="AH171" s="38">
        <v>1</v>
      </c>
      <c r="AI171" s="38">
        <v>1</v>
      </c>
      <c r="AJ171" s="38">
        <v>1</v>
      </c>
      <c r="AK171" s="22" t="s">
        <v>574</v>
      </c>
      <c r="AL171" s="17"/>
      <c r="AM171" s="17"/>
      <c r="AN171" s="17"/>
      <c r="AO171" t="s">
        <v>941</v>
      </c>
    </row>
    <row r="172" spans="2:41" hidden="1" x14ac:dyDescent="0.25">
      <c r="B172" s="69">
        <f t="shared" si="22"/>
        <v>125</v>
      </c>
      <c r="C172" s="18">
        <v>20200414</v>
      </c>
      <c r="D172" s="17" t="s">
        <v>3</v>
      </c>
      <c r="E172" s="17" t="s">
        <v>513</v>
      </c>
      <c r="F172" s="19" t="s">
        <v>515</v>
      </c>
      <c r="G172" s="19">
        <v>1416608</v>
      </c>
      <c r="H172" s="86" t="s">
        <v>65</v>
      </c>
      <c r="I172" s="17" t="s">
        <v>518</v>
      </c>
      <c r="J172" s="86" t="s">
        <v>65</v>
      </c>
      <c r="K172" s="17" t="s">
        <v>469</v>
      </c>
      <c r="L172" s="19">
        <v>81003</v>
      </c>
      <c r="M172" s="17" t="s">
        <v>514</v>
      </c>
      <c r="N172" s="17" t="s">
        <v>468</v>
      </c>
      <c r="O172" s="19" t="s">
        <v>65</v>
      </c>
      <c r="P172" s="19" t="s">
        <v>587</v>
      </c>
      <c r="Q172" s="20"/>
      <c r="R172" s="86" t="s">
        <v>65</v>
      </c>
      <c r="S172" s="17" t="s">
        <v>68</v>
      </c>
      <c r="T172" s="17"/>
      <c r="U172" s="17"/>
      <c r="V172" s="17">
        <v>259</v>
      </c>
      <c r="W172" s="17">
        <f t="shared" si="24"/>
        <v>259</v>
      </c>
      <c r="X172" s="17">
        <f t="shared" si="24"/>
        <v>259</v>
      </c>
      <c r="Y172" s="17">
        <f>ROUNDDOWN(W172/HLOOKUP(D172,Table!$C$3:$D$4,2,0)*8,2)</f>
        <v>4.5999999999999996</v>
      </c>
      <c r="Z172" s="17">
        <v>1</v>
      </c>
      <c r="AA172" s="17" t="s">
        <v>78</v>
      </c>
      <c r="AB172" s="21">
        <v>43938</v>
      </c>
      <c r="AC172" s="21">
        <v>43935</v>
      </c>
      <c r="AD172" s="21">
        <v>43938</v>
      </c>
      <c r="AE172" s="21">
        <v>43937</v>
      </c>
      <c r="AF172" s="21">
        <v>43937</v>
      </c>
      <c r="AG172" s="22" t="s">
        <v>115</v>
      </c>
      <c r="AH172" s="38">
        <v>1</v>
      </c>
      <c r="AI172" s="38">
        <v>1</v>
      </c>
      <c r="AJ172" s="38">
        <v>0.94</v>
      </c>
      <c r="AK172" s="22" t="s">
        <v>354</v>
      </c>
      <c r="AL172" s="17" t="s">
        <v>610</v>
      </c>
      <c r="AM172" s="17"/>
      <c r="AN172" s="17"/>
      <c r="AO172" t="s">
        <v>941</v>
      </c>
    </row>
    <row r="173" spans="2:41" hidden="1" x14ac:dyDescent="0.25">
      <c r="B173" s="69">
        <f t="shared" si="22"/>
        <v>126</v>
      </c>
      <c r="C173" s="18">
        <v>20200414</v>
      </c>
      <c r="D173" s="17" t="s">
        <v>3</v>
      </c>
      <c r="E173" s="17" t="s">
        <v>513</v>
      </c>
      <c r="F173" s="19" t="s">
        <v>515</v>
      </c>
      <c r="G173" s="19">
        <v>1416608</v>
      </c>
      <c r="H173" s="86" t="s">
        <v>65</v>
      </c>
      <c r="I173" s="17" t="s">
        <v>519</v>
      </c>
      <c r="J173" s="86" t="s">
        <v>65</v>
      </c>
      <c r="K173" s="17" t="s">
        <v>469</v>
      </c>
      <c r="L173" s="19">
        <v>81003</v>
      </c>
      <c r="M173" s="17" t="s">
        <v>514</v>
      </c>
      <c r="N173" s="17" t="s">
        <v>468</v>
      </c>
      <c r="O173" s="19" t="s">
        <v>65</v>
      </c>
      <c r="P173" s="19" t="s">
        <v>587</v>
      </c>
      <c r="Q173" s="20"/>
      <c r="R173" s="86" t="s">
        <v>65</v>
      </c>
      <c r="S173" s="17" t="s">
        <v>68</v>
      </c>
      <c r="T173" s="17"/>
      <c r="U173" s="17"/>
      <c r="V173" s="17">
        <v>140</v>
      </c>
      <c r="W173" s="17">
        <f t="shared" si="24"/>
        <v>140</v>
      </c>
      <c r="X173" s="17">
        <f t="shared" si="24"/>
        <v>140</v>
      </c>
      <c r="Y173" s="17">
        <f>ROUNDDOWN(W173/HLOOKUP(D173,Table!$C$3:$D$4,2,0)*8,2)</f>
        <v>2.48</v>
      </c>
      <c r="Z173" s="17">
        <v>1</v>
      </c>
      <c r="AA173" s="17" t="s">
        <v>78</v>
      </c>
      <c r="AB173" s="21">
        <v>43938</v>
      </c>
      <c r="AC173" s="21">
        <v>43935</v>
      </c>
      <c r="AD173" s="21">
        <v>43938</v>
      </c>
      <c r="AE173" s="21">
        <v>43937</v>
      </c>
      <c r="AF173" s="21">
        <v>43937</v>
      </c>
      <c r="AG173" s="22" t="s">
        <v>114</v>
      </c>
      <c r="AH173" s="38">
        <v>1</v>
      </c>
      <c r="AI173" s="38">
        <v>1</v>
      </c>
      <c r="AJ173" s="38">
        <v>1</v>
      </c>
      <c r="AK173" s="22" t="s">
        <v>574</v>
      </c>
      <c r="AL173" s="17"/>
      <c r="AM173" s="17"/>
      <c r="AN173" s="17"/>
      <c r="AO173" t="s">
        <v>941</v>
      </c>
    </row>
    <row r="174" spans="2:41" hidden="1" x14ac:dyDescent="0.25">
      <c r="B174" s="69">
        <f t="shared" si="22"/>
        <v>127</v>
      </c>
      <c r="C174" s="18">
        <v>20200414</v>
      </c>
      <c r="D174" s="17" t="s">
        <v>3</v>
      </c>
      <c r="E174" s="17" t="s">
        <v>513</v>
      </c>
      <c r="F174" s="19" t="s">
        <v>515</v>
      </c>
      <c r="G174" s="19">
        <v>1416608</v>
      </c>
      <c r="H174" s="86" t="s">
        <v>65</v>
      </c>
      <c r="I174" s="17" t="s">
        <v>520</v>
      </c>
      <c r="J174" s="86" t="s">
        <v>65</v>
      </c>
      <c r="K174" s="17" t="s">
        <v>469</v>
      </c>
      <c r="L174" s="19">
        <v>81003</v>
      </c>
      <c r="M174" s="17" t="s">
        <v>514</v>
      </c>
      <c r="N174" s="17" t="s">
        <v>468</v>
      </c>
      <c r="O174" s="19" t="s">
        <v>65</v>
      </c>
      <c r="P174" s="19" t="s">
        <v>587</v>
      </c>
      <c r="Q174" s="20"/>
      <c r="R174" s="86" t="s">
        <v>65</v>
      </c>
      <c r="S174" s="17" t="s">
        <v>68</v>
      </c>
      <c r="T174" s="17"/>
      <c r="U174" s="17"/>
      <c r="V174" s="17">
        <v>77</v>
      </c>
      <c r="W174" s="17">
        <f t="shared" si="24"/>
        <v>77</v>
      </c>
      <c r="X174" s="17">
        <f t="shared" si="24"/>
        <v>77</v>
      </c>
      <c r="Y174" s="17">
        <f>ROUNDDOWN(W174/HLOOKUP(D174,Table!$C$3:$D$4,2,0)*8,2)</f>
        <v>1.36</v>
      </c>
      <c r="Z174" s="17">
        <v>1</v>
      </c>
      <c r="AA174" s="17" t="s">
        <v>78</v>
      </c>
      <c r="AB174" s="21">
        <v>43938</v>
      </c>
      <c r="AC174" s="21">
        <v>43935</v>
      </c>
      <c r="AD174" s="21">
        <v>43938</v>
      </c>
      <c r="AE174" s="21">
        <v>43937</v>
      </c>
      <c r="AF174" s="21">
        <v>43937</v>
      </c>
      <c r="AG174" s="22" t="s">
        <v>114</v>
      </c>
      <c r="AH174" s="38">
        <v>1</v>
      </c>
      <c r="AI174" s="38">
        <v>1</v>
      </c>
      <c r="AJ174" s="38">
        <v>1</v>
      </c>
      <c r="AK174" s="22" t="s">
        <v>574</v>
      </c>
      <c r="AL174" s="17"/>
      <c r="AM174" s="17"/>
      <c r="AN174" s="17"/>
      <c r="AO174" t="s">
        <v>941</v>
      </c>
    </row>
    <row r="175" spans="2:41" hidden="1" x14ac:dyDescent="0.25">
      <c r="B175" s="69">
        <f t="shared" si="22"/>
        <v>128</v>
      </c>
      <c r="C175" s="18">
        <v>20200414</v>
      </c>
      <c r="D175" s="17" t="s">
        <v>3</v>
      </c>
      <c r="E175" s="17" t="s">
        <v>513</v>
      </c>
      <c r="F175" s="19" t="s">
        <v>515</v>
      </c>
      <c r="G175" s="19">
        <v>1416608</v>
      </c>
      <c r="H175" s="86" t="s">
        <v>65</v>
      </c>
      <c r="I175" s="17" t="s">
        <v>521</v>
      </c>
      <c r="J175" s="86" t="s">
        <v>65</v>
      </c>
      <c r="K175" s="17" t="s">
        <v>469</v>
      </c>
      <c r="L175" s="19">
        <v>81003</v>
      </c>
      <c r="M175" s="17" t="s">
        <v>514</v>
      </c>
      <c r="N175" s="17" t="s">
        <v>468</v>
      </c>
      <c r="O175" s="19" t="s">
        <v>65</v>
      </c>
      <c r="P175" s="19" t="s">
        <v>587</v>
      </c>
      <c r="Q175" s="20"/>
      <c r="R175" s="86" t="s">
        <v>65</v>
      </c>
      <c r="S175" s="17" t="s">
        <v>68</v>
      </c>
      <c r="T175" s="17"/>
      <c r="U175" s="17"/>
      <c r="V175" s="17">
        <v>53</v>
      </c>
      <c r="W175" s="17">
        <f t="shared" si="24"/>
        <v>53</v>
      </c>
      <c r="X175" s="17">
        <f t="shared" si="24"/>
        <v>53</v>
      </c>
      <c r="Y175" s="17">
        <f>ROUNDDOWN(W175/HLOOKUP(D175,Table!$C$3:$D$4,2,0)*8,2)</f>
        <v>0.94</v>
      </c>
      <c r="Z175" s="17">
        <v>1</v>
      </c>
      <c r="AA175" s="17" t="s">
        <v>78</v>
      </c>
      <c r="AB175" s="21">
        <v>43938</v>
      </c>
      <c r="AC175" s="21">
        <v>43935</v>
      </c>
      <c r="AD175" s="21">
        <v>43938</v>
      </c>
      <c r="AE175" s="21">
        <v>43937</v>
      </c>
      <c r="AF175" s="21">
        <v>43937</v>
      </c>
      <c r="AG175" s="22" t="s">
        <v>115</v>
      </c>
      <c r="AH175" s="38">
        <v>1</v>
      </c>
      <c r="AI175" s="38">
        <v>1</v>
      </c>
      <c r="AJ175" s="38">
        <v>1</v>
      </c>
      <c r="AK175" s="22" t="s">
        <v>354</v>
      </c>
      <c r="AL175" s="17"/>
      <c r="AM175" s="17"/>
      <c r="AN175" s="17" t="s">
        <v>611</v>
      </c>
      <c r="AO175" t="s">
        <v>941</v>
      </c>
    </row>
    <row r="176" spans="2:41" hidden="1" x14ac:dyDescent="0.25">
      <c r="B176" s="69">
        <f t="shared" si="22"/>
        <v>129</v>
      </c>
      <c r="C176" s="18">
        <v>20200414</v>
      </c>
      <c r="D176" s="17" t="s">
        <v>3</v>
      </c>
      <c r="E176" s="17" t="s">
        <v>513</v>
      </c>
      <c r="F176" s="19" t="s">
        <v>515</v>
      </c>
      <c r="G176" s="19">
        <v>1416608</v>
      </c>
      <c r="H176" s="86" t="s">
        <v>65</v>
      </c>
      <c r="I176" s="17" t="s">
        <v>522</v>
      </c>
      <c r="J176" s="86" t="s">
        <v>65</v>
      </c>
      <c r="K176" s="17" t="s">
        <v>469</v>
      </c>
      <c r="L176" s="19">
        <v>81003</v>
      </c>
      <c r="M176" s="17" t="s">
        <v>514</v>
      </c>
      <c r="N176" s="17" t="s">
        <v>468</v>
      </c>
      <c r="O176" s="19" t="s">
        <v>65</v>
      </c>
      <c r="P176" s="19" t="s">
        <v>587</v>
      </c>
      <c r="Q176" s="20"/>
      <c r="R176" s="86" t="s">
        <v>65</v>
      </c>
      <c r="S176" s="17" t="s">
        <v>68</v>
      </c>
      <c r="T176" s="17"/>
      <c r="U176" s="17"/>
      <c r="V176" s="17">
        <v>160</v>
      </c>
      <c r="W176" s="17">
        <f t="shared" si="24"/>
        <v>160</v>
      </c>
      <c r="X176" s="17">
        <f t="shared" si="24"/>
        <v>160</v>
      </c>
      <c r="Y176" s="17">
        <f>ROUNDDOWN(W176/HLOOKUP(D176,Table!$C$3:$D$4,2,0)*8,2)</f>
        <v>2.84</v>
      </c>
      <c r="Z176" s="17">
        <v>1</v>
      </c>
      <c r="AA176" s="17" t="s">
        <v>78</v>
      </c>
      <c r="AB176" s="21">
        <v>43938</v>
      </c>
      <c r="AC176" s="21">
        <v>43935</v>
      </c>
      <c r="AD176" s="21">
        <v>43938</v>
      </c>
      <c r="AE176" s="21">
        <v>43937</v>
      </c>
      <c r="AF176" s="21">
        <v>43937</v>
      </c>
      <c r="AG176" s="22" t="s">
        <v>114</v>
      </c>
      <c r="AH176" s="38">
        <v>1</v>
      </c>
      <c r="AI176" s="38">
        <v>1</v>
      </c>
      <c r="AJ176" s="38">
        <v>1</v>
      </c>
      <c r="AK176" s="22" t="s">
        <v>574</v>
      </c>
      <c r="AL176" s="17"/>
      <c r="AM176" s="17"/>
      <c r="AN176" s="17"/>
      <c r="AO176" t="s">
        <v>941</v>
      </c>
    </row>
    <row r="177" spans="2:41" hidden="1" x14ac:dyDescent="0.25">
      <c r="B177" s="69">
        <f t="shared" si="22"/>
        <v>130</v>
      </c>
      <c r="C177" s="18">
        <v>20200414</v>
      </c>
      <c r="D177" s="17" t="s">
        <v>3</v>
      </c>
      <c r="E177" s="17" t="s">
        <v>513</v>
      </c>
      <c r="F177" s="19" t="s">
        <v>515</v>
      </c>
      <c r="G177" s="19">
        <v>1416608</v>
      </c>
      <c r="H177" s="86" t="s">
        <v>65</v>
      </c>
      <c r="I177" s="17" t="s">
        <v>523</v>
      </c>
      <c r="J177" s="86" t="s">
        <v>65</v>
      </c>
      <c r="K177" s="17" t="s">
        <v>469</v>
      </c>
      <c r="L177" s="19">
        <v>81003</v>
      </c>
      <c r="M177" s="17" t="s">
        <v>514</v>
      </c>
      <c r="N177" s="17" t="s">
        <v>468</v>
      </c>
      <c r="O177" s="19" t="s">
        <v>65</v>
      </c>
      <c r="P177" s="19" t="s">
        <v>587</v>
      </c>
      <c r="Q177" s="20"/>
      <c r="R177" s="86" t="s">
        <v>65</v>
      </c>
      <c r="S177" s="17" t="s">
        <v>6</v>
      </c>
      <c r="T177" s="17"/>
      <c r="U177" s="17"/>
      <c r="V177" s="17">
        <v>436</v>
      </c>
      <c r="W177" s="17">
        <f t="shared" si="24"/>
        <v>436</v>
      </c>
      <c r="X177" s="17">
        <f t="shared" si="24"/>
        <v>436</v>
      </c>
      <c r="Y177" s="17">
        <f>ROUNDDOWN(W177/HLOOKUP(D177,Table!$C$3:$D$4,2,0)*8,2)</f>
        <v>7.75</v>
      </c>
      <c r="Z177" s="17">
        <v>1</v>
      </c>
      <c r="AA177" s="17" t="s">
        <v>78</v>
      </c>
      <c r="AB177" s="21">
        <v>43938</v>
      </c>
      <c r="AC177" s="21">
        <v>43935</v>
      </c>
      <c r="AD177" s="21">
        <v>43938</v>
      </c>
      <c r="AE177" s="21">
        <v>43937</v>
      </c>
      <c r="AF177" s="21">
        <v>43937</v>
      </c>
      <c r="AG177" s="22" t="s">
        <v>114</v>
      </c>
      <c r="AH177" s="38">
        <v>1</v>
      </c>
      <c r="AI177" s="38">
        <v>1</v>
      </c>
      <c r="AJ177" s="38">
        <v>1</v>
      </c>
      <c r="AK177" s="22" t="s">
        <v>574</v>
      </c>
      <c r="AL177" s="17"/>
      <c r="AM177" s="17"/>
      <c r="AN177" s="17"/>
      <c r="AO177" t="s">
        <v>941</v>
      </c>
    </row>
    <row r="178" spans="2:41" hidden="1" x14ac:dyDescent="0.25">
      <c r="B178" s="69">
        <f t="shared" ref="B178:B241" si="25">B177+1</f>
        <v>131</v>
      </c>
      <c r="C178" s="18">
        <v>20200414</v>
      </c>
      <c r="D178" s="17" t="s">
        <v>3</v>
      </c>
      <c r="E178" s="17" t="s">
        <v>513</v>
      </c>
      <c r="F178" s="19" t="s">
        <v>515</v>
      </c>
      <c r="G178" s="19">
        <v>1416608</v>
      </c>
      <c r="H178" s="86" t="s">
        <v>65</v>
      </c>
      <c r="I178" s="17" t="s">
        <v>524</v>
      </c>
      <c r="J178" s="86" t="s">
        <v>65</v>
      </c>
      <c r="K178" s="17" t="s">
        <v>469</v>
      </c>
      <c r="L178" s="19">
        <v>81003</v>
      </c>
      <c r="M178" s="17" t="s">
        <v>514</v>
      </c>
      <c r="N178" s="17" t="s">
        <v>468</v>
      </c>
      <c r="O178" s="19" t="s">
        <v>65</v>
      </c>
      <c r="P178" s="19" t="s">
        <v>587</v>
      </c>
      <c r="Q178" s="20"/>
      <c r="R178" s="86" t="s">
        <v>65</v>
      </c>
      <c r="S178" s="17" t="s">
        <v>6</v>
      </c>
      <c r="T178" s="17"/>
      <c r="U178" s="17"/>
      <c r="V178" s="17">
        <v>55</v>
      </c>
      <c r="W178" s="17">
        <f t="shared" si="24"/>
        <v>55</v>
      </c>
      <c r="X178" s="17">
        <f t="shared" si="24"/>
        <v>55</v>
      </c>
      <c r="Y178" s="17">
        <f>ROUNDDOWN(W178/HLOOKUP(D178,Table!$C$3:$D$4,2,0)*8,2)</f>
        <v>0.97</v>
      </c>
      <c r="Z178" s="17">
        <v>1</v>
      </c>
      <c r="AA178" s="17" t="s">
        <v>78</v>
      </c>
      <c r="AB178" s="21">
        <v>43938</v>
      </c>
      <c r="AC178" s="21">
        <v>43935</v>
      </c>
      <c r="AD178" s="21">
        <v>43938</v>
      </c>
      <c r="AE178" s="21">
        <v>43937</v>
      </c>
      <c r="AF178" s="21">
        <v>43937</v>
      </c>
      <c r="AG178" s="22" t="s">
        <v>114</v>
      </c>
      <c r="AH178" s="38">
        <v>1</v>
      </c>
      <c r="AI178" s="38">
        <v>1</v>
      </c>
      <c r="AJ178" s="38">
        <v>1</v>
      </c>
      <c r="AK178" s="22" t="s">
        <v>574</v>
      </c>
      <c r="AL178" s="17"/>
      <c r="AM178" s="17"/>
      <c r="AN178" s="17"/>
      <c r="AO178" t="s">
        <v>941</v>
      </c>
    </row>
    <row r="179" spans="2:41" hidden="1" x14ac:dyDescent="0.25">
      <c r="B179" s="69">
        <f t="shared" si="25"/>
        <v>132</v>
      </c>
      <c r="C179" s="18">
        <v>20200414</v>
      </c>
      <c r="D179" s="17" t="s">
        <v>3</v>
      </c>
      <c r="E179" s="17" t="s">
        <v>513</v>
      </c>
      <c r="F179" s="19" t="s">
        <v>515</v>
      </c>
      <c r="G179" s="19">
        <v>1416608</v>
      </c>
      <c r="H179" s="86" t="s">
        <v>65</v>
      </c>
      <c r="I179" s="17" t="s">
        <v>525</v>
      </c>
      <c r="J179" s="86" t="s">
        <v>65</v>
      </c>
      <c r="K179" s="17" t="s">
        <v>469</v>
      </c>
      <c r="L179" s="19">
        <v>81003</v>
      </c>
      <c r="M179" s="17" t="s">
        <v>514</v>
      </c>
      <c r="N179" s="17" t="s">
        <v>468</v>
      </c>
      <c r="O179" s="19" t="s">
        <v>65</v>
      </c>
      <c r="P179" s="19" t="s">
        <v>587</v>
      </c>
      <c r="Q179" s="20"/>
      <c r="R179" s="86" t="s">
        <v>65</v>
      </c>
      <c r="S179" s="17" t="s">
        <v>6</v>
      </c>
      <c r="T179" s="17"/>
      <c r="U179" s="17"/>
      <c r="V179" s="17">
        <v>200</v>
      </c>
      <c r="W179" s="17">
        <f t="shared" si="24"/>
        <v>200</v>
      </c>
      <c r="X179" s="17">
        <f t="shared" si="24"/>
        <v>200</v>
      </c>
      <c r="Y179" s="17">
        <f>ROUNDDOWN(W179/HLOOKUP(D179,Table!$C$3:$D$4,2,0)*8,2)</f>
        <v>3.55</v>
      </c>
      <c r="Z179" s="17">
        <v>1</v>
      </c>
      <c r="AA179" s="17" t="s">
        <v>78</v>
      </c>
      <c r="AB179" s="21">
        <v>43938</v>
      </c>
      <c r="AC179" s="21">
        <v>43935</v>
      </c>
      <c r="AD179" s="21">
        <v>43938</v>
      </c>
      <c r="AE179" s="21">
        <v>43937</v>
      </c>
      <c r="AF179" s="21">
        <v>43937</v>
      </c>
      <c r="AG179" s="22" t="s">
        <v>114</v>
      </c>
      <c r="AH179" s="38">
        <v>1</v>
      </c>
      <c r="AI179" s="38">
        <v>1</v>
      </c>
      <c r="AJ179" s="38">
        <v>1</v>
      </c>
      <c r="AK179" s="22" t="s">
        <v>574</v>
      </c>
      <c r="AL179" s="17"/>
      <c r="AM179" s="17"/>
      <c r="AN179" s="17"/>
      <c r="AO179" t="s">
        <v>941</v>
      </c>
    </row>
    <row r="180" spans="2:41" hidden="1" x14ac:dyDescent="0.25">
      <c r="B180" s="69">
        <f t="shared" si="25"/>
        <v>133</v>
      </c>
      <c r="C180" s="18">
        <v>20200414</v>
      </c>
      <c r="D180" s="17" t="s">
        <v>3</v>
      </c>
      <c r="E180" s="17" t="s">
        <v>513</v>
      </c>
      <c r="F180" s="19" t="s">
        <v>515</v>
      </c>
      <c r="G180" s="19">
        <v>1416608</v>
      </c>
      <c r="H180" s="86" t="s">
        <v>65</v>
      </c>
      <c r="I180" s="17" t="s">
        <v>526</v>
      </c>
      <c r="J180" s="86" t="s">
        <v>65</v>
      </c>
      <c r="K180" s="17" t="s">
        <v>469</v>
      </c>
      <c r="L180" s="19">
        <v>81003</v>
      </c>
      <c r="M180" s="17" t="s">
        <v>514</v>
      </c>
      <c r="N180" s="17" t="s">
        <v>468</v>
      </c>
      <c r="O180" s="19" t="s">
        <v>65</v>
      </c>
      <c r="P180" s="19" t="s">
        <v>587</v>
      </c>
      <c r="Q180" s="20"/>
      <c r="R180" s="86" t="s">
        <v>65</v>
      </c>
      <c r="S180" s="17" t="s">
        <v>6</v>
      </c>
      <c r="T180" s="17"/>
      <c r="U180" s="17"/>
      <c r="V180" s="17">
        <v>130</v>
      </c>
      <c r="W180" s="17">
        <f t="shared" si="24"/>
        <v>130</v>
      </c>
      <c r="X180" s="17">
        <f t="shared" si="24"/>
        <v>130</v>
      </c>
      <c r="Y180" s="17">
        <f>ROUNDDOWN(W180/HLOOKUP(D180,Table!$C$3:$D$4,2,0)*8,2)</f>
        <v>2.31</v>
      </c>
      <c r="Z180" s="17">
        <v>1</v>
      </c>
      <c r="AA180" s="17" t="s">
        <v>78</v>
      </c>
      <c r="AB180" s="21">
        <v>43938</v>
      </c>
      <c r="AC180" s="21">
        <v>43935</v>
      </c>
      <c r="AD180" s="21">
        <v>43938</v>
      </c>
      <c r="AE180" s="21">
        <v>43937</v>
      </c>
      <c r="AF180" s="21">
        <v>43937</v>
      </c>
      <c r="AG180" s="22" t="s">
        <v>114</v>
      </c>
      <c r="AH180" s="38">
        <v>1</v>
      </c>
      <c r="AI180" s="38">
        <v>1</v>
      </c>
      <c r="AJ180" s="38">
        <v>1</v>
      </c>
      <c r="AK180" s="22" t="s">
        <v>574</v>
      </c>
      <c r="AL180" s="17"/>
      <c r="AM180" s="17"/>
      <c r="AN180" s="17"/>
      <c r="AO180" t="s">
        <v>941</v>
      </c>
    </row>
    <row r="181" spans="2:41" hidden="1" x14ac:dyDescent="0.25">
      <c r="B181" s="69">
        <f t="shared" si="25"/>
        <v>134</v>
      </c>
      <c r="C181" s="18">
        <v>20200414</v>
      </c>
      <c r="D181" s="17" t="s">
        <v>3</v>
      </c>
      <c r="E181" s="17" t="s">
        <v>513</v>
      </c>
      <c r="F181" s="19" t="s">
        <v>515</v>
      </c>
      <c r="G181" s="19">
        <v>1416608</v>
      </c>
      <c r="H181" s="86" t="s">
        <v>65</v>
      </c>
      <c r="I181" s="17" t="s">
        <v>527</v>
      </c>
      <c r="J181" s="86" t="s">
        <v>65</v>
      </c>
      <c r="K181" s="17" t="s">
        <v>469</v>
      </c>
      <c r="L181" s="19">
        <v>81003</v>
      </c>
      <c r="M181" s="17" t="s">
        <v>514</v>
      </c>
      <c r="N181" s="17" t="s">
        <v>468</v>
      </c>
      <c r="O181" s="19" t="s">
        <v>65</v>
      </c>
      <c r="P181" s="19" t="s">
        <v>587</v>
      </c>
      <c r="Q181" s="20"/>
      <c r="R181" s="86" t="s">
        <v>65</v>
      </c>
      <c r="S181" s="17" t="s">
        <v>6</v>
      </c>
      <c r="T181" s="17"/>
      <c r="U181" s="17"/>
      <c r="V181" s="17">
        <v>199</v>
      </c>
      <c r="W181" s="17">
        <f t="shared" si="24"/>
        <v>199</v>
      </c>
      <c r="X181" s="17">
        <f t="shared" si="24"/>
        <v>199</v>
      </c>
      <c r="Y181" s="17">
        <f>ROUNDDOWN(W181/HLOOKUP(D181,Table!$C$3:$D$4,2,0)*8,2)</f>
        <v>3.53</v>
      </c>
      <c r="Z181" s="17">
        <v>1</v>
      </c>
      <c r="AA181" s="17" t="s">
        <v>78</v>
      </c>
      <c r="AB181" s="21">
        <v>43938</v>
      </c>
      <c r="AC181" s="21">
        <v>43935</v>
      </c>
      <c r="AD181" s="21">
        <v>43938</v>
      </c>
      <c r="AE181" s="21">
        <v>43937</v>
      </c>
      <c r="AF181" s="21">
        <v>43937</v>
      </c>
      <c r="AG181" s="22" t="s">
        <v>114</v>
      </c>
      <c r="AH181" s="38">
        <v>1</v>
      </c>
      <c r="AI181" s="38">
        <v>1</v>
      </c>
      <c r="AJ181" s="38">
        <v>1</v>
      </c>
      <c r="AK181" s="22" t="s">
        <v>574</v>
      </c>
      <c r="AL181" s="17"/>
      <c r="AM181" s="17"/>
      <c r="AN181" s="17"/>
      <c r="AO181" t="s">
        <v>941</v>
      </c>
    </row>
    <row r="182" spans="2:41" hidden="1" x14ac:dyDescent="0.25">
      <c r="B182" s="69">
        <f t="shared" si="25"/>
        <v>135</v>
      </c>
      <c r="C182" s="18">
        <v>20200414</v>
      </c>
      <c r="D182" s="17" t="s">
        <v>3</v>
      </c>
      <c r="E182" s="17" t="s">
        <v>513</v>
      </c>
      <c r="F182" s="19" t="s">
        <v>515</v>
      </c>
      <c r="G182" s="19">
        <v>1416608</v>
      </c>
      <c r="H182" s="86" t="s">
        <v>65</v>
      </c>
      <c r="I182" s="17" t="s">
        <v>528</v>
      </c>
      <c r="J182" s="86" t="s">
        <v>65</v>
      </c>
      <c r="K182" s="17" t="s">
        <v>469</v>
      </c>
      <c r="L182" s="19">
        <v>81003</v>
      </c>
      <c r="M182" s="17" t="s">
        <v>514</v>
      </c>
      <c r="N182" s="17" t="s">
        <v>468</v>
      </c>
      <c r="O182" s="19" t="s">
        <v>65</v>
      </c>
      <c r="P182" s="19" t="s">
        <v>587</v>
      </c>
      <c r="Q182" s="20"/>
      <c r="R182" s="86" t="s">
        <v>65</v>
      </c>
      <c r="S182" s="17" t="s">
        <v>6</v>
      </c>
      <c r="T182" s="17"/>
      <c r="U182" s="17"/>
      <c r="V182" s="17">
        <v>6</v>
      </c>
      <c r="W182" s="17">
        <f t="shared" ref="W182:X197" si="26">V182</f>
        <v>6</v>
      </c>
      <c r="X182" s="17">
        <f t="shared" si="26"/>
        <v>6</v>
      </c>
      <c r="Y182" s="17">
        <f>ROUNDDOWN(W182/HLOOKUP(D182,Table!$C$3:$D$4,2,0)*8,2)</f>
        <v>0.1</v>
      </c>
      <c r="Z182" s="17">
        <v>0</v>
      </c>
      <c r="AA182" s="17" t="s">
        <v>78</v>
      </c>
      <c r="AB182" s="21">
        <v>43938</v>
      </c>
      <c r="AC182" s="21">
        <v>43935</v>
      </c>
      <c r="AD182" s="21">
        <v>43938</v>
      </c>
      <c r="AE182" s="21">
        <v>43937</v>
      </c>
      <c r="AF182" s="21">
        <v>43937</v>
      </c>
      <c r="AG182" s="22" t="s">
        <v>114</v>
      </c>
      <c r="AH182" s="39" t="s">
        <v>65</v>
      </c>
      <c r="AI182" s="39" t="s">
        <v>65</v>
      </c>
      <c r="AJ182" s="39" t="s">
        <v>65</v>
      </c>
      <c r="AK182" s="22" t="s">
        <v>574</v>
      </c>
      <c r="AL182" s="17"/>
      <c r="AM182" s="17"/>
      <c r="AN182" s="17" t="s">
        <v>718</v>
      </c>
      <c r="AO182" t="s">
        <v>941</v>
      </c>
    </row>
    <row r="183" spans="2:41" hidden="1" x14ac:dyDescent="0.25">
      <c r="B183" s="84">
        <f t="shared" si="25"/>
        <v>136</v>
      </c>
      <c r="C183" s="18">
        <v>20200414</v>
      </c>
      <c r="D183" s="17" t="s">
        <v>3</v>
      </c>
      <c r="E183" s="17" t="s">
        <v>529</v>
      </c>
      <c r="F183" s="19" t="s">
        <v>530</v>
      </c>
      <c r="G183" s="19">
        <v>1390624</v>
      </c>
      <c r="H183" s="86" t="s">
        <v>65</v>
      </c>
      <c r="I183" s="17" t="s">
        <v>539</v>
      </c>
      <c r="J183" s="86" t="s">
        <v>65</v>
      </c>
      <c r="K183" s="17" t="s">
        <v>469</v>
      </c>
      <c r="L183" s="17">
        <v>81728</v>
      </c>
      <c r="M183" s="17" t="s">
        <v>65</v>
      </c>
      <c r="N183" s="17" t="s">
        <v>569</v>
      </c>
      <c r="O183" s="19" t="s">
        <v>65</v>
      </c>
      <c r="P183" s="19" t="s">
        <v>589</v>
      </c>
      <c r="Q183" s="20"/>
      <c r="R183" s="86" t="s">
        <v>65</v>
      </c>
      <c r="S183" s="17" t="s">
        <v>429</v>
      </c>
      <c r="T183" s="17"/>
      <c r="U183" s="17"/>
      <c r="V183" s="17">
        <v>60</v>
      </c>
      <c r="W183" s="17">
        <f t="shared" si="26"/>
        <v>60</v>
      </c>
      <c r="X183" s="17">
        <f t="shared" si="26"/>
        <v>60</v>
      </c>
      <c r="Y183" s="17">
        <f>ROUNDDOWN(W183/HLOOKUP(D183,Table!$C$3:$D$4,2,0)*8,2)</f>
        <v>1.06</v>
      </c>
      <c r="Z183" s="17">
        <v>0.25</v>
      </c>
      <c r="AA183" s="17" t="s">
        <v>78</v>
      </c>
      <c r="AB183" s="21">
        <v>43938</v>
      </c>
      <c r="AC183" s="21">
        <v>43935</v>
      </c>
      <c r="AD183" s="21">
        <v>43938</v>
      </c>
      <c r="AE183" s="21">
        <v>43935</v>
      </c>
      <c r="AF183" s="21">
        <v>43935</v>
      </c>
      <c r="AG183" s="22" t="s">
        <v>114</v>
      </c>
      <c r="AH183" s="38">
        <v>1</v>
      </c>
      <c r="AI183" s="38">
        <v>1</v>
      </c>
      <c r="AJ183" s="38">
        <v>1</v>
      </c>
      <c r="AK183" s="22" t="s">
        <v>574</v>
      </c>
      <c r="AL183" s="17"/>
      <c r="AM183" s="17"/>
      <c r="AN183" s="17"/>
      <c r="AO183" t="s">
        <v>941</v>
      </c>
    </row>
    <row r="184" spans="2:41" hidden="1" x14ac:dyDescent="0.25">
      <c r="B184" s="84">
        <f t="shared" si="25"/>
        <v>137</v>
      </c>
      <c r="C184" s="18">
        <v>20200414</v>
      </c>
      <c r="D184" s="17" t="s">
        <v>3</v>
      </c>
      <c r="E184" s="17" t="s">
        <v>529</v>
      </c>
      <c r="F184" s="19" t="s">
        <v>531</v>
      </c>
      <c r="G184" s="19">
        <v>1390624</v>
      </c>
      <c r="H184" s="86" t="s">
        <v>65</v>
      </c>
      <c r="I184" s="17" t="s">
        <v>540</v>
      </c>
      <c r="J184" s="86" t="s">
        <v>65</v>
      </c>
      <c r="K184" s="17" t="s">
        <v>469</v>
      </c>
      <c r="L184" s="17">
        <v>81728</v>
      </c>
      <c r="M184" s="17" t="s">
        <v>65</v>
      </c>
      <c r="N184" s="17" t="s">
        <v>569</v>
      </c>
      <c r="O184" s="19" t="s">
        <v>65</v>
      </c>
      <c r="P184" s="19" t="s">
        <v>589</v>
      </c>
      <c r="Q184" s="20"/>
      <c r="R184" s="86" t="s">
        <v>65</v>
      </c>
      <c r="S184" s="17" t="s">
        <v>429</v>
      </c>
      <c r="T184" s="17"/>
      <c r="U184" s="17"/>
      <c r="V184" s="17">
        <v>0</v>
      </c>
      <c r="W184" s="17">
        <f t="shared" si="26"/>
        <v>0</v>
      </c>
      <c r="X184" s="17">
        <f t="shared" si="26"/>
        <v>0</v>
      </c>
      <c r="Y184" s="17">
        <f>ROUNDDOWN(W184/HLOOKUP(D184,Table!$C$3:$D$4,2,0)*8,2)</f>
        <v>0</v>
      </c>
      <c r="Z184" s="17">
        <v>0</v>
      </c>
      <c r="AA184" s="17" t="s">
        <v>78</v>
      </c>
      <c r="AB184" s="21">
        <v>43938</v>
      </c>
      <c r="AC184" s="21">
        <v>43935</v>
      </c>
      <c r="AD184" s="21">
        <v>43938</v>
      </c>
      <c r="AE184" s="21">
        <v>43935</v>
      </c>
      <c r="AF184" s="21">
        <v>43935</v>
      </c>
      <c r="AG184" s="22" t="s">
        <v>114</v>
      </c>
      <c r="AH184" s="39" t="s">
        <v>65</v>
      </c>
      <c r="AI184" s="39" t="s">
        <v>65</v>
      </c>
      <c r="AJ184" s="39" t="s">
        <v>65</v>
      </c>
      <c r="AK184" s="22" t="s">
        <v>574</v>
      </c>
      <c r="AL184" s="17"/>
      <c r="AM184" s="17"/>
      <c r="AN184" s="17" t="s">
        <v>718</v>
      </c>
      <c r="AO184" t="s">
        <v>941</v>
      </c>
    </row>
    <row r="185" spans="2:41" hidden="1" x14ac:dyDescent="0.25">
      <c r="B185" s="84">
        <f t="shared" si="25"/>
        <v>138</v>
      </c>
      <c r="C185" s="18">
        <v>20200414</v>
      </c>
      <c r="D185" s="17" t="s">
        <v>3</v>
      </c>
      <c r="E185" s="17" t="s">
        <v>529</v>
      </c>
      <c r="F185" s="19" t="s">
        <v>531</v>
      </c>
      <c r="G185" s="19">
        <v>1390624</v>
      </c>
      <c r="H185" s="86" t="s">
        <v>65</v>
      </c>
      <c r="I185" s="17" t="s">
        <v>541</v>
      </c>
      <c r="J185" s="86" t="s">
        <v>65</v>
      </c>
      <c r="K185" s="17" t="s">
        <v>469</v>
      </c>
      <c r="L185" s="17">
        <v>81728</v>
      </c>
      <c r="M185" s="17" t="s">
        <v>65</v>
      </c>
      <c r="N185" s="17" t="s">
        <v>569</v>
      </c>
      <c r="O185" s="19" t="s">
        <v>65</v>
      </c>
      <c r="P185" s="19" t="s">
        <v>589</v>
      </c>
      <c r="Q185" s="20"/>
      <c r="R185" s="86" t="s">
        <v>65</v>
      </c>
      <c r="S185" s="17" t="s">
        <v>429</v>
      </c>
      <c r="T185" s="17"/>
      <c r="U185" s="17"/>
      <c r="V185" s="17">
        <v>0</v>
      </c>
      <c r="W185" s="17">
        <f t="shared" si="26"/>
        <v>0</v>
      </c>
      <c r="X185" s="17">
        <f t="shared" si="26"/>
        <v>0</v>
      </c>
      <c r="Y185" s="17">
        <f>ROUNDDOWN(W185/HLOOKUP(D185,Table!$C$3:$D$4,2,0)*8,2)</f>
        <v>0</v>
      </c>
      <c r="Z185" s="17">
        <v>0</v>
      </c>
      <c r="AA185" s="17" t="s">
        <v>78</v>
      </c>
      <c r="AB185" s="21">
        <v>43938</v>
      </c>
      <c r="AC185" s="21">
        <v>43936</v>
      </c>
      <c r="AD185" s="21">
        <v>43938</v>
      </c>
      <c r="AE185" s="21">
        <v>43935</v>
      </c>
      <c r="AF185" s="21">
        <v>43935</v>
      </c>
      <c r="AG185" s="22" t="s">
        <v>114</v>
      </c>
      <c r="AH185" s="39" t="s">
        <v>65</v>
      </c>
      <c r="AI185" s="39" t="s">
        <v>65</v>
      </c>
      <c r="AJ185" s="39" t="s">
        <v>65</v>
      </c>
      <c r="AK185" s="22" t="s">
        <v>574</v>
      </c>
      <c r="AL185" s="17"/>
      <c r="AM185" s="17"/>
      <c r="AN185" s="17" t="s">
        <v>718</v>
      </c>
      <c r="AO185" t="s">
        <v>941</v>
      </c>
    </row>
    <row r="186" spans="2:41" hidden="1" x14ac:dyDescent="0.25">
      <c r="B186" s="84">
        <f t="shared" si="25"/>
        <v>139</v>
      </c>
      <c r="C186" s="18">
        <v>20200414</v>
      </c>
      <c r="D186" s="17" t="s">
        <v>3</v>
      </c>
      <c r="E186" s="17" t="s">
        <v>529</v>
      </c>
      <c r="F186" s="19" t="s">
        <v>532</v>
      </c>
      <c r="G186" s="19">
        <v>1390624</v>
      </c>
      <c r="H186" s="86" t="s">
        <v>65</v>
      </c>
      <c r="I186" s="17" t="s">
        <v>542</v>
      </c>
      <c r="J186" s="86" t="s">
        <v>65</v>
      </c>
      <c r="K186" s="17" t="s">
        <v>469</v>
      </c>
      <c r="L186" s="17">
        <v>81728</v>
      </c>
      <c r="M186" s="17" t="s">
        <v>65</v>
      </c>
      <c r="N186" s="17" t="s">
        <v>569</v>
      </c>
      <c r="O186" s="19" t="s">
        <v>65</v>
      </c>
      <c r="P186" s="19" t="s">
        <v>589</v>
      </c>
      <c r="Q186" s="20"/>
      <c r="R186" s="86" t="s">
        <v>65</v>
      </c>
      <c r="S186" s="17" t="s">
        <v>429</v>
      </c>
      <c r="T186" s="17"/>
      <c r="U186" s="17"/>
      <c r="V186" s="17">
        <v>0</v>
      </c>
      <c r="W186" s="17">
        <f t="shared" si="26"/>
        <v>0</v>
      </c>
      <c r="X186" s="17">
        <f t="shared" si="26"/>
        <v>0</v>
      </c>
      <c r="Y186" s="17">
        <f>ROUNDDOWN(W186/HLOOKUP(D186,Table!$C$3:$D$4,2,0)*8,2)</f>
        <v>0</v>
      </c>
      <c r="Z186" s="17">
        <v>0</v>
      </c>
      <c r="AA186" s="17" t="s">
        <v>78</v>
      </c>
      <c r="AB186" s="21">
        <v>43938</v>
      </c>
      <c r="AC186" s="21">
        <v>43937</v>
      </c>
      <c r="AD186" s="21">
        <v>43938</v>
      </c>
      <c r="AE186" s="21">
        <v>43935</v>
      </c>
      <c r="AF186" s="21">
        <v>43935</v>
      </c>
      <c r="AG186" s="22" t="s">
        <v>114</v>
      </c>
      <c r="AH186" s="39" t="s">
        <v>65</v>
      </c>
      <c r="AI186" s="39" t="s">
        <v>65</v>
      </c>
      <c r="AJ186" s="39" t="s">
        <v>65</v>
      </c>
      <c r="AK186" s="22" t="s">
        <v>574</v>
      </c>
      <c r="AL186" s="17"/>
      <c r="AM186" s="17"/>
      <c r="AN186" s="17" t="s">
        <v>718</v>
      </c>
      <c r="AO186" t="s">
        <v>941</v>
      </c>
    </row>
    <row r="187" spans="2:41" hidden="1" x14ac:dyDescent="0.25">
      <c r="B187" s="84">
        <f t="shared" si="25"/>
        <v>140</v>
      </c>
      <c r="C187" s="18">
        <v>20200414</v>
      </c>
      <c r="D187" s="17" t="s">
        <v>3</v>
      </c>
      <c r="E187" s="17" t="s">
        <v>529</v>
      </c>
      <c r="F187" s="19" t="s">
        <v>532</v>
      </c>
      <c r="G187" s="19">
        <v>1390624</v>
      </c>
      <c r="H187" s="86" t="s">
        <v>65</v>
      </c>
      <c r="I187" s="17" t="s">
        <v>543</v>
      </c>
      <c r="J187" s="86" t="s">
        <v>65</v>
      </c>
      <c r="K187" s="17" t="s">
        <v>469</v>
      </c>
      <c r="L187" s="17">
        <v>81728</v>
      </c>
      <c r="M187" s="17" t="s">
        <v>65</v>
      </c>
      <c r="N187" s="17" t="s">
        <v>569</v>
      </c>
      <c r="O187" s="19" t="s">
        <v>65</v>
      </c>
      <c r="P187" s="19" t="s">
        <v>589</v>
      </c>
      <c r="Q187" s="20"/>
      <c r="R187" s="86" t="s">
        <v>65</v>
      </c>
      <c r="S187" s="17" t="s">
        <v>429</v>
      </c>
      <c r="T187" s="17"/>
      <c r="U187" s="17"/>
      <c r="V187" s="17">
        <v>5</v>
      </c>
      <c r="W187" s="17">
        <f t="shared" si="26"/>
        <v>5</v>
      </c>
      <c r="X187" s="17">
        <f t="shared" si="26"/>
        <v>5</v>
      </c>
      <c r="Y187" s="17">
        <f>ROUNDDOWN(W187/HLOOKUP(D187,Table!$C$3:$D$4,2,0)*8,2)</f>
        <v>0.08</v>
      </c>
      <c r="Z187" s="17">
        <v>0.25</v>
      </c>
      <c r="AA187" s="17" t="s">
        <v>78</v>
      </c>
      <c r="AB187" s="21">
        <v>43938</v>
      </c>
      <c r="AC187" s="21">
        <v>43935</v>
      </c>
      <c r="AD187" s="21">
        <v>43938</v>
      </c>
      <c r="AE187" s="21">
        <v>43935</v>
      </c>
      <c r="AF187" s="21">
        <v>43935</v>
      </c>
      <c r="AG187" s="22" t="s">
        <v>114</v>
      </c>
      <c r="AH187" s="38">
        <v>1</v>
      </c>
      <c r="AI187" s="38">
        <v>1</v>
      </c>
      <c r="AJ187" s="38">
        <v>1</v>
      </c>
      <c r="AK187" s="22" t="s">
        <v>574</v>
      </c>
      <c r="AL187" s="17"/>
      <c r="AM187" s="17"/>
      <c r="AN187" s="17"/>
      <c r="AO187" t="s">
        <v>941</v>
      </c>
    </row>
    <row r="188" spans="2:41" hidden="1" x14ac:dyDescent="0.25">
      <c r="B188" s="84">
        <f t="shared" si="25"/>
        <v>141</v>
      </c>
      <c r="C188" s="18">
        <v>20200414</v>
      </c>
      <c r="D188" s="17" t="s">
        <v>3</v>
      </c>
      <c r="E188" s="17" t="s">
        <v>529</v>
      </c>
      <c r="F188" s="19" t="s">
        <v>532</v>
      </c>
      <c r="G188" s="19">
        <v>1390624</v>
      </c>
      <c r="H188" s="86" t="s">
        <v>65</v>
      </c>
      <c r="I188" s="17" t="s">
        <v>544</v>
      </c>
      <c r="J188" s="86" t="s">
        <v>65</v>
      </c>
      <c r="K188" s="17" t="s">
        <v>469</v>
      </c>
      <c r="L188" s="17">
        <v>81728</v>
      </c>
      <c r="M188" s="17" t="s">
        <v>65</v>
      </c>
      <c r="N188" s="17" t="s">
        <v>569</v>
      </c>
      <c r="O188" s="19" t="s">
        <v>65</v>
      </c>
      <c r="P188" s="19" t="s">
        <v>589</v>
      </c>
      <c r="Q188" s="20"/>
      <c r="R188" s="86" t="s">
        <v>65</v>
      </c>
      <c r="S188" s="17" t="s">
        <v>429</v>
      </c>
      <c r="T188" s="17"/>
      <c r="U188" s="17"/>
      <c r="V188" s="17">
        <v>13</v>
      </c>
      <c r="W188" s="17">
        <f t="shared" si="26"/>
        <v>13</v>
      </c>
      <c r="X188" s="17">
        <f t="shared" si="26"/>
        <v>13</v>
      </c>
      <c r="Y188" s="17">
        <f>ROUNDDOWN(W188/HLOOKUP(D188,Table!$C$3:$D$4,2,0)*8,2)</f>
        <v>0.23</v>
      </c>
      <c r="Z188" s="17">
        <v>0.25</v>
      </c>
      <c r="AA188" s="17" t="s">
        <v>78</v>
      </c>
      <c r="AB188" s="21">
        <v>43938</v>
      </c>
      <c r="AC188" s="21">
        <v>43935</v>
      </c>
      <c r="AD188" s="21">
        <v>43938</v>
      </c>
      <c r="AE188" s="21">
        <v>43935</v>
      </c>
      <c r="AF188" s="21">
        <v>43935</v>
      </c>
      <c r="AG188" s="22" t="s">
        <v>114</v>
      </c>
      <c r="AH188" s="38">
        <v>1</v>
      </c>
      <c r="AI188" s="38">
        <v>1</v>
      </c>
      <c r="AJ188" s="38">
        <v>1</v>
      </c>
      <c r="AK188" s="22" t="s">
        <v>574</v>
      </c>
      <c r="AL188" s="17"/>
      <c r="AM188" s="17"/>
      <c r="AN188" s="17"/>
      <c r="AO188" t="s">
        <v>941</v>
      </c>
    </row>
    <row r="189" spans="2:41" hidden="1" x14ac:dyDescent="0.25">
      <c r="B189" s="84">
        <f t="shared" si="25"/>
        <v>142</v>
      </c>
      <c r="C189" s="18">
        <v>20200414</v>
      </c>
      <c r="D189" s="17" t="s">
        <v>3</v>
      </c>
      <c r="E189" s="17" t="s">
        <v>529</v>
      </c>
      <c r="F189" s="19" t="s">
        <v>532</v>
      </c>
      <c r="G189" s="19">
        <v>1390624</v>
      </c>
      <c r="H189" s="86" t="s">
        <v>65</v>
      </c>
      <c r="I189" s="17" t="s">
        <v>545</v>
      </c>
      <c r="J189" s="86" t="s">
        <v>65</v>
      </c>
      <c r="K189" s="17" t="s">
        <v>469</v>
      </c>
      <c r="L189" s="17">
        <v>81728</v>
      </c>
      <c r="M189" s="17" t="s">
        <v>65</v>
      </c>
      <c r="N189" s="17" t="s">
        <v>569</v>
      </c>
      <c r="O189" s="19" t="s">
        <v>65</v>
      </c>
      <c r="P189" s="19" t="s">
        <v>589</v>
      </c>
      <c r="Q189" s="20"/>
      <c r="R189" s="86" t="s">
        <v>65</v>
      </c>
      <c r="S189" s="17" t="s">
        <v>429</v>
      </c>
      <c r="T189" s="17"/>
      <c r="U189" s="17"/>
      <c r="V189" s="17">
        <v>4</v>
      </c>
      <c r="W189" s="17">
        <f t="shared" si="26"/>
        <v>4</v>
      </c>
      <c r="X189" s="17">
        <f t="shared" si="26"/>
        <v>4</v>
      </c>
      <c r="Y189" s="17">
        <f>ROUNDDOWN(W189/HLOOKUP(D189,Table!$C$3:$D$4,2,0)*8,2)</f>
        <v>7.0000000000000007E-2</v>
      </c>
      <c r="Z189" s="17">
        <v>0.25</v>
      </c>
      <c r="AA189" s="17" t="s">
        <v>78</v>
      </c>
      <c r="AB189" s="21">
        <v>43938</v>
      </c>
      <c r="AC189" s="21">
        <v>43935</v>
      </c>
      <c r="AD189" s="21">
        <v>43938</v>
      </c>
      <c r="AE189" s="21">
        <v>43935</v>
      </c>
      <c r="AF189" s="21">
        <v>43935</v>
      </c>
      <c r="AG189" s="22" t="s">
        <v>114</v>
      </c>
      <c r="AH189" s="38">
        <v>1</v>
      </c>
      <c r="AI189" s="38">
        <v>1</v>
      </c>
      <c r="AJ189" s="38">
        <v>1</v>
      </c>
      <c r="AK189" s="22" t="s">
        <v>574</v>
      </c>
      <c r="AL189" s="17"/>
      <c r="AM189" s="17"/>
      <c r="AN189" s="17"/>
      <c r="AO189" t="s">
        <v>941</v>
      </c>
    </row>
    <row r="190" spans="2:41" hidden="1" x14ac:dyDescent="0.25">
      <c r="B190" s="84">
        <f t="shared" si="25"/>
        <v>143</v>
      </c>
      <c r="C190" s="18">
        <v>20200414</v>
      </c>
      <c r="D190" s="17" t="s">
        <v>3</v>
      </c>
      <c r="E190" s="17" t="s">
        <v>529</v>
      </c>
      <c r="F190" s="19" t="s">
        <v>533</v>
      </c>
      <c r="G190" s="19">
        <v>1390624</v>
      </c>
      <c r="H190" s="86" t="s">
        <v>65</v>
      </c>
      <c r="I190" s="17" t="s">
        <v>546</v>
      </c>
      <c r="J190" s="86" t="s">
        <v>65</v>
      </c>
      <c r="K190" s="17" t="s">
        <v>469</v>
      </c>
      <c r="L190" s="17">
        <v>81728</v>
      </c>
      <c r="M190" s="17" t="s">
        <v>65</v>
      </c>
      <c r="N190" s="17" t="s">
        <v>569</v>
      </c>
      <c r="O190" s="19" t="s">
        <v>65</v>
      </c>
      <c r="P190" s="19" t="s">
        <v>589</v>
      </c>
      <c r="Q190" s="20"/>
      <c r="R190" s="86" t="s">
        <v>65</v>
      </c>
      <c r="S190" s="17" t="s">
        <v>429</v>
      </c>
      <c r="T190" s="17"/>
      <c r="U190" s="17"/>
      <c r="V190" s="17">
        <v>329</v>
      </c>
      <c r="W190" s="17">
        <f t="shared" si="26"/>
        <v>329</v>
      </c>
      <c r="X190" s="17">
        <f t="shared" si="26"/>
        <v>329</v>
      </c>
      <c r="Y190" s="17">
        <f>ROUNDDOWN(W190/HLOOKUP(D190,Table!$C$3:$D$4,2,0)*8,2)</f>
        <v>5.84</v>
      </c>
      <c r="Z190" s="17">
        <v>0.25</v>
      </c>
      <c r="AA190" s="17" t="s">
        <v>78</v>
      </c>
      <c r="AB190" s="21">
        <v>43938</v>
      </c>
      <c r="AC190" s="21">
        <v>43935</v>
      </c>
      <c r="AD190" s="21">
        <v>43938</v>
      </c>
      <c r="AE190" s="21">
        <v>43935</v>
      </c>
      <c r="AF190" s="21">
        <v>43935</v>
      </c>
      <c r="AG190" s="22" t="s">
        <v>114</v>
      </c>
      <c r="AH190" s="38">
        <v>1</v>
      </c>
      <c r="AI190" s="38">
        <v>1</v>
      </c>
      <c r="AJ190" s="38">
        <v>1</v>
      </c>
      <c r="AK190" s="22" t="s">
        <v>574</v>
      </c>
      <c r="AL190" s="17"/>
      <c r="AM190" s="17"/>
      <c r="AN190" s="17"/>
      <c r="AO190" t="s">
        <v>941</v>
      </c>
    </row>
    <row r="191" spans="2:41" hidden="1" x14ac:dyDescent="0.25">
      <c r="B191" s="84">
        <f t="shared" si="25"/>
        <v>144</v>
      </c>
      <c r="C191" s="18">
        <v>20200414</v>
      </c>
      <c r="D191" s="17" t="s">
        <v>3</v>
      </c>
      <c r="E191" s="17" t="s">
        <v>529</v>
      </c>
      <c r="F191" s="19" t="s">
        <v>533</v>
      </c>
      <c r="G191" s="19">
        <v>1390624</v>
      </c>
      <c r="H191" s="86" t="s">
        <v>65</v>
      </c>
      <c r="I191" s="17" t="s">
        <v>547</v>
      </c>
      <c r="J191" s="86" t="s">
        <v>65</v>
      </c>
      <c r="K191" s="17" t="s">
        <v>469</v>
      </c>
      <c r="L191" s="17">
        <v>81728</v>
      </c>
      <c r="M191" s="17" t="s">
        <v>65</v>
      </c>
      <c r="N191" s="17" t="s">
        <v>569</v>
      </c>
      <c r="O191" s="19" t="s">
        <v>65</v>
      </c>
      <c r="P191" s="19" t="s">
        <v>589</v>
      </c>
      <c r="Q191" s="20"/>
      <c r="R191" s="86" t="s">
        <v>65</v>
      </c>
      <c r="S191" s="17" t="s">
        <v>429</v>
      </c>
      <c r="T191" s="17"/>
      <c r="U191" s="17"/>
      <c r="V191" s="17">
        <v>96</v>
      </c>
      <c r="W191" s="17">
        <f t="shared" si="26"/>
        <v>96</v>
      </c>
      <c r="X191" s="17">
        <f t="shared" si="26"/>
        <v>96</v>
      </c>
      <c r="Y191" s="17">
        <f>ROUNDDOWN(W191/HLOOKUP(D191,Table!$C$3:$D$4,2,0)*8,2)</f>
        <v>1.7</v>
      </c>
      <c r="Z191" s="17">
        <v>0.25</v>
      </c>
      <c r="AA191" s="17" t="s">
        <v>78</v>
      </c>
      <c r="AB191" s="21">
        <v>43938</v>
      </c>
      <c r="AC191" s="21">
        <v>43935</v>
      </c>
      <c r="AD191" s="21">
        <v>43938</v>
      </c>
      <c r="AE191" s="21">
        <v>43935</v>
      </c>
      <c r="AF191" s="21">
        <v>43935</v>
      </c>
      <c r="AG191" s="22" t="s">
        <v>114</v>
      </c>
      <c r="AH191" s="38">
        <v>1</v>
      </c>
      <c r="AI191" s="38">
        <v>1</v>
      </c>
      <c r="AJ191" s="38">
        <v>1</v>
      </c>
      <c r="AK191" s="22" t="s">
        <v>574</v>
      </c>
      <c r="AL191" s="17"/>
      <c r="AM191" s="17"/>
      <c r="AN191" s="17"/>
      <c r="AO191" t="s">
        <v>941</v>
      </c>
    </row>
    <row r="192" spans="2:41" hidden="1" x14ac:dyDescent="0.25">
      <c r="B192" s="84">
        <f t="shared" si="25"/>
        <v>145</v>
      </c>
      <c r="C192" s="18">
        <v>20200414</v>
      </c>
      <c r="D192" s="17" t="s">
        <v>3</v>
      </c>
      <c r="E192" s="17" t="s">
        <v>529</v>
      </c>
      <c r="F192" s="19" t="s">
        <v>533</v>
      </c>
      <c r="G192" s="19">
        <v>1390624</v>
      </c>
      <c r="H192" s="86" t="s">
        <v>65</v>
      </c>
      <c r="I192" s="17" t="s">
        <v>548</v>
      </c>
      <c r="J192" s="86" t="s">
        <v>65</v>
      </c>
      <c r="K192" s="17" t="s">
        <v>469</v>
      </c>
      <c r="L192" s="17">
        <v>81728</v>
      </c>
      <c r="M192" s="17" t="s">
        <v>65</v>
      </c>
      <c r="N192" s="17" t="s">
        <v>569</v>
      </c>
      <c r="O192" s="19" t="s">
        <v>65</v>
      </c>
      <c r="P192" s="19" t="s">
        <v>589</v>
      </c>
      <c r="Q192" s="20"/>
      <c r="R192" s="86" t="s">
        <v>65</v>
      </c>
      <c r="S192" s="17" t="s">
        <v>429</v>
      </c>
      <c r="T192" s="17"/>
      <c r="U192" s="17"/>
      <c r="V192" s="17">
        <v>518</v>
      </c>
      <c r="W192" s="17">
        <f t="shared" si="26"/>
        <v>518</v>
      </c>
      <c r="X192" s="17">
        <v>518</v>
      </c>
      <c r="Y192" s="17">
        <f>ROUNDDOWN(W192/HLOOKUP(D192,Table!$C$3:$D$4,2,0)*8,2)</f>
        <v>9.1999999999999993</v>
      </c>
      <c r="Z192" s="17">
        <v>26</v>
      </c>
      <c r="AA192" s="17" t="s">
        <v>78</v>
      </c>
      <c r="AB192" s="21">
        <v>43938</v>
      </c>
      <c r="AC192" s="21">
        <v>43935</v>
      </c>
      <c r="AD192" s="21">
        <v>43938</v>
      </c>
      <c r="AE192" s="21">
        <v>43935</v>
      </c>
      <c r="AF192" s="21">
        <v>43938</v>
      </c>
      <c r="AG192" s="22" t="s">
        <v>115</v>
      </c>
      <c r="AH192" s="38">
        <v>0.98</v>
      </c>
      <c r="AI192" s="38">
        <v>0.99</v>
      </c>
      <c r="AJ192" s="38">
        <v>1</v>
      </c>
      <c r="AK192" s="22" t="s">
        <v>354</v>
      </c>
      <c r="AL192" s="17" t="s">
        <v>724</v>
      </c>
      <c r="AM192" s="17"/>
      <c r="AN192" s="17"/>
      <c r="AO192" t="s">
        <v>941</v>
      </c>
    </row>
    <row r="193" spans="2:41" hidden="1" x14ac:dyDescent="0.25">
      <c r="B193" s="84">
        <f t="shared" si="25"/>
        <v>146</v>
      </c>
      <c r="C193" s="18">
        <v>20200414</v>
      </c>
      <c r="D193" s="17" t="s">
        <v>3</v>
      </c>
      <c r="E193" s="17" t="s">
        <v>529</v>
      </c>
      <c r="F193" s="19" t="s">
        <v>533</v>
      </c>
      <c r="G193" s="19">
        <v>1390624</v>
      </c>
      <c r="H193" s="86" t="s">
        <v>65</v>
      </c>
      <c r="I193" s="17" t="s">
        <v>549</v>
      </c>
      <c r="J193" s="86" t="s">
        <v>65</v>
      </c>
      <c r="K193" s="17" t="s">
        <v>469</v>
      </c>
      <c r="L193" s="17">
        <v>81728</v>
      </c>
      <c r="M193" s="17" t="s">
        <v>65</v>
      </c>
      <c r="N193" s="17" t="s">
        <v>569</v>
      </c>
      <c r="O193" s="19" t="s">
        <v>65</v>
      </c>
      <c r="P193" s="19" t="s">
        <v>589</v>
      </c>
      <c r="Q193" s="20"/>
      <c r="R193" s="86" t="s">
        <v>65</v>
      </c>
      <c r="S193" s="17" t="s">
        <v>429</v>
      </c>
      <c r="T193" s="17"/>
      <c r="U193" s="17"/>
      <c r="V193" s="17">
        <v>51</v>
      </c>
      <c r="W193" s="17">
        <f t="shared" si="26"/>
        <v>51</v>
      </c>
      <c r="X193" s="17">
        <f t="shared" si="26"/>
        <v>51</v>
      </c>
      <c r="Y193" s="17">
        <f>ROUNDDOWN(W193/HLOOKUP(D193,Table!$C$3:$D$4,2,0)*8,2)</f>
        <v>0.9</v>
      </c>
      <c r="Z193" s="17">
        <v>0.25</v>
      </c>
      <c r="AA193" s="17" t="s">
        <v>78</v>
      </c>
      <c r="AB193" s="21">
        <v>43938</v>
      </c>
      <c r="AC193" s="21">
        <v>43935</v>
      </c>
      <c r="AD193" s="21">
        <v>43938</v>
      </c>
      <c r="AE193" s="21">
        <v>43935</v>
      </c>
      <c r="AF193" s="21">
        <v>43935</v>
      </c>
      <c r="AG193" s="22" t="s">
        <v>114</v>
      </c>
      <c r="AH193" s="38">
        <v>1</v>
      </c>
      <c r="AI193" s="38">
        <v>1</v>
      </c>
      <c r="AJ193" s="38">
        <v>1</v>
      </c>
      <c r="AK193" s="22" t="s">
        <v>574</v>
      </c>
      <c r="AL193" s="17"/>
      <c r="AM193" s="17"/>
      <c r="AN193" s="17"/>
      <c r="AO193" t="s">
        <v>941</v>
      </c>
    </row>
    <row r="194" spans="2:41" hidden="1" x14ac:dyDescent="0.25">
      <c r="B194" s="84">
        <f t="shared" si="25"/>
        <v>147</v>
      </c>
      <c r="C194" s="18">
        <v>20200414</v>
      </c>
      <c r="D194" s="17" t="s">
        <v>3</v>
      </c>
      <c r="E194" s="17" t="s">
        <v>529</v>
      </c>
      <c r="F194" s="19" t="s">
        <v>533</v>
      </c>
      <c r="G194" s="19">
        <v>1390624</v>
      </c>
      <c r="H194" s="86" t="s">
        <v>65</v>
      </c>
      <c r="I194" s="17" t="s">
        <v>550</v>
      </c>
      <c r="J194" s="86" t="s">
        <v>65</v>
      </c>
      <c r="K194" s="17" t="s">
        <v>469</v>
      </c>
      <c r="L194" s="17">
        <v>81728</v>
      </c>
      <c r="M194" s="17" t="s">
        <v>65</v>
      </c>
      <c r="N194" s="17" t="s">
        <v>569</v>
      </c>
      <c r="O194" s="19" t="s">
        <v>65</v>
      </c>
      <c r="P194" s="19" t="s">
        <v>589</v>
      </c>
      <c r="Q194" s="20"/>
      <c r="R194" s="86" t="s">
        <v>65</v>
      </c>
      <c r="S194" s="17" t="s">
        <v>429</v>
      </c>
      <c r="T194" s="17"/>
      <c r="U194" s="17"/>
      <c r="V194" s="17">
        <v>0</v>
      </c>
      <c r="W194" s="17">
        <f t="shared" si="26"/>
        <v>0</v>
      </c>
      <c r="X194" s="17">
        <f>W194</f>
        <v>0</v>
      </c>
      <c r="Y194" s="17">
        <f>ROUNDDOWN(W194/HLOOKUP(D194,Table!$C$3:$D$4,2,0)*8,2)</f>
        <v>0</v>
      </c>
      <c r="Z194" s="17">
        <v>0</v>
      </c>
      <c r="AA194" s="17" t="s">
        <v>78</v>
      </c>
      <c r="AB194" s="21">
        <v>43938</v>
      </c>
      <c r="AC194" s="21">
        <v>43935</v>
      </c>
      <c r="AD194" s="21">
        <v>43938</v>
      </c>
      <c r="AE194" s="21">
        <v>43935</v>
      </c>
      <c r="AF194" s="21">
        <v>43935</v>
      </c>
      <c r="AG194" s="22" t="s">
        <v>114</v>
      </c>
      <c r="AH194" s="39" t="s">
        <v>65</v>
      </c>
      <c r="AI194" s="39" t="s">
        <v>65</v>
      </c>
      <c r="AJ194" s="39" t="s">
        <v>65</v>
      </c>
      <c r="AK194" s="22" t="s">
        <v>574</v>
      </c>
      <c r="AL194" s="63"/>
      <c r="AM194" s="17"/>
      <c r="AN194" s="17" t="s">
        <v>718</v>
      </c>
      <c r="AO194" t="s">
        <v>941</v>
      </c>
    </row>
    <row r="195" spans="2:41" hidden="1" x14ac:dyDescent="0.25">
      <c r="B195" s="84">
        <f t="shared" si="25"/>
        <v>148</v>
      </c>
      <c r="C195" s="18">
        <v>20200414</v>
      </c>
      <c r="D195" s="17" t="s">
        <v>3</v>
      </c>
      <c r="E195" s="17" t="s">
        <v>529</v>
      </c>
      <c r="F195" s="19" t="s">
        <v>533</v>
      </c>
      <c r="G195" s="19">
        <v>1390624</v>
      </c>
      <c r="H195" s="86" t="s">
        <v>65</v>
      </c>
      <c r="I195" s="17" t="s">
        <v>551</v>
      </c>
      <c r="J195" s="86" t="s">
        <v>65</v>
      </c>
      <c r="K195" s="17" t="s">
        <v>469</v>
      </c>
      <c r="L195" s="17">
        <v>81728</v>
      </c>
      <c r="M195" s="17" t="s">
        <v>65</v>
      </c>
      <c r="N195" s="17" t="s">
        <v>569</v>
      </c>
      <c r="O195" s="19" t="s">
        <v>65</v>
      </c>
      <c r="P195" s="19" t="s">
        <v>589</v>
      </c>
      <c r="Q195" s="20"/>
      <c r="R195" s="86" t="s">
        <v>65</v>
      </c>
      <c r="S195" s="17" t="s">
        <v>430</v>
      </c>
      <c r="T195" s="17"/>
      <c r="U195" s="17"/>
      <c r="V195" s="17">
        <v>7</v>
      </c>
      <c r="W195" s="17">
        <f t="shared" si="26"/>
        <v>7</v>
      </c>
      <c r="X195" s="17">
        <f t="shared" si="26"/>
        <v>7</v>
      </c>
      <c r="Y195" s="17">
        <f>ROUNDDOWN(W195/HLOOKUP(D195,Table!$C$3:$D$4,2,0)*8,2)</f>
        <v>0.12</v>
      </c>
      <c r="Z195" s="17">
        <v>0.1</v>
      </c>
      <c r="AA195" s="17" t="s">
        <v>78</v>
      </c>
      <c r="AB195" s="21">
        <v>43938</v>
      </c>
      <c r="AC195" s="21">
        <v>43935</v>
      </c>
      <c r="AD195" s="21">
        <v>43938</v>
      </c>
      <c r="AE195" s="21">
        <v>43935</v>
      </c>
      <c r="AF195" s="21">
        <v>43935</v>
      </c>
      <c r="AG195" s="22" t="s">
        <v>114</v>
      </c>
      <c r="AH195" s="38">
        <v>1</v>
      </c>
      <c r="AI195" s="38">
        <v>1</v>
      </c>
      <c r="AJ195" s="38">
        <v>1</v>
      </c>
      <c r="AK195" s="22" t="s">
        <v>574</v>
      </c>
      <c r="AL195" s="17"/>
      <c r="AM195" s="17"/>
      <c r="AN195" s="17"/>
      <c r="AO195" t="s">
        <v>941</v>
      </c>
    </row>
    <row r="196" spans="2:41" hidden="1" x14ac:dyDescent="0.25">
      <c r="B196" s="84">
        <f t="shared" si="25"/>
        <v>149</v>
      </c>
      <c r="C196" s="18">
        <v>20200414</v>
      </c>
      <c r="D196" s="17" t="s">
        <v>3</v>
      </c>
      <c r="E196" s="17" t="s">
        <v>529</v>
      </c>
      <c r="F196" s="19" t="s">
        <v>533</v>
      </c>
      <c r="G196" s="19">
        <v>1390624</v>
      </c>
      <c r="H196" s="86" t="s">
        <v>65</v>
      </c>
      <c r="I196" s="17" t="s">
        <v>552</v>
      </c>
      <c r="J196" s="86" t="s">
        <v>65</v>
      </c>
      <c r="K196" s="17" t="s">
        <v>469</v>
      </c>
      <c r="L196" s="17">
        <v>81728</v>
      </c>
      <c r="M196" s="17" t="s">
        <v>65</v>
      </c>
      <c r="N196" s="17" t="s">
        <v>569</v>
      </c>
      <c r="O196" s="19" t="s">
        <v>65</v>
      </c>
      <c r="P196" s="19" t="s">
        <v>589</v>
      </c>
      <c r="Q196" s="20"/>
      <c r="R196" s="86" t="s">
        <v>65</v>
      </c>
      <c r="S196" s="17" t="s">
        <v>430</v>
      </c>
      <c r="T196" s="17"/>
      <c r="U196" s="17"/>
      <c r="V196" s="17">
        <v>78</v>
      </c>
      <c r="W196" s="17">
        <f t="shared" si="26"/>
        <v>78</v>
      </c>
      <c r="X196" s="17">
        <f t="shared" si="26"/>
        <v>78</v>
      </c>
      <c r="Y196" s="17">
        <f>ROUNDDOWN(W196/HLOOKUP(D196,Table!$C$3:$D$4,2,0)*8,2)</f>
        <v>1.38</v>
      </c>
      <c r="Z196" s="17">
        <v>1</v>
      </c>
      <c r="AA196" s="17" t="s">
        <v>78</v>
      </c>
      <c r="AB196" s="21">
        <v>43938</v>
      </c>
      <c r="AC196" s="21">
        <v>43935</v>
      </c>
      <c r="AD196" s="21">
        <v>43938</v>
      </c>
      <c r="AE196" s="21">
        <v>43935</v>
      </c>
      <c r="AF196" s="21">
        <v>43935</v>
      </c>
      <c r="AG196" s="22" t="s">
        <v>114</v>
      </c>
      <c r="AH196" s="38">
        <v>1</v>
      </c>
      <c r="AI196" s="38">
        <v>1</v>
      </c>
      <c r="AJ196" s="38">
        <v>1</v>
      </c>
      <c r="AK196" s="22" t="s">
        <v>574</v>
      </c>
      <c r="AL196" s="17"/>
      <c r="AM196" s="17"/>
      <c r="AN196" s="17"/>
      <c r="AO196" t="s">
        <v>941</v>
      </c>
    </row>
    <row r="197" spans="2:41" hidden="1" x14ac:dyDescent="0.25">
      <c r="B197" s="84">
        <f t="shared" si="25"/>
        <v>150</v>
      </c>
      <c r="C197" s="18">
        <v>20200414</v>
      </c>
      <c r="D197" s="17" t="s">
        <v>3</v>
      </c>
      <c r="E197" s="17" t="s">
        <v>529</v>
      </c>
      <c r="F197" s="19" t="s">
        <v>533</v>
      </c>
      <c r="G197" s="19">
        <v>1390624</v>
      </c>
      <c r="H197" s="86" t="s">
        <v>65</v>
      </c>
      <c r="I197" s="17" t="s">
        <v>553</v>
      </c>
      <c r="J197" s="86" t="s">
        <v>65</v>
      </c>
      <c r="K197" s="17" t="s">
        <v>469</v>
      </c>
      <c r="L197" s="17">
        <v>81728</v>
      </c>
      <c r="M197" s="17" t="s">
        <v>65</v>
      </c>
      <c r="N197" s="17" t="s">
        <v>569</v>
      </c>
      <c r="O197" s="19" t="s">
        <v>65</v>
      </c>
      <c r="P197" s="19" t="s">
        <v>589</v>
      </c>
      <c r="Q197" s="20"/>
      <c r="R197" s="86" t="s">
        <v>65</v>
      </c>
      <c r="S197" s="17" t="s">
        <v>430</v>
      </c>
      <c r="T197" s="17"/>
      <c r="U197" s="17"/>
      <c r="V197" s="17">
        <v>24</v>
      </c>
      <c r="W197" s="17">
        <f t="shared" si="26"/>
        <v>24</v>
      </c>
      <c r="X197" s="17">
        <f t="shared" si="26"/>
        <v>24</v>
      </c>
      <c r="Y197" s="17">
        <f>ROUNDDOWN(W197/HLOOKUP(D197,Table!$C$3:$D$4,2,0)*8,2)</f>
        <v>0.42</v>
      </c>
      <c r="Z197" s="17">
        <v>0.5</v>
      </c>
      <c r="AA197" s="17" t="s">
        <v>78</v>
      </c>
      <c r="AB197" s="21">
        <v>43938</v>
      </c>
      <c r="AC197" s="21">
        <v>43935</v>
      </c>
      <c r="AD197" s="21">
        <v>43938</v>
      </c>
      <c r="AE197" s="21">
        <v>43935</v>
      </c>
      <c r="AF197" s="21">
        <v>43935</v>
      </c>
      <c r="AG197" s="22" t="s">
        <v>114</v>
      </c>
      <c r="AH197" s="38">
        <v>1</v>
      </c>
      <c r="AI197" s="38">
        <v>1</v>
      </c>
      <c r="AJ197" s="38">
        <v>1</v>
      </c>
      <c r="AK197" s="22" t="s">
        <v>574</v>
      </c>
      <c r="AL197" s="17"/>
      <c r="AM197" s="17"/>
      <c r="AN197" s="17"/>
      <c r="AO197" t="s">
        <v>941</v>
      </c>
    </row>
    <row r="198" spans="2:41" hidden="1" x14ac:dyDescent="0.25">
      <c r="B198" s="84">
        <f t="shared" si="25"/>
        <v>151</v>
      </c>
      <c r="C198" s="18">
        <v>20200414</v>
      </c>
      <c r="D198" s="17" t="s">
        <v>3</v>
      </c>
      <c r="E198" s="17" t="s">
        <v>529</v>
      </c>
      <c r="F198" s="19" t="s">
        <v>534</v>
      </c>
      <c r="G198" s="19">
        <v>1390624</v>
      </c>
      <c r="H198" s="86" t="s">
        <v>65</v>
      </c>
      <c r="I198" s="17" t="s">
        <v>554</v>
      </c>
      <c r="J198" s="86" t="s">
        <v>65</v>
      </c>
      <c r="K198" s="17" t="s">
        <v>469</v>
      </c>
      <c r="L198" s="17">
        <v>81728</v>
      </c>
      <c r="M198" s="17" t="s">
        <v>65</v>
      </c>
      <c r="N198" s="17" t="s">
        <v>569</v>
      </c>
      <c r="O198" s="19" t="s">
        <v>65</v>
      </c>
      <c r="P198" s="19" t="s">
        <v>589</v>
      </c>
      <c r="Q198" s="20"/>
      <c r="R198" s="86" t="s">
        <v>65</v>
      </c>
      <c r="S198" s="17" t="s">
        <v>430</v>
      </c>
      <c r="T198" s="17"/>
      <c r="U198" s="17"/>
      <c r="V198" s="17">
        <v>12</v>
      </c>
      <c r="W198" s="17">
        <f t="shared" ref="W198:X239" si="27">V198</f>
        <v>12</v>
      </c>
      <c r="X198" s="17">
        <f t="shared" si="27"/>
        <v>12</v>
      </c>
      <c r="Y198" s="17">
        <f>ROUNDDOWN(W198/HLOOKUP(D198,Table!$C$3:$D$4,2,0)*8,2)</f>
        <v>0.21</v>
      </c>
      <c r="Z198" s="17">
        <v>0.25</v>
      </c>
      <c r="AA198" s="17" t="s">
        <v>78</v>
      </c>
      <c r="AB198" s="21">
        <v>43938</v>
      </c>
      <c r="AC198" s="21">
        <v>43935</v>
      </c>
      <c r="AD198" s="21">
        <v>43938</v>
      </c>
      <c r="AE198" s="21">
        <v>43935</v>
      </c>
      <c r="AF198" s="21">
        <v>43935</v>
      </c>
      <c r="AG198" s="22" t="s">
        <v>114</v>
      </c>
      <c r="AH198" s="38">
        <v>1</v>
      </c>
      <c r="AI198" s="38">
        <v>1</v>
      </c>
      <c r="AJ198" s="38">
        <v>1</v>
      </c>
      <c r="AK198" s="22" t="s">
        <v>574</v>
      </c>
      <c r="AL198" s="17"/>
      <c r="AM198" s="17"/>
      <c r="AN198" s="17"/>
      <c r="AO198" t="s">
        <v>941</v>
      </c>
    </row>
    <row r="199" spans="2:41" hidden="1" x14ac:dyDescent="0.25">
      <c r="B199" s="84">
        <f t="shared" si="25"/>
        <v>152</v>
      </c>
      <c r="C199" s="18">
        <v>20200414</v>
      </c>
      <c r="D199" s="17" t="s">
        <v>3</v>
      </c>
      <c r="E199" s="17" t="s">
        <v>529</v>
      </c>
      <c r="F199" s="19" t="s">
        <v>534</v>
      </c>
      <c r="G199" s="19">
        <v>1390624</v>
      </c>
      <c r="H199" s="86" t="s">
        <v>65</v>
      </c>
      <c r="I199" s="17" t="s">
        <v>555</v>
      </c>
      <c r="J199" s="86" t="s">
        <v>65</v>
      </c>
      <c r="K199" s="17" t="s">
        <v>469</v>
      </c>
      <c r="L199" s="17">
        <v>81728</v>
      </c>
      <c r="M199" s="17" t="s">
        <v>65</v>
      </c>
      <c r="N199" s="17" t="s">
        <v>569</v>
      </c>
      <c r="O199" s="19" t="s">
        <v>65</v>
      </c>
      <c r="P199" s="19" t="s">
        <v>589</v>
      </c>
      <c r="Q199" s="20"/>
      <c r="R199" s="86" t="s">
        <v>65</v>
      </c>
      <c r="S199" s="17" t="s">
        <v>430</v>
      </c>
      <c r="T199" s="17"/>
      <c r="U199" s="17"/>
      <c r="V199" s="17">
        <v>0</v>
      </c>
      <c r="W199" s="17">
        <f t="shared" si="27"/>
        <v>0</v>
      </c>
      <c r="X199" s="17">
        <f t="shared" si="27"/>
        <v>0</v>
      </c>
      <c r="Y199" s="17">
        <f>ROUNDDOWN(W199/HLOOKUP(D199,Table!$C$3:$D$4,2,0)*8,2)</f>
        <v>0</v>
      </c>
      <c r="Z199" s="17">
        <v>0</v>
      </c>
      <c r="AA199" s="17" t="s">
        <v>78</v>
      </c>
      <c r="AB199" s="21">
        <v>43938</v>
      </c>
      <c r="AC199" s="21">
        <v>43935</v>
      </c>
      <c r="AD199" s="21">
        <v>43938</v>
      </c>
      <c r="AE199" s="21">
        <v>43935</v>
      </c>
      <c r="AF199" s="21">
        <v>43935</v>
      </c>
      <c r="AG199" s="22" t="s">
        <v>114</v>
      </c>
      <c r="AH199" s="39" t="s">
        <v>65</v>
      </c>
      <c r="AI199" s="39" t="s">
        <v>65</v>
      </c>
      <c r="AJ199" s="39" t="s">
        <v>65</v>
      </c>
      <c r="AK199" s="22" t="s">
        <v>574</v>
      </c>
      <c r="AL199" s="17"/>
      <c r="AM199" s="17"/>
      <c r="AN199" s="17" t="s">
        <v>718</v>
      </c>
      <c r="AO199" t="s">
        <v>941</v>
      </c>
    </row>
    <row r="200" spans="2:41" hidden="1" x14ac:dyDescent="0.25">
      <c r="B200" s="84">
        <f t="shared" si="25"/>
        <v>153</v>
      </c>
      <c r="C200" s="18">
        <v>20200414</v>
      </c>
      <c r="D200" s="17" t="s">
        <v>3</v>
      </c>
      <c r="E200" s="17" t="s">
        <v>529</v>
      </c>
      <c r="F200" s="19" t="s">
        <v>534</v>
      </c>
      <c r="G200" s="19">
        <v>1390624</v>
      </c>
      <c r="H200" s="86" t="s">
        <v>65</v>
      </c>
      <c r="I200" s="17" t="s">
        <v>556</v>
      </c>
      <c r="J200" s="86" t="s">
        <v>65</v>
      </c>
      <c r="K200" s="17" t="s">
        <v>469</v>
      </c>
      <c r="L200" s="17">
        <v>81728</v>
      </c>
      <c r="M200" s="17" t="s">
        <v>65</v>
      </c>
      <c r="N200" s="17" t="s">
        <v>569</v>
      </c>
      <c r="O200" s="19" t="s">
        <v>65</v>
      </c>
      <c r="P200" s="19" t="s">
        <v>589</v>
      </c>
      <c r="Q200" s="20"/>
      <c r="R200" s="86" t="s">
        <v>65</v>
      </c>
      <c r="S200" s="17" t="s">
        <v>430</v>
      </c>
      <c r="T200" s="17"/>
      <c r="U200" s="17"/>
      <c r="V200" s="17">
        <v>5</v>
      </c>
      <c r="W200" s="17">
        <f t="shared" si="27"/>
        <v>5</v>
      </c>
      <c r="X200" s="17">
        <f t="shared" si="27"/>
        <v>5</v>
      </c>
      <c r="Y200" s="17">
        <f>ROUNDDOWN(W200/HLOOKUP(D200,Table!$C$3:$D$4,2,0)*8,2)</f>
        <v>0.08</v>
      </c>
      <c r="Z200" s="17">
        <v>0.08</v>
      </c>
      <c r="AA200" s="17" t="s">
        <v>78</v>
      </c>
      <c r="AB200" s="21">
        <v>43938</v>
      </c>
      <c r="AC200" s="21">
        <v>43935</v>
      </c>
      <c r="AD200" s="21">
        <v>43938</v>
      </c>
      <c r="AE200" s="21">
        <v>43935</v>
      </c>
      <c r="AF200" s="21">
        <v>43935</v>
      </c>
      <c r="AG200" s="22" t="s">
        <v>114</v>
      </c>
      <c r="AH200" s="38">
        <v>1</v>
      </c>
      <c r="AI200" s="38">
        <v>1</v>
      </c>
      <c r="AJ200" s="38">
        <v>1</v>
      </c>
      <c r="AK200" s="22" t="s">
        <v>574</v>
      </c>
      <c r="AL200" s="17"/>
      <c r="AM200" s="17"/>
      <c r="AN200" s="17"/>
      <c r="AO200" t="s">
        <v>941</v>
      </c>
    </row>
    <row r="201" spans="2:41" hidden="1" x14ac:dyDescent="0.25">
      <c r="B201" s="84">
        <f t="shared" si="25"/>
        <v>154</v>
      </c>
      <c r="C201" s="18">
        <v>20200414</v>
      </c>
      <c r="D201" s="17" t="s">
        <v>3</v>
      </c>
      <c r="E201" s="17" t="s">
        <v>529</v>
      </c>
      <c r="F201" s="19" t="s">
        <v>535</v>
      </c>
      <c r="G201" s="19">
        <v>1390624</v>
      </c>
      <c r="H201" s="86" t="s">
        <v>65</v>
      </c>
      <c r="I201" s="17" t="s">
        <v>557</v>
      </c>
      <c r="J201" s="86" t="s">
        <v>65</v>
      </c>
      <c r="K201" s="17" t="s">
        <v>469</v>
      </c>
      <c r="L201" s="17">
        <v>81728</v>
      </c>
      <c r="M201" s="17" t="s">
        <v>65</v>
      </c>
      <c r="N201" s="17" t="s">
        <v>569</v>
      </c>
      <c r="O201" s="19" t="s">
        <v>65</v>
      </c>
      <c r="P201" s="19" t="s">
        <v>589</v>
      </c>
      <c r="Q201" s="20"/>
      <c r="R201" s="86" t="s">
        <v>65</v>
      </c>
      <c r="S201" s="17" t="s">
        <v>430</v>
      </c>
      <c r="T201" s="17"/>
      <c r="U201" s="17"/>
      <c r="V201" s="17">
        <v>8</v>
      </c>
      <c r="W201" s="17">
        <f t="shared" si="27"/>
        <v>8</v>
      </c>
      <c r="X201" s="17">
        <f t="shared" si="27"/>
        <v>8</v>
      </c>
      <c r="Y201" s="17">
        <f>ROUNDDOWN(W201/HLOOKUP(D201,Table!$C$3:$D$4,2,0)*8,2)</f>
        <v>0.14000000000000001</v>
      </c>
      <c r="Z201" s="17">
        <v>0.12</v>
      </c>
      <c r="AA201" s="17" t="s">
        <v>78</v>
      </c>
      <c r="AB201" s="21">
        <v>43938</v>
      </c>
      <c r="AC201" s="21">
        <v>43935</v>
      </c>
      <c r="AD201" s="21">
        <v>43938</v>
      </c>
      <c r="AE201" s="21">
        <v>43935</v>
      </c>
      <c r="AF201" s="21">
        <v>43935</v>
      </c>
      <c r="AG201" s="22" t="s">
        <v>114</v>
      </c>
      <c r="AH201" s="38">
        <v>1</v>
      </c>
      <c r="AI201" s="38">
        <v>1</v>
      </c>
      <c r="AJ201" s="38">
        <v>1</v>
      </c>
      <c r="AK201" s="22" t="s">
        <v>574</v>
      </c>
      <c r="AL201" s="17"/>
      <c r="AM201" s="17"/>
      <c r="AN201" s="17"/>
      <c r="AO201" t="s">
        <v>941</v>
      </c>
    </row>
    <row r="202" spans="2:41" hidden="1" x14ac:dyDescent="0.25">
      <c r="B202" s="84">
        <f t="shared" si="25"/>
        <v>155</v>
      </c>
      <c r="C202" s="18">
        <v>20200414</v>
      </c>
      <c r="D202" s="17" t="s">
        <v>3</v>
      </c>
      <c r="E202" s="17" t="s">
        <v>529</v>
      </c>
      <c r="F202" s="19" t="s">
        <v>535</v>
      </c>
      <c r="G202" s="19">
        <v>1390624</v>
      </c>
      <c r="H202" s="86" t="s">
        <v>65</v>
      </c>
      <c r="I202" s="17" t="s">
        <v>558</v>
      </c>
      <c r="J202" s="86" t="s">
        <v>65</v>
      </c>
      <c r="K202" s="17" t="s">
        <v>469</v>
      </c>
      <c r="L202" s="17">
        <v>81728</v>
      </c>
      <c r="M202" s="17" t="s">
        <v>65</v>
      </c>
      <c r="N202" s="17" t="s">
        <v>569</v>
      </c>
      <c r="O202" s="19" t="s">
        <v>65</v>
      </c>
      <c r="P202" s="19" t="s">
        <v>589</v>
      </c>
      <c r="Q202" s="20"/>
      <c r="R202" s="86" t="s">
        <v>65</v>
      </c>
      <c r="S202" s="17" t="s">
        <v>430</v>
      </c>
      <c r="T202" s="17"/>
      <c r="U202" s="17"/>
      <c r="V202" s="17">
        <v>5</v>
      </c>
      <c r="W202" s="17">
        <f t="shared" si="27"/>
        <v>5</v>
      </c>
      <c r="X202" s="17">
        <f t="shared" si="27"/>
        <v>5</v>
      </c>
      <c r="Y202" s="17">
        <f>ROUNDDOWN(W202/HLOOKUP(D202,Table!$C$3:$D$4,2,0)*8,2)</f>
        <v>0.08</v>
      </c>
      <c r="Z202" s="17">
        <v>0.12</v>
      </c>
      <c r="AA202" s="17" t="s">
        <v>78</v>
      </c>
      <c r="AB202" s="21">
        <v>43938</v>
      </c>
      <c r="AC202" s="21">
        <v>43935</v>
      </c>
      <c r="AD202" s="21">
        <v>43938</v>
      </c>
      <c r="AE202" s="21">
        <v>43935</v>
      </c>
      <c r="AF202" s="21">
        <v>43935</v>
      </c>
      <c r="AG202" s="22" t="s">
        <v>114</v>
      </c>
      <c r="AH202" s="38">
        <v>1</v>
      </c>
      <c r="AI202" s="38">
        <v>1</v>
      </c>
      <c r="AJ202" s="38">
        <v>1</v>
      </c>
      <c r="AK202" s="22" t="s">
        <v>574</v>
      </c>
      <c r="AL202" s="17"/>
      <c r="AM202" s="17"/>
      <c r="AN202" s="17"/>
      <c r="AO202" t="s">
        <v>941</v>
      </c>
    </row>
    <row r="203" spans="2:41" hidden="1" x14ac:dyDescent="0.25">
      <c r="B203" s="84">
        <f t="shared" si="25"/>
        <v>156</v>
      </c>
      <c r="C203" s="18">
        <v>20200414</v>
      </c>
      <c r="D203" s="17" t="s">
        <v>3</v>
      </c>
      <c r="E203" s="17" t="s">
        <v>529</v>
      </c>
      <c r="F203" s="19" t="s">
        <v>535</v>
      </c>
      <c r="G203" s="19">
        <v>1390624</v>
      </c>
      <c r="H203" s="86" t="s">
        <v>65</v>
      </c>
      <c r="I203" s="17" t="s">
        <v>559</v>
      </c>
      <c r="J203" s="86" t="s">
        <v>65</v>
      </c>
      <c r="K203" s="17" t="s">
        <v>469</v>
      </c>
      <c r="L203" s="17">
        <v>81728</v>
      </c>
      <c r="M203" s="17" t="s">
        <v>65</v>
      </c>
      <c r="N203" s="17" t="s">
        <v>569</v>
      </c>
      <c r="O203" s="19" t="s">
        <v>65</v>
      </c>
      <c r="P203" s="19" t="s">
        <v>589</v>
      </c>
      <c r="Q203" s="20"/>
      <c r="R203" s="86" t="s">
        <v>65</v>
      </c>
      <c r="S203" s="17" t="s">
        <v>430</v>
      </c>
      <c r="T203" s="17"/>
      <c r="U203" s="17"/>
      <c r="V203" s="17">
        <v>10</v>
      </c>
      <c r="W203" s="17">
        <f t="shared" si="27"/>
        <v>10</v>
      </c>
      <c r="X203" s="17">
        <f t="shared" si="27"/>
        <v>10</v>
      </c>
      <c r="Y203" s="17">
        <f>ROUNDDOWN(W203/HLOOKUP(D203,Table!$C$3:$D$4,2,0)*8,2)</f>
        <v>0.17</v>
      </c>
      <c r="Z203" s="17">
        <v>0.12</v>
      </c>
      <c r="AA203" s="17" t="s">
        <v>78</v>
      </c>
      <c r="AB203" s="21">
        <v>43938</v>
      </c>
      <c r="AC203" s="21">
        <v>43935</v>
      </c>
      <c r="AD203" s="21">
        <v>43938</v>
      </c>
      <c r="AE203" s="21">
        <v>43935</v>
      </c>
      <c r="AF203" s="21">
        <v>43935</v>
      </c>
      <c r="AG203" s="22" t="s">
        <v>114</v>
      </c>
      <c r="AH203" s="38">
        <v>1</v>
      </c>
      <c r="AI203" s="38">
        <v>1</v>
      </c>
      <c r="AJ203" s="38">
        <v>1</v>
      </c>
      <c r="AK203" s="22" t="s">
        <v>574</v>
      </c>
      <c r="AL203" s="17"/>
      <c r="AM203" s="17"/>
      <c r="AN203" s="17"/>
      <c r="AO203" t="s">
        <v>941</v>
      </c>
    </row>
    <row r="204" spans="2:41" hidden="1" x14ac:dyDescent="0.25">
      <c r="B204" s="84">
        <f t="shared" si="25"/>
        <v>157</v>
      </c>
      <c r="C204" s="18">
        <v>20200414</v>
      </c>
      <c r="D204" s="17" t="s">
        <v>3</v>
      </c>
      <c r="E204" s="17" t="s">
        <v>529</v>
      </c>
      <c r="F204" s="19" t="s">
        <v>536</v>
      </c>
      <c r="G204" s="19">
        <v>1390624</v>
      </c>
      <c r="H204" s="86" t="s">
        <v>65</v>
      </c>
      <c r="I204" s="17" t="s">
        <v>560</v>
      </c>
      <c r="J204" s="86" t="s">
        <v>65</v>
      </c>
      <c r="K204" s="17" t="s">
        <v>469</v>
      </c>
      <c r="L204" s="17">
        <v>81728</v>
      </c>
      <c r="M204" s="17" t="s">
        <v>65</v>
      </c>
      <c r="N204" s="17" t="s">
        <v>569</v>
      </c>
      <c r="O204" s="19" t="s">
        <v>65</v>
      </c>
      <c r="P204" s="19" t="s">
        <v>589</v>
      </c>
      <c r="Q204" s="20"/>
      <c r="R204" s="86" t="s">
        <v>65</v>
      </c>
      <c r="S204" s="17" t="s">
        <v>430</v>
      </c>
      <c r="T204" s="17"/>
      <c r="U204" s="17"/>
      <c r="V204" s="17">
        <v>52</v>
      </c>
      <c r="W204" s="17">
        <f t="shared" si="27"/>
        <v>52</v>
      </c>
      <c r="X204" s="17">
        <f t="shared" si="27"/>
        <v>52</v>
      </c>
      <c r="Y204" s="17">
        <f>ROUNDDOWN(W204/HLOOKUP(D204,Table!$C$3:$D$4,2,0)*8,2)</f>
        <v>0.92</v>
      </c>
      <c r="Z204" s="17">
        <v>1</v>
      </c>
      <c r="AA204" s="17" t="s">
        <v>78</v>
      </c>
      <c r="AB204" s="21">
        <v>43938</v>
      </c>
      <c r="AC204" s="21">
        <v>43935</v>
      </c>
      <c r="AD204" s="21">
        <v>43938</v>
      </c>
      <c r="AE204" s="21">
        <v>43935</v>
      </c>
      <c r="AF204" s="21">
        <v>43935</v>
      </c>
      <c r="AG204" s="22" t="s">
        <v>114</v>
      </c>
      <c r="AH204" s="38">
        <v>1</v>
      </c>
      <c r="AI204" s="38">
        <v>1</v>
      </c>
      <c r="AJ204" s="38">
        <v>1</v>
      </c>
      <c r="AK204" s="22" t="s">
        <v>574</v>
      </c>
      <c r="AL204" s="17"/>
      <c r="AM204" s="17"/>
      <c r="AN204" s="17"/>
      <c r="AO204" t="s">
        <v>941</v>
      </c>
    </row>
    <row r="205" spans="2:41" hidden="1" x14ac:dyDescent="0.25">
      <c r="B205" s="84">
        <f t="shared" si="25"/>
        <v>158</v>
      </c>
      <c r="C205" s="18">
        <v>20200414</v>
      </c>
      <c r="D205" s="17" t="s">
        <v>3</v>
      </c>
      <c r="E205" s="17" t="s">
        <v>529</v>
      </c>
      <c r="F205" s="19" t="s">
        <v>537</v>
      </c>
      <c r="G205" s="19">
        <v>1390624</v>
      </c>
      <c r="H205" s="86" t="s">
        <v>65</v>
      </c>
      <c r="I205" s="17" t="s">
        <v>561</v>
      </c>
      <c r="J205" s="86" t="s">
        <v>65</v>
      </c>
      <c r="K205" s="17" t="s">
        <v>469</v>
      </c>
      <c r="L205" s="17">
        <v>81728</v>
      </c>
      <c r="M205" s="17" t="s">
        <v>65</v>
      </c>
      <c r="N205" s="17" t="s">
        <v>569</v>
      </c>
      <c r="O205" s="19" t="s">
        <v>65</v>
      </c>
      <c r="P205" s="19" t="s">
        <v>589</v>
      </c>
      <c r="Q205" s="20"/>
      <c r="R205" s="86" t="s">
        <v>65</v>
      </c>
      <c r="S205" s="17" t="s">
        <v>430</v>
      </c>
      <c r="T205" s="17"/>
      <c r="U205" s="17"/>
      <c r="V205" s="17">
        <v>18</v>
      </c>
      <c r="W205" s="17">
        <f t="shared" si="27"/>
        <v>18</v>
      </c>
      <c r="X205" s="17">
        <f t="shared" si="27"/>
        <v>18</v>
      </c>
      <c r="Y205" s="17">
        <f>ROUNDDOWN(W205/HLOOKUP(D205,Table!$C$3:$D$4,2,0)*8,2)</f>
        <v>0.32</v>
      </c>
      <c r="Z205" s="17">
        <v>0.25</v>
      </c>
      <c r="AA205" s="17" t="s">
        <v>78</v>
      </c>
      <c r="AB205" s="21">
        <v>43938</v>
      </c>
      <c r="AC205" s="21">
        <v>43935</v>
      </c>
      <c r="AD205" s="21">
        <v>43938</v>
      </c>
      <c r="AE205" s="21">
        <v>43935</v>
      </c>
      <c r="AF205" s="21">
        <v>43935</v>
      </c>
      <c r="AG205" s="22" t="s">
        <v>115</v>
      </c>
      <c r="AH205" s="38">
        <v>0.83</v>
      </c>
      <c r="AI205" s="38">
        <v>0.5</v>
      </c>
      <c r="AJ205" s="38">
        <v>1</v>
      </c>
      <c r="AK205" s="22" t="s">
        <v>354</v>
      </c>
      <c r="AL205" s="17" t="s">
        <v>715</v>
      </c>
      <c r="AM205" s="17"/>
      <c r="AN205" s="17"/>
      <c r="AO205" t="s">
        <v>941</v>
      </c>
    </row>
    <row r="206" spans="2:41" hidden="1" x14ac:dyDescent="0.25">
      <c r="B206" s="84">
        <f t="shared" si="25"/>
        <v>159</v>
      </c>
      <c r="C206" s="18">
        <v>20200414</v>
      </c>
      <c r="D206" s="17" t="s">
        <v>3</v>
      </c>
      <c r="E206" s="17" t="s">
        <v>529</v>
      </c>
      <c r="F206" s="19" t="s">
        <v>537</v>
      </c>
      <c r="G206" s="19">
        <v>1390624</v>
      </c>
      <c r="H206" s="86" t="s">
        <v>65</v>
      </c>
      <c r="I206" s="17" t="s">
        <v>562</v>
      </c>
      <c r="J206" s="86" t="s">
        <v>65</v>
      </c>
      <c r="K206" s="17" t="s">
        <v>469</v>
      </c>
      <c r="L206" s="17">
        <v>81728</v>
      </c>
      <c r="M206" s="17" t="s">
        <v>65</v>
      </c>
      <c r="N206" s="17" t="s">
        <v>569</v>
      </c>
      <c r="O206" s="19" t="s">
        <v>65</v>
      </c>
      <c r="P206" s="19" t="s">
        <v>589</v>
      </c>
      <c r="Q206" s="20"/>
      <c r="R206" s="86" t="s">
        <v>65</v>
      </c>
      <c r="S206" s="17" t="s">
        <v>430</v>
      </c>
      <c r="T206" s="17"/>
      <c r="U206" s="17"/>
      <c r="V206" s="17">
        <v>0</v>
      </c>
      <c r="W206" s="17">
        <f t="shared" si="27"/>
        <v>0</v>
      </c>
      <c r="X206" s="17">
        <f t="shared" si="27"/>
        <v>0</v>
      </c>
      <c r="Y206" s="17">
        <f>ROUNDDOWN(W206/HLOOKUP(D206,Table!$C$3:$D$4,2,0)*8,2)</f>
        <v>0</v>
      </c>
      <c r="Z206" s="17">
        <v>0</v>
      </c>
      <c r="AA206" s="17" t="s">
        <v>78</v>
      </c>
      <c r="AB206" s="21">
        <v>43938</v>
      </c>
      <c r="AC206" s="21">
        <v>43935</v>
      </c>
      <c r="AD206" s="21">
        <v>43938</v>
      </c>
      <c r="AE206" s="21">
        <v>43935</v>
      </c>
      <c r="AF206" s="21">
        <v>43935</v>
      </c>
      <c r="AG206" s="22" t="s">
        <v>114</v>
      </c>
      <c r="AH206" s="39" t="s">
        <v>65</v>
      </c>
      <c r="AI206" s="39" t="s">
        <v>65</v>
      </c>
      <c r="AJ206" s="39" t="s">
        <v>65</v>
      </c>
      <c r="AK206" s="22" t="s">
        <v>574</v>
      </c>
      <c r="AL206" s="17"/>
      <c r="AM206" s="17"/>
      <c r="AN206" s="17" t="s">
        <v>718</v>
      </c>
      <c r="AO206" t="s">
        <v>941</v>
      </c>
    </row>
    <row r="207" spans="2:41" hidden="1" x14ac:dyDescent="0.25">
      <c r="B207" s="84">
        <f t="shared" si="25"/>
        <v>160</v>
      </c>
      <c r="C207" s="18">
        <v>20200414</v>
      </c>
      <c r="D207" s="17" t="s">
        <v>3</v>
      </c>
      <c r="E207" s="17" t="s">
        <v>529</v>
      </c>
      <c r="F207" s="19" t="s">
        <v>538</v>
      </c>
      <c r="G207" s="19">
        <v>1390624</v>
      </c>
      <c r="H207" s="86" t="s">
        <v>65</v>
      </c>
      <c r="I207" s="17" t="s">
        <v>563</v>
      </c>
      <c r="J207" s="86" t="s">
        <v>65</v>
      </c>
      <c r="K207" s="17" t="s">
        <v>469</v>
      </c>
      <c r="L207" s="17">
        <v>81728</v>
      </c>
      <c r="M207" s="17" t="s">
        <v>65</v>
      </c>
      <c r="N207" s="17" t="s">
        <v>569</v>
      </c>
      <c r="O207" s="19" t="s">
        <v>65</v>
      </c>
      <c r="P207" s="19" t="s">
        <v>589</v>
      </c>
      <c r="Q207" s="20"/>
      <c r="R207" s="86" t="s">
        <v>65</v>
      </c>
      <c r="S207" s="17" t="s">
        <v>430</v>
      </c>
      <c r="T207" s="17"/>
      <c r="U207" s="17"/>
      <c r="V207" s="17">
        <v>47</v>
      </c>
      <c r="W207" s="17">
        <f t="shared" si="27"/>
        <v>47</v>
      </c>
      <c r="X207" s="17">
        <f t="shared" si="27"/>
        <v>47</v>
      </c>
      <c r="Y207" s="17">
        <f>ROUNDDOWN(W207/HLOOKUP(D207,Table!$C$3:$D$4,2,0)*8,2)</f>
        <v>0.83</v>
      </c>
      <c r="Z207" s="17">
        <v>0.5</v>
      </c>
      <c r="AA207" s="17" t="s">
        <v>78</v>
      </c>
      <c r="AB207" s="21">
        <v>43938</v>
      </c>
      <c r="AC207" s="21">
        <v>43935</v>
      </c>
      <c r="AD207" s="21">
        <v>43938</v>
      </c>
      <c r="AE207" s="21">
        <v>43935</v>
      </c>
      <c r="AF207" s="21">
        <v>43935</v>
      </c>
      <c r="AG207" s="22" t="s">
        <v>115</v>
      </c>
      <c r="AH207" s="38">
        <v>1</v>
      </c>
      <c r="AI207" s="38">
        <v>0.91</v>
      </c>
      <c r="AJ207" s="38">
        <v>1</v>
      </c>
      <c r="AK207" s="22" t="s">
        <v>354</v>
      </c>
      <c r="AL207" s="17" t="s">
        <v>716</v>
      </c>
      <c r="AM207" s="17"/>
      <c r="AN207" s="17"/>
      <c r="AO207" t="s">
        <v>941</v>
      </c>
    </row>
    <row r="208" spans="2:41" hidden="1" x14ac:dyDescent="0.25">
      <c r="B208" s="84">
        <f t="shared" si="25"/>
        <v>161</v>
      </c>
      <c r="C208" s="18">
        <v>20200414</v>
      </c>
      <c r="D208" s="17" t="s">
        <v>3</v>
      </c>
      <c r="E208" s="17" t="s">
        <v>529</v>
      </c>
      <c r="F208" s="19" t="s">
        <v>538</v>
      </c>
      <c r="G208" s="19">
        <v>1390624</v>
      </c>
      <c r="H208" s="86" t="s">
        <v>65</v>
      </c>
      <c r="I208" s="17" t="s">
        <v>564</v>
      </c>
      <c r="J208" s="86" t="s">
        <v>65</v>
      </c>
      <c r="K208" s="17" t="s">
        <v>469</v>
      </c>
      <c r="L208" s="17">
        <v>81728</v>
      </c>
      <c r="M208" s="17" t="s">
        <v>65</v>
      </c>
      <c r="N208" s="17" t="s">
        <v>569</v>
      </c>
      <c r="O208" s="19" t="s">
        <v>65</v>
      </c>
      <c r="P208" s="19" t="s">
        <v>589</v>
      </c>
      <c r="Q208" s="20"/>
      <c r="R208" s="86" t="s">
        <v>65</v>
      </c>
      <c r="S208" s="17" t="s">
        <v>430</v>
      </c>
      <c r="T208" s="17"/>
      <c r="U208" s="17"/>
      <c r="V208" s="17">
        <v>101</v>
      </c>
      <c r="W208" s="17">
        <f t="shared" si="27"/>
        <v>101</v>
      </c>
      <c r="X208" s="17">
        <f t="shared" si="27"/>
        <v>101</v>
      </c>
      <c r="Y208" s="17">
        <f>ROUNDDOWN(W208/HLOOKUP(D208,Table!$C$3:$D$4,2,0)*8,2)</f>
        <v>1.79</v>
      </c>
      <c r="Z208" s="17">
        <v>2</v>
      </c>
      <c r="AA208" s="17" t="s">
        <v>78</v>
      </c>
      <c r="AB208" s="21">
        <v>43938</v>
      </c>
      <c r="AC208" s="21">
        <v>43935</v>
      </c>
      <c r="AD208" s="21">
        <v>43938</v>
      </c>
      <c r="AE208" s="21">
        <v>43935</v>
      </c>
      <c r="AF208" s="21">
        <v>43936</v>
      </c>
      <c r="AG208" s="22" t="s">
        <v>115</v>
      </c>
      <c r="AH208" s="38">
        <v>0.95</v>
      </c>
      <c r="AI208" s="38">
        <v>1</v>
      </c>
      <c r="AJ208" s="38">
        <v>0.87</v>
      </c>
      <c r="AK208" s="22" t="s">
        <v>354</v>
      </c>
      <c r="AL208" s="17" t="s">
        <v>717</v>
      </c>
      <c r="AM208" s="17"/>
      <c r="AN208" s="17"/>
      <c r="AO208" t="s">
        <v>941</v>
      </c>
    </row>
    <row r="209" spans="2:41" hidden="1" x14ac:dyDescent="0.25">
      <c r="B209" s="84">
        <f t="shared" si="25"/>
        <v>162</v>
      </c>
      <c r="C209" s="18">
        <v>20200414</v>
      </c>
      <c r="D209" s="17" t="s">
        <v>3</v>
      </c>
      <c r="E209" s="17" t="s">
        <v>529</v>
      </c>
      <c r="F209" s="19" t="s">
        <v>538</v>
      </c>
      <c r="G209" s="19">
        <v>1390624</v>
      </c>
      <c r="H209" s="86" t="s">
        <v>65</v>
      </c>
      <c r="I209" s="17" t="s">
        <v>565</v>
      </c>
      <c r="J209" s="86" t="s">
        <v>65</v>
      </c>
      <c r="K209" s="17" t="s">
        <v>469</v>
      </c>
      <c r="L209" s="17">
        <v>81728</v>
      </c>
      <c r="M209" s="17" t="s">
        <v>65</v>
      </c>
      <c r="N209" s="17" t="s">
        <v>569</v>
      </c>
      <c r="O209" s="19" t="s">
        <v>65</v>
      </c>
      <c r="P209" s="19" t="s">
        <v>589</v>
      </c>
      <c r="Q209" s="20"/>
      <c r="R209" s="86" t="s">
        <v>65</v>
      </c>
      <c r="S209" s="17" t="s">
        <v>430</v>
      </c>
      <c r="T209" s="17"/>
      <c r="U209" s="17"/>
      <c r="V209" s="17">
        <v>7</v>
      </c>
      <c r="W209" s="17">
        <f t="shared" si="27"/>
        <v>7</v>
      </c>
      <c r="X209" s="17">
        <f t="shared" si="27"/>
        <v>7</v>
      </c>
      <c r="Y209" s="17">
        <f>ROUNDDOWN(W209/HLOOKUP(D209,Table!$C$3:$D$4,2,0)*8,2)</f>
        <v>0.12</v>
      </c>
      <c r="Z209" s="17">
        <v>0.08</v>
      </c>
      <c r="AA209" s="17" t="s">
        <v>78</v>
      </c>
      <c r="AB209" s="21">
        <v>43938</v>
      </c>
      <c r="AC209" s="21">
        <v>43935</v>
      </c>
      <c r="AD209" s="21">
        <v>43938</v>
      </c>
      <c r="AE209" s="21">
        <v>43935</v>
      </c>
      <c r="AF209" s="21">
        <v>43936</v>
      </c>
      <c r="AG209" s="22" t="s">
        <v>114</v>
      </c>
      <c r="AH209" s="38">
        <v>1</v>
      </c>
      <c r="AI209" s="38">
        <v>1</v>
      </c>
      <c r="AJ209" s="38">
        <v>1</v>
      </c>
      <c r="AK209" s="22" t="s">
        <v>574</v>
      </c>
      <c r="AL209" s="17"/>
      <c r="AM209" s="17"/>
      <c r="AN209" s="17"/>
      <c r="AO209" t="s">
        <v>941</v>
      </c>
    </row>
    <row r="210" spans="2:41" hidden="1" x14ac:dyDescent="0.25">
      <c r="B210" s="84">
        <f t="shared" si="25"/>
        <v>163</v>
      </c>
      <c r="C210" s="18">
        <v>20200414</v>
      </c>
      <c r="D210" s="17" t="s">
        <v>3</v>
      </c>
      <c r="E210" s="17" t="s">
        <v>529</v>
      </c>
      <c r="F210" s="19" t="s">
        <v>538</v>
      </c>
      <c r="G210" s="19">
        <v>1390624</v>
      </c>
      <c r="H210" s="86" t="s">
        <v>65</v>
      </c>
      <c r="I210" s="17" t="s">
        <v>566</v>
      </c>
      <c r="J210" s="86" t="s">
        <v>65</v>
      </c>
      <c r="K210" s="17" t="s">
        <v>469</v>
      </c>
      <c r="L210" s="17">
        <v>81728</v>
      </c>
      <c r="M210" s="17" t="s">
        <v>65</v>
      </c>
      <c r="N210" s="17" t="s">
        <v>569</v>
      </c>
      <c r="O210" s="19" t="s">
        <v>65</v>
      </c>
      <c r="P210" s="19" t="s">
        <v>589</v>
      </c>
      <c r="Q210" s="20"/>
      <c r="R210" s="86" t="s">
        <v>65</v>
      </c>
      <c r="S210" s="17" t="s">
        <v>430</v>
      </c>
      <c r="T210" s="17"/>
      <c r="U210" s="17"/>
      <c r="V210" s="17">
        <v>5</v>
      </c>
      <c r="W210" s="17">
        <f t="shared" si="27"/>
        <v>5</v>
      </c>
      <c r="X210" s="17">
        <f t="shared" si="27"/>
        <v>5</v>
      </c>
      <c r="Y210" s="17">
        <f>ROUNDDOWN(W210/HLOOKUP(D210,Table!$C$3:$D$4,2,0)*8,2)</f>
        <v>0.08</v>
      </c>
      <c r="Z210" s="17">
        <v>0.08</v>
      </c>
      <c r="AA210" s="17" t="s">
        <v>78</v>
      </c>
      <c r="AB210" s="21">
        <v>43938</v>
      </c>
      <c r="AC210" s="21">
        <v>43935</v>
      </c>
      <c r="AD210" s="21">
        <v>43938</v>
      </c>
      <c r="AE210" s="21">
        <v>43935</v>
      </c>
      <c r="AF210" s="21">
        <v>43936</v>
      </c>
      <c r="AG210" s="22" t="s">
        <v>114</v>
      </c>
      <c r="AH210" s="38">
        <v>1</v>
      </c>
      <c r="AI210" s="38">
        <v>1</v>
      </c>
      <c r="AJ210" s="38">
        <v>1</v>
      </c>
      <c r="AK210" s="22" t="s">
        <v>574</v>
      </c>
      <c r="AL210" s="17"/>
      <c r="AM210" s="17"/>
      <c r="AN210" s="17"/>
      <c r="AO210" t="s">
        <v>941</v>
      </c>
    </row>
    <row r="211" spans="2:41" hidden="1" x14ac:dyDescent="0.25">
      <c r="B211" s="84">
        <f t="shared" si="25"/>
        <v>164</v>
      </c>
      <c r="C211" s="18">
        <v>20200414</v>
      </c>
      <c r="D211" s="17" t="s">
        <v>3</v>
      </c>
      <c r="E211" s="17" t="s">
        <v>529</v>
      </c>
      <c r="F211" s="19" t="s">
        <v>538</v>
      </c>
      <c r="G211" s="19">
        <v>1390624</v>
      </c>
      <c r="H211" s="86" t="s">
        <v>65</v>
      </c>
      <c r="I211" s="17" t="s">
        <v>567</v>
      </c>
      <c r="J211" s="86" t="s">
        <v>65</v>
      </c>
      <c r="K211" s="17" t="s">
        <v>469</v>
      </c>
      <c r="L211" s="17">
        <v>81728</v>
      </c>
      <c r="M211" s="17" t="s">
        <v>65</v>
      </c>
      <c r="N211" s="17" t="s">
        <v>569</v>
      </c>
      <c r="O211" s="19" t="s">
        <v>65</v>
      </c>
      <c r="P211" s="19" t="s">
        <v>589</v>
      </c>
      <c r="Q211" s="20"/>
      <c r="R211" s="86" t="s">
        <v>65</v>
      </c>
      <c r="S211" s="17" t="s">
        <v>430</v>
      </c>
      <c r="T211" s="17"/>
      <c r="U211" s="17"/>
      <c r="V211" s="17">
        <v>58</v>
      </c>
      <c r="W211" s="17">
        <f t="shared" si="27"/>
        <v>58</v>
      </c>
      <c r="X211" s="17">
        <f t="shared" si="27"/>
        <v>58</v>
      </c>
      <c r="Y211" s="17">
        <f>ROUNDDOWN(W211/HLOOKUP(D211,Table!$C$3:$D$4,2,0)*8,2)</f>
        <v>1.03</v>
      </c>
      <c r="Z211" s="17">
        <v>1</v>
      </c>
      <c r="AA211" s="17" t="s">
        <v>78</v>
      </c>
      <c r="AB211" s="21">
        <v>43938</v>
      </c>
      <c r="AC211" s="21">
        <v>43935</v>
      </c>
      <c r="AD211" s="21">
        <v>43938</v>
      </c>
      <c r="AE211" s="21">
        <v>43935</v>
      </c>
      <c r="AF211" s="21">
        <v>43936</v>
      </c>
      <c r="AG211" s="22" t="s">
        <v>114</v>
      </c>
      <c r="AH211" s="38">
        <v>1</v>
      </c>
      <c r="AI211" s="38">
        <v>1</v>
      </c>
      <c r="AJ211" s="38">
        <v>1</v>
      </c>
      <c r="AK211" s="22" t="s">
        <v>574</v>
      </c>
      <c r="AL211" s="17"/>
      <c r="AM211" s="17"/>
      <c r="AN211" s="17"/>
      <c r="AO211" t="s">
        <v>941</v>
      </c>
    </row>
    <row r="212" spans="2:41" hidden="1" x14ac:dyDescent="0.25">
      <c r="B212" s="84">
        <f t="shared" si="25"/>
        <v>165</v>
      </c>
      <c r="C212" s="18">
        <v>20200414</v>
      </c>
      <c r="D212" s="17" t="s">
        <v>3</v>
      </c>
      <c r="E212" s="17" t="s">
        <v>529</v>
      </c>
      <c r="F212" s="19" t="s">
        <v>538</v>
      </c>
      <c r="G212" s="19">
        <v>1390624</v>
      </c>
      <c r="H212" s="86" t="s">
        <v>65</v>
      </c>
      <c r="I212" s="17" t="s">
        <v>568</v>
      </c>
      <c r="J212" s="86" t="s">
        <v>65</v>
      </c>
      <c r="K212" s="17" t="s">
        <v>469</v>
      </c>
      <c r="L212" s="17">
        <v>81728</v>
      </c>
      <c r="M212" s="17" t="s">
        <v>65</v>
      </c>
      <c r="N212" s="17" t="s">
        <v>569</v>
      </c>
      <c r="O212" s="19" t="s">
        <v>65</v>
      </c>
      <c r="P212" s="19" t="s">
        <v>589</v>
      </c>
      <c r="Q212" s="20"/>
      <c r="R212" s="86" t="s">
        <v>65</v>
      </c>
      <c r="S212" s="17" t="s">
        <v>430</v>
      </c>
      <c r="T212" s="17"/>
      <c r="U212" s="17"/>
      <c r="V212" s="17">
        <v>13</v>
      </c>
      <c r="W212" s="17">
        <f t="shared" si="27"/>
        <v>13</v>
      </c>
      <c r="X212" s="17">
        <f t="shared" si="27"/>
        <v>13</v>
      </c>
      <c r="Y212" s="17">
        <f>ROUNDDOWN(W212/HLOOKUP(D212,Table!$C$3:$D$4,2,0)*8,2)</f>
        <v>0.23</v>
      </c>
      <c r="Z212" s="17">
        <v>0.25</v>
      </c>
      <c r="AA212" s="17" t="s">
        <v>78</v>
      </c>
      <c r="AB212" s="21">
        <v>43938</v>
      </c>
      <c r="AC212" s="21">
        <v>43935</v>
      </c>
      <c r="AD212" s="21">
        <v>43938</v>
      </c>
      <c r="AE212" s="21">
        <v>43935</v>
      </c>
      <c r="AF212" s="21">
        <v>43936</v>
      </c>
      <c r="AG212" s="22" t="s">
        <v>114</v>
      </c>
      <c r="AH212" s="38">
        <v>1</v>
      </c>
      <c r="AI212" s="38">
        <v>1</v>
      </c>
      <c r="AJ212" s="38">
        <v>1</v>
      </c>
      <c r="AK212" s="22" t="s">
        <v>574</v>
      </c>
      <c r="AL212" s="17"/>
      <c r="AM212" s="17"/>
      <c r="AN212" s="17"/>
      <c r="AO212" t="s">
        <v>941</v>
      </c>
    </row>
    <row r="213" spans="2:41" hidden="1" x14ac:dyDescent="0.25">
      <c r="B213" s="87">
        <f t="shared" si="25"/>
        <v>166</v>
      </c>
      <c r="C213" s="18">
        <v>20200415</v>
      </c>
      <c r="D213" s="17" t="s">
        <v>3</v>
      </c>
      <c r="E213" s="17" t="s">
        <v>576</v>
      </c>
      <c r="F213" s="19" t="s">
        <v>577</v>
      </c>
      <c r="G213" s="19">
        <v>1420664</v>
      </c>
      <c r="H213" s="86" t="s">
        <v>65</v>
      </c>
      <c r="I213" s="17" t="s">
        <v>578</v>
      </c>
      <c r="J213" s="86" t="s">
        <v>65</v>
      </c>
      <c r="K213" s="17" t="s">
        <v>469</v>
      </c>
      <c r="L213" s="17" t="s">
        <v>794</v>
      </c>
      <c r="M213" s="17" t="s">
        <v>512</v>
      </c>
      <c r="N213" s="17" t="s">
        <v>579</v>
      </c>
      <c r="O213" s="19" t="s">
        <v>65</v>
      </c>
      <c r="P213" s="19" t="s">
        <v>580</v>
      </c>
      <c r="Q213" s="20"/>
      <c r="R213" s="86" t="s">
        <v>65</v>
      </c>
      <c r="S213" s="17" t="s">
        <v>430</v>
      </c>
      <c r="T213" s="17"/>
      <c r="U213" s="17"/>
      <c r="V213" s="17">
        <v>74</v>
      </c>
      <c r="W213" s="17">
        <f t="shared" si="27"/>
        <v>74</v>
      </c>
      <c r="X213" s="17">
        <f t="shared" si="27"/>
        <v>74</v>
      </c>
      <c r="Y213" s="17">
        <f>ROUNDDOWN(W213/HLOOKUP(D213,Table!$C$3:$D$4,2,0)*8,2)</f>
        <v>1.31</v>
      </c>
      <c r="Z213" s="17">
        <v>0.75</v>
      </c>
      <c r="AA213" s="17" t="s">
        <v>78</v>
      </c>
      <c r="AB213" s="21">
        <v>43938</v>
      </c>
      <c r="AC213" s="21">
        <v>43936</v>
      </c>
      <c r="AD213" s="21">
        <v>43938</v>
      </c>
      <c r="AE213" s="21">
        <v>43936</v>
      </c>
      <c r="AF213" s="21">
        <v>43936</v>
      </c>
      <c r="AG213" s="22" t="s">
        <v>114</v>
      </c>
      <c r="AH213" s="38">
        <v>1</v>
      </c>
      <c r="AI213" s="38">
        <v>1</v>
      </c>
      <c r="AJ213" s="38">
        <v>1</v>
      </c>
      <c r="AK213" s="22" t="s">
        <v>574</v>
      </c>
      <c r="AL213" s="17"/>
      <c r="AM213" s="17"/>
      <c r="AN213" s="17"/>
      <c r="AO213" t="s">
        <v>941</v>
      </c>
    </row>
    <row r="214" spans="2:41" hidden="1" x14ac:dyDescent="0.25">
      <c r="B214" s="88">
        <f t="shared" si="25"/>
        <v>167</v>
      </c>
      <c r="C214" s="18">
        <v>20200416</v>
      </c>
      <c r="D214" s="17" t="s">
        <v>3</v>
      </c>
      <c r="E214" s="17" t="s">
        <v>591</v>
      </c>
      <c r="F214" s="19" t="s">
        <v>596</v>
      </c>
      <c r="G214" s="19">
        <v>1414211</v>
      </c>
      <c r="H214" s="86" t="s">
        <v>65</v>
      </c>
      <c r="I214" s="17" t="s">
        <v>592</v>
      </c>
      <c r="J214" s="86" t="s">
        <v>65</v>
      </c>
      <c r="K214" s="17" t="s">
        <v>469</v>
      </c>
      <c r="L214" s="19" t="s">
        <v>574</v>
      </c>
      <c r="M214" s="17" t="s">
        <v>601</v>
      </c>
      <c r="N214" s="17" t="s">
        <v>600</v>
      </c>
      <c r="O214" s="19" t="s">
        <v>65</v>
      </c>
      <c r="P214" s="19" t="s">
        <v>590</v>
      </c>
      <c r="Q214" s="20"/>
      <c r="R214" s="86" t="s">
        <v>65</v>
      </c>
      <c r="S214" s="17" t="s">
        <v>430</v>
      </c>
      <c r="T214" s="17"/>
      <c r="U214" s="17"/>
      <c r="V214" s="17">
        <v>14</v>
      </c>
      <c r="W214" s="17">
        <f t="shared" si="27"/>
        <v>14</v>
      </c>
      <c r="X214" s="17">
        <f t="shared" si="27"/>
        <v>14</v>
      </c>
      <c r="Y214" s="17">
        <f>ROUNDDOWN(W214/HLOOKUP(D214,Table!$C$3:$D$4,2,0)*8,2)</f>
        <v>0.24</v>
      </c>
      <c r="Z214" s="17">
        <v>0.25</v>
      </c>
      <c r="AA214" s="17" t="s">
        <v>78</v>
      </c>
      <c r="AB214" s="21">
        <v>43938</v>
      </c>
      <c r="AC214" s="21">
        <v>43937</v>
      </c>
      <c r="AD214" s="21">
        <v>43938</v>
      </c>
      <c r="AE214" s="21">
        <v>43937</v>
      </c>
      <c r="AF214" s="21">
        <v>43937</v>
      </c>
      <c r="AG214" s="22" t="s">
        <v>114</v>
      </c>
      <c r="AH214" s="38">
        <v>1</v>
      </c>
      <c r="AI214" s="38">
        <v>1</v>
      </c>
      <c r="AJ214" s="38">
        <v>1</v>
      </c>
      <c r="AK214" s="22" t="s">
        <v>574</v>
      </c>
      <c r="AL214" s="17"/>
      <c r="AM214" s="17"/>
      <c r="AN214" s="17"/>
      <c r="AO214" t="s">
        <v>941</v>
      </c>
    </row>
    <row r="215" spans="2:41" hidden="1" x14ac:dyDescent="0.25">
      <c r="B215" s="88">
        <f t="shared" si="25"/>
        <v>168</v>
      </c>
      <c r="C215" s="18">
        <v>20200416</v>
      </c>
      <c r="D215" s="17" t="s">
        <v>3</v>
      </c>
      <c r="E215" s="17" t="s">
        <v>591</v>
      </c>
      <c r="F215" s="19" t="s">
        <v>597</v>
      </c>
      <c r="G215" s="19">
        <v>1414211</v>
      </c>
      <c r="H215" s="86" t="s">
        <v>65</v>
      </c>
      <c r="I215" s="17" t="s">
        <v>593</v>
      </c>
      <c r="J215" s="86" t="s">
        <v>65</v>
      </c>
      <c r="K215" s="17" t="s">
        <v>469</v>
      </c>
      <c r="L215" s="19" t="s">
        <v>574</v>
      </c>
      <c r="M215" s="17" t="s">
        <v>601</v>
      </c>
      <c r="N215" s="17" t="s">
        <v>600</v>
      </c>
      <c r="O215" s="19" t="s">
        <v>65</v>
      </c>
      <c r="P215" s="19" t="s">
        <v>590</v>
      </c>
      <c r="Q215" s="20"/>
      <c r="R215" s="86" t="s">
        <v>65</v>
      </c>
      <c r="S215" s="17" t="s">
        <v>430</v>
      </c>
      <c r="T215" s="17"/>
      <c r="U215" s="17"/>
      <c r="V215" s="17">
        <v>14</v>
      </c>
      <c r="W215" s="17">
        <f t="shared" si="27"/>
        <v>14</v>
      </c>
      <c r="X215" s="17">
        <f t="shared" si="27"/>
        <v>14</v>
      </c>
      <c r="Y215" s="17">
        <f>ROUNDDOWN(W215/HLOOKUP(D215,Table!$C$3:$D$4,2,0)*8,2)</f>
        <v>0.24</v>
      </c>
      <c r="Z215" s="17">
        <v>0.12</v>
      </c>
      <c r="AA215" s="17" t="s">
        <v>78</v>
      </c>
      <c r="AB215" s="21">
        <v>43938</v>
      </c>
      <c r="AC215" s="21">
        <v>43937</v>
      </c>
      <c r="AD215" s="21">
        <v>43938</v>
      </c>
      <c r="AE215" s="21">
        <v>43937</v>
      </c>
      <c r="AF215" s="21">
        <v>43937</v>
      </c>
      <c r="AG215" s="22" t="s">
        <v>114</v>
      </c>
      <c r="AH215" s="38">
        <v>1</v>
      </c>
      <c r="AI215" s="38">
        <v>1</v>
      </c>
      <c r="AJ215" s="38">
        <v>1</v>
      </c>
      <c r="AK215" s="22" t="s">
        <v>574</v>
      </c>
      <c r="AL215" s="17"/>
      <c r="AM215" s="17"/>
      <c r="AN215" s="17"/>
      <c r="AO215" t="s">
        <v>941</v>
      </c>
    </row>
    <row r="216" spans="2:41" hidden="1" x14ac:dyDescent="0.25">
      <c r="B216" s="88">
        <f t="shared" si="25"/>
        <v>169</v>
      </c>
      <c r="C216" s="18">
        <v>20200416</v>
      </c>
      <c r="D216" s="17" t="s">
        <v>3</v>
      </c>
      <c r="E216" s="17" t="s">
        <v>591</v>
      </c>
      <c r="F216" s="19" t="s">
        <v>598</v>
      </c>
      <c r="G216" s="19">
        <v>1414211</v>
      </c>
      <c r="H216" s="86" t="s">
        <v>65</v>
      </c>
      <c r="I216" s="17" t="s">
        <v>594</v>
      </c>
      <c r="J216" s="86" t="s">
        <v>65</v>
      </c>
      <c r="K216" s="17" t="s">
        <v>469</v>
      </c>
      <c r="L216" s="19" t="s">
        <v>574</v>
      </c>
      <c r="M216" s="17" t="s">
        <v>601</v>
      </c>
      <c r="N216" s="17" t="s">
        <v>600</v>
      </c>
      <c r="O216" s="19" t="s">
        <v>65</v>
      </c>
      <c r="P216" s="19" t="s">
        <v>590</v>
      </c>
      <c r="Q216" s="20"/>
      <c r="R216" s="86" t="s">
        <v>65</v>
      </c>
      <c r="S216" s="17" t="s">
        <v>430</v>
      </c>
      <c r="T216" s="17"/>
      <c r="U216" s="17"/>
      <c r="V216" s="17">
        <v>13</v>
      </c>
      <c r="W216" s="17">
        <f t="shared" si="27"/>
        <v>13</v>
      </c>
      <c r="X216" s="17">
        <f t="shared" si="27"/>
        <v>13</v>
      </c>
      <c r="Y216" s="17">
        <f>ROUNDDOWN(W216/HLOOKUP(D216,Table!$C$3:$D$4,2,0)*8,2)</f>
        <v>0.23</v>
      </c>
      <c r="Z216" s="17">
        <v>0.12</v>
      </c>
      <c r="AA216" s="17" t="s">
        <v>78</v>
      </c>
      <c r="AB216" s="21">
        <v>43938</v>
      </c>
      <c r="AC216" s="21">
        <v>43937</v>
      </c>
      <c r="AD216" s="21">
        <v>43938</v>
      </c>
      <c r="AE216" s="21">
        <v>43937</v>
      </c>
      <c r="AF216" s="21">
        <v>43937</v>
      </c>
      <c r="AG216" s="22" t="s">
        <v>114</v>
      </c>
      <c r="AH216" s="38">
        <v>1</v>
      </c>
      <c r="AI216" s="38">
        <v>1</v>
      </c>
      <c r="AJ216" s="38">
        <v>1</v>
      </c>
      <c r="AK216" s="22" t="s">
        <v>574</v>
      </c>
      <c r="AL216" s="17"/>
      <c r="AM216" s="17"/>
      <c r="AN216" s="17"/>
      <c r="AO216" t="s">
        <v>941</v>
      </c>
    </row>
    <row r="217" spans="2:41" hidden="1" x14ac:dyDescent="0.25">
      <c r="B217" s="88">
        <f t="shared" si="25"/>
        <v>170</v>
      </c>
      <c r="C217" s="18">
        <v>20200416</v>
      </c>
      <c r="D217" s="17" t="s">
        <v>3</v>
      </c>
      <c r="E217" s="17" t="s">
        <v>591</v>
      </c>
      <c r="F217" s="19" t="s">
        <v>599</v>
      </c>
      <c r="G217" s="19">
        <v>1414211</v>
      </c>
      <c r="H217" s="86" t="s">
        <v>65</v>
      </c>
      <c r="I217" s="17" t="s">
        <v>595</v>
      </c>
      <c r="J217" s="86" t="s">
        <v>65</v>
      </c>
      <c r="K217" s="17" t="s">
        <v>469</v>
      </c>
      <c r="L217" s="19" t="s">
        <v>574</v>
      </c>
      <c r="M217" s="17" t="s">
        <v>601</v>
      </c>
      <c r="N217" s="17" t="s">
        <v>600</v>
      </c>
      <c r="O217" s="19" t="s">
        <v>65</v>
      </c>
      <c r="P217" s="19" t="s">
        <v>590</v>
      </c>
      <c r="Q217" s="20"/>
      <c r="R217" s="86" t="s">
        <v>65</v>
      </c>
      <c r="S217" s="17" t="s">
        <v>430</v>
      </c>
      <c r="T217" s="17"/>
      <c r="U217" s="17"/>
      <c r="V217" s="17">
        <v>13</v>
      </c>
      <c r="W217" s="17">
        <f t="shared" si="27"/>
        <v>13</v>
      </c>
      <c r="X217" s="17">
        <f t="shared" si="27"/>
        <v>13</v>
      </c>
      <c r="Y217" s="17">
        <f>ROUNDDOWN(W217/HLOOKUP(D217,Table!$C$3:$D$4,2,0)*8,2)</f>
        <v>0.23</v>
      </c>
      <c r="Z217" s="17">
        <v>0.12</v>
      </c>
      <c r="AA217" s="17" t="s">
        <v>78</v>
      </c>
      <c r="AB217" s="21">
        <v>43938</v>
      </c>
      <c r="AC217" s="21">
        <v>43937</v>
      </c>
      <c r="AD217" s="21">
        <v>43938</v>
      </c>
      <c r="AE217" s="21">
        <v>43937</v>
      </c>
      <c r="AF217" s="21">
        <v>43937</v>
      </c>
      <c r="AG217" s="22" t="s">
        <v>114</v>
      </c>
      <c r="AH217" s="38">
        <v>1</v>
      </c>
      <c r="AI217" s="38">
        <v>1</v>
      </c>
      <c r="AJ217" s="38">
        <v>1</v>
      </c>
      <c r="AK217" s="22" t="s">
        <v>574</v>
      </c>
      <c r="AL217" s="17"/>
      <c r="AM217" s="17"/>
      <c r="AN217" s="17"/>
      <c r="AO217" t="s">
        <v>941</v>
      </c>
    </row>
    <row r="218" spans="2:41" hidden="1" x14ac:dyDescent="0.25">
      <c r="B218" s="89">
        <f t="shared" si="25"/>
        <v>171</v>
      </c>
      <c r="C218" s="18">
        <v>20200416</v>
      </c>
      <c r="D218" s="17" t="s">
        <v>3</v>
      </c>
      <c r="E218" s="17" t="s">
        <v>602</v>
      </c>
      <c r="F218" s="19" t="s">
        <v>608</v>
      </c>
      <c r="G218" s="19">
        <v>1414361</v>
      </c>
      <c r="H218" s="86" t="s">
        <v>65</v>
      </c>
      <c r="I218" s="17" t="s">
        <v>605</v>
      </c>
      <c r="J218" s="86" t="s">
        <v>65</v>
      </c>
      <c r="K218" s="90" t="s">
        <v>612</v>
      </c>
      <c r="L218" s="19" t="s">
        <v>574</v>
      </c>
      <c r="M218" s="17" t="s">
        <v>603</v>
      </c>
      <c r="N218" s="17" t="s">
        <v>607</v>
      </c>
      <c r="O218" s="19" t="s">
        <v>65</v>
      </c>
      <c r="P218" s="19" t="s">
        <v>604</v>
      </c>
      <c r="Q218" s="20"/>
      <c r="R218" s="86" t="s">
        <v>65</v>
      </c>
      <c r="S218" s="17" t="s">
        <v>430</v>
      </c>
      <c r="T218" s="17"/>
      <c r="U218" s="17"/>
      <c r="V218" s="17">
        <v>28</v>
      </c>
      <c r="W218" s="17">
        <f t="shared" si="27"/>
        <v>28</v>
      </c>
      <c r="X218" s="17">
        <f t="shared" si="27"/>
        <v>28</v>
      </c>
      <c r="Y218" s="17">
        <f>ROUNDDOWN(W218/HLOOKUP(D218,Table!$C$3:$D$4,2,0)*8,2)</f>
        <v>0.49</v>
      </c>
      <c r="Z218" s="17">
        <v>0.5</v>
      </c>
      <c r="AA218" s="17" t="s">
        <v>78</v>
      </c>
      <c r="AB218" s="21">
        <v>43938</v>
      </c>
      <c r="AC218" s="21">
        <v>43937</v>
      </c>
      <c r="AD218" s="21">
        <v>43938</v>
      </c>
      <c r="AE218" s="21">
        <v>43937</v>
      </c>
      <c r="AF218" s="21">
        <v>43937</v>
      </c>
      <c r="AG218" s="22" t="s">
        <v>114</v>
      </c>
      <c r="AH218" s="38">
        <v>1</v>
      </c>
      <c r="AI218" s="38">
        <v>1</v>
      </c>
      <c r="AJ218" s="38">
        <v>1</v>
      </c>
      <c r="AK218" s="22" t="s">
        <v>574</v>
      </c>
      <c r="AL218" s="17"/>
      <c r="AM218" s="17"/>
      <c r="AN218" s="17"/>
      <c r="AO218" t="s">
        <v>941</v>
      </c>
    </row>
    <row r="219" spans="2:41" hidden="1" x14ac:dyDescent="0.25">
      <c r="B219" s="89">
        <f t="shared" si="25"/>
        <v>172</v>
      </c>
      <c r="C219" s="18">
        <v>20200416</v>
      </c>
      <c r="D219" s="17" t="s">
        <v>3</v>
      </c>
      <c r="E219" s="17" t="s">
        <v>602</v>
      </c>
      <c r="F219" s="19" t="s">
        <v>609</v>
      </c>
      <c r="G219" s="19">
        <v>1414361</v>
      </c>
      <c r="H219" s="86" t="s">
        <v>65</v>
      </c>
      <c r="I219" s="17" t="s">
        <v>606</v>
      </c>
      <c r="J219" s="86" t="s">
        <v>65</v>
      </c>
      <c r="K219" s="90" t="s">
        <v>612</v>
      </c>
      <c r="L219" s="19" t="s">
        <v>574</v>
      </c>
      <c r="M219" s="17" t="s">
        <v>603</v>
      </c>
      <c r="N219" s="17" t="s">
        <v>607</v>
      </c>
      <c r="O219" s="19" t="s">
        <v>65</v>
      </c>
      <c r="P219" s="19" t="s">
        <v>604</v>
      </c>
      <c r="Q219" s="20"/>
      <c r="R219" s="86" t="s">
        <v>65</v>
      </c>
      <c r="S219" s="17" t="s">
        <v>430</v>
      </c>
      <c r="T219" s="17"/>
      <c r="U219" s="17"/>
      <c r="V219" s="17">
        <v>50</v>
      </c>
      <c r="W219" s="17">
        <f t="shared" si="27"/>
        <v>50</v>
      </c>
      <c r="X219" s="17">
        <f t="shared" si="27"/>
        <v>50</v>
      </c>
      <c r="Y219" s="17">
        <f>ROUNDDOWN(W219/HLOOKUP(D219,Table!$C$3:$D$4,2,0)*8,2)</f>
        <v>0.88</v>
      </c>
      <c r="Z219" s="17">
        <v>1</v>
      </c>
      <c r="AA219" s="17" t="s">
        <v>78</v>
      </c>
      <c r="AB219" s="21">
        <v>43938</v>
      </c>
      <c r="AC219" s="21">
        <v>43937</v>
      </c>
      <c r="AD219" s="21">
        <v>43938</v>
      </c>
      <c r="AE219" s="21">
        <v>43937</v>
      </c>
      <c r="AF219" s="21">
        <v>43937</v>
      </c>
      <c r="AG219" s="22" t="s">
        <v>114</v>
      </c>
      <c r="AH219" s="38">
        <v>1</v>
      </c>
      <c r="AI219" s="38">
        <v>1</v>
      </c>
      <c r="AJ219" s="38">
        <v>1</v>
      </c>
      <c r="AK219" s="22" t="s">
        <v>574</v>
      </c>
      <c r="AL219" s="17"/>
      <c r="AM219" s="17"/>
      <c r="AN219" s="17"/>
      <c r="AO219" t="s">
        <v>941</v>
      </c>
    </row>
    <row r="220" spans="2:41" hidden="1" x14ac:dyDescent="0.25">
      <c r="B220" s="91">
        <f t="shared" si="25"/>
        <v>173</v>
      </c>
      <c r="C220" s="18">
        <v>20200416</v>
      </c>
      <c r="D220" s="17" t="s">
        <v>3</v>
      </c>
      <c r="E220" s="17" t="s">
        <v>613</v>
      </c>
      <c r="F220" s="19" t="s">
        <v>614</v>
      </c>
      <c r="G220" s="19">
        <v>1416225</v>
      </c>
      <c r="H220" s="86" t="s">
        <v>65</v>
      </c>
      <c r="I220" s="17" t="s">
        <v>616</v>
      </c>
      <c r="J220" s="86" t="s">
        <v>65</v>
      </c>
      <c r="K220" s="17" t="s">
        <v>469</v>
      </c>
      <c r="L220" s="17">
        <v>80412</v>
      </c>
      <c r="M220" s="17" t="s">
        <v>65</v>
      </c>
      <c r="N220" s="17" t="s">
        <v>619</v>
      </c>
      <c r="O220" s="19" t="s">
        <v>65</v>
      </c>
      <c r="P220" s="19" t="s">
        <v>618</v>
      </c>
      <c r="Q220" s="20"/>
      <c r="R220" s="86" t="s">
        <v>65</v>
      </c>
      <c r="S220" s="17" t="s">
        <v>68</v>
      </c>
      <c r="T220" s="17"/>
      <c r="U220" s="17"/>
      <c r="V220" s="17">
        <v>116</v>
      </c>
      <c r="W220" s="17">
        <f t="shared" si="27"/>
        <v>116</v>
      </c>
      <c r="X220" s="17">
        <f t="shared" si="27"/>
        <v>116</v>
      </c>
      <c r="Y220" s="17">
        <f>ROUNDDOWN(W220/HLOOKUP(D220,Table!$C$3:$D$4,2,0)*8,2)</f>
        <v>2.06</v>
      </c>
      <c r="Z220" s="17">
        <v>2</v>
      </c>
      <c r="AA220" s="17" t="s">
        <v>78</v>
      </c>
      <c r="AB220" s="21">
        <v>43938</v>
      </c>
      <c r="AC220" s="21">
        <v>43937</v>
      </c>
      <c r="AD220" s="21">
        <v>43938</v>
      </c>
      <c r="AE220" s="21">
        <v>43938</v>
      </c>
      <c r="AF220" s="21">
        <v>43938</v>
      </c>
      <c r="AG220" s="22" t="s">
        <v>114</v>
      </c>
      <c r="AH220" s="38">
        <v>1</v>
      </c>
      <c r="AI220" s="38">
        <v>1</v>
      </c>
      <c r="AJ220" s="38">
        <v>1</v>
      </c>
      <c r="AK220" s="22" t="s">
        <v>574</v>
      </c>
      <c r="AL220" s="17"/>
      <c r="AM220" s="17"/>
      <c r="AN220" s="17"/>
      <c r="AO220" t="s">
        <v>941</v>
      </c>
    </row>
    <row r="221" spans="2:41" hidden="1" x14ac:dyDescent="0.25">
      <c r="B221" s="91">
        <f t="shared" si="25"/>
        <v>174</v>
      </c>
      <c r="C221" s="18">
        <v>20200416</v>
      </c>
      <c r="D221" s="17" t="s">
        <v>3</v>
      </c>
      <c r="E221" s="17" t="s">
        <v>613</v>
      </c>
      <c r="F221" s="19" t="s">
        <v>615</v>
      </c>
      <c r="G221" s="19">
        <v>1416225</v>
      </c>
      <c r="H221" s="86" t="s">
        <v>65</v>
      </c>
      <c r="I221" s="17" t="s">
        <v>617</v>
      </c>
      <c r="J221" s="86" t="s">
        <v>65</v>
      </c>
      <c r="K221" s="17" t="s">
        <v>469</v>
      </c>
      <c r="L221" s="17">
        <v>80412</v>
      </c>
      <c r="M221" s="17" t="s">
        <v>65</v>
      </c>
      <c r="N221" s="17" t="s">
        <v>619</v>
      </c>
      <c r="O221" s="19" t="s">
        <v>65</v>
      </c>
      <c r="P221" s="19" t="s">
        <v>618</v>
      </c>
      <c r="Q221" s="20"/>
      <c r="R221" s="86" t="s">
        <v>65</v>
      </c>
      <c r="S221" s="17" t="s">
        <v>68</v>
      </c>
      <c r="T221" s="17"/>
      <c r="U221" s="17"/>
      <c r="V221" s="17">
        <v>119</v>
      </c>
      <c r="W221" s="17">
        <f t="shared" si="27"/>
        <v>119</v>
      </c>
      <c r="X221" s="17">
        <f t="shared" si="27"/>
        <v>119</v>
      </c>
      <c r="Y221" s="17">
        <f>ROUNDDOWN(W221/HLOOKUP(D221,Table!$C$3:$D$4,2,0)*8,2)</f>
        <v>2.11</v>
      </c>
      <c r="Z221" s="17">
        <v>2</v>
      </c>
      <c r="AA221" s="17" t="s">
        <v>78</v>
      </c>
      <c r="AB221" s="21">
        <v>43938</v>
      </c>
      <c r="AC221" s="21">
        <v>43937</v>
      </c>
      <c r="AD221" s="21">
        <v>43938</v>
      </c>
      <c r="AE221" s="21">
        <v>43938</v>
      </c>
      <c r="AF221" s="21">
        <v>43938</v>
      </c>
      <c r="AG221" s="22" t="s">
        <v>114</v>
      </c>
      <c r="AH221" s="38">
        <v>1</v>
      </c>
      <c r="AI221" s="38">
        <v>1</v>
      </c>
      <c r="AJ221" s="38">
        <v>1</v>
      </c>
      <c r="AK221" s="22" t="s">
        <v>574</v>
      </c>
      <c r="AL221" s="17"/>
      <c r="AM221" s="17"/>
      <c r="AN221" s="17"/>
      <c r="AO221" t="s">
        <v>941</v>
      </c>
    </row>
    <row r="222" spans="2:41" hidden="1" x14ac:dyDescent="0.25">
      <c r="B222" s="91">
        <f t="shared" si="25"/>
        <v>175</v>
      </c>
      <c r="C222" s="18">
        <v>20200416</v>
      </c>
      <c r="D222" s="17" t="s">
        <v>3</v>
      </c>
      <c r="E222" s="17" t="s">
        <v>620</v>
      </c>
      <c r="F222" s="19" t="s">
        <v>642</v>
      </c>
      <c r="G222" s="19">
        <v>1417633</v>
      </c>
      <c r="H222" s="86" t="s">
        <v>65</v>
      </c>
      <c r="I222" s="17" t="s">
        <v>622</v>
      </c>
      <c r="J222" s="86" t="s">
        <v>65</v>
      </c>
      <c r="K222" s="17" t="s">
        <v>469</v>
      </c>
      <c r="L222" s="19">
        <v>82105</v>
      </c>
      <c r="M222" s="17" t="s">
        <v>621</v>
      </c>
      <c r="N222" s="17" t="s">
        <v>625</v>
      </c>
      <c r="O222" s="19" t="s">
        <v>65</v>
      </c>
      <c r="P222" s="19" t="s">
        <v>624</v>
      </c>
      <c r="Q222" s="20"/>
      <c r="R222" s="86" t="s">
        <v>65</v>
      </c>
      <c r="S222" s="17" t="s">
        <v>68</v>
      </c>
      <c r="T222" s="17"/>
      <c r="U222" s="17"/>
      <c r="V222" s="17">
        <v>55</v>
      </c>
      <c r="W222" s="50">
        <v>394</v>
      </c>
      <c r="X222" s="17">
        <f t="shared" si="27"/>
        <v>394</v>
      </c>
      <c r="Y222" s="17">
        <f>ROUNDDOWN(W222/HLOOKUP(D222,Table!$C$3:$D$4,2,0)*8,2)</f>
        <v>7</v>
      </c>
      <c r="Z222" s="17">
        <v>2</v>
      </c>
      <c r="AA222" s="17" t="s">
        <v>78</v>
      </c>
      <c r="AB222" s="21">
        <v>43938</v>
      </c>
      <c r="AC222" s="21">
        <v>43937</v>
      </c>
      <c r="AD222" s="21">
        <v>43938</v>
      </c>
      <c r="AE222" s="21">
        <v>43938</v>
      </c>
      <c r="AF222" s="21">
        <v>43938</v>
      </c>
      <c r="AG222" s="22" t="s">
        <v>114</v>
      </c>
      <c r="AH222" s="38">
        <v>1</v>
      </c>
      <c r="AI222" s="38">
        <v>1</v>
      </c>
      <c r="AJ222" s="38">
        <v>1</v>
      </c>
      <c r="AK222" s="22" t="s">
        <v>574</v>
      </c>
      <c r="AL222" s="17"/>
      <c r="AM222" s="17"/>
      <c r="AN222" s="17" t="s">
        <v>807</v>
      </c>
      <c r="AO222" t="s">
        <v>941</v>
      </c>
    </row>
    <row r="223" spans="2:41" hidden="1" x14ac:dyDescent="0.25">
      <c r="B223" s="91">
        <f t="shared" si="25"/>
        <v>176</v>
      </c>
      <c r="C223" s="18">
        <v>20200416</v>
      </c>
      <c r="D223" s="17" t="s">
        <v>3</v>
      </c>
      <c r="E223" s="17" t="s">
        <v>620</v>
      </c>
      <c r="F223" s="19" t="s">
        <v>643</v>
      </c>
      <c r="G223" s="19">
        <v>1417633</v>
      </c>
      <c r="H223" s="86" t="s">
        <v>65</v>
      </c>
      <c r="I223" s="17" t="s">
        <v>623</v>
      </c>
      <c r="J223" s="86" t="s">
        <v>65</v>
      </c>
      <c r="K223" s="17" t="s">
        <v>469</v>
      </c>
      <c r="L223" s="19">
        <v>82105</v>
      </c>
      <c r="M223" s="17" t="s">
        <v>621</v>
      </c>
      <c r="N223" s="17" t="s">
        <v>625</v>
      </c>
      <c r="O223" s="19" t="s">
        <v>65</v>
      </c>
      <c r="P223" s="19" t="s">
        <v>624</v>
      </c>
      <c r="Q223" s="20"/>
      <c r="R223" s="86" t="s">
        <v>65</v>
      </c>
      <c r="S223" s="17" t="s">
        <v>68</v>
      </c>
      <c r="T223" s="17"/>
      <c r="U223" s="17"/>
      <c r="V223" s="17">
        <v>21</v>
      </c>
      <c r="W223" s="17">
        <f t="shared" si="27"/>
        <v>21</v>
      </c>
      <c r="X223" s="17">
        <f t="shared" si="27"/>
        <v>21</v>
      </c>
      <c r="Y223" s="17">
        <f>ROUNDDOWN(W223/HLOOKUP(D223,Table!$C$3:$D$4,2,0)*8,2)</f>
        <v>0.37</v>
      </c>
      <c r="Z223" s="17">
        <v>2</v>
      </c>
      <c r="AA223" s="17" t="s">
        <v>78</v>
      </c>
      <c r="AB223" s="21">
        <v>43938</v>
      </c>
      <c r="AC223" s="21">
        <v>43937</v>
      </c>
      <c r="AD223" s="21">
        <v>43938</v>
      </c>
      <c r="AE223" s="21">
        <v>43938</v>
      </c>
      <c r="AF223" s="21">
        <v>43938</v>
      </c>
      <c r="AG223" s="22" t="s">
        <v>114</v>
      </c>
      <c r="AH223" s="38">
        <v>1</v>
      </c>
      <c r="AI223" s="38">
        <v>1</v>
      </c>
      <c r="AJ223" s="38">
        <v>1</v>
      </c>
      <c r="AK223" s="22" t="s">
        <v>574</v>
      </c>
      <c r="AL223" s="17"/>
      <c r="AM223" s="17"/>
      <c r="AN223" s="17"/>
      <c r="AO223" t="s">
        <v>941</v>
      </c>
    </row>
    <row r="224" spans="2:41" hidden="1" x14ac:dyDescent="0.25">
      <c r="B224" s="94">
        <f t="shared" si="25"/>
        <v>177</v>
      </c>
      <c r="C224" s="20">
        <v>20200416</v>
      </c>
      <c r="D224" s="20" t="s">
        <v>3</v>
      </c>
      <c r="E224" s="20" t="s">
        <v>720</v>
      </c>
      <c r="F224" s="93" t="s">
        <v>719</v>
      </c>
      <c r="G224" s="93">
        <v>1413225</v>
      </c>
      <c r="H224" s="86" t="s">
        <v>65</v>
      </c>
      <c r="I224" s="17" t="s">
        <v>527</v>
      </c>
      <c r="J224" s="86" t="s">
        <v>65</v>
      </c>
      <c r="K224" s="17" t="s">
        <v>469</v>
      </c>
      <c r="L224" s="19">
        <v>80329</v>
      </c>
      <c r="M224" s="17" t="s">
        <v>721</v>
      </c>
      <c r="N224" s="17" t="s">
        <v>722</v>
      </c>
      <c r="O224" s="19" t="s">
        <v>65</v>
      </c>
      <c r="P224" s="19" t="s">
        <v>693</v>
      </c>
      <c r="Q224" s="20"/>
      <c r="R224" s="86"/>
      <c r="S224" s="17" t="s">
        <v>70</v>
      </c>
      <c r="T224" s="17"/>
      <c r="U224" s="17"/>
      <c r="V224" s="17">
        <v>199</v>
      </c>
      <c r="W224" s="17">
        <f t="shared" si="27"/>
        <v>199</v>
      </c>
      <c r="X224" s="17">
        <f t="shared" si="27"/>
        <v>199</v>
      </c>
      <c r="Y224" s="17">
        <f>ROUNDDOWN(W224/HLOOKUP(D224,Table!$C$3:$D$4,2,0)*8,2)</f>
        <v>3.53</v>
      </c>
      <c r="Z224" s="17">
        <v>3</v>
      </c>
      <c r="AA224" s="17" t="s">
        <v>78</v>
      </c>
      <c r="AB224" s="21">
        <v>43938</v>
      </c>
      <c r="AC224" s="21">
        <v>43937</v>
      </c>
      <c r="AD224" s="21">
        <v>43938</v>
      </c>
      <c r="AE224" s="21">
        <v>43938</v>
      </c>
      <c r="AF224" s="21">
        <v>43938</v>
      </c>
      <c r="AG224" s="22" t="s">
        <v>114</v>
      </c>
      <c r="AH224" s="38">
        <v>1</v>
      </c>
      <c r="AI224" s="38">
        <v>1</v>
      </c>
      <c r="AJ224" s="38">
        <v>1</v>
      </c>
      <c r="AK224" s="22" t="s">
        <v>574</v>
      </c>
      <c r="AL224" s="17"/>
      <c r="AM224" s="17"/>
      <c r="AN224" s="17"/>
      <c r="AO224" t="s">
        <v>941</v>
      </c>
    </row>
    <row r="225" spans="2:41" hidden="1" x14ac:dyDescent="0.25">
      <c r="B225" s="94">
        <f t="shared" si="25"/>
        <v>178</v>
      </c>
      <c r="C225" s="20">
        <v>20200416</v>
      </c>
      <c r="D225" s="20" t="s">
        <v>3</v>
      </c>
      <c r="E225" s="20" t="s">
        <v>720</v>
      </c>
      <c r="F225" s="93" t="s">
        <v>719</v>
      </c>
      <c r="G225" s="93">
        <v>1413225</v>
      </c>
      <c r="H225" s="86" t="s">
        <v>65</v>
      </c>
      <c r="I225" s="17" t="s">
        <v>528</v>
      </c>
      <c r="J225" s="86" t="s">
        <v>65</v>
      </c>
      <c r="K225" s="17" t="s">
        <v>469</v>
      </c>
      <c r="L225" s="19">
        <v>80329</v>
      </c>
      <c r="M225" s="17" t="s">
        <v>721</v>
      </c>
      <c r="N225" s="17" t="s">
        <v>722</v>
      </c>
      <c r="O225" s="19" t="s">
        <v>65</v>
      </c>
      <c r="P225" s="19" t="s">
        <v>693</v>
      </c>
      <c r="Q225" s="20"/>
      <c r="R225" s="86"/>
      <c r="S225" s="17" t="s">
        <v>70</v>
      </c>
      <c r="T225" s="17"/>
      <c r="U225" s="17"/>
      <c r="V225" s="17">
        <v>6</v>
      </c>
      <c r="W225" s="17">
        <f t="shared" si="27"/>
        <v>6</v>
      </c>
      <c r="X225" s="17">
        <f t="shared" si="27"/>
        <v>6</v>
      </c>
      <c r="Y225" s="17">
        <f>ROUNDDOWN(W225/HLOOKUP(D225,Table!$C$3:$D$4,2,0)*8,2)</f>
        <v>0.1</v>
      </c>
      <c r="Z225" s="17">
        <v>0.1</v>
      </c>
      <c r="AA225" s="17" t="s">
        <v>78</v>
      </c>
      <c r="AB225" s="21">
        <v>43938</v>
      </c>
      <c r="AC225" s="21">
        <v>43937</v>
      </c>
      <c r="AD225" s="21">
        <v>43938</v>
      </c>
      <c r="AE225" s="21">
        <v>43938</v>
      </c>
      <c r="AF225" s="21">
        <v>43938</v>
      </c>
      <c r="AG225" s="22" t="s">
        <v>114</v>
      </c>
      <c r="AH225" s="39" t="s">
        <v>65</v>
      </c>
      <c r="AI225" s="39" t="s">
        <v>65</v>
      </c>
      <c r="AJ225" s="39" t="s">
        <v>65</v>
      </c>
      <c r="AK225" s="22" t="s">
        <v>574</v>
      </c>
      <c r="AL225" s="17"/>
      <c r="AM225" s="17"/>
      <c r="AN225" s="17" t="s">
        <v>718</v>
      </c>
      <c r="AO225" t="s">
        <v>941</v>
      </c>
    </row>
    <row r="226" spans="2:41" hidden="1" x14ac:dyDescent="0.25">
      <c r="B226" s="94">
        <f t="shared" si="25"/>
        <v>179</v>
      </c>
      <c r="C226" s="20">
        <v>20200416</v>
      </c>
      <c r="D226" s="20" t="s">
        <v>3</v>
      </c>
      <c r="E226" s="20" t="s">
        <v>720</v>
      </c>
      <c r="F226" s="93" t="s">
        <v>719</v>
      </c>
      <c r="G226" s="93">
        <v>1413225</v>
      </c>
      <c r="H226" s="86" t="s">
        <v>65</v>
      </c>
      <c r="I226" s="17" t="s">
        <v>520</v>
      </c>
      <c r="J226" s="86" t="s">
        <v>65</v>
      </c>
      <c r="K226" s="17" t="s">
        <v>469</v>
      </c>
      <c r="L226" s="19">
        <v>80329</v>
      </c>
      <c r="M226" s="17" t="s">
        <v>721</v>
      </c>
      <c r="N226" s="17" t="s">
        <v>722</v>
      </c>
      <c r="O226" s="19" t="s">
        <v>65</v>
      </c>
      <c r="P226" s="19" t="s">
        <v>693</v>
      </c>
      <c r="Q226" s="20"/>
      <c r="R226" s="86"/>
      <c r="S226" s="17" t="s">
        <v>70</v>
      </c>
      <c r="T226" s="17"/>
      <c r="U226" s="17"/>
      <c r="V226" s="17">
        <v>72</v>
      </c>
      <c r="W226" s="17">
        <f t="shared" si="27"/>
        <v>72</v>
      </c>
      <c r="X226" s="17">
        <f t="shared" si="27"/>
        <v>72</v>
      </c>
      <c r="Y226" s="17">
        <f>ROUNDDOWN(W226/HLOOKUP(D226,Table!$C$3:$D$4,2,0)*8,2)</f>
        <v>1.28</v>
      </c>
      <c r="Z226" s="17">
        <v>1</v>
      </c>
      <c r="AA226" s="17" t="s">
        <v>78</v>
      </c>
      <c r="AB226" s="21">
        <v>43938</v>
      </c>
      <c r="AC226" s="21">
        <v>43937</v>
      </c>
      <c r="AD226" s="21">
        <v>43938</v>
      </c>
      <c r="AE226" s="21">
        <v>43938</v>
      </c>
      <c r="AF226" s="21">
        <v>43938</v>
      </c>
      <c r="AG226" s="22" t="s">
        <v>114</v>
      </c>
      <c r="AH226" s="38">
        <v>1</v>
      </c>
      <c r="AI226" s="38">
        <v>1</v>
      </c>
      <c r="AJ226" s="38">
        <v>1</v>
      </c>
      <c r="AK226" s="22" t="s">
        <v>574</v>
      </c>
      <c r="AL226" s="17"/>
      <c r="AM226" s="17"/>
      <c r="AN226" s="17"/>
      <c r="AO226" t="s">
        <v>941</v>
      </c>
    </row>
    <row r="227" spans="2:41" x14ac:dyDescent="0.25">
      <c r="B227" s="92">
        <f t="shared" si="25"/>
        <v>180</v>
      </c>
      <c r="C227" s="18" t="s">
        <v>713</v>
      </c>
      <c r="D227" s="17" t="s">
        <v>3</v>
      </c>
      <c r="E227" s="17" t="s">
        <v>626</v>
      </c>
      <c r="F227" s="128" t="s">
        <v>870</v>
      </c>
      <c r="G227" s="19">
        <v>1411690</v>
      </c>
      <c r="H227" s="86" t="s">
        <v>65</v>
      </c>
      <c r="I227" s="17" t="s">
        <v>654</v>
      </c>
      <c r="J227" s="86" t="s">
        <v>65</v>
      </c>
      <c r="K227" s="17" t="s">
        <v>469</v>
      </c>
      <c r="L227" s="17">
        <v>81519</v>
      </c>
      <c r="M227" s="17" t="s">
        <v>65</v>
      </c>
      <c r="N227" s="17" t="s">
        <v>703</v>
      </c>
      <c r="O227" s="19" t="s">
        <v>65</v>
      </c>
      <c r="P227" s="19" t="s">
        <v>693</v>
      </c>
      <c r="Q227" s="20"/>
      <c r="R227" s="86" t="s">
        <v>65</v>
      </c>
      <c r="S227" s="17" t="s">
        <v>69</v>
      </c>
      <c r="T227" s="17"/>
      <c r="U227" s="17"/>
      <c r="V227" s="17">
        <v>1434</v>
      </c>
      <c r="W227" s="17">
        <f t="shared" si="27"/>
        <v>1434</v>
      </c>
      <c r="X227" s="17">
        <f>W227</f>
        <v>1434</v>
      </c>
      <c r="Y227" s="17">
        <f>ROUNDDOWN(W227/HLOOKUP(D227,Table!$C$3:$D$4,2,0)*8,2)</f>
        <v>25.49</v>
      </c>
      <c r="Z227" s="17">
        <v>3</v>
      </c>
      <c r="AA227" s="17" t="s">
        <v>21</v>
      </c>
      <c r="AB227" s="142">
        <v>43945</v>
      </c>
      <c r="AC227" s="21">
        <v>43941</v>
      </c>
      <c r="AD227" s="21">
        <v>43945</v>
      </c>
      <c r="AE227" s="21">
        <v>43943</v>
      </c>
      <c r="AF227" s="21">
        <v>43943</v>
      </c>
      <c r="AG227" s="22" t="s">
        <v>115</v>
      </c>
      <c r="AH227" s="38">
        <v>1</v>
      </c>
      <c r="AI227" s="38">
        <v>0.99</v>
      </c>
      <c r="AJ227" s="98">
        <v>0.96</v>
      </c>
      <c r="AK227" s="22" t="s">
        <v>354</v>
      </c>
      <c r="AL227" s="148" t="s">
        <v>938</v>
      </c>
      <c r="AM227" s="17"/>
      <c r="AN227" s="17"/>
      <c r="AO227" t="s">
        <v>941</v>
      </c>
    </row>
    <row r="228" spans="2:41" x14ac:dyDescent="0.25">
      <c r="B228" s="92">
        <f t="shared" si="25"/>
        <v>181</v>
      </c>
      <c r="C228" s="18" t="s">
        <v>713</v>
      </c>
      <c r="D228" s="17" t="s">
        <v>3</v>
      </c>
      <c r="E228" s="17" t="s">
        <v>626</v>
      </c>
      <c r="F228" s="128" t="s">
        <v>871</v>
      </c>
      <c r="G228" s="19">
        <v>1411690</v>
      </c>
      <c r="H228" s="86" t="s">
        <v>65</v>
      </c>
      <c r="I228" s="17" t="s">
        <v>655</v>
      </c>
      <c r="J228" s="86" t="s">
        <v>65</v>
      </c>
      <c r="K228" s="17" t="s">
        <v>469</v>
      </c>
      <c r="L228" s="17">
        <v>81519</v>
      </c>
      <c r="M228" s="17" t="s">
        <v>65</v>
      </c>
      <c r="N228" s="17" t="s">
        <v>703</v>
      </c>
      <c r="O228" s="19" t="s">
        <v>65</v>
      </c>
      <c r="P228" s="19" t="s">
        <v>693</v>
      </c>
      <c r="Q228" s="20"/>
      <c r="R228" s="86" t="s">
        <v>65</v>
      </c>
      <c r="S228" s="17" t="s">
        <v>429</v>
      </c>
      <c r="T228" s="17"/>
      <c r="U228" s="17"/>
      <c r="V228" s="17">
        <v>75</v>
      </c>
      <c r="W228" s="17">
        <f t="shared" si="27"/>
        <v>75</v>
      </c>
      <c r="X228" s="17">
        <f>W228</f>
        <v>75</v>
      </c>
      <c r="Y228" s="17">
        <f>ROUNDDOWN(W228/HLOOKUP(D228,Table!$C$3:$D$4,2,0)*8,2)</f>
        <v>1.33</v>
      </c>
      <c r="Z228" s="17">
        <v>0.5</v>
      </c>
      <c r="AA228" s="17" t="s">
        <v>21</v>
      </c>
      <c r="AB228" s="142">
        <v>43945</v>
      </c>
      <c r="AC228" s="21">
        <v>43941</v>
      </c>
      <c r="AD228" s="21">
        <v>43945</v>
      </c>
      <c r="AE228" s="21">
        <v>43944</v>
      </c>
      <c r="AF228" s="21">
        <v>43944</v>
      </c>
      <c r="AG228" s="22" t="s">
        <v>114</v>
      </c>
      <c r="AH228" s="38">
        <v>1</v>
      </c>
      <c r="AI228" s="38">
        <v>1</v>
      </c>
      <c r="AJ228" s="38">
        <v>1</v>
      </c>
      <c r="AK228" s="22" t="s">
        <v>574</v>
      </c>
      <c r="AL228" s="17"/>
      <c r="AM228" s="17"/>
      <c r="AN228" s="17"/>
      <c r="AO228" t="s">
        <v>941</v>
      </c>
    </row>
    <row r="229" spans="2:41" x14ac:dyDescent="0.25">
      <c r="B229" s="92">
        <f t="shared" si="25"/>
        <v>182</v>
      </c>
      <c r="C229" s="35" t="s">
        <v>713</v>
      </c>
      <c r="D229" s="35" t="s">
        <v>3</v>
      </c>
      <c r="E229" s="35" t="s">
        <v>626</v>
      </c>
      <c r="F229" s="130" t="s">
        <v>872</v>
      </c>
      <c r="G229" s="36">
        <v>1411690</v>
      </c>
      <c r="H229" s="86" t="s">
        <v>65</v>
      </c>
      <c r="I229" s="35" t="s">
        <v>656</v>
      </c>
      <c r="J229" s="86" t="s">
        <v>65</v>
      </c>
      <c r="K229" s="35" t="s">
        <v>469</v>
      </c>
      <c r="L229" s="35">
        <v>81519</v>
      </c>
      <c r="M229" s="35" t="s">
        <v>65</v>
      </c>
      <c r="N229" s="35" t="s">
        <v>703</v>
      </c>
      <c r="O229" s="36" t="s">
        <v>65</v>
      </c>
      <c r="P229" s="36" t="s">
        <v>693</v>
      </c>
      <c r="Q229" s="20"/>
      <c r="R229" s="86" t="s">
        <v>65</v>
      </c>
      <c r="S229" s="35" t="s">
        <v>429</v>
      </c>
      <c r="T229" s="35"/>
      <c r="U229" s="35"/>
      <c r="V229" s="35">
        <v>166</v>
      </c>
      <c r="W229" s="35">
        <f t="shared" si="27"/>
        <v>166</v>
      </c>
      <c r="X229" s="35">
        <f>W229</f>
        <v>166</v>
      </c>
      <c r="Y229" s="35">
        <f>ROUNDDOWN(W229/HLOOKUP(D229,Table!$C$3:$D$4,2,0)*8,2)</f>
        <v>2.95</v>
      </c>
      <c r="Z229" s="18">
        <v>0.5</v>
      </c>
      <c r="AA229" s="18" t="s">
        <v>21</v>
      </c>
      <c r="AB229" s="142">
        <v>43945</v>
      </c>
      <c r="AC229" s="21">
        <v>43941</v>
      </c>
      <c r="AD229" s="37">
        <v>43945</v>
      </c>
      <c r="AE229" s="78">
        <v>43944</v>
      </c>
      <c r="AF229" s="78">
        <v>43944</v>
      </c>
      <c r="AG229" s="126" t="s">
        <v>114</v>
      </c>
      <c r="AH229" s="98">
        <v>1</v>
      </c>
      <c r="AI229" s="98">
        <v>1</v>
      </c>
      <c r="AJ229" s="98">
        <v>1</v>
      </c>
      <c r="AK229" s="22" t="s">
        <v>574</v>
      </c>
      <c r="AL229" s="35"/>
      <c r="AM229" s="35"/>
      <c r="AN229" s="35"/>
      <c r="AO229" t="s">
        <v>941</v>
      </c>
    </row>
    <row r="230" spans="2:41" x14ac:dyDescent="0.25">
      <c r="B230" s="92">
        <f t="shared" si="25"/>
        <v>183</v>
      </c>
      <c r="C230" s="18" t="s">
        <v>713</v>
      </c>
      <c r="D230" s="17" t="s">
        <v>3</v>
      </c>
      <c r="E230" s="17" t="s">
        <v>626</v>
      </c>
      <c r="F230" s="128" t="s">
        <v>809</v>
      </c>
      <c r="G230" s="19">
        <v>1411690</v>
      </c>
      <c r="H230" s="86" t="s">
        <v>65</v>
      </c>
      <c r="I230" s="17" t="s">
        <v>657</v>
      </c>
      <c r="J230" s="86" t="s">
        <v>65</v>
      </c>
      <c r="K230" s="17" t="s">
        <v>469</v>
      </c>
      <c r="L230" s="17">
        <v>81519</v>
      </c>
      <c r="M230" s="17" t="s">
        <v>65</v>
      </c>
      <c r="N230" s="17" t="s">
        <v>703</v>
      </c>
      <c r="O230" s="19" t="s">
        <v>65</v>
      </c>
      <c r="P230" s="19" t="s">
        <v>693</v>
      </c>
      <c r="Q230" s="20"/>
      <c r="R230" s="86" t="s">
        <v>65</v>
      </c>
      <c r="S230" s="17" t="s">
        <v>6</v>
      </c>
      <c r="T230" s="17"/>
      <c r="U230" s="17"/>
      <c r="V230" s="17">
        <v>46</v>
      </c>
      <c r="W230" s="17">
        <f t="shared" si="27"/>
        <v>46</v>
      </c>
      <c r="X230" s="17">
        <f>W230</f>
        <v>46</v>
      </c>
      <c r="Y230" s="17">
        <f>ROUNDDOWN(W230/HLOOKUP(D230,Table!$C$3:$D$4,2,0)*8,2)</f>
        <v>0.81</v>
      </c>
      <c r="Z230" s="17">
        <v>2</v>
      </c>
      <c r="AA230" s="17" t="s">
        <v>21</v>
      </c>
      <c r="AB230" s="142">
        <v>43945</v>
      </c>
      <c r="AC230" s="21">
        <v>43941</v>
      </c>
      <c r="AD230" s="21">
        <v>43945</v>
      </c>
      <c r="AE230" s="21">
        <v>43944</v>
      </c>
      <c r="AF230" s="21">
        <v>43944</v>
      </c>
      <c r="AG230" s="22" t="s">
        <v>114</v>
      </c>
      <c r="AH230" s="38">
        <v>1</v>
      </c>
      <c r="AI230" s="38">
        <v>1</v>
      </c>
      <c r="AJ230" s="38">
        <v>1</v>
      </c>
      <c r="AK230" s="22" t="s">
        <v>574</v>
      </c>
      <c r="AL230" s="17"/>
      <c r="AM230" s="17"/>
      <c r="AN230" s="17"/>
      <c r="AO230" t="s">
        <v>941</v>
      </c>
    </row>
    <row r="231" spans="2:41" x14ac:dyDescent="0.25">
      <c r="B231" s="92">
        <f t="shared" si="25"/>
        <v>184</v>
      </c>
      <c r="C231" s="18" t="s">
        <v>713</v>
      </c>
      <c r="D231" s="17" t="s">
        <v>3</v>
      </c>
      <c r="E231" s="17" t="s">
        <v>627</v>
      </c>
      <c r="F231" s="128" t="s">
        <v>875</v>
      </c>
      <c r="G231" s="19">
        <v>1411700</v>
      </c>
      <c r="H231" s="86" t="s">
        <v>65</v>
      </c>
      <c r="I231" s="17" t="s">
        <v>657</v>
      </c>
      <c r="J231" s="86" t="s">
        <v>65</v>
      </c>
      <c r="K231" s="17" t="s">
        <v>469</v>
      </c>
      <c r="L231" s="17">
        <v>81518</v>
      </c>
      <c r="M231" s="17" t="s">
        <v>644</v>
      </c>
      <c r="N231" s="132" t="s">
        <v>874</v>
      </c>
      <c r="O231" s="19" t="s">
        <v>65</v>
      </c>
      <c r="P231" s="19" t="s">
        <v>693</v>
      </c>
      <c r="Q231" s="20"/>
      <c r="R231" s="86" t="s">
        <v>65</v>
      </c>
      <c r="S231" s="17" t="s">
        <v>429</v>
      </c>
      <c r="T231" s="17"/>
      <c r="U231" s="17"/>
      <c r="V231" s="17">
        <v>9</v>
      </c>
      <c r="W231" s="20">
        <v>60</v>
      </c>
      <c r="X231" s="17">
        <v>60</v>
      </c>
      <c r="Y231" s="17">
        <f>ROUNDDOWN(W231/HLOOKUP(D231,Table!$C$3:$D$4,2,0)*8,2)</f>
        <v>1.06</v>
      </c>
      <c r="Z231" s="17">
        <v>0.25</v>
      </c>
      <c r="AA231" s="17" t="s">
        <v>21</v>
      </c>
      <c r="AB231" s="142">
        <v>43945</v>
      </c>
      <c r="AC231" s="21">
        <v>43941</v>
      </c>
      <c r="AD231" s="21">
        <v>43945</v>
      </c>
      <c r="AE231" s="21">
        <v>43944</v>
      </c>
      <c r="AF231" s="21">
        <v>43944</v>
      </c>
      <c r="AG231" s="22" t="s">
        <v>114</v>
      </c>
      <c r="AH231" s="38">
        <v>1</v>
      </c>
      <c r="AI231" s="38">
        <v>1</v>
      </c>
      <c r="AJ231" s="38">
        <v>1</v>
      </c>
      <c r="AK231" s="22" t="s">
        <v>574</v>
      </c>
      <c r="AL231" s="17"/>
      <c r="AM231" s="17"/>
      <c r="AN231" s="17" t="s">
        <v>929</v>
      </c>
      <c r="AO231" t="s">
        <v>941</v>
      </c>
    </row>
    <row r="232" spans="2:41" x14ac:dyDescent="0.25">
      <c r="B232" s="92">
        <f t="shared" si="25"/>
        <v>185</v>
      </c>
      <c r="C232" s="18" t="s">
        <v>713</v>
      </c>
      <c r="D232" s="18" t="s">
        <v>3</v>
      </c>
      <c r="E232" s="18" t="s">
        <v>628</v>
      </c>
      <c r="F232" s="127" t="s">
        <v>810</v>
      </c>
      <c r="G232" s="61">
        <v>1392220</v>
      </c>
      <c r="H232" s="86" t="s">
        <v>65</v>
      </c>
      <c r="I232" s="18" t="s">
        <v>658</v>
      </c>
      <c r="J232" s="86" t="s">
        <v>65</v>
      </c>
      <c r="K232" s="17" t="s">
        <v>469</v>
      </c>
      <c r="L232" s="18" t="s">
        <v>574</v>
      </c>
      <c r="M232" s="18" t="s">
        <v>645</v>
      </c>
      <c r="N232" s="133" t="s">
        <v>712</v>
      </c>
      <c r="O232" s="19" t="s">
        <v>65</v>
      </c>
      <c r="P232" s="61" t="s">
        <v>694</v>
      </c>
      <c r="Q232" s="20"/>
      <c r="R232" s="86" t="s">
        <v>65</v>
      </c>
      <c r="S232" s="18" t="s">
        <v>429</v>
      </c>
      <c r="T232" s="18"/>
      <c r="U232" s="18"/>
      <c r="V232" s="18">
        <v>221</v>
      </c>
      <c r="W232" s="18">
        <f t="shared" si="27"/>
        <v>221</v>
      </c>
      <c r="X232" s="18">
        <f t="shared" si="27"/>
        <v>221</v>
      </c>
      <c r="Y232" s="18">
        <f>ROUNDDOWN(W232/HLOOKUP(D232,Table!$C$3:$D$4,2,0)*8,2)</f>
        <v>3.92</v>
      </c>
      <c r="Z232" s="18">
        <v>2</v>
      </c>
      <c r="AA232" s="18" t="s">
        <v>78</v>
      </c>
      <c r="AB232" s="78">
        <v>43942</v>
      </c>
      <c r="AC232" s="21">
        <v>43941</v>
      </c>
      <c r="AD232" s="78">
        <v>43942</v>
      </c>
      <c r="AE232" s="78">
        <v>43941</v>
      </c>
      <c r="AF232" s="78">
        <v>43941</v>
      </c>
      <c r="AG232" s="22" t="s">
        <v>114</v>
      </c>
      <c r="AH232" s="98">
        <v>1</v>
      </c>
      <c r="AI232" s="98">
        <v>1</v>
      </c>
      <c r="AJ232" s="98">
        <v>1</v>
      </c>
      <c r="AK232" s="22" t="s">
        <v>574</v>
      </c>
      <c r="AL232" s="18"/>
      <c r="AM232" s="18"/>
      <c r="AN232" s="18"/>
      <c r="AO232" t="s">
        <v>941</v>
      </c>
    </row>
    <row r="233" spans="2:41" x14ac:dyDescent="0.25">
      <c r="B233" s="92">
        <f t="shared" si="25"/>
        <v>186</v>
      </c>
      <c r="C233" s="18" t="s">
        <v>713</v>
      </c>
      <c r="D233" s="17" t="s">
        <v>3</v>
      </c>
      <c r="E233" s="17" t="s">
        <v>628</v>
      </c>
      <c r="F233" s="127" t="s">
        <v>811</v>
      </c>
      <c r="G233" s="19">
        <v>1392220</v>
      </c>
      <c r="H233" s="86" t="s">
        <v>65</v>
      </c>
      <c r="I233" s="17" t="s">
        <v>659</v>
      </c>
      <c r="J233" s="86" t="s">
        <v>65</v>
      </c>
      <c r="K233" s="17" t="s">
        <v>469</v>
      </c>
      <c r="L233" s="17" t="s">
        <v>574</v>
      </c>
      <c r="M233" s="17" t="s">
        <v>645</v>
      </c>
      <c r="N233" s="17" t="s">
        <v>712</v>
      </c>
      <c r="O233" s="19" t="s">
        <v>65</v>
      </c>
      <c r="P233" s="19" t="s">
        <v>694</v>
      </c>
      <c r="Q233" s="20"/>
      <c r="R233" s="86" t="s">
        <v>65</v>
      </c>
      <c r="S233" s="17" t="s">
        <v>6</v>
      </c>
      <c r="T233" s="17"/>
      <c r="U233" s="17"/>
      <c r="V233" s="17">
        <v>919</v>
      </c>
      <c r="W233" s="17">
        <f t="shared" si="27"/>
        <v>919</v>
      </c>
      <c r="X233" s="18">
        <f t="shared" si="27"/>
        <v>919</v>
      </c>
      <c r="Y233" s="17">
        <f>ROUNDDOWN(W233/HLOOKUP(D233,Table!$C$3:$D$4,2,0)*8,2)</f>
        <v>16.329999999999998</v>
      </c>
      <c r="Z233" s="17">
        <v>14</v>
      </c>
      <c r="AA233" s="17" t="s">
        <v>78</v>
      </c>
      <c r="AB233" s="78">
        <v>43942</v>
      </c>
      <c r="AC233" s="21">
        <v>43941</v>
      </c>
      <c r="AD233" s="21">
        <v>43942</v>
      </c>
      <c r="AE233" s="78">
        <v>43941</v>
      </c>
      <c r="AF233" s="21">
        <v>43942</v>
      </c>
      <c r="AG233" s="22" t="s">
        <v>115</v>
      </c>
      <c r="AH233" s="38">
        <v>1</v>
      </c>
      <c r="AI233" s="38">
        <v>1</v>
      </c>
      <c r="AJ233" s="38">
        <v>0.98</v>
      </c>
      <c r="AK233" s="22" t="s">
        <v>354</v>
      </c>
      <c r="AL233" s="17" t="s">
        <v>803</v>
      </c>
      <c r="AM233" s="17"/>
      <c r="AN233" s="17"/>
      <c r="AO233" t="s">
        <v>941</v>
      </c>
    </row>
    <row r="234" spans="2:41" x14ac:dyDescent="0.25">
      <c r="B234" s="92">
        <f t="shared" si="25"/>
        <v>187</v>
      </c>
      <c r="C234" s="18" t="s">
        <v>713</v>
      </c>
      <c r="D234" s="18" t="s">
        <v>3</v>
      </c>
      <c r="E234" s="18" t="s">
        <v>629</v>
      </c>
      <c r="F234" s="131" t="s">
        <v>873</v>
      </c>
      <c r="G234" s="61">
        <v>1409871</v>
      </c>
      <c r="H234" s="86" t="s">
        <v>65</v>
      </c>
      <c r="I234" s="18" t="s">
        <v>660</v>
      </c>
      <c r="J234" s="86" t="s">
        <v>65</v>
      </c>
      <c r="K234" s="18" t="s">
        <v>469</v>
      </c>
      <c r="L234" s="18">
        <v>82225</v>
      </c>
      <c r="M234" s="18" t="s">
        <v>646</v>
      </c>
      <c r="N234" s="18" t="s">
        <v>704</v>
      </c>
      <c r="O234" s="61" t="s">
        <v>65</v>
      </c>
      <c r="P234" s="61" t="s">
        <v>695</v>
      </c>
      <c r="Q234" s="20"/>
      <c r="R234" s="86" t="s">
        <v>65</v>
      </c>
      <c r="S234" s="18" t="s">
        <v>429</v>
      </c>
      <c r="T234" s="18"/>
      <c r="U234" s="18"/>
      <c r="V234" s="18">
        <v>101</v>
      </c>
      <c r="W234" s="18">
        <f t="shared" si="27"/>
        <v>101</v>
      </c>
      <c r="X234" s="18">
        <f t="shared" si="27"/>
        <v>101</v>
      </c>
      <c r="Y234" s="18">
        <f>ROUNDDOWN(W234/HLOOKUP(D234,Table!$C$3:$D$4,2,0)*8,2)</f>
        <v>1.79</v>
      </c>
      <c r="Z234" s="18">
        <v>0.5</v>
      </c>
      <c r="AA234" s="18" t="s">
        <v>78</v>
      </c>
      <c r="AB234" s="78">
        <v>43942</v>
      </c>
      <c r="AC234" s="21">
        <v>43941</v>
      </c>
      <c r="AD234" s="78">
        <v>43942</v>
      </c>
      <c r="AE234" s="78">
        <v>43941</v>
      </c>
      <c r="AF234" s="78">
        <v>43941</v>
      </c>
      <c r="AG234" s="22" t="s">
        <v>114</v>
      </c>
      <c r="AH234" s="98">
        <v>1</v>
      </c>
      <c r="AI234" s="98">
        <v>1</v>
      </c>
      <c r="AJ234" s="98">
        <v>1</v>
      </c>
      <c r="AK234" s="22" t="s">
        <v>574</v>
      </c>
      <c r="AL234" s="18"/>
      <c r="AM234" s="18"/>
      <c r="AN234" s="18" t="s">
        <v>808</v>
      </c>
      <c r="AO234" t="s">
        <v>941</v>
      </c>
    </row>
    <row r="235" spans="2:41" x14ac:dyDescent="0.25">
      <c r="B235" s="92">
        <f t="shared" si="25"/>
        <v>188</v>
      </c>
      <c r="C235" s="18" t="s">
        <v>713</v>
      </c>
      <c r="D235" s="17" t="s">
        <v>3</v>
      </c>
      <c r="E235" s="17" t="s">
        <v>629</v>
      </c>
      <c r="F235" s="131" t="s">
        <v>901</v>
      </c>
      <c r="G235" s="19">
        <v>1409871</v>
      </c>
      <c r="H235" s="86" t="s">
        <v>65</v>
      </c>
      <c r="I235" s="17" t="s">
        <v>661</v>
      </c>
      <c r="J235" s="86" t="s">
        <v>65</v>
      </c>
      <c r="K235" s="17" t="s">
        <v>469</v>
      </c>
      <c r="L235" s="17">
        <v>82225</v>
      </c>
      <c r="M235" s="17" t="s">
        <v>646</v>
      </c>
      <c r="N235" s="17" t="s">
        <v>704</v>
      </c>
      <c r="O235" s="19" t="s">
        <v>65</v>
      </c>
      <c r="P235" s="19" t="s">
        <v>695</v>
      </c>
      <c r="Q235" s="20"/>
      <c r="R235" s="86" t="s">
        <v>65</v>
      </c>
      <c r="S235" s="17" t="s">
        <v>429</v>
      </c>
      <c r="T235" s="17"/>
      <c r="U235" s="17"/>
      <c r="V235" s="17">
        <v>51</v>
      </c>
      <c r="W235" s="17">
        <f t="shared" si="27"/>
        <v>51</v>
      </c>
      <c r="X235" s="18">
        <f t="shared" si="27"/>
        <v>51</v>
      </c>
      <c r="Y235" s="17">
        <f>ROUNDDOWN(W235/HLOOKUP(D235,Table!$C$3:$D$4,2,0)*8,2)</f>
        <v>0.9</v>
      </c>
      <c r="Z235" s="17">
        <v>0</v>
      </c>
      <c r="AA235" s="17" t="s">
        <v>78</v>
      </c>
      <c r="AB235" s="78">
        <v>43942</v>
      </c>
      <c r="AC235" s="21">
        <v>43941</v>
      </c>
      <c r="AD235" s="21">
        <v>43942</v>
      </c>
      <c r="AE235" s="21">
        <v>43941</v>
      </c>
      <c r="AF235" s="21">
        <v>43941</v>
      </c>
      <c r="AG235" s="22" t="s">
        <v>114</v>
      </c>
      <c r="AH235" s="39" t="s">
        <v>65</v>
      </c>
      <c r="AI235" s="39" t="s">
        <v>65</v>
      </c>
      <c r="AJ235" s="39" t="s">
        <v>65</v>
      </c>
      <c r="AK235" s="22" t="s">
        <v>574</v>
      </c>
      <c r="AL235" s="17"/>
      <c r="AM235" s="17"/>
      <c r="AN235" s="17" t="s">
        <v>718</v>
      </c>
      <c r="AO235" t="s">
        <v>941</v>
      </c>
    </row>
    <row r="236" spans="2:41" x14ac:dyDescent="0.25">
      <c r="B236" s="92">
        <f t="shared" si="25"/>
        <v>189</v>
      </c>
      <c r="C236" s="18" t="s">
        <v>713</v>
      </c>
      <c r="D236" s="17" t="s">
        <v>3</v>
      </c>
      <c r="E236" s="17" t="s">
        <v>630</v>
      </c>
      <c r="F236" s="127" t="s">
        <v>812</v>
      </c>
      <c r="G236" s="19">
        <v>1416607</v>
      </c>
      <c r="H236" s="86" t="s">
        <v>65</v>
      </c>
      <c r="I236" s="17" t="s">
        <v>516</v>
      </c>
      <c r="J236" s="86" t="s">
        <v>65</v>
      </c>
      <c r="K236" s="17" t="s">
        <v>469</v>
      </c>
      <c r="L236" s="17" t="s">
        <v>795</v>
      </c>
      <c r="M236" s="17" t="s">
        <v>647</v>
      </c>
      <c r="N236" s="17" t="s">
        <v>705</v>
      </c>
      <c r="O236" s="19" t="s">
        <v>65</v>
      </c>
      <c r="P236" s="19" t="s">
        <v>587</v>
      </c>
      <c r="Q236" s="20"/>
      <c r="R236" s="86" t="s">
        <v>65</v>
      </c>
      <c r="S236" s="17" t="s">
        <v>429</v>
      </c>
      <c r="T236" s="17"/>
      <c r="U236" s="17"/>
      <c r="V236" s="17">
        <v>84</v>
      </c>
      <c r="W236" s="17">
        <f t="shared" si="27"/>
        <v>84</v>
      </c>
      <c r="X236" s="17">
        <f t="shared" si="27"/>
        <v>84</v>
      </c>
      <c r="Y236" s="17">
        <f>ROUNDDOWN(W236/HLOOKUP(D236,Table!$C$3:$D$4,2,0)*8,2)</f>
        <v>1.49</v>
      </c>
      <c r="Z236" s="17">
        <v>1</v>
      </c>
      <c r="AA236" s="17" t="s">
        <v>21</v>
      </c>
      <c r="AB236" s="21">
        <v>43950</v>
      </c>
      <c r="AC236" s="21">
        <v>43941</v>
      </c>
      <c r="AD236" s="21">
        <v>43951</v>
      </c>
      <c r="AE236" s="21">
        <v>43944</v>
      </c>
      <c r="AF236" s="21">
        <v>43944</v>
      </c>
      <c r="AG236" s="22" t="s">
        <v>114</v>
      </c>
      <c r="AH236" s="38">
        <v>1</v>
      </c>
      <c r="AI236" s="38">
        <v>1</v>
      </c>
      <c r="AJ236" s="38">
        <v>1</v>
      </c>
      <c r="AK236" s="22" t="s">
        <v>574</v>
      </c>
      <c r="AL236" s="17"/>
      <c r="AM236" s="17"/>
      <c r="AN236" s="17"/>
      <c r="AO236" t="s">
        <v>941</v>
      </c>
    </row>
    <row r="237" spans="2:41" x14ac:dyDescent="0.25">
      <c r="B237" s="92">
        <f t="shared" si="25"/>
        <v>190</v>
      </c>
      <c r="C237" s="18" t="s">
        <v>713</v>
      </c>
      <c r="D237" s="17" t="s">
        <v>3</v>
      </c>
      <c r="E237" s="17" t="s">
        <v>630</v>
      </c>
      <c r="F237" s="127" t="s">
        <v>813</v>
      </c>
      <c r="G237" s="19">
        <v>1416607</v>
      </c>
      <c r="H237" s="86" t="s">
        <v>65</v>
      </c>
      <c r="I237" s="17" t="s">
        <v>662</v>
      </c>
      <c r="J237" s="86" t="s">
        <v>65</v>
      </c>
      <c r="K237" s="17" t="s">
        <v>469</v>
      </c>
      <c r="L237" s="17" t="s">
        <v>795</v>
      </c>
      <c r="M237" s="17" t="s">
        <v>647</v>
      </c>
      <c r="N237" s="17" t="s">
        <v>705</v>
      </c>
      <c r="O237" s="19" t="s">
        <v>65</v>
      </c>
      <c r="P237" s="19" t="s">
        <v>587</v>
      </c>
      <c r="Q237" s="20"/>
      <c r="R237" s="86" t="s">
        <v>65</v>
      </c>
      <c r="S237" s="17" t="s">
        <v>429</v>
      </c>
      <c r="T237" s="17"/>
      <c r="U237" s="17"/>
      <c r="V237" s="17">
        <v>7</v>
      </c>
      <c r="W237" s="18">
        <v>7</v>
      </c>
      <c r="X237" s="17">
        <f t="shared" si="27"/>
        <v>7</v>
      </c>
      <c r="Y237" s="17">
        <f>ROUNDDOWN(W237/HLOOKUP(D237,Table!$C$3:$D$4,2,0)*8,2)</f>
        <v>0.12</v>
      </c>
      <c r="Z237" s="17">
        <v>0</v>
      </c>
      <c r="AA237" s="17" t="s">
        <v>21</v>
      </c>
      <c r="AB237" s="21">
        <v>43950</v>
      </c>
      <c r="AC237" s="21">
        <v>43941</v>
      </c>
      <c r="AD237" s="21">
        <v>43951</v>
      </c>
      <c r="AE237" s="21">
        <v>43944</v>
      </c>
      <c r="AF237" s="21">
        <v>43944</v>
      </c>
      <c r="AG237" s="22" t="s">
        <v>114</v>
      </c>
      <c r="AH237" s="38" t="s">
        <v>65</v>
      </c>
      <c r="AI237" s="38" t="s">
        <v>65</v>
      </c>
      <c r="AJ237" s="38" t="s">
        <v>65</v>
      </c>
      <c r="AK237" s="22" t="s">
        <v>574</v>
      </c>
      <c r="AL237" s="17"/>
      <c r="AM237" s="17"/>
      <c r="AN237" s="17" t="s">
        <v>932</v>
      </c>
      <c r="AO237" t="s">
        <v>941</v>
      </c>
    </row>
    <row r="238" spans="2:41" x14ac:dyDescent="0.25">
      <c r="B238" s="92">
        <f t="shared" si="25"/>
        <v>191</v>
      </c>
      <c r="C238" s="18" t="s">
        <v>713</v>
      </c>
      <c r="D238" s="17" t="s">
        <v>3</v>
      </c>
      <c r="E238" s="17" t="s">
        <v>630</v>
      </c>
      <c r="F238" s="127" t="s">
        <v>814</v>
      </c>
      <c r="G238" s="19">
        <v>1416607</v>
      </c>
      <c r="H238" s="86" t="s">
        <v>65</v>
      </c>
      <c r="I238" s="17" t="s">
        <v>518</v>
      </c>
      <c r="J238" s="86" t="s">
        <v>65</v>
      </c>
      <c r="K238" s="17" t="s">
        <v>469</v>
      </c>
      <c r="L238" s="17" t="s">
        <v>795</v>
      </c>
      <c r="M238" s="17" t="s">
        <v>647</v>
      </c>
      <c r="N238" s="17" t="s">
        <v>705</v>
      </c>
      <c r="O238" s="19" t="s">
        <v>65</v>
      </c>
      <c r="P238" s="19" t="s">
        <v>587</v>
      </c>
      <c r="Q238" s="20"/>
      <c r="R238" s="86" t="s">
        <v>65</v>
      </c>
      <c r="S238" s="17" t="s">
        <v>429</v>
      </c>
      <c r="T238" s="17"/>
      <c r="U238" s="17"/>
      <c r="V238" s="17">
        <v>259</v>
      </c>
      <c r="W238" s="17">
        <f t="shared" ref="W238:X253" si="28">V238</f>
        <v>259</v>
      </c>
      <c r="X238" s="17">
        <f t="shared" si="27"/>
        <v>259</v>
      </c>
      <c r="Y238" s="17">
        <f>ROUNDDOWN(W238/HLOOKUP(D238,Table!$C$3:$D$4,2,0)*8,2)</f>
        <v>4.5999999999999996</v>
      </c>
      <c r="Z238" s="17">
        <v>2</v>
      </c>
      <c r="AA238" s="17" t="s">
        <v>21</v>
      </c>
      <c r="AB238" s="21">
        <v>43950</v>
      </c>
      <c r="AC238" s="21">
        <v>43941</v>
      </c>
      <c r="AD238" s="21">
        <v>43951</v>
      </c>
      <c r="AE238" s="21">
        <v>43944</v>
      </c>
      <c r="AF238" s="21">
        <v>43944</v>
      </c>
      <c r="AG238" s="22" t="s">
        <v>115</v>
      </c>
      <c r="AH238" s="38">
        <v>1</v>
      </c>
      <c r="AI238" s="38">
        <v>1</v>
      </c>
      <c r="AJ238" s="38">
        <v>0.88</v>
      </c>
      <c r="AK238" s="22" t="s">
        <v>354</v>
      </c>
      <c r="AL238" s="17" t="s">
        <v>930</v>
      </c>
      <c r="AM238" s="17"/>
      <c r="AN238" s="17" t="s">
        <v>931</v>
      </c>
      <c r="AO238" t="s">
        <v>941</v>
      </c>
    </row>
    <row r="239" spans="2:41" x14ac:dyDescent="0.25">
      <c r="B239" s="92">
        <f t="shared" si="25"/>
        <v>192</v>
      </c>
      <c r="C239" s="18" t="s">
        <v>713</v>
      </c>
      <c r="D239" s="17" t="s">
        <v>3</v>
      </c>
      <c r="E239" s="17" t="s">
        <v>630</v>
      </c>
      <c r="F239" s="127" t="s">
        <v>815</v>
      </c>
      <c r="G239" s="19">
        <v>1416607</v>
      </c>
      <c r="H239" s="86" t="s">
        <v>65</v>
      </c>
      <c r="I239" s="17" t="s">
        <v>663</v>
      </c>
      <c r="J239" s="86" t="s">
        <v>65</v>
      </c>
      <c r="K239" s="17" t="s">
        <v>469</v>
      </c>
      <c r="L239" s="17" t="s">
        <v>795</v>
      </c>
      <c r="M239" s="17" t="s">
        <v>647</v>
      </c>
      <c r="N239" s="17" t="s">
        <v>705</v>
      </c>
      <c r="O239" s="19" t="s">
        <v>65</v>
      </c>
      <c r="P239" s="19" t="s">
        <v>587</v>
      </c>
      <c r="Q239" s="20"/>
      <c r="R239" s="86" t="s">
        <v>65</v>
      </c>
      <c r="S239" s="17" t="s">
        <v>429</v>
      </c>
      <c r="T239" s="17"/>
      <c r="U239" s="17"/>
      <c r="V239" s="17">
        <v>135</v>
      </c>
      <c r="W239" s="17">
        <f t="shared" si="28"/>
        <v>135</v>
      </c>
      <c r="X239" s="17">
        <f t="shared" si="27"/>
        <v>135</v>
      </c>
      <c r="Y239" s="17">
        <f>ROUNDDOWN(W239/HLOOKUP(D239,Table!$C$3:$D$4,2,0)*8,2)</f>
        <v>2.4</v>
      </c>
      <c r="Z239" s="17">
        <v>1</v>
      </c>
      <c r="AA239" s="17" t="s">
        <v>21</v>
      </c>
      <c r="AB239" s="21">
        <v>43950</v>
      </c>
      <c r="AC239" s="21">
        <v>43941</v>
      </c>
      <c r="AD239" s="21">
        <v>43951</v>
      </c>
      <c r="AE239" s="21">
        <v>43944</v>
      </c>
      <c r="AF239" s="21">
        <v>43944</v>
      </c>
      <c r="AG239" s="22" t="s">
        <v>114</v>
      </c>
      <c r="AH239" s="38">
        <v>1</v>
      </c>
      <c r="AI239" s="38">
        <v>1</v>
      </c>
      <c r="AJ239" s="38">
        <v>1</v>
      </c>
      <c r="AK239" s="22" t="s">
        <v>574</v>
      </c>
      <c r="AL239" s="17"/>
      <c r="AM239" s="17"/>
      <c r="AN239" s="17"/>
      <c r="AO239" t="s">
        <v>941</v>
      </c>
    </row>
    <row r="240" spans="2:41" x14ac:dyDescent="0.25">
      <c r="B240" s="92">
        <f t="shared" si="25"/>
        <v>193</v>
      </c>
      <c r="C240" s="18" t="s">
        <v>713</v>
      </c>
      <c r="D240" s="17" t="s">
        <v>3</v>
      </c>
      <c r="E240" s="17" t="s">
        <v>630</v>
      </c>
      <c r="F240" s="127" t="s">
        <v>816</v>
      </c>
      <c r="G240" s="19">
        <v>1416607</v>
      </c>
      <c r="H240" s="86" t="s">
        <v>65</v>
      </c>
      <c r="I240" s="17" t="s">
        <v>517</v>
      </c>
      <c r="J240" s="86" t="s">
        <v>65</v>
      </c>
      <c r="K240" s="17" t="s">
        <v>469</v>
      </c>
      <c r="L240" s="17" t="s">
        <v>795</v>
      </c>
      <c r="M240" s="17" t="s">
        <v>647</v>
      </c>
      <c r="N240" s="17" t="s">
        <v>705</v>
      </c>
      <c r="O240" s="19" t="s">
        <v>65</v>
      </c>
      <c r="P240" s="19" t="s">
        <v>587</v>
      </c>
      <c r="Q240" s="20"/>
      <c r="R240" s="86" t="s">
        <v>65</v>
      </c>
      <c r="S240" s="17" t="s">
        <v>429</v>
      </c>
      <c r="T240" s="17"/>
      <c r="U240" s="17"/>
      <c r="V240" s="17">
        <v>82</v>
      </c>
      <c r="W240" s="17">
        <f t="shared" si="28"/>
        <v>82</v>
      </c>
      <c r="X240" s="17">
        <f t="shared" si="28"/>
        <v>82</v>
      </c>
      <c r="Y240" s="17">
        <f>ROUNDDOWN(W240/HLOOKUP(D240,Table!$C$3:$D$4,2,0)*8,2)</f>
        <v>1.45</v>
      </c>
      <c r="Z240" s="17">
        <v>1</v>
      </c>
      <c r="AA240" s="17" t="s">
        <v>21</v>
      </c>
      <c r="AB240" s="21">
        <v>43950</v>
      </c>
      <c r="AC240" s="21">
        <v>43941</v>
      </c>
      <c r="AD240" s="21">
        <v>43951</v>
      </c>
      <c r="AE240" s="21">
        <v>43944</v>
      </c>
      <c r="AF240" s="21">
        <v>43944</v>
      </c>
      <c r="AG240" s="22" t="s">
        <v>114</v>
      </c>
      <c r="AH240" s="38">
        <v>1</v>
      </c>
      <c r="AI240" s="38">
        <v>1</v>
      </c>
      <c r="AJ240" s="38">
        <v>1</v>
      </c>
      <c r="AK240" s="22" t="s">
        <v>574</v>
      </c>
      <c r="AL240" s="17"/>
      <c r="AM240" s="17"/>
      <c r="AN240" s="17"/>
      <c r="AO240" t="s">
        <v>941</v>
      </c>
    </row>
    <row r="241" spans="2:41" x14ac:dyDescent="0.25">
      <c r="B241" s="92">
        <f t="shared" si="25"/>
        <v>194</v>
      </c>
      <c r="C241" s="18" t="s">
        <v>713</v>
      </c>
      <c r="D241" s="17" t="s">
        <v>3</v>
      </c>
      <c r="E241" s="17" t="s">
        <v>630</v>
      </c>
      <c r="F241" s="127" t="s">
        <v>817</v>
      </c>
      <c r="G241" s="19">
        <v>1416607</v>
      </c>
      <c r="H241" s="86" t="s">
        <v>65</v>
      </c>
      <c r="I241" s="17" t="s">
        <v>520</v>
      </c>
      <c r="J241" s="86" t="s">
        <v>65</v>
      </c>
      <c r="K241" s="17" t="s">
        <v>469</v>
      </c>
      <c r="L241" s="17" t="s">
        <v>795</v>
      </c>
      <c r="M241" s="17" t="s">
        <v>647</v>
      </c>
      <c r="N241" s="17" t="s">
        <v>705</v>
      </c>
      <c r="O241" s="19" t="s">
        <v>65</v>
      </c>
      <c r="P241" s="19" t="s">
        <v>587</v>
      </c>
      <c r="Q241" s="20"/>
      <c r="R241" s="86" t="s">
        <v>65</v>
      </c>
      <c r="S241" s="17" t="s">
        <v>429</v>
      </c>
      <c r="T241" s="17"/>
      <c r="U241" s="17"/>
      <c r="V241" s="17">
        <v>313</v>
      </c>
      <c r="W241" s="17">
        <f t="shared" si="28"/>
        <v>313</v>
      </c>
      <c r="X241" s="17">
        <f t="shared" si="28"/>
        <v>313</v>
      </c>
      <c r="Y241" s="17">
        <f>ROUNDDOWN(W241/HLOOKUP(D241,Table!$C$3:$D$4,2,0)*8,2)</f>
        <v>5.56</v>
      </c>
      <c r="Z241" s="17">
        <v>2</v>
      </c>
      <c r="AA241" s="17" t="s">
        <v>21</v>
      </c>
      <c r="AB241" s="21">
        <v>43950</v>
      </c>
      <c r="AC241" s="21">
        <v>43941</v>
      </c>
      <c r="AD241" s="21">
        <v>43951</v>
      </c>
      <c r="AE241" s="21">
        <v>43944</v>
      </c>
      <c r="AF241" s="21">
        <v>43944</v>
      </c>
      <c r="AG241" s="22" t="s">
        <v>114</v>
      </c>
      <c r="AH241" s="38">
        <v>1</v>
      </c>
      <c r="AI241" s="38">
        <v>1</v>
      </c>
      <c r="AJ241" s="38">
        <v>1</v>
      </c>
      <c r="AK241" s="22" t="s">
        <v>574</v>
      </c>
      <c r="AL241" s="17"/>
      <c r="AM241" s="17"/>
      <c r="AN241" s="17"/>
      <c r="AO241" t="s">
        <v>941</v>
      </c>
    </row>
    <row r="242" spans="2:41" x14ac:dyDescent="0.25">
      <c r="B242" s="92">
        <f t="shared" ref="B242:B305" si="29">B241+1</f>
        <v>195</v>
      </c>
      <c r="C242" s="18" t="s">
        <v>713</v>
      </c>
      <c r="D242" s="17" t="s">
        <v>3</v>
      </c>
      <c r="E242" s="17" t="s">
        <v>630</v>
      </c>
      <c r="F242" s="127" t="s">
        <v>818</v>
      </c>
      <c r="G242" s="19">
        <v>1416607</v>
      </c>
      <c r="H242" s="86" t="s">
        <v>65</v>
      </c>
      <c r="I242" s="17" t="s">
        <v>521</v>
      </c>
      <c r="J242" s="86" t="s">
        <v>65</v>
      </c>
      <c r="K242" s="17" t="s">
        <v>469</v>
      </c>
      <c r="L242" s="17" t="s">
        <v>795</v>
      </c>
      <c r="M242" s="17" t="s">
        <v>647</v>
      </c>
      <c r="N242" s="17" t="s">
        <v>705</v>
      </c>
      <c r="O242" s="19" t="s">
        <v>65</v>
      </c>
      <c r="P242" s="19" t="s">
        <v>587</v>
      </c>
      <c r="Q242" s="20"/>
      <c r="R242" s="86" t="s">
        <v>65</v>
      </c>
      <c r="S242" s="17" t="s">
        <v>429</v>
      </c>
      <c r="T242" s="17"/>
      <c r="U242" s="17"/>
      <c r="V242" s="17">
        <v>54</v>
      </c>
      <c r="W242" s="17">
        <f t="shared" si="28"/>
        <v>54</v>
      </c>
      <c r="X242" s="17">
        <f t="shared" si="28"/>
        <v>54</v>
      </c>
      <c r="Y242" s="17">
        <f>ROUNDDOWN(W242/HLOOKUP(D242,Table!$C$3:$D$4,2,0)*8,2)</f>
        <v>0.96</v>
      </c>
      <c r="Z242" s="17">
        <v>1</v>
      </c>
      <c r="AA242" s="17" t="s">
        <v>21</v>
      </c>
      <c r="AB242" s="21">
        <v>43950</v>
      </c>
      <c r="AC242" s="21">
        <v>43941</v>
      </c>
      <c r="AD242" s="21">
        <v>43951</v>
      </c>
      <c r="AE242" s="21">
        <v>43944</v>
      </c>
      <c r="AF242" s="21">
        <v>43944</v>
      </c>
      <c r="AG242" s="22" t="s">
        <v>114</v>
      </c>
      <c r="AH242" s="38">
        <v>1</v>
      </c>
      <c r="AI242" s="38">
        <v>1</v>
      </c>
      <c r="AJ242" s="38">
        <v>1</v>
      </c>
      <c r="AK242" s="22" t="s">
        <v>574</v>
      </c>
      <c r="AL242" s="17"/>
      <c r="AM242" s="17"/>
      <c r="AN242" s="17"/>
      <c r="AO242" t="s">
        <v>941</v>
      </c>
    </row>
    <row r="243" spans="2:41" x14ac:dyDescent="0.25">
      <c r="B243" s="92">
        <f t="shared" si="29"/>
        <v>196</v>
      </c>
      <c r="C243" s="18" t="s">
        <v>713</v>
      </c>
      <c r="D243" s="17" t="s">
        <v>3</v>
      </c>
      <c r="E243" s="17" t="s">
        <v>630</v>
      </c>
      <c r="F243" s="127" t="s">
        <v>819</v>
      </c>
      <c r="G243" s="19">
        <v>1416607</v>
      </c>
      <c r="H243" s="86" t="s">
        <v>65</v>
      </c>
      <c r="I243" s="17" t="s">
        <v>522</v>
      </c>
      <c r="J243" s="86" t="s">
        <v>65</v>
      </c>
      <c r="K243" s="17" t="s">
        <v>469</v>
      </c>
      <c r="L243" s="17" t="s">
        <v>795</v>
      </c>
      <c r="M243" s="17" t="s">
        <v>647</v>
      </c>
      <c r="N243" s="17" t="s">
        <v>705</v>
      </c>
      <c r="O243" s="19" t="s">
        <v>65</v>
      </c>
      <c r="P243" s="19" t="s">
        <v>587</v>
      </c>
      <c r="Q243" s="20"/>
      <c r="R243" s="86" t="s">
        <v>65</v>
      </c>
      <c r="S243" s="17" t="s">
        <v>429</v>
      </c>
      <c r="T243" s="17"/>
      <c r="U243" s="17"/>
      <c r="V243" s="17">
        <v>144</v>
      </c>
      <c r="W243" s="17">
        <f t="shared" si="28"/>
        <v>144</v>
      </c>
      <c r="X243" s="17">
        <f t="shared" si="28"/>
        <v>144</v>
      </c>
      <c r="Y243" s="17">
        <f>ROUNDDOWN(W243/HLOOKUP(D243,Table!$C$3:$D$4,2,0)*8,2)</f>
        <v>2.56</v>
      </c>
      <c r="Z243" s="17">
        <v>1</v>
      </c>
      <c r="AA243" s="17" t="s">
        <v>21</v>
      </c>
      <c r="AB243" s="21">
        <v>43950</v>
      </c>
      <c r="AC243" s="21">
        <v>43941</v>
      </c>
      <c r="AD243" s="21">
        <v>43951</v>
      </c>
      <c r="AE243" s="21">
        <v>43945</v>
      </c>
      <c r="AF243" s="21">
        <v>43945</v>
      </c>
      <c r="AG243" s="22" t="s">
        <v>114</v>
      </c>
      <c r="AH243" s="38">
        <v>1</v>
      </c>
      <c r="AI243" s="38">
        <v>1</v>
      </c>
      <c r="AJ243" s="38">
        <v>1</v>
      </c>
      <c r="AK243" s="22" t="s">
        <v>574</v>
      </c>
      <c r="AL243" s="17"/>
      <c r="AM243" s="17"/>
      <c r="AN243" s="17"/>
      <c r="AO243" t="s">
        <v>941</v>
      </c>
    </row>
    <row r="244" spans="2:41" x14ac:dyDescent="0.25">
      <c r="B244" s="92">
        <f t="shared" si="29"/>
        <v>197</v>
      </c>
      <c r="C244" s="18" t="s">
        <v>713</v>
      </c>
      <c r="D244" s="17" t="s">
        <v>3</v>
      </c>
      <c r="E244" s="17" t="s">
        <v>630</v>
      </c>
      <c r="F244" s="127" t="s">
        <v>820</v>
      </c>
      <c r="G244" s="19">
        <v>1416607</v>
      </c>
      <c r="H244" s="86" t="s">
        <v>65</v>
      </c>
      <c r="I244" s="17" t="s">
        <v>664</v>
      </c>
      <c r="J244" s="86" t="s">
        <v>65</v>
      </c>
      <c r="K244" s="17" t="s">
        <v>469</v>
      </c>
      <c r="L244" s="17" t="s">
        <v>795</v>
      </c>
      <c r="M244" s="17" t="s">
        <v>647</v>
      </c>
      <c r="N244" s="17" t="s">
        <v>705</v>
      </c>
      <c r="O244" s="19" t="s">
        <v>65</v>
      </c>
      <c r="P244" s="19" t="s">
        <v>587</v>
      </c>
      <c r="Q244" s="20"/>
      <c r="R244" s="86" t="s">
        <v>65</v>
      </c>
      <c r="S244" s="17" t="s">
        <v>429</v>
      </c>
      <c r="T244" s="17"/>
      <c r="U244" s="17"/>
      <c r="V244" s="17">
        <v>59</v>
      </c>
      <c r="W244" s="17">
        <f t="shared" si="28"/>
        <v>59</v>
      </c>
      <c r="X244" s="17">
        <f t="shared" si="28"/>
        <v>59</v>
      </c>
      <c r="Y244" s="17">
        <f>ROUNDDOWN(W244/HLOOKUP(D244,Table!$C$3:$D$4,2,0)*8,2)</f>
        <v>1.04</v>
      </c>
      <c r="Z244" s="17">
        <v>1</v>
      </c>
      <c r="AA244" s="17" t="s">
        <v>21</v>
      </c>
      <c r="AB244" s="21">
        <v>43950</v>
      </c>
      <c r="AC244" s="21">
        <v>43941</v>
      </c>
      <c r="AD244" s="21">
        <v>43951</v>
      </c>
      <c r="AE244" s="21">
        <v>43945</v>
      </c>
      <c r="AF244" s="21">
        <v>43945</v>
      </c>
      <c r="AG244" s="22" t="s">
        <v>114</v>
      </c>
      <c r="AH244" s="38">
        <v>1</v>
      </c>
      <c r="AI244" s="38">
        <v>1</v>
      </c>
      <c r="AJ244" s="38">
        <v>1</v>
      </c>
      <c r="AK244" s="22" t="s">
        <v>574</v>
      </c>
      <c r="AL244" s="17"/>
      <c r="AM244" s="17"/>
      <c r="AN244" s="17"/>
      <c r="AO244" t="s">
        <v>941</v>
      </c>
    </row>
    <row r="245" spans="2:41" x14ac:dyDescent="0.25">
      <c r="B245" s="92">
        <f t="shared" si="29"/>
        <v>198</v>
      </c>
      <c r="C245" s="18" t="s">
        <v>713</v>
      </c>
      <c r="D245" s="17" t="s">
        <v>3</v>
      </c>
      <c r="E245" s="17" t="s">
        <v>630</v>
      </c>
      <c r="F245" s="127" t="s">
        <v>821</v>
      </c>
      <c r="G245" s="19">
        <v>1416607</v>
      </c>
      <c r="H245" s="86" t="s">
        <v>65</v>
      </c>
      <c r="I245" s="17" t="s">
        <v>523</v>
      </c>
      <c r="J245" s="86" t="s">
        <v>65</v>
      </c>
      <c r="K245" s="17" t="s">
        <v>469</v>
      </c>
      <c r="L245" s="17" t="s">
        <v>795</v>
      </c>
      <c r="M245" s="17" t="s">
        <v>647</v>
      </c>
      <c r="N245" s="17" t="s">
        <v>705</v>
      </c>
      <c r="O245" s="19" t="s">
        <v>65</v>
      </c>
      <c r="P245" s="19" t="s">
        <v>587</v>
      </c>
      <c r="Q245" s="20"/>
      <c r="R245" s="86" t="s">
        <v>65</v>
      </c>
      <c r="S245" s="17" t="s">
        <v>429</v>
      </c>
      <c r="T245" s="17"/>
      <c r="U245" s="17"/>
      <c r="V245" s="17">
        <v>354</v>
      </c>
      <c r="W245" s="17">
        <f t="shared" si="28"/>
        <v>354</v>
      </c>
      <c r="X245" s="17">
        <f t="shared" si="28"/>
        <v>354</v>
      </c>
      <c r="Y245" s="17">
        <f>ROUNDDOWN(W245/HLOOKUP(D245,Table!$C$3:$D$4,2,0)*8,2)</f>
        <v>6.29</v>
      </c>
      <c r="Z245" s="17">
        <v>2</v>
      </c>
      <c r="AA245" s="17" t="s">
        <v>21</v>
      </c>
      <c r="AB245" s="21">
        <v>43950</v>
      </c>
      <c r="AC245" s="21">
        <v>43941</v>
      </c>
      <c r="AD245" s="21">
        <v>43951</v>
      </c>
      <c r="AE245" s="21">
        <v>43945</v>
      </c>
      <c r="AF245" s="21">
        <v>43945</v>
      </c>
      <c r="AG245" s="22" t="s">
        <v>114</v>
      </c>
      <c r="AH245" s="38">
        <v>1</v>
      </c>
      <c r="AI245" s="38">
        <v>1</v>
      </c>
      <c r="AJ245" s="38">
        <v>1</v>
      </c>
      <c r="AK245" s="22" t="s">
        <v>574</v>
      </c>
      <c r="AL245" s="17"/>
      <c r="AM245" s="17"/>
      <c r="AN245" s="17"/>
      <c r="AO245" t="s">
        <v>941</v>
      </c>
    </row>
    <row r="246" spans="2:41" x14ac:dyDescent="0.25">
      <c r="B246" s="92">
        <f t="shared" si="29"/>
        <v>199</v>
      </c>
      <c r="C246" s="18" t="s">
        <v>713</v>
      </c>
      <c r="D246" s="17" t="s">
        <v>3</v>
      </c>
      <c r="E246" s="17" t="s">
        <v>630</v>
      </c>
      <c r="F246" s="127" t="s">
        <v>822</v>
      </c>
      <c r="G246" s="19">
        <v>1416607</v>
      </c>
      <c r="H246" s="86" t="s">
        <v>65</v>
      </c>
      <c r="I246" s="17" t="s">
        <v>525</v>
      </c>
      <c r="J246" s="86" t="s">
        <v>65</v>
      </c>
      <c r="K246" s="17" t="s">
        <v>469</v>
      </c>
      <c r="L246" s="17" t="s">
        <v>795</v>
      </c>
      <c r="M246" s="17" t="s">
        <v>647</v>
      </c>
      <c r="N246" s="17" t="s">
        <v>705</v>
      </c>
      <c r="O246" s="19" t="s">
        <v>65</v>
      </c>
      <c r="P246" s="19" t="s">
        <v>587</v>
      </c>
      <c r="Q246" s="20"/>
      <c r="R246" s="86" t="s">
        <v>65</v>
      </c>
      <c r="S246" s="17" t="s">
        <v>429</v>
      </c>
      <c r="T246" s="17"/>
      <c r="U246" s="17"/>
      <c r="V246" s="17">
        <v>186</v>
      </c>
      <c r="W246" s="17">
        <f t="shared" si="28"/>
        <v>186</v>
      </c>
      <c r="X246" s="17">
        <f t="shared" si="28"/>
        <v>186</v>
      </c>
      <c r="Y246" s="17">
        <f>ROUNDDOWN(W246/HLOOKUP(D246,Table!$C$3:$D$4,2,0)*8,2)</f>
        <v>3.3</v>
      </c>
      <c r="Z246" s="17">
        <v>1</v>
      </c>
      <c r="AA246" s="17" t="s">
        <v>21</v>
      </c>
      <c r="AB246" s="21">
        <v>43950</v>
      </c>
      <c r="AC246" s="21">
        <v>43941</v>
      </c>
      <c r="AD246" s="21">
        <v>43951</v>
      </c>
      <c r="AE246" s="21">
        <v>43945</v>
      </c>
      <c r="AF246" s="21">
        <v>43945</v>
      </c>
      <c r="AG246" s="22" t="s">
        <v>114</v>
      </c>
      <c r="AH246" s="38">
        <v>1</v>
      </c>
      <c r="AI246" s="38">
        <v>1</v>
      </c>
      <c r="AJ246" s="38">
        <v>1</v>
      </c>
      <c r="AK246" s="22" t="s">
        <v>574</v>
      </c>
      <c r="AL246" s="17"/>
      <c r="AM246" s="17"/>
      <c r="AN246" s="17"/>
      <c r="AO246" t="s">
        <v>941</v>
      </c>
    </row>
    <row r="247" spans="2:41" x14ac:dyDescent="0.25">
      <c r="B247" s="92">
        <f t="shared" si="29"/>
        <v>200</v>
      </c>
      <c r="C247" s="18" t="s">
        <v>713</v>
      </c>
      <c r="D247" s="17" t="s">
        <v>3</v>
      </c>
      <c r="E247" s="17" t="s">
        <v>630</v>
      </c>
      <c r="F247" s="127" t="s">
        <v>823</v>
      </c>
      <c r="G247" s="19">
        <v>1416607</v>
      </c>
      <c r="H247" s="86" t="s">
        <v>65</v>
      </c>
      <c r="I247" s="17" t="s">
        <v>526</v>
      </c>
      <c r="J247" s="86" t="s">
        <v>65</v>
      </c>
      <c r="K247" s="17" t="s">
        <v>469</v>
      </c>
      <c r="L247" s="17" t="s">
        <v>795</v>
      </c>
      <c r="M247" s="17" t="s">
        <v>647</v>
      </c>
      <c r="N247" s="17" t="s">
        <v>705</v>
      </c>
      <c r="O247" s="19" t="s">
        <v>65</v>
      </c>
      <c r="P247" s="19" t="s">
        <v>587</v>
      </c>
      <c r="Q247" s="20"/>
      <c r="R247" s="86" t="s">
        <v>65</v>
      </c>
      <c r="S247" s="17" t="s">
        <v>429</v>
      </c>
      <c r="T247" s="17"/>
      <c r="U247" s="17"/>
      <c r="V247" s="17">
        <v>159</v>
      </c>
      <c r="W247" s="17">
        <f t="shared" si="28"/>
        <v>159</v>
      </c>
      <c r="X247" s="17">
        <f t="shared" si="28"/>
        <v>159</v>
      </c>
      <c r="Y247" s="17">
        <f>ROUNDDOWN(W247/HLOOKUP(D247,Table!$C$3:$D$4,2,0)*8,2)</f>
        <v>2.82</v>
      </c>
      <c r="Z247" s="17">
        <v>1</v>
      </c>
      <c r="AA247" s="17" t="s">
        <v>21</v>
      </c>
      <c r="AB247" s="21">
        <v>43950</v>
      </c>
      <c r="AC247" s="21">
        <v>43941</v>
      </c>
      <c r="AD247" s="21">
        <v>43951</v>
      </c>
      <c r="AE247" s="21">
        <v>43945</v>
      </c>
      <c r="AF247" s="21">
        <v>43945</v>
      </c>
      <c r="AG247" s="22" t="s">
        <v>114</v>
      </c>
      <c r="AH247" s="38">
        <v>1</v>
      </c>
      <c r="AI247" s="38">
        <v>1</v>
      </c>
      <c r="AJ247" s="38">
        <v>1</v>
      </c>
      <c r="AK247" s="22" t="s">
        <v>574</v>
      </c>
      <c r="AL247" s="17"/>
      <c r="AM247" s="17"/>
      <c r="AN247" s="17"/>
      <c r="AO247" t="s">
        <v>941</v>
      </c>
    </row>
    <row r="248" spans="2:41" x14ac:dyDescent="0.25">
      <c r="B248" s="92">
        <f t="shared" si="29"/>
        <v>201</v>
      </c>
      <c r="C248" s="18" t="s">
        <v>713</v>
      </c>
      <c r="D248" s="17" t="s">
        <v>3</v>
      </c>
      <c r="E248" s="17" t="s">
        <v>630</v>
      </c>
      <c r="F248" s="127" t="s">
        <v>824</v>
      </c>
      <c r="G248" s="19">
        <v>1416607</v>
      </c>
      <c r="H248" s="86" t="s">
        <v>65</v>
      </c>
      <c r="I248" s="17" t="s">
        <v>527</v>
      </c>
      <c r="J248" s="86" t="s">
        <v>65</v>
      </c>
      <c r="K248" s="17" t="s">
        <v>469</v>
      </c>
      <c r="L248" s="17" t="s">
        <v>795</v>
      </c>
      <c r="M248" s="17" t="s">
        <v>647</v>
      </c>
      <c r="N248" s="17" t="s">
        <v>705</v>
      </c>
      <c r="O248" s="19" t="s">
        <v>65</v>
      </c>
      <c r="P248" s="19" t="s">
        <v>587</v>
      </c>
      <c r="Q248" s="20"/>
      <c r="R248" s="86" t="s">
        <v>65</v>
      </c>
      <c r="S248" s="17" t="s">
        <v>429</v>
      </c>
      <c r="T248" s="17"/>
      <c r="U248" s="17"/>
      <c r="V248" s="17">
        <v>199</v>
      </c>
      <c r="W248" s="17">
        <f t="shared" si="28"/>
        <v>199</v>
      </c>
      <c r="X248" s="17">
        <f t="shared" si="28"/>
        <v>199</v>
      </c>
      <c r="Y248" s="17">
        <f>ROUNDDOWN(W248/HLOOKUP(D248,Table!$C$3:$D$4,2,0)*8,2)</f>
        <v>3.53</v>
      </c>
      <c r="Z248" s="17">
        <v>1</v>
      </c>
      <c r="AA248" s="17" t="s">
        <v>21</v>
      </c>
      <c r="AB248" s="21">
        <v>43950</v>
      </c>
      <c r="AC248" s="21">
        <v>43941</v>
      </c>
      <c r="AD248" s="21">
        <v>43951</v>
      </c>
      <c r="AE248" s="21">
        <v>43945</v>
      </c>
      <c r="AF248" s="21">
        <v>43945</v>
      </c>
      <c r="AG248" s="22" t="s">
        <v>114</v>
      </c>
      <c r="AH248" s="38">
        <v>1</v>
      </c>
      <c r="AI248" s="38">
        <v>1</v>
      </c>
      <c r="AJ248" s="38">
        <v>1</v>
      </c>
      <c r="AK248" s="22" t="s">
        <v>574</v>
      </c>
      <c r="AL248" s="17"/>
      <c r="AM248" s="17"/>
      <c r="AN248" s="17"/>
      <c r="AO248" t="s">
        <v>941</v>
      </c>
    </row>
    <row r="249" spans="2:41" x14ac:dyDescent="0.25">
      <c r="B249" s="92">
        <f t="shared" si="29"/>
        <v>202</v>
      </c>
      <c r="C249" s="18" t="s">
        <v>713</v>
      </c>
      <c r="D249" s="17" t="s">
        <v>3</v>
      </c>
      <c r="E249" s="17" t="s">
        <v>630</v>
      </c>
      <c r="F249" s="127" t="s">
        <v>825</v>
      </c>
      <c r="G249" s="19">
        <v>1416607</v>
      </c>
      <c r="H249" s="86" t="s">
        <v>65</v>
      </c>
      <c r="I249" s="17" t="s">
        <v>528</v>
      </c>
      <c r="J249" s="86" t="s">
        <v>65</v>
      </c>
      <c r="K249" s="17" t="s">
        <v>469</v>
      </c>
      <c r="L249" s="17" t="s">
        <v>795</v>
      </c>
      <c r="M249" s="17" t="s">
        <v>647</v>
      </c>
      <c r="N249" s="17" t="s">
        <v>705</v>
      </c>
      <c r="O249" s="19" t="s">
        <v>65</v>
      </c>
      <c r="P249" s="19" t="s">
        <v>587</v>
      </c>
      <c r="Q249" s="20"/>
      <c r="R249" s="86" t="s">
        <v>65</v>
      </c>
      <c r="S249" s="17" t="s">
        <v>429</v>
      </c>
      <c r="T249" s="17"/>
      <c r="U249" s="17"/>
      <c r="V249" s="17">
        <v>6</v>
      </c>
      <c r="W249" s="18">
        <v>6</v>
      </c>
      <c r="X249" s="17">
        <f t="shared" si="28"/>
        <v>6</v>
      </c>
      <c r="Y249" s="17">
        <f>ROUNDDOWN(W249/HLOOKUP(D249,Table!$C$3:$D$4,2,0)*8,2)</f>
        <v>0.1</v>
      </c>
      <c r="Z249" s="17">
        <v>0</v>
      </c>
      <c r="AA249" s="17" t="s">
        <v>21</v>
      </c>
      <c r="AB249" s="21">
        <v>43950</v>
      </c>
      <c r="AC249" s="21">
        <v>43941</v>
      </c>
      <c r="AD249" s="21">
        <v>43951</v>
      </c>
      <c r="AE249" s="21">
        <v>43945</v>
      </c>
      <c r="AF249" s="21">
        <v>43945</v>
      </c>
      <c r="AG249" s="22" t="s">
        <v>114</v>
      </c>
      <c r="AH249" s="38" t="s">
        <v>65</v>
      </c>
      <c r="AI249" s="38" t="s">
        <v>65</v>
      </c>
      <c r="AJ249" s="38" t="s">
        <v>65</v>
      </c>
      <c r="AK249" s="22" t="s">
        <v>574</v>
      </c>
      <c r="AL249" s="17"/>
      <c r="AM249" s="17"/>
      <c r="AN249" s="17" t="s">
        <v>932</v>
      </c>
      <c r="AO249" t="s">
        <v>941</v>
      </c>
    </row>
    <row r="250" spans="2:41" x14ac:dyDescent="0.25">
      <c r="B250" s="92">
        <f t="shared" si="29"/>
        <v>203</v>
      </c>
      <c r="C250" s="18" t="s">
        <v>713</v>
      </c>
      <c r="D250" s="17" t="s">
        <v>3</v>
      </c>
      <c r="E250" s="17" t="s">
        <v>631</v>
      </c>
      <c r="F250" s="127" t="s">
        <v>826</v>
      </c>
      <c r="G250" s="19">
        <v>1416606</v>
      </c>
      <c r="H250" s="86" t="s">
        <v>65</v>
      </c>
      <c r="I250" s="17" t="s">
        <v>516</v>
      </c>
      <c r="J250" s="86" t="s">
        <v>65</v>
      </c>
      <c r="K250" s="17" t="s">
        <v>469</v>
      </c>
      <c r="L250" s="17" t="s">
        <v>796</v>
      </c>
      <c r="M250" s="17" t="s">
        <v>514</v>
      </c>
      <c r="N250" s="17" t="s">
        <v>706</v>
      </c>
      <c r="O250" s="19" t="s">
        <v>65</v>
      </c>
      <c r="P250" s="19" t="s">
        <v>587</v>
      </c>
      <c r="Q250" s="20"/>
      <c r="R250" s="86" t="s">
        <v>65</v>
      </c>
      <c r="S250" s="17" t="s">
        <v>69</v>
      </c>
      <c r="T250" s="17"/>
      <c r="U250" s="17"/>
      <c r="V250" s="17">
        <v>84</v>
      </c>
      <c r="W250" s="17">
        <f t="shared" ref="W250:X265" si="30">V250</f>
        <v>84</v>
      </c>
      <c r="X250" s="17">
        <f t="shared" si="28"/>
        <v>84</v>
      </c>
      <c r="Y250" s="17">
        <f>ROUNDDOWN(W250/HLOOKUP(D250,Table!$C$3:$D$4,2,0)*8,2)</f>
        <v>1.49</v>
      </c>
      <c r="Z250" s="17">
        <v>0.5</v>
      </c>
      <c r="AA250" s="17" t="s">
        <v>21</v>
      </c>
      <c r="AB250" s="21">
        <v>43950</v>
      </c>
      <c r="AC250" s="21">
        <v>43941</v>
      </c>
      <c r="AD250" s="21">
        <v>43951</v>
      </c>
      <c r="AE250" s="21">
        <v>43945</v>
      </c>
      <c r="AF250" s="21">
        <v>43945</v>
      </c>
      <c r="AG250" s="22" t="s">
        <v>114</v>
      </c>
      <c r="AH250" s="38">
        <v>1</v>
      </c>
      <c r="AI250" s="38">
        <v>1</v>
      </c>
      <c r="AJ250" s="38">
        <v>1</v>
      </c>
      <c r="AK250" s="22" t="s">
        <v>574</v>
      </c>
      <c r="AL250" s="17"/>
      <c r="AM250" s="17"/>
      <c r="AN250" s="17"/>
      <c r="AO250" t="s">
        <v>941</v>
      </c>
    </row>
    <row r="251" spans="2:41" x14ac:dyDescent="0.25">
      <c r="B251" s="92">
        <f t="shared" si="29"/>
        <v>204</v>
      </c>
      <c r="C251" s="18" t="s">
        <v>713</v>
      </c>
      <c r="D251" s="17" t="s">
        <v>3</v>
      </c>
      <c r="E251" s="17" t="s">
        <v>631</v>
      </c>
      <c r="F251" s="127" t="s">
        <v>827</v>
      </c>
      <c r="G251" s="19">
        <v>1416606</v>
      </c>
      <c r="H251" s="86" t="s">
        <v>65</v>
      </c>
      <c r="I251" s="17" t="s">
        <v>662</v>
      </c>
      <c r="J251" s="86" t="s">
        <v>65</v>
      </c>
      <c r="K251" s="17" t="s">
        <v>469</v>
      </c>
      <c r="L251" s="17" t="s">
        <v>796</v>
      </c>
      <c r="M251" s="17" t="s">
        <v>514</v>
      </c>
      <c r="N251" s="17" t="s">
        <v>706</v>
      </c>
      <c r="O251" s="19" t="s">
        <v>65</v>
      </c>
      <c r="P251" s="19" t="s">
        <v>587</v>
      </c>
      <c r="Q251" s="20"/>
      <c r="R251" s="86" t="s">
        <v>65</v>
      </c>
      <c r="S251" s="17" t="s">
        <v>69</v>
      </c>
      <c r="T251" s="17"/>
      <c r="U251" s="17"/>
      <c r="V251" s="17">
        <v>7</v>
      </c>
      <c r="W251" s="17">
        <f t="shared" si="30"/>
        <v>7</v>
      </c>
      <c r="X251" s="17">
        <f t="shared" si="28"/>
        <v>7</v>
      </c>
      <c r="Y251" s="17">
        <f>ROUNDDOWN(W251/HLOOKUP(D251,Table!$C$3:$D$4,2,0)*8,2)</f>
        <v>0.12</v>
      </c>
      <c r="Z251" s="17">
        <v>0.12</v>
      </c>
      <c r="AA251" s="17" t="s">
        <v>21</v>
      </c>
      <c r="AB251" s="21">
        <v>43950</v>
      </c>
      <c r="AC251" s="21">
        <v>43941</v>
      </c>
      <c r="AD251" s="21">
        <v>43951</v>
      </c>
      <c r="AE251" s="21">
        <v>43945</v>
      </c>
      <c r="AF251" s="21">
        <v>43945</v>
      </c>
      <c r="AG251" s="22" t="s">
        <v>114</v>
      </c>
      <c r="AH251" s="38" t="s">
        <v>65</v>
      </c>
      <c r="AI251" s="38" t="s">
        <v>65</v>
      </c>
      <c r="AJ251" s="38" t="s">
        <v>65</v>
      </c>
      <c r="AK251" s="22" t="s">
        <v>574</v>
      </c>
      <c r="AL251" s="17"/>
      <c r="AM251" s="17"/>
      <c r="AN251" s="17"/>
      <c r="AO251" t="s">
        <v>941</v>
      </c>
    </row>
    <row r="252" spans="2:41" x14ac:dyDescent="0.25">
      <c r="B252" s="92">
        <f t="shared" si="29"/>
        <v>205</v>
      </c>
      <c r="C252" s="18" t="s">
        <v>713</v>
      </c>
      <c r="D252" s="17" t="s">
        <v>3</v>
      </c>
      <c r="E252" s="17" t="s">
        <v>631</v>
      </c>
      <c r="F252" s="127" t="s">
        <v>828</v>
      </c>
      <c r="G252" s="19">
        <v>1416606</v>
      </c>
      <c r="H252" s="86" t="s">
        <v>65</v>
      </c>
      <c r="I252" s="17" t="s">
        <v>518</v>
      </c>
      <c r="J252" s="86" t="s">
        <v>65</v>
      </c>
      <c r="K252" s="17" t="s">
        <v>469</v>
      </c>
      <c r="L252" s="17" t="s">
        <v>796</v>
      </c>
      <c r="M252" s="17" t="s">
        <v>514</v>
      </c>
      <c r="N252" s="17" t="s">
        <v>706</v>
      </c>
      <c r="O252" s="19" t="s">
        <v>65</v>
      </c>
      <c r="P252" s="19" t="s">
        <v>587</v>
      </c>
      <c r="Q252" s="20"/>
      <c r="R252" s="86" t="s">
        <v>65</v>
      </c>
      <c r="S252" s="17" t="s">
        <v>69</v>
      </c>
      <c r="T252" s="17"/>
      <c r="U252" s="17"/>
      <c r="V252" s="17">
        <v>259</v>
      </c>
      <c r="W252" s="17">
        <f t="shared" si="30"/>
        <v>259</v>
      </c>
      <c r="X252" s="17">
        <f t="shared" si="28"/>
        <v>259</v>
      </c>
      <c r="Y252" s="17">
        <f>ROUNDDOWN(W252/HLOOKUP(D252,Table!$C$3:$D$4,2,0)*8,2)</f>
        <v>4.5999999999999996</v>
      </c>
      <c r="Z252" s="17">
        <v>0.5</v>
      </c>
      <c r="AA252" s="17" t="s">
        <v>21</v>
      </c>
      <c r="AB252" s="21">
        <v>43950</v>
      </c>
      <c r="AC252" s="21">
        <v>43941</v>
      </c>
      <c r="AD252" s="21">
        <v>43951</v>
      </c>
      <c r="AE252" s="21">
        <v>43945</v>
      </c>
      <c r="AF252" s="21">
        <v>43945</v>
      </c>
      <c r="AG252" s="22" t="s">
        <v>114</v>
      </c>
      <c r="AH252" s="38">
        <v>1</v>
      </c>
      <c r="AI252" s="38">
        <v>1</v>
      </c>
      <c r="AJ252" s="38">
        <v>0.87</v>
      </c>
      <c r="AK252" s="22" t="s">
        <v>354</v>
      </c>
      <c r="AL252" s="17" t="s">
        <v>952</v>
      </c>
      <c r="AM252" s="17"/>
      <c r="AN252" s="17" t="s">
        <v>931</v>
      </c>
      <c r="AO252" t="s">
        <v>941</v>
      </c>
    </row>
    <row r="253" spans="2:41" x14ac:dyDescent="0.25">
      <c r="B253" s="92">
        <f t="shared" si="29"/>
        <v>206</v>
      </c>
      <c r="C253" s="18" t="s">
        <v>713</v>
      </c>
      <c r="D253" s="17" t="s">
        <v>3</v>
      </c>
      <c r="E253" s="17" t="s">
        <v>631</v>
      </c>
      <c r="F253" s="127" t="s">
        <v>829</v>
      </c>
      <c r="G253" s="19">
        <v>1416606</v>
      </c>
      <c r="H253" s="86" t="s">
        <v>65</v>
      </c>
      <c r="I253" s="17" t="s">
        <v>519</v>
      </c>
      <c r="J253" s="86" t="s">
        <v>65</v>
      </c>
      <c r="K253" s="17" t="s">
        <v>469</v>
      </c>
      <c r="L253" s="17" t="s">
        <v>796</v>
      </c>
      <c r="M253" s="17" t="s">
        <v>514</v>
      </c>
      <c r="N253" s="17" t="s">
        <v>706</v>
      </c>
      <c r="O253" s="19" t="s">
        <v>65</v>
      </c>
      <c r="P253" s="19" t="s">
        <v>587</v>
      </c>
      <c r="Q253" s="20"/>
      <c r="R253" s="86" t="s">
        <v>65</v>
      </c>
      <c r="S253" s="17" t="s">
        <v>69</v>
      </c>
      <c r="T253" s="17"/>
      <c r="U253" s="17"/>
      <c r="V253" s="17">
        <v>140</v>
      </c>
      <c r="W253" s="17">
        <f t="shared" si="30"/>
        <v>140</v>
      </c>
      <c r="X253" s="17">
        <f t="shared" si="28"/>
        <v>140</v>
      </c>
      <c r="Y253" s="17">
        <f>ROUNDDOWN(W253/HLOOKUP(D253,Table!$C$3:$D$4,2,0)*8,2)</f>
        <v>2.48</v>
      </c>
      <c r="Z253" s="17">
        <v>0.5</v>
      </c>
      <c r="AA253" s="17" t="s">
        <v>21</v>
      </c>
      <c r="AB253" s="21">
        <v>43950</v>
      </c>
      <c r="AC253" s="21">
        <v>43941</v>
      </c>
      <c r="AD253" s="21">
        <v>43951</v>
      </c>
      <c r="AE253" s="21">
        <v>43945</v>
      </c>
      <c r="AF253" s="21">
        <v>43945</v>
      </c>
      <c r="AG253" s="22" t="s">
        <v>114</v>
      </c>
      <c r="AH253" s="38">
        <v>1</v>
      </c>
      <c r="AI253" s="38">
        <v>1</v>
      </c>
      <c r="AJ253" s="38">
        <v>1</v>
      </c>
      <c r="AK253" s="22" t="s">
        <v>574</v>
      </c>
      <c r="AL253" s="17"/>
      <c r="AM253" s="17"/>
      <c r="AN253" s="17"/>
      <c r="AO253" t="s">
        <v>941</v>
      </c>
    </row>
    <row r="254" spans="2:41" x14ac:dyDescent="0.25">
      <c r="B254" s="92">
        <f t="shared" si="29"/>
        <v>207</v>
      </c>
      <c r="C254" s="18" t="s">
        <v>713</v>
      </c>
      <c r="D254" s="17" t="s">
        <v>3</v>
      </c>
      <c r="E254" s="17" t="s">
        <v>631</v>
      </c>
      <c r="F254" s="127" t="s">
        <v>830</v>
      </c>
      <c r="G254" s="19">
        <v>1416606</v>
      </c>
      <c r="H254" s="86" t="s">
        <v>65</v>
      </c>
      <c r="I254" s="17" t="s">
        <v>520</v>
      </c>
      <c r="J254" s="86" t="s">
        <v>65</v>
      </c>
      <c r="K254" s="17" t="s">
        <v>469</v>
      </c>
      <c r="L254" s="17" t="s">
        <v>796</v>
      </c>
      <c r="M254" s="17" t="s">
        <v>514</v>
      </c>
      <c r="N254" s="17" t="s">
        <v>706</v>
      </c>
      <c r="O254" s="19" t="s">
        <v>65</v>
      </c>
      <c r="P254" s="19" t="s">
        <v>587</v>
      </c>
      <c r="Q254" s="20"/>
      <c r="R254" s="86" t="s">
        <v>65</v>
      </c>
      <c r="S254" s="17" t="s">
        <v>69</v>
      </c>
      <c r="T254" s="17"/>
      <c r="U254" s="17"/>
      <c r="V254" s="17">
        <v>313</v>
      </c>
      <c r="W254" s="17">
        <f t="shared" si="30"/>
        <v>313</v>
      </c>
      <c r="X254" s="17">
        <f t="shared" si="30"/>
        <v>313</v>
      </c>
      <c r="Y254" s="17">
        <f>ROUNDDOWN(W254/HLOOKUP(D254,Table!$C$3:$D$4,2,0)*8,2)</f>
        <v>5.56</v>
      </c>
      <c r="Z254" s="17">
        <v>2</v>
      </c>
      <c r="AA254" s="17" t="s">
        <v>21</v>
      </c>
      <c r="AB254" s="21">
        <v>43950</v>
      </c>
      <c r="AC254" s="21">
        <v>43941</v>
      </c>
      <c r="AD254" s="21">
        <v>43951</v>
      </c>
      <c r="AE254" s="21">
        <v>43945</v>
      </c>
      <c r="AF254" s="21">
        <v>43945</v>
      </c>
      <c r="AG254" s="22" t="s">
        <v>114</v>
      </c>
      <c r="AH254" s="38">
        <v>1</v>
      </c>
      <c r="AI254" s="38">
        <v>1</v>
      </c>
      <c r="AJ254" s="38">
        <v>1</v>
      </c>
      <c r="AK254" s="22" t="s">
        <v>574</v>
      </c>
      <c r="AL254" s="17"/>
      <c r="AM254" s="17"/>
      <c r="AN254" s="17"/>
      <c r="AO254" t="s">
        <v>941</v>
      </c>
    </row>
    <row r="255" spans="2:41" x14ac:dyDescent="0.25">
      <c r="B255" s="92">
        <f t="shared" si="29"/>
        <v>208</v>
      </c>
      <c r="C255" s="18" t="s">
        <v>713</v>
      </c>
      <c r="D255" s="17" t="s">
        <v>3</v>
      </c>
      <c r="E255" s="17" t="s">
        <v>631</v>
      </c>
      <c r="F255" s="127" t="s">
        <v>831</v>
      </c>
      <c r="G255" s="19">
        <v>1416606</v>
      </c>
      <c r="H255" s="86" t="s">
        <v>65</v>
      </c>
      <c r="I255" s="17" t="s">
        <v>522</v>
      </c>
      <c r="J255" s="86" t="s">
        <v>65</v>
      </c>
      <c r="K255" s="17" t="s">
        <v>469</v>
      </c>
      <c r="L255" s="17" t="s">
        <v>796</v>
      </c>
      <c r="M255" s="17" t="s">
        <v>514</v>
      </c>
      <c r="N255" s="17" t="s">
        <v>706</v>
      </c>
      <c r="O255" s="19" t="s">
        <v>65</v>
      </c>
      <c r="P255" s="19" t="s">
        <v>587</v>
      </c>
      <c r="Q255" s="20"/>
      <c r="R255" s="86" t="s">
        <v>65</v>
      </c>
      <c r="S255" s="17" t="s">
        <v>69</v>
      </c>
      <c r="T255" s="17"/>
      <c r="U255" s="17"/>
      <c r="V255" s="17">
        <v>144</v>
      </c>
      <c r="W255" s="17">
        <f t="shared" si="30"/>
        <v>144</v>
      </c>
      <c r="X255" s="17">
        <f t="shared" si="30"/>
        <v>144</v>
      </c>
      <c r="Y255" s="17">
        <f>ROUNDDOWN(W255/HLOOKUP(D255,Table!$C$3:$D$4,2,0)*8,2)</f>
        <v>2.56</v>
      </c>
      <c r="Z255" s="17">
        <v>0.5</v>
      </c>
      <c r="AA255" s="17" t="s">
        <v>21</v>
      </c>
      <c r="AB255" s="21">
        <v>43950</v>
      </c>
      <c r="AC255" s="21">
        <v>43941</v>
      </c>
      <c r="AD255" s="21">
        <v>43951</v>
      </c>
      <c r="AE255" s="21">
        <v>43945</v>
      </c>
      <c r="AF255" s="21">
        <v>43945</v>
      </c>
      <c r="AG255" s="22" t="s">
        <v>114</v>
      </c>
      <c r="AH255" s="38">
        <v>1</v>
      </c>
      <c r="AI255" s="38">
        <v>1</v>
      </c>
      <c r="AJ255" s="38">
        <v>1</v>
      </c>
      <c r="AK255" s="22" t="s">
        <v>574</v>
      </c>
      <c r="AL255" s="17"/>
      <c r="AM255" s="17"/>
      <c r="AN255" s="17"/>
      <c r="AO255" t="s">
        <v>941</v>
      </c>
    </row>
    <row r="256" spans="2:41" x14ac:dyDescent="0.25">
      <c r="B256" s="92">
        <f t="shared" si="29"/>
        <v>209</v>
      </c>
      <c r="C256" s="18" t="s">
        <v>713</v>
      </c>
      <c r="D256" s="17" t="s">
        <v>3</v>
      </c>
      <c r="E256" s="17" t="s">
        <v>631</v>
      </c>
      <c r="F256" s="127" t="s">
        <v>832</v>
      </c>
      <c r="G256" s="19">
        <v>1416606</v>
      </c>
      <c r="H256" s="86" t="s">
        <v>65</v>
      </c>
      <c r="I256" s="17" t="s">
        <v>664</v>
      </c>
      <c r="J256" s="86" t="s">
        <v>65</v>
      </c>
      <c r="K256" s="17" t="s">
        <v>469</v>
      </c>
      <c r="L256" s="17" t="s">
        <v>796</v>
      </c>
      <c r="M256" s="17" t="s">
        <v>514</v>
      </c>
      <c r="N256" s="17" t="s">
        <v>706</v>
      </c>
      <c r="O256" s="19" t="s">
        <v>65</v>
      </c>
      <c r="P256" s="19" t="s">
        <v>587</v>
      </c>
      <c r="Q256" s="20"/>
      <c r="R256" s="86" t="s">
        <v>65</v>
      </c>
      <c r="S256" s="17" t="s">
        <v>69</v>
      </c>
      <c r="T256" s="17"/>
      <c r="U256" s="17"/>
      <c r="V256" s="17">
        <v>59</v>
      </c>
      <c r="W256" s="17">
        <f t="shared" si="30"/>
        <v>59</v>
      </c>
      <c r="X256" s="17">
        <f t="shared" ref="X256:X281" si="31">W256</f>
        <v>59</v>
      </c>
      <c r="Y256" s="17">
        <f>ROUNDDOWN(W256/HLOOKUP(D256,Table!$C$3:$D$4,2,0)*8,2)</f>
        <v>1.04</v>
      </c>
      <c r="Z256" s="17">
        <v>0.5</v>
      </c>
      <c r="AA256" s="17" t="s">
        <v>21</v>
      </c>
      <c r="AB256" s="21">
        <v>43950</v>
      </c>
      <c r="AC256" s="21">
        <v>43941</v>
      </c>
      <c r="AD256" s="21">
        <v>43951</v>
      </c>
      <c r="AE256" s="21">
        <v>43945</v>
      </c>
      <c r="AF256" s="21">
        <v>43945</v>
      </c>
      <c r="AG256" s="22" t="s">
        <v>114</v>
      </c>
      <c r="AH256" s="38">
        <v>1</v>
      </c>
      <c r="AI256" s="38">
        <v>1</v>
      </c>
      <c r="AJ256" s="38">
        <v>1</v>
      </c>
      <c r="AK256" s="22" t="s">
        <v>574</v>
      </c>
      <c r="AL256" s="17"/>
      <c r="AM256" s="17"/>
      <c r="AN256" s="17"/>
      <c r="AO256" t="s">
        <v>941</v>
      </c>
    </row>
    <row r="257" spans="2:41" x14ac:dyDescent="0.25">
      <c r="B257" s="92">
        <f t="shared" si="29"/>
        <v>210</v>
      </c>
      <c r="C257" s="18" t="s">
        <v>713</v>
      </c>
      <c r="D257" s="17" t="s">
        <v>3</v>
      </c>
      <c r="E257" s="17" t="s">
        <v>631</v>
      </c>
      <c r="F257" s="127" t="s">
        <v>833</v>
      </c>
      <c r="G257" s="19">
        <v>1416606</v>
      </c>
      <c r="H257" s="86" t="s">
        <v>65</v>
      </c>
      <c r="I257" s="17" t="s">
        <v>523</v>
      </c>
      <c r="J257" s="86" t="s">
        <v>65</v>
      </c>
      <c r="K257" s="17" t="s">
        <v>469</v>
      </c>
      <c r="L257" s="17" t="s">
        <v>796</v>
      </c>
      <c r="M257" s="17" t="s">
        <v>514</v>
      </c>
      <c r="N257" s="17" t="s">
        <v>706</v>
      </c>
      <c r="O257" s="19" t="s">
        <v>65</v>
      </c>
      <c r="P257" s="19" t="s">
        <v>587</v>
      </c>
      <c r="Q257" s="20"/>
      <c r="R257" s="86" t="s">
        <v>65</v>
      </c>
      <c r="S257" s="17" t="s">
        <v>69</v>
      </c>
      <c r="T257" s="17"/>
      <c r="U257" s="17"/>
      <c r="V257" s="17">
        <v>354</v>
      </c>
      <c r="W257" s="17">
        <f t="shared" si="30"/>
        <v>354</v>
      </c>
      <c r="X257" s="17">
        <f t="shared" si="31"/>
        <v>354</v>
      </c>
      <c r="Y257" s="17">
        <f>ROUNDDOWN(W257/HLOOKUP(D257,Table!$C$3:$D$4,2,0)*8,2)</f>
        <v>6.29</v>
      </c>
      <c r="Z257" s="17">
        <v>2</v>
      </c>
      <c r="AA257" s="17" t="s">
        <v>21</v>
      </c>
      <c r="AB257" s="21">
        <v>43950</v>
      </c>
      <c r="AC257" s="21">
        <v>43941</v>
      </c>
      <c r="AD257" s="21">
        <v>43951</v>
      </c>
      <c r="AE257" s="21">
        <v>43945</v>
      </c>
      <c r="AF257" s="21">
        <v>43945</v>
      </c>
      <c r="AG257" s="22" t="s">
        <v>114</v>
      </c>
      <c r="AH257" s="38">
        <v>1</v>
      </c>
      <c r="AI257" s="38">
        <v>1</v>
      </c>
      <c r="AJ257" s="38">
        <v>1</v>
      </c>
      <c r="AK257" s="22" t="s">
        <v>574</v>
      </c>
      <c r="AL257" s="17"/>
      <c r="AM257" s="17"/>
      <c r="AN257" s="17"/>
      <c r="AO257" t="s">
        <v>941</v>
      </c>
    </row>
    <row r="258" spans="2:41" x14ac:dyDescent="0.25">
      <c r="B258" s="92">
        <f t="shared" si="29"/>
        <v>211</v>
      </c>
      <c r="C258" s="18" t="s">
        <v>713</v>
      </c>
      <c r="D258" s="17" t="s">
        <v>3</v>
      </c>
      <c r="E258" s="17" t="s">
        <v>631</v>
      </c>
      <c r="F258" s="127" t="s">
        <v>834</v>
      </c>
      <c r="G258" s="19">
        <v>1416606</v>
      </c>
      <c r="H258" s="86" t="s">
        <v>65</v>
      </c>
      <c r="I258" s="17" t="s">
        <v>525</v>
      </c>
      <c r="J258" s="86" t="s">
        <v>65</v>
      </c>
      <c r="K258" s="17" t="s">
        <v>469</v>
      </c>
      <c r="L258" s="17" t="s">
        <v>796</v>
      </c>
      <c r="M258" s="17" t="s">
        <v>514</v>
      </c>
      <c r="N258" s="17" t="s">
        <v>706</v>
      </c>
      <c r="O258" s="19" t="s">
        <v>65</v>
      </c>
      <c r="P258" s="19" t="s">
        <v>587</v>
      </c>
      <c r="Q258" s="20"/>
      <c r="R258" s="86" t="s">
        <v>65</v>
      </c>
      <c r="S258" s="17" t="s">
        <v>69</v>
      </c>
      <c r="T258" s="17"/>
      <c r="U258" s="17"/>
      <c r="V258" s="17">
        <v>186</v>
      </c>
      <c r="W258" s="17">
        <f t="shared" si="30"/>
        <v>186</v>
      </c>
      <c r="X258" s="17">
        <f t="shared" si="31"/>
        <v>186</v>
      </c>
      <c r="Y258" s="17">
        <f>ROUNDDOWN(W258/HLOOKUP(D258,Table!$C$3:$D$4,2,0)*8,2)</f>
        <v>3.3</v>
      </c>
      <c r="Z258" s="17">
        <v>0.5</v>
      </c>
      <c r="AA258" s="17" t="s">
        <v>21</v>
      </c>
      <c r="AB258" s="21">
        <v>43950</v>
      </c>
      <c r="AC258" s="21">
        <v>43941</v>
      </c>
      <c r="AD258" s="21">
        <v>43951</v>
      </c>
      <c r="AE258" s="21">
        <v>43945</v>
      </c>
      <c r="AF258" s="21">
        <v>43945</v>
      </c>
      <c r="AG258" s="22" t="s">
        <v>114</v>
      </c>
      <c r="AH258" s="38">
        <v>1</v>
      </c>
      <c r="AI258" s="38">
        <v>1</v>
      </c>
      <c r="AJ258" s="38">
        <v>1</v>
      </c>
      <c r="AK258" s="22" t="s">
        <v>574</v>
      </c>
      <c r="AL258" s="17"/>
      <c r="AM258" s="17"/>
      <c r="AN258" s="17"/>
      <c r="AO258" t="s">
        <v>941</v>
      </c>
    </row>
    <row r="259" spans="2:41" x14ac:dyDescent="0.25">
      <c r="B259" s="92">
        <f t="shared" si="29"/>
        <v>212</v>
      </c>
      <c r="C259" s="18" t="s">
        <v>713</v>
      </c>
      <c r="D259" s="17" t="s">
        <v>3</v>
      </c>
      <c r="E259" s="17" t="s">
        <v>631</v>
      </c>
      <c r="F259" s="127" t="s">
        <v>835</v>
      </c>
      <c r="G259" s="19">
        <v>1416606</v>
      </c>
      <c r="H259" s="86" t="s">
        <v>65</v>
      </c>
      <c r="I259" s="17" t="s">
        <v>526</v>
      </c>
      <c r="J259" s="86" t="s">
        <v>65</v>
      </c>
      <c r="K259" s="17" t="s">
        <v>469</v>
      </c>
      <c r="L259" s="17" t="s">
        <v>796</v>
      </c>
      <c r="M259" s="17" t="s">
        <v>514</v>
      </c>
      <c r="N259" s="17" t="s">
        <v>706</v>
      </c>
      <c r="O259" s="19" t="s">
        <v>65</v>
      </c>
      <c r="P259" s="19" t="s">
        <v>587</v>
      </c>
      <c r="Q259" s="20"/>
      <c r="R259" s="86" t="s">
        <v>65</v>
      </c>
      <c r="S259" s="17" t="s">
        <v>69</v>
      </c>
      <c r="T259" s="17"/>
      <c r="U259" s="17"/>
      <c r="V259" s="17">
        <v>159</v>
      </c>
      <c r="W259" s="17">
        <f t="shared" si="30"/>
        <v>159</v>
      </c>
      <c r="X259" s="17">
        <f t="shared" si="31"/>
        <v>159</v>
      </c>
      <c r="Y259" s="17">
        <f>ROUNDDOWN(W259/HLOOKUP(D259,Table!$C$3:$D$4,2,0)*8,2)</f>
        <v>2.82</v>
      </c>
      <c r="Z259" s="17">
        <v>0.5</v>
      </c>
      <c r="AA259" s="17" t="s">
        <v>21</v>
      </c>
      <c r="AB259" s="21">
        <v>43950</v>
      </c>
      <c r="AC259" s="21">
        <v>43941</v>
      </c>
      <c r="AD259" s="21">
        <v>43951</v>
      </c>
      <c r="AE259" s="21">
        <v>43945</v>
      </c>
      <c r="AF259" s="21">
        <v>43945</v>
      </c>
      <c r="AG259" s="22" t="s">
        <v>114</v>
      </c>
      <c r="AH259" s="38">
        <v>1</v>
      </c>
      <c r="AI259" s="38">
        <v>1</v>
      </c>
      <c r="AJ259" s="38">
        <v>1</v>
      </c>
      <c r="AK259" s="22" t="s">
        <v>574</v>
      </c>
      <c r="AL259" s="17"/>
      <c r="AM259" s="17"/>
      <c r="AN259" s="17"/>
      <c r="AO259" t="s">
        <v>941</v>
      </c>
    </row>
    <row r="260" spans="2:41" x14ac:dyDescent="0.25">
      <c r="B260" s="92">
        <f t="shared" si="29"/>
        <v>213</v>
      </c>
      <c r="C260" s="18" t="s">
        <v>713</v>
      </c>
      <c r="D260" s="17" t="s">
        <v>3</v>
      </c>
      <c r="E260" s="17" t="s">
        <v>631</v>
      </c>
      <c r="F260" s="127" t="s">
        <v>836</v>
      </c>
      <c r="G260" s="19">
        <v>1416606</v>
      </c>
      <c r="H260" s="86" t="s">
        <v>65</v>
      </c>
      <c r="I260" s="17" t="s">
        <v>527</v>
      </c>
      <c r="J260" s="86" t="s">
        <v>65</v>
      </c>
      <c r="K260" s="17" t="s">
        <v>469</v>
      </c>
      <c r="L260" s="17" t="s">
        <v>796</v>
      </c>
      <c r="M260" s="17" t="s">
        <v>514</v>
      </c>
      <c r="N260" s="17" t="s">
        <v>706</v>
      </c>
      <c r="O260" s="19" t="s">
        <v>65</v>
      </c>
      <c r="P260" s="19" t="s">
        <v>587</v>
      </c>
      <c r="Q260" s="20"/>
      <c r="R260" s="86" t="s">
        <v>65</v>
      </c>
      <c r="S260" s="17" t="s">
        <v>69</v>
      </c>
      <c r="T260" s="17"/>
      <c r="U260" s="17"/>
      <c r="V260" s="17">
        <v>199</v>
      </c>
      <c r="W260" s="17">
        <f t="shared" si="30"/>
        <v>199</v>
      </c>
      <c r="X260" s="17">
        <f t="shared" si="31"/>
        <v>199</v>
      </c>
      <c r="Y260" s="17">
        <f>ROUNDDOWN(W260/HLOOKUP(D260,Table!$C$3:$D$4,2,0)*8,2)</f>
        <v>3.53</v>
      </c>
      <c r="Z260" s="17">
        <v>0.5</v>
      </c>
      <c r="AA260" s="17" t="s">
        <v>21</v>
      </c>
      <c r="AB260" s="21">
        <v>43950</v>
      </c>
      <c r="AC260" s="21">
        <v>43941</v>
      </c>
      <c r="AD260" s="21">
        <v>43951</v>
      </c>
      <c r="AE260" s="21">
        <v>43945</v>
      </c>
      <c r="AF260" s="21">
        <v>43945</v>
      </c>
      <c r="AG260" s="22" t="s">
        <v>114</v>
      </c>
      <c r="AH260" s="38">
        <v>1</v>
      </c>
      <c r="AI260" s="38">
        <v>1</v>
      </c>
      <c r="AJ260" s="38">
        <v>1</v>
      </c>
      <c r="AK260" s="22" t="s">
        <v>574</v>
      </c>
      <c r="AL260" s="17"/>
      <c r="AM260" s="17"/>
      <c r="AN260" s="17"/>
      <c r="AO260" t="s">
        <v>941</v>
      </c>
    </row>
    <row r="261" spans="2:41" x14ac:dyDescent="0.25">
      <c r="B261" s="92">
        <f t="shared" si="29"/>
        <v>214</v>
      </c>
      <c r="C261" s="18" t="s">
        <v>713</v>
      </c>
      <c r="D261" s="17" t="s">
        <v>3</v>
      </c>
      <c r="E261" s="17" t="s">
        <v>631</v>
      </c>
      <c r="F261" s="127" t="s">
        <v>837</v>
      </c>
      <c r="G261" s="19">
        <v>1416606</v>
      </c>
      <c r="H261" s="86" t="s">
        <v>65</v>
      </c>
      <c r="I261" s="17" t="s">
        <v>528</v>
      </c>
      <c r="J261" s="86" t="s">
        <v>65</v>
      </c>
      <c r="K261" s="17" t="s">
        <v>469</v>
      </c>
      <c r="L261" s="17" t="s">
        <v>796</v>
      </c>
      <c r="M261" s="17" t="s">
        <v>514</v>
      </c>
      <c r="N261" s="17" t="s">
        <v>706</v>
      </c>
      <c r="O261" s="19" t="s">
        <v>65</v>
      </c>
      <c r="P261" s="19" t="s">
        <v>587</v>
      </c>
      <c r="Q261" s="20"/>
      <c r="R261" s="86" t="s">
        <v>65</v>
      </c>
      <c r="S261" s="17" t="s">
        <v>69</v>
      </c>
      <c r="T261" s="17"/>
      <c r="U261" s="17"/>
      <c r="V261" s="17">
        <v>6</v>
      </c>
      <c r="W261" s="17">
        <f t="shared" si="30"/>
        <v>6</v>
      </c>
      <c r="X261" s="17">
        <f t="shared" si="31"/>
        <v>6</v>
      </c>
      <c r="Y261" s="17">
        <f>ROUNDDOWN(W261/HLOOKUP(D261,Table!$C$3:$D$4,2,0)*8,2)</f>
        <v>0.1</v>
      </c>
      <c r="Z261" s="17">
        <v>0.5</v>
      </c>
      <c r="AA261" s="17" t="s">
        <v>21</v>
      </c>
      <c r="AB261" s="21">
        <v>43950</v>
      </c>
      <c r="AC261" s="21">
        <v>43941</v>
      </c>
      <c r="AD261" s="21">
        <v>43951</v>
      </c>
      <c r="AE261" s="21">
        <v>43945</v>
      </c>
      <c r="AF261" s="21">
        <v>43945</v>
      </c>
      <c r="AG261" s="22" t="s">
        <v>114</v>
      </c>
      <c r="AH261" s="38" t="s">
        <v>65</v>
      </c>
      <c r="AI261" s="38" t="s">
        <v>65</v>
      </c>
      <c r="AJ261" s="38" t="s">
        <v>65</v>
      </c>
      <c r="AK261" s="22" t="s">
        <v>574</v>
      </c>
      <c r="AL261" s="17"/>
      <c r="AM261" s="17"/>
      <c r="AN261" s="17"/>
      <c r="AO261" t="s">
        <v>941</v>
      </c>
    </row>
    <row r="262" spans="2:41" x14ac:dyDescent="0.25">
      <c r="B262" s="92">
        <f t="shared" si="29"/>
        <v>215</v>
      </c>
      <c r="C262" s="18" t="s">
        <v>713</v>
      </c>
      <c r="D262" s="18" t="s">
        <v>3</v>
      </c>
      <c r="E262" s="18" t="s">
        <v>632</v>
      </c>
      <c r="F262" s="129" t="s">
        <v>838</v>
      </c>
      <c r="G262" s="61">
        <v>1372148</v>
      </c>
      <c r="H262" s="86" t="s">
        <v>65</v>
      </c>
      <c r="I262" s="18" t="s">
        <v>665</v>
      </c>
      <c r="J262" s="86" t="s">
        <v>65</v>
      </c>
      <c r="K262" s="18" t="s">
        <v>469</v>
      </c>
      <c r="L262" s="18" t="s">
        <v>574</v>
      </c>
      <c r="M262" s="18" t="s">
        <v>644</v>
      </c>
      <c r="N262" s="18" t="s">
        <v>707</v>
      </c>
      <c r="O262" s="61" t="s">
        <v>65</v>
      </c>
      <c r="P262" s="61" t="s">
        <v>696</v>
      </c>
      <c r="Q262" s="20"/>
      <c r="R262" s="86" t="s">
        <v>65</v>
      </c>
      <c r="S262" s="18" t="s">
        <v>429</v>
      </c>
      <c r="T262" s="18"/>
      <c r="U262" s="18"/>
      <c r="V262" s="18">
        <v>90</v>
      </c>
      <c r="W262" s="18">
        <f t="shared" si="30"/>
        <v>90</v>
      </c>
      <c r="X262" s="17">
        <f t="shared" si="31"/>
        <v>90</v>
      </c>
      <c r="Y262" s="18">
        <f>ROUNDDOWN(W262/HLOOKUP(D262,Table!$C$3:$D$4,2,0)*8,2)</f>
        <v>1.6</v>
      </c>
      <c r="Z262" s="18">
        <v>2</v>
      </c>
      <c r="AA262" s="18" t="s">
        <v>21</v>
      </c>
      <c r="AB262" s="21">
        <v>43943</v>
      </c>
      <c r="AC262" s="21">
        <v>43941</v>
      </c>
      <c r="AD262" s="78">
        <v>43943</v>
      </c>
      <c r="AE262" s="78">
        <v>43942</v>
      </c>
      <c r="AF262" s="78">
        <v>43942</v>
      </c>
      <c r="AG262" s="22" t="s">
        <v>114</v>
      </c>
      <c r="AH262" s="98">
        <v>1</v>
      </c>
      <c r="AI262" s="98">
        <v>1</v>
      </c>
      <c r="AJ262" s="98">
        <v>1</v>
      </c>
      <c r="AK262" s="22" t="s">
        <v>574</v>
      </c>
      <c r="AL262" s="18"/>
      <c r="AM262" s="18"/>
      <c r="AN262" s="18"/>
      <c r="AO262" t="s">
        <v>941</v>
      </c>
    </row>
    <row r="263" spans="2:41" x14ac:dyDescent="0.25">
      <c r="B263" s="92">
        <f t="shared" si="29"/>
        <v>216</v>
      </c>
      <c r="C263" s="18" t="s">
        <v>713</v>
      </c>
      <c r="D263" s="18" t="s">
        <v>3</v>
      </c>
      <c r="E263" s="18" t="s">
        <v>632</v>
      </c>
      <c r="F263" s="129" t="s">
        <v>839</v>
      </c>
      <c r="G263" s="61">
        <v>1372148</v>
      </c>
      <c r="H263" s="86" t="s">
        <v>65</v>
      </c>
      <c r="I263" s="18" t="s">
        <v>666</v>
      </c>
      <c r="J263" s="86" t="s">
        <v>65</v>
      </c>
      <c r="K263" s="18" t="s">
        <v>469</v>
      </c>
      <c r="L263" s="18" t="s">
        <v>574</v>
      </c>
      <c r="M263" s="18" t="s">
        <v>644</v>
      </c>
      <c r="N263" s="18" t="s">
        <v>707</v>
      </c>
      <c r="O263" s="61" t="s">
        <v>65</v>
      </c>
      <c r="P263" s="61" t="s">
        <v>696</v>
      </c>
      <c r="Q263" s="20"/>
      <c r="R263" s="86" t="s">
        <v>65</v>
      </c>
      <c r="S263" s="18" t="s">
        <v>429</v>
      </c>
      <c r="T263" s="18"/>
      <c r="U263" s="18"/>
      <c r="V263" s="18">
        <v>212</v>
      </c>
      <c r="W263" s="18">
        <f t="shared" si="30"/>
        <v>212</v>
      </c>
      <c r="X263" s="17">
        <f t="shared" si="31"/>
        <v>212</v>
      </c>
      <c r="Y263" s="18">
        <f>ROUNDDOWN(W263/HLOOKUP(D263,Table!$C$3:$D$4,2,0)*8,2)</f>
        <v>3.76</v>
      </c>
      <c r="Z263" s="18">
        <v>4</v>
      </c>
      <c r="AA263" s="18" t="s">
        <v>21</v>
      </c>
      <c r="AB263" s="21">
        <v>43943</v>
      </c>
      <c r="AC263" s="21">
        <v>43941</v>
      </c>
      <c r="AD263" s="78">
        <v>43943</v>
      </c>
      <c r="AE263" s="78">
        <v>43942</v>
      </c>
      <c r="AF263" s="78">
        <v>43942</v>
      </c>
      <c r="AG263" s="22" t="s">
        <v>114</v>
      </c>
      <c r="AH263" s="98">
        <v>1</v>
      </c>
      <c r="AI263" s="98">
        <v>1</v>
      </c>
      <c r="AJ263" s="98">
        <v>1</v>
      </c>
      <c r="AK263" s="22" t="s">
        <v>574</v>
      </c>
      <c r="AL263" s="18"/>
      <c r="AM263" s="18"/>
      <c r="AN263" s="18"/>
      <c r="AO263" t="s">
        <v>941</v>
      </c>
    </row>
    <row r="264" spans="2:41" x14ac:dyDescent="0.25">
      <c r="B264" s="92">
        <f t="shared" si="29"/>
        <v>217</v>
      </c>
      <c r="C264" s="18" t="s">
        <v>713</v>
      </c>
      <c r="D264" s="18" t="s">
        <v>3</v>
      </c>
      <c r="E264" s="18" t="s">
        <v>632</v>
      </c>
      <c r="F264" s="129" t="s">
        <v>840</v>
      </c>
      <c r="G264" s="61">
        <v>1372148</v>
      </c>
      <c r="H264" s="86" t="s">
        <v>65</v>
      </c>
      <c r="I264" s="18" t="s">
        <v>667</v>
      </c>
      <c r="J264" s="86" t="s">
        <v>65</v>
      </c>
      <c r="K264" s="18" t="s">
        <v>469</v>
      </c>
      <c r="L264" s="18" t="s">
        <v>574</v>
      </c>
      <c r="M264" s="18" t="s">
        <v>644</v>
      </c>
      <c r="N264" s="18" t="s">
        <v>707</v>
      </c>
      <c r="O264" s="61" t="s">
        <v>65</v>
      </c>
      <c r="P264" s="61" t="s">
        <v>696</v>
      </c>
      <c r="Q264" s="20"/>
      <c r="R264" s="86" t="s">
        <v>65</v>
      </c>
      <c r="S264" s="18" t="s">
        <v>429</v>
      </c>
      <c r="T264" s="18"/>
      <c r="U264" s="18"/>
      <c r="V264" s="18">
        <v>361</v>
      </c>
      <c r="W264" s="18">
        <f t="shared" si="30"/>
        <v>361</v>
      </c>
      <c r="X264" s="17">
        <f t="shared" si="31"/>
        <v>361</v>
      </c>
      <c r="Y264" s="18">
        <f>ROUNDDOWN(W264/HLOOKUP(D264,Table!$C$3:$D$4,2,0)*8,2)</f>
        <v>6.41</v>
      </c>
      <c r="Z264" s="18">
        <v>3</v>
      </c>
      <c r="AA264" s="18" t="s">
        <v>21</v>
      </c>
      <c r="AB264" s="21">
        <v>43943</v>
      </c>
      <c r="AC264" s="21">
        <v>43941</v>
      </c>
      <c r="AD264" s="78">
        <v>43943</v>
      </c>
      <c r="AE264" s="78">
        <v>43942</v>
      </c>
      <c r="AF264" s="78">
        <v>43942</v>
      </c>
      <c r="AG264" s="22" t="s">
        <v>114</v>
      </c>
      <c r="AH264" s="98">
        <v>1</v>
      </c>
      <c r="AI264" s="98">
        <v>1</v>
      </c>
      <c r="AJ264" s="98">
        <v>1</v>
      </c>
      <c r="AK264" s="22" t="s">
        <v>574</v>
      </c>
      <c r="AL264" s="18"/>
      <c r="AM264" s="18"/>
      <c r="AN264" s="18"/>
      <c r="AO264" t="s">
        <v>941</v>
      </c>
    </row>
    <row r="265" spans="2:41" x14ac:dyDescent="0.25">
      <c r="B265" s="92">
        <f t="shared" si="29"/>
        <v>218</v>
      </c>
      <c r="C265" s="18" t="s">
        <v>713</v>
      </c>
      <c r="D265" s="17" t="s">
        <v>3</v>
      </c>
      <c r="E265" s="17" t="s">
        <v>632</v>
      </c>
      <c r="F265" s="127" t="s">
        <v>841</v>
      </c>
      <c r="G265" s="19">
        <v>1372148</v>
      </c>
      <c r="H265" s="86" t="s">
        <v>65</v>
      </c>
      <c r="I265" s="17" t="s">
        <v>668</v>
      </c>
      <c r="J265" s="86" t="s">
        <v>65</v>
      </c>
      <c r="K265" s="17" t="s">
        <v>469</v>
      </c>
      <c r="L265" s="17" t="s">
        <v>574</v>
      </c>
      <c r="M265" s="17" t="s">
        <v>644</v>
      </c>
      <c r="N265" s="17" t="s">
        <v>707</v>
      </c>
      <c r="O265" s="19" t="s">
        <v>65</v>
      </c>
      <c r="P265" s="19" t="s">
        <v>696</v>
      </c>
      <c r="Q265" s="20"/>
      <c r="R265" s="86" t="s">
        <v>65</v>
      </c>
      <c r="S265" s="17" t="s">
        <v>429</v>
      </c>
      <c r="T265" s="17"/>
      <c r="U265" s="17"/>
      <c r="V265" s="17">
        <v>437</v>
      </c>
      <c r="W265" s="17">
        <f t="shared" si="30"/>
        <v>437</v>
      </c>
      <c r="X265" s="17">
        <f t="shared" si="31"/>
        <v>437</v>
      </c>
      <c r="Y265" s="17">
        <f>ROUNDDOWN(W265/HLOOKUP(D265,Table!$C$3:$D$4,2,0)*8,2)</f>
        <v>7.76</v>
      </c>
      <c r="Z265" s="17">
        <v>4</v>
      </c>
      <c r="AA265" s="18" t="s">
        <v>21</v>
      </c>
      <c r="AB265" s="21">
        <v>43943</v>
      </c>
      <c r="AC265" s="21">
        <v>43941</v>
      </c>
      <c r="AD265" s="21">
        <v>43943</v>
      </c>
      <c r="AE265" s="21">
        <v>43943</v>
      </c>
      <c r="AF265" s="21">
        <v>43943</v>
      </c>
      <c r="AG265" s="22" t="s">
        <v>114</v>
      </c>
      <c r="AH265" s="38">
        <v>1</v>
      </c>
      <c r="AI265" s="38">
        <v>1</v>
      </c>
      <c r="AJ265" s="38">
        <v>1</v>
      </c>
      <c r="AK265" s="22" t="s">
        <v>574</v>
      </c>
      <c r="AL265" s="17"/>
      <c r="AM265" s="17"/>
      <c r="AN265" s="17"/>
      <c r="AO265" t="s">
        <v>941</v>
      </c>
    </row>
    <row r="266" spans="2:41" x14ac:dyDescent="0.25">
      <c r="B266" s="92">
        <f t="shared" si="29"/>
        <v>219</v>
      </c>
      <c r="C266" s="18" t="s">
        <v>713</v>
      </c>
      <c r="D266" s="17" t="s">
        <v>3</v>
      </c>
      <c r="E266" s="17" t="s">
        <v>632</v>
      </c>
      <c r="F266" s="127" t="s">
        <v>842</v>
      </c>
      <c r="G266" s="19">
        <v>1372148</v>
      </c>
      <c r="H266" s="86" t="s">
        <v>65</v>
      </c>
      <c r="I266" s="17" t="s">
        <v>669</v>
      </c>
      <c r="J266" s="86" t="s">
        <v>65</v>
      </c>
      <c r="K266" s="17" t="s">
        <v>469</v>
      </c>
      <c r="L266" s="17" t="s">
        <v>574</v>
      </c>
      <c r="M266" s="17" t="s">
        <v>644</v>
      </c>
      <c r="N266" s="17" t="s">
        <v>707</v>
      </c>
      <c r="O266" s="19" t="s">
        <v>65</v>
      </c>
      <c r="P266" s="19" t="s">
        <v>696</v>
      </c>
      <c r="Q266" s="20"/>
      <c r="R266" s="86" t="s">
        <v>65</v>
      </c>
      <c r="S266" s="17" t="s">
        <v>429</v>
      </c>
      <c r="T266" s="17"/>
      <c r="U266" s="17"/>
      <c r="V266" s="17">
        <v>32</v>
      </c>
      <c r="W266" s="17">
        <f t="shared" ref="W266:X329" si="32">V266</f>
        <v>32</v>
      </c>
      <c r="X266" s="17">
        <f t="shared" si="31"/>
        <v>32</v>
      </c>
      <c r="Y266" s="17">
        <f>ROUNDDOWN(W266/HLOOKUP(D266,Table!$C$3:$D$4,2,0)*8,2)</f>
        <v>0.56000000000000005</v>
      </c>
      <c r="Z266" s="17">
        <v>0.25</v>
      </c>
      <c r="AA266" s="18" t="s">
        <v>21</v>
      </c>
      <c r="AB266" s="21">
        <v>43943</v>
      </c>
      <c r="AC266" s="21">
        <v>43941</v>
      </c>
      <c r="AD266" s="21">
        <v>43943</v>
      </c>
      <c r="AE266" s="21">
        <v>43943</v>
      </c>
      <c r="AF266" s="21">
        <v>43943</v>
      </c>
      <c r="AG266" s="22" t="s">
        <v>114</v>
      </c>
      <c r="AH266" s="38">
        <v>1</v>
      </c>
      <c r="AI266" s="38">
        <v>1</v>
      </c>
      <c r="AJ266" s="38">
        <v>1</v>
      </c>
      <c r="AK266" s="22" t="s">
        <v>574</v>
      </c>
      <c r="AL266" s="17"/>
      <c r="AM266" s="17"/>
      <c r="AN266" s="17"/>
      <c r="AO266" t="s">
        <v>941</v>
      </c>
    </row>
    <row r="267" spans="2:41" x14ac:dyDescent="0.25">
      <c r="B267" s="92">
        <f t="shared" si="29"/>
        <v>220</v>
      </c>
      <c r="C267" s="18" t="s">
        <v>713</v>
      </c>
      <c r="D267" s="17" t="s">
        <v>3</v>
      </c>
      <c r="E267" s="17" t="s">
        <v>632</v>
      </c>
      <c r="F267" s="127" t="s">
        <v>843</v>
      </c>
      <c r="G267" s="19">
        <v>1372148</v>
      </c>
      <c r="H267" s="86" t="s">
        <v>65</v>
      </c>
      <c r="I267" s="17" t="s">
        <v>622</v>
      </c>
      <c r="J267" s="86" t="s">
        <v>65</v>
      </c>
      <c r="K267" s="17" t="s">
        <v>469</v>
      </c>
      <c r="L267" s="17" t="s">
        <v>574</v>
      </c>
      <c r="M267" s="17" t="s">
        <v>644</v>
      </c>
      <c r="N267" s="17" t="s">
        <v>707</v>
      </c>
      <c r="O267" s="19" t="s">
        <v>65</v>
      </c>
      <c r="P267" s="19" t="s">
        <v>696</v>
      </c>
      <c r="Q267" s="20"/>
      <c r="R267" s="86" t="s">
        <v>65</v>
      </c>
      <c r="S267" s="17" t="s">
        <v>68</v>
      </c>
      <c r="T267" s="17"/>
      <c r="U267" s="17"/>
      <c r="V267" s="17">
        <v>997</v>
      </c>
      <c r="W267" s="18">
        <v>30</v>
      </c>
      <c r="X267" s="17">
        <f t="shared" si="31"/>
        <v>30</v>
      </c>
      <c r="Y267" s="17">
        <f>ROUNDDOWN(W267/HLOOKUP(D267,Table!$C$3:$D$4,2,0)*8,2)</f>
        <v>0.53</v>
      </c>
      <c r="Z267" s="17">
        <v>0.5</v>
      </c>
      <c r="AA267" s="18" t="s">
        <v>21</v>
      </c>
      <c r="AB267" s="21">
        <v>43943</v>
      </c>
      <c r="AC267" s="21">
        <v>43941</v>
      </c>
      <c r="AD267" s="21">
        <v>43943</v>
      </c>
      <c r="AE267" s="21">
        <v>43941</v>
      </c>
      <c r="AF267" s="21">
        <v>43941</v>
      </c>
      <c r="AG267" s="22" t="s">
        <v>114</v>
      </c>
      <c r="AH267" s="38">
        <v>1</v>
      </c>
      <c r="AI267" s="38">
        <v>1</v>
      </c>
      <c r="AJ267" s="38">
        <v>1</v>
      </c>
      <c r="AK267" s="22" t="s">
        <v>574</v>
      </c>
      <c r="AL267" s="17"/>
      <c r="AM267" s="17"/>
      <c r="AN267" s="17" t="s">
        <v>805</v>
      </c>
      <c r="AO267" t="s">
        <v>941</v>
      </c>
    </row>
    <row r="268" spans="2:41" x14ac:dyDescent="0.25">
      <c r="B268" s="92">
        <f t="shared" si="29"/>
        <v>221</v>
      </c>
      <c r="C268" s="18" t="s">
        <v>713</v>
      </c>
      <c r="D268" s="17" t="s">
        <v>3</v>
      </c>
      <c r="E268" s="17" t="s">
        <v>632</v>
      </c>
      <c r="F268" s="127" t="s">
        <v>844</v>
      </c>
      <c r="G268" s="19">
        <v>1372148</v>
      </c>
      <c r="H268" s="86" t="s">
        <v>65</v>
      </c>
      <c r="I268" s="17" t="s">
        <v>670</v>
      </c>
      <c r="J268" s="86" t="s">
        <v>65</v>
      </c>
      <c r="K268" s="17" t="s">
        <v>469</v>
      </c>
      <c r="L268" s="17" t="s">
        <v>574</v>
      </c>
      <c r="M268" s="17" t="s">
        <v>644</v>
      </c>
      <c r="N268" s="17" t="s">
        <v>707</v>
      </c>
      <c r="O268" s="19" t="s">
        <v>65</v>
      </c>
      <c r="P268" s="19" t="s">
        <v>696</v>
      </c>
      <c r="Q268" s="20"/>
      <c r="R268" s="86" t="s">
        <v>65</v>
      </c>
      <c r="S268" s="17" t="s">
        <v>429</v>
      </c>
      <c r="T268" s="17"/>
      <c r="U268" s="17"/>
      <c r="V268" s="17">
        <v>99</v>
      </c>
      <c r="W268" s="17">
        <f t="shared" si="32"/>
        <v>99</v>
      </c>
      <c r="X268" s="17">
        <f t="shared" si="31"/>
        <v>99</v>
      </c>
      <c r="Y268" s="17">
        <f>ROUNDDOWN(W268/HLOOKUP(D268,Table!$C$3:$D$4,2,0)*8,2)</f>
        <v>1.76</v>
      </c>
      <c r="Z268" s="17">
        <v>0.5</v>
      </c>
      <c r="AA268" s="18" t="s">
        <v>21</v>
      </c>
      <c r="AB268" s="21">
        <v>43943</v>
      </c>
      <c r="AC268" s="21">
        <v>43941</v>
      </c>
      <c r="AD268" s="21">
        <v>43943</v>
      </c>
      <c r="AE268" s="21">
        <v>43943</v>
      </c>
      <c r="AF268" s="21">
        <v>43943</v>
      </c>
      <c r="AG268" s="22" t="s">
        <v>114</v>
      </c>
      <c r="AH268" s="38">
        <v>1</v>
      </c>
      <c r="AI268" s="38">
        <v>1</v>
      </c>
      <c r="AJ268" s="38">
        <v>1</v>
      </c>
      <c r="AK268" s="22" t="s">
        <v>574</v>
      </c>
      <c r="AL268" s="17"/>
      <c r="AM268" s="17"/>
      <c r="AN268" s="17"/>
      <c r="AO268" t="s">
        <v>941</v>
      </c>
    </row>
    <row r="269" spans="2:41" x14ac:dyDescent="0.25">
      <c r="B269" s="92">
        <f t="shared" si="29"/>
        <v>222</v>
      </c>
      <c r="C269" s="18" t="s">
        <v>713</v>
      </c>
      <c r="D269" s="17" t="s">
        <v>3</v>
      </c>
      <c r="E269" s="17" t="s">
        <v>633</v>
      </c>
      <c r="F269" s="127" t="s">
        <v>845</v>
      </c>
      <c r="G269" s="19">
        <v>1416483</v>
      </c>
      <c r="H269" s="86" t="s">
        <v>65</v>
      </c>
      <c r="I269" s="17" t="s">
        <v>671</v>
      </c>
      <c r="J269" s="86" t="s">
        <v>65</v>
      </c>
      <c r="K269" s="17" t="s">
        <v>469</v>
      </c>
      <c r="L269" s="17" t="s">
        <v>797</v>
      </c>
      <c r="M269" s="17" t="s">
        <v>648</v>
      </c>
      <c r="N269" s="17" t="s">
        <v>708</v>
      </c>
      <c r="O269" s="19" t="s">
        <v>65</v>
      </c>
      <c r="P269" s="19" t="s">
        <v>697</v>
      </c>
      <c r="Q269" s="20"/>
      <c r="R269" s="86" t="s">
        <v>65</v>
      </c>
      <c r="S269" s="17" t="s">
        <v>429</v>
      </c>
      <c r="T269" s="17"/>
      <c r="U269" s="17"/>
      <c r="V269" s="17">
        <v>368</v>
      </c>
      <c r="W269" s="17">
        <f t="shared" si="32"/>
        <v>368</v>
      </c>
      <c r="X269" s="17">
        <f t="shared" si="31"/>
        <v>368</v>
      </c>
      <c r="Y269" s="17">
        <f>ROUNDDOWN(W269/HLOOKUP(D269,Table!$C$3:$D$4,2,0)*8,2)</f>
        <v>6.54</v>
      </c>
      <c r="Z269" s="17">
        <v>5</v>
      </c>
      <c r="AA269" s="18" t="s">
        <v>21</v>
      </c>
      <c r="AB269" s="21">
        <v>43943</v>
      </c>
      <c r="AC269" s="21">
        <v>43941</v>
      </c>
      <c r="AD269" s="21">
        <v>43943</v>
      </c>
      <c r="AE269" s="21">
        <v>43943</v>
      </c>
      <c r="AF269" s="21">
        <v>43943</v>
      </c>
      <c r="AG269" s="22" t="s">
        <v>114</v>
      </c>
      <c r="AH269" s="38">
        <v>1</v>
      </c>
      <c r="AI269" s="38">
        <v>1</v>
      </c>
      <c r="AJ269" s="38">
        <v>1</v>
      </c>
      <c r="AK269" s="22" t="s">
        <v>574</v>
      </c>
      <c r="AL269" s="17"/>
      <c r="AM269" s="17"/>
      <c r="AN269" s="17"/>
      <c r="AO269" t="s">
        <v>941</v>
      </c>
    </row>
    <row r="270" spans="2:41" x14ac:dyDescent="0.25">
      <c r="B270" s="92">
        <f t="shared" si="29"/>
        <v>223</v>
      </c>
      <c r="C270" s="18" t="s">
        <v>713</v>
      </c>
      <c r="D270" s="17" t="s">
        <v>3</v>
      </c>
      <c r="E270" s="17" t="s">
        <v>633</v>
      </c>
      <c r="F270" s="127" t="s">
        <v>846</v>
      </c>
      <c r="G270" s="19">
        <v>1416483</v>
      </c>
      <c r="H270" s="86" t="s">
        <v>65</v>
      </c>
      <c r="I270" s="35" t="s">
        <v>672</v>
      </c>
      <c r="J270" s="86" t="s">
        <v>65</v>
      </c>
      <c r="K270" s="17" t="s">
        <v>469</v>
      </c>
      <c r="L270" s="17" t="s">
        <v>797</v>
      </c>
      <c r="M270" s="17" t="s">
        <v>648</v>
      </c>
      <c r="N270" s="17" t="s">
        <v>708</v>
      </c>
      <c r="O270" s="19" t="s">
        <v>65</v>
      </c>
      <c r="P270" s="19" t="s">
        <v>697</v>
      </c>
      <c r="Q270" s="20"/>
      <c r="R270" s="86" t="s">
        <v>65</v>
      </c>
      <c r="S270" s="17" t="s">
        <v>430</v>
      </c>
      <c r="T270" s="17"/>
      <c r="U270" s="17"/>
      <c r="V270" s="17">
        <v>332</v>
      </c>
      <c r="W270" s="20">
        <v>636</v>
      </c>
      <c r="X270" s="17">
        <f t="shared" si="31"/>
        <v>636</v>
      </c>
      <c r="Y270" s="17">
        <f>ROUNDDOWN(W270/HLOOKUP(D270,Table!$C$3:$D$4,2,0)*8,2)</f>
        <v>11.3</v>
      </c>
      <c r="Z270" s="17">
        <v>3</v>
      </c>
      <c r="AA270" s="18" t="s">
        <v>21</v>
      </c>
      <c r="AB270" s="21">
        <v>43943</v>
      </c>
      <c r="AC270" s="21">
        <v>43941</v>
      </c>
      <c r="AD270" s="21">
        <v>43943</v>
      </c>
      <c r="AE270" s="21">
        <v>43941</v>
      </c>
      <c r="AF270" s="21">
        <v>43941</v>
      </c>
      <c r="AG270" s="22" t="s">
        <v>114</v>
      </c>
      <c r="AH270" s="38">
        <v>1</v>
      </c>
      <c r="AI270" s="38">
        <v>1</v>
      </c>
      <c r="AJ270" s="38">
        <v>1</v>
      </c>
      <c r="AK270" s="22" t="s">
        <v>574</v>
      </c>
      <c r="AL270" s="17"/>
      <c r="AM270" s="17"/>
      <c r="AN270" s="17" t="s">
        <v>804</v>
      </c>
      <c r="AO270" t="s">
        <v>941</v>
      </c>
    </row>
    <row r="271" spans="2:41" x14ac:dyDescent="0.25">
      <c r="B271" s="92">
        <f t="shared" si="29"/>
        <v>224</v>
      </c>
      <c r="C271" s="18" t="s">
        <v>713</v>
      </c>
      <c r="D271" s="17" t="s">
        <v>3</v>
      </c>
      <c r="E271" s="17" t="s">
        <v>633</v>
      </c>
      <c r="F271" s="127" t="s">
        <v>847</v>
      </c>
      <c r="G271" s="19">
        <v>1416214</v>
      </c>
      <c r="H271" s="86" t="s">
        <v>65</v>
      </c>
      <c r="I271" s="35" t="s">
        <v>617</v>
      </c>
      <c r="J271" s="86" t="s">
        <v>65</v>
      </c>
      <c r="K271" s="17" t="s">
        <v>469</v>
      </c>
      <c r="L271" s="17">
        <v>81262</v>
      </c>
      <c r="M271" s="17" t="s">
        <v>648</v>
      </c>
      <c r="N271" s="17" t="s">
        <v>708</v>
      </c>
      <c r="O271" s="19" t="s">
        <v>65</v>
      </c>
      <c r="P271" s="19" t="s">
        <v>618</v>
      </c>
      <c r="Q271" s="20"/>
      <c r="R271" s="86" t="s">
        <v>65</v>
      </c>
      <c r="S271" s="17" t="s">
        <v>430</v>
      </c>
      <c r="T271" s="17"/>
      <c r="U271" s="17"/>
      <c r="V271" s="17">
        <v>125</v>
      </c>
      <c r="W271" s="120">
        <v>125</v>
      </c>
      <c r="X271" s="17">
        <f t="shared" si="31"/>
        <v>125</v>
      </c>
      <c r="Y271" s="121">
        <f>ROUNDDOWN(W271/HLOOKUP(D271,Table!$C$3:$D$4,2,0)*8,2)</f>
        <v>2.2200000000000002</v>
      </c>
      <c r="Z271" s="121">
        <v>1</v>
      </c>
      <c r="AA271" s="18" t="s">
        <v>21</v>
      </c>
      <c r="AB271" s="21">
        <v>43943</v>
      </c>
      <c r="AC271" s="21">
        <v>43941</v>
      </c>
      <c r="AD271" s="122">
        <v>43943</v>
      </c>
      <c r="AE271" s="122">
        <v>43941</v>
      </c>
      <c r="AF271" s="122">
        <v>43941</v>
      </c>
      <c r="AG271" s="22" t="s">
        <v>114</v>
      </c>
      <c r="AH271" s="123">
        <v>1</v>
      </c>
      <c r="AI271" s="123">
        <v>1</v>
      </c>
      <c r="AJ271" s="123">
        <v>1</v>
      </c>
      <c r="AK271" s="124" t="s">
        <v>574</v>
      </c>
      <c r="AL271" s="17"/>
      <c r="AM271" s="17"/>
      <c r="AN271" s="17"/>
      <c r="AO271" t="s">
        <v>941</v>
      </c>
    </row>
    <row r="272" spans="2:41" x14ac:dyDescent="0.25">
      <c r="B272" s="92">
        <f t="shared" si="29"/>
        <v>225</v>
      </c>
      <c r="C272" s="18" t="s">
        <v>713</v>
      </c>
      <c r="D272" s="17" t="s">
        <v>3</v>
      </c>
      <c r="E272" s="17" t="s">
        <v>633</v>
      </c>
      <c r="F272" s="127" t="s">
        <v>848</v>
      </c>
      <c r="G272" s="19">
        <v>1416214</v>
      </c>
      <c r="H272" s="86" t="s">
        <v>65</v>
      </c>
      <c r="I272" s="35" t="s">
        <v>616</v>
      </c>
      <c r="J272" s="86" t="s">
        <v>65</v>
      </c>
      <c r="K272" s="17" t="s">
        <v>469</v>
      </c>
      <c r="L272" s="17">
        <v>81262</v>
      </c>
      <c r="M272" s="17" t="s">
        <v>648</v>
      </c>
      <c r="N272" s="17" t="s">
        <v>708</v>
      </c>
      <c r="O272" s="19" t="s">
        <v>65</v>
      </c>
      <c r="P272" s="19" t="s">
        <v>618</v>
      </c>
      <c r="Q272" s="20"/>
      <c r="R272" s="86" t="s">
        <v>65</v>
      </c>
      <c r="S272" s="17" t="s">
        <v>430</v>
      </c>
      <c r="T272" s="17"/>
      <c r="U272" s="17"/>
      <c r="V272" s="17">
        <v>129</v>
      </c>
      <c r="W272" s="17">
        <f t="shared" si="32"/>
        <v>129</v>
      </c>
      <c r="X272" s="17">
        <f t="shared" si="31"/>
        <v>129</v>
      </c>
      <c r="Y272" s="17">
        <f>ROUNDDOWN(W272/HLOOKUP(D272,Table!$C$3:$D$4,2,0)*8,2)</f>
        <v>2.29</v>
      </c>
      <c r="Z272" s="17">
        <v>0.25</v>
      </c>
      <c r="AA272" s="18" t="s">
        <v>21</v>
      </c>
      <c r="AB272" s="21">
        <v>43943</v>
      </c>
      <c r="AC272" s="21">
        <v>43941</v>
      </c>
      <c r="AD272" s="21">
        <v>43943</v>
      </c>
      <c r="AE272" s="21">
        <v>43942</v>
      </c>
      <c r="AF272" s="21">
        <v>43942</v>
      </c>
      <c r="AG272" s="22" t="s">
        <v>114</v>
      </c>
      <c r="AH272" s="38">
        <v>1</v>
      </c>
      <c r="AI272" s="38">
        <v>1</v>
      </c>
      <c r="AJ272" s="38">
        <v>1</v>
      </c>
      <c r="AK272" s="22" t="s">
        <v>574</v>
      </c>
      <c r="AL272" s="17"/>
      <c r="AM272" s="17"/>
      <c r="AN272" s="17"/>
      <c r="AO272" t="s">
        <v>941</v>
      </c>
    </row>
    <row r="273" spans="2:41" x14ac:dyDescent="0.25">
      <c r="B273" s="92">
        <f t="shared" si="29"/>
        <v>226</v>
      </c>
      <c r="C273" s="18" t="s">
        <v>713</v>
      </c>
      <c r="D273" s="17" t="s">
        <v>3</v>
      </c>
      <c r="E273" s="17" t="s">
        <v>633</v>
      </c>
      <c r="F273" s="127" t="s">
        <v>849</v>
      </c>
      <c r="G273" s="19">
        <v>1409385</v>
      </c>
      <c r="H273" s="86" t="s">
        <v>65</v>
      </c>
      <c r="I273" s="35" t="s">
        <v>673</v>
      </c>
      <c r="J273" s="86" t="s">
        <v>65</v>
      </c>
      <c r="K273" s="17" t="s">
        <v>469</v>
      </c>
      <c r="L273" s="17">
        <v>81262</v>
      </c>
      <c r="M273" s="17" t="s">
        <v>648</v>
      </c>
      <c r="N273" s="17" t="s">
        <v>708</v>
      </c>
      <c r="O273" s="19" t="s">
        <v>65</v>
      </c>
      <c r="P273" s="19" t="s">
        <v>618</v>
      </c>
      <c r="Q273" s="20"/>
      <c r="R273" s="86" t="s">
        <v>65</v>
      </c>
      <c r="S273" s="17" t="s">
        <v>430</v>
      </c>
      <c r="T273" s="17"/>
      <c r="U273" s="17"/>
      <c r="V273" s="17">
        <v>229</v>
      </c>
      <c r="W273" s="20">
        <v>489</v>
      </c>
      <c r="X273" s="17">
        <f t="shared" si="31"/>
        <v>489</v>
      </c>
      <c r="Y273" s="17">
        <f>ROUNDDOWN(W273/HLOOKUP(D271,Table!$C$3:$D$4,2,0)*8,2)</f>
        <v>8.69</v>
      </c>
      <c r="Z273" s="17">
        <v>3</v>
      </c>
      <c r="AA273" s="18" t="s">
        <v>21</v>
      </c>
      <c r="AB273" s="21">
        <v>43943</v>
      </c>
      <c r="AC273" s="21">
        <v>43941</v>
      </c>
      <c r="AD273" s="21">
        <v>43943</v>
      </c>
      <c r="AE273" s="21">
        <v>43942</v>
      </c>
      <c r="AF273" s="21">
        <v>43942</v>
      </c>
      <c r="AG273" s="22" t="s">
        <v>114</v>
      </c>
      <c r="AH273" s="38">
        <v>1</v>
      </c>
      <c r="AI273" s="38">
        <v>1</v>
      </c>
      <c r="AJ273" s="38">
        <v>1</v>
      </c>
      <c r="AK273" s="22" t="s">
        <v>574</v>
      </c>
      <c r="AL273" s="17"/>
      <c r="AM273" s="17"/>
      <c r="AN273" s="17" t="s">
        <v>927</v>
      </c>
      <c r="AO273" t="s">
        <v>941</v>
      </c>
    </row>
    <row r="274" spans="2:41" x14ac:dyDescent="0.25">
      <c r="B274" s="92">
        <f t="shared" si="29"/>
        <v>227</v>
      </c>
      <c r="C274" s="18" t="s">
        <v>713</v>
      </c>
      <c r="D274" s="17" t="s">
        <v>3</v>
      </c>
      <c r="E274" s="17" t="s">
        <v>633</v>
      </c>
      <c r="F274" s="127" t="s">
        <v>850</v>
      </c>
      <c r="G274" s="19">
        <v>1409385</v>
      </c>
      <c r="H274" s="86" t="s">
        <v>65</v>
      </c>
      <c r="I274" s="35" t="s">
        <v>674</v>
      </c>
      <c r="J274" s="86" t="s">
        <v>65</v>
      </c>
      <c r="K274" s="17" t="s">
        <v>469</v>
      </c>
      <c r="L274" s="17">
        <v>81262</v>
      </c>
      <c r="M274" s="17" t="s">
        <v>648</v>
      </c>
      <c r="N274" s="17" t="s">
        <v>708</v>
      </c>
      <c r="O274" s="19" t="s">
        <v>65</v>
      </c>
      <c r="P274" s="19" t="s">
        <v>618</v>
      </c>
      <c r="Q274" s="20"/>
      <c r="R274" s="86" t="s">
        <v>65</v>
      </c>
      <c r="S274" s="17" t="s">
        <v>430</v>
      </c>
      <c r="T274" s="17"/>
      <c r="U274" s="17"/>
      <c r="V274" s="17">
        <v>37</v>
      </c>
      <c r="W274" s="17">
        <f t="shared" si="32"/>
        <v>37</v>
      </c>
      <c r="X274" s="17">
        <f t="shared" si="31"/>
        <v>37</v>
      </c>
      <c r="Y274" s="17">
        <f>ROUNDDOWN(W274/HLOOKUP(D274,Table!$C$3:$D$4,2,0)*8,2)</f>
        <v>0.65</v>
      </c>
      <c r="Z274" s="17">
        <v>0.12</v>
      </c>
      <c r="AA274" s="18" t="s">
        <v>21</v>
      </c>
      <c r="AB274" s="21">
        <v>43943</v>
      </c>
      <c r="AC274" s="21">
        <v>43941</v>
      </c>
      <c r="AD274" s="21">
        <v>43943</v>
      </c>
      <c r="AE274" s="21">
        <v>43942</v>
      </c>
      <c r="AF274" s="21">
        <v>43942</v>
      </c>
      <c r="AG274" s="22" t="s">
        <v>114</v>
      </c>
      <c r="AH274" s="38">
        <v>1</v>
      </c>
      <c r="AI274" s="38">
        <v>1</v>
      </c>
      <c r="AJ274" s="38">
        <v>1</v>
      </c>
      <c r="AK274" s="22" t="s">
        <v>574</v>
      </c>
      <c r="AL274" s="17"/>
      <c r="AM274" s="17"/>
      <c r="AN274" s="17"/>
      <c r="AO274" t="s">
        <v>941</v>
      </c>
    </row>
    <row r="275" spans="2:41" x14ac:dyDescent="0.25">
      <c r="B275" s="92">
        <f t="shared" si="29"/>
        <v>228</v>
      </c>
      <c r="C275" s="18" t="s">
        <v>713</v>
      </c>
      <c r="D275" s="17" t="s">
        <v>3</v>
      </c>
      <c r="E275" s="17" t="s">
        <v>633</v>
      </c>
      <c r="F275" s="127" t="s">
        <v>851</v>
      </c>
      <c r="G275" s="19">
        <v>1409385</v>
      </c>
      <c r="H275" s="86" t="s">
        <v>65</v>
      </c>
      <c r="I275" s="35" t="s">
        <v>675</v>
      </c>
      <c r="J275" s="86" t="s">
        <v>65</v>
      </c>
      <c r="K275" s="17" t="s">
        <v>469</v>
      </c>
      <c r="L275" s="17">
        <v>81262</v>
      </c>
      <c r="M275" s="17" t="s">
        <v>648</v>
      </c>
      <c r="N275" s="17" t="s">
        <v>708</v>
      </c>
      <c r="O275" s="19" t="s">
        <v>65</v>
      </c>
      <c r="P275" s="19" t="s">
        <v>618</v>
      </c>
      <c r="Q275" s="20"/>
      <c r="R275" s="86" t="s">
        <v>65</v>
      </c>
      <c r="S275" s="17" t="s">
        <v>430</v>
      </c>
      <c r="T275" s="17"/>
      <c r="U275" s="17"/>
      <c r="V275" s="17">
        <v>488</v>
      </c>
      <c r="W275" s="118">
        <v>488</v>
      </c>
      <c r="X275" s="17">
        <f t="shared" si="31"/>
        <v>488</v>
      </c>
      <c r="Y275" s="17">
        <f>ROUNDDOWN(W275/HLOOKUP(D275,Table!$C$3:$D$4,2,0)*8,2)</f>
        <v>8.67</v>
      </c>
      <c r="Z275" s="17">
        <v>3</v>
      </c>
      <c r="AA275" s="18" t="s">
        <v>21</v>
      </c>
      <c r="AB275" s="21">
        <v>43943</v>
      </c>
      <c r="AC275" s="21">
        <v>43941</v>
      </c>
      <c r="AD275" s="21">
        <v>43943</v>
      </c>
      <c r="AE275" s="21">
        <v>43942</v>
      </c>
      <c r="AF275" s="21">
        <v>43943</v>
      </c>
      <c r="AG275" s="22" t="s">
        <v>114</v>
      </c>
      <c r="AH275" s="38">
        <v>1</v>
      </c>
      <c r="AI275" s="38">
        <v>1</v>
      </c>
      <c r="AJ275" s="38">
        <v>1</v>
      </c>
      <c r="AK275" s="22" t="s">
        <v>574</v>
      </c>
      <c r="AL275" s="17"/>
      <c r="AM275" s="17"/>
      <c r="AN275" s="17"/>
      <c r="AO275" t="s">
        <v>941</v>
      </c>
    </row>
    <row r="276" spans="2:41" x14ac:dyDescent="0.25">
      <c r="B276" s="92">
        <f t="shared" si="29"/>
        <v>229</v>
      </c>
      <c r="C276" s="18" t="s">
        <v>713</v>
      </c>
      <c r="D276" s="17" t="s">
        <v>3</v>
      </c>
      <c r="E276" s="17" t="s">
        <v>634</v>
      </c>
      <c r="F276" s="127" t="s">
        <v>852</v>
      </c>
      <c r="G276" s="19">
        <v>1418684</v>
      </c>
      <c r="H276" s="86" t="s">
        <v>65</v>
      </c>
      <c r="I276" s="35" t="s">
        <v>622</v>
      </c>
      <c r="J276" s="86" t="s">
        <v>65</v>
      </c>
      <c r="K276" s="17" t="s">
        <v>469</v>
      </c>
      <c r="L276" s="17" t="s">
        <v>798</v>
      </c>
      <c r="M276" s="17" t="s">
        <v>649</v>
      </c>
      <c r="N276" s="17" t="s">
        <v>709</v>
      </c>
      <c r="O276" s="19" t="s">
        <v>65</v>
      </c>
      <c r="P276" s="19" t="s">
        <v>698</v>
      </c>
      <c r="Q276" s="20"/>
      <c r="R276" s="86" t="s">
        <v>65</v>
      </c>
      <c r="S276" s="17" t="s">
        <v>430</v>
      </c>
      <c r="T276" s="17"/>
      <c r="U276" s="17"/>
      <c r="V276" s="17">
        <v>55</v>
      </c>
      <c r="W276" s="17">
        <f t="shared" si="32"/>
        <v>55</v>
      </c>
      <c r="X276" s="17">
        <f t="shared" si="31"/>
        <v>55</v>
      </c>
      <c r="Y276" s="17">
        <f>ROUNDDOWN(W276/HLOOKUP(D276,Table!$C$3:$D$4,2,0)*8,2)</f>
        <v>0.97</v>
      </c>
      <c r="Z276" s="17">
        <v>0.12</v>
      </c>
      <c r="AA276" s="18" t="s">
        <v>21</v>
      </c>
      <c r="AB276" s="21">
        <v>43943</v>
      </c>
      <c r="AC276" s="21">
        <v>43941</v>
      </c>
      <c r="AD276" s="21">
        <v>43943</v>
      </c>
      <c r="AE276" s="21">
        <v>43943</v>
      </c>
      <c r="AF276" s="21">
        <v>43943</v>
      </c>
      <c r="AG276" s="22" t="s">
        <v>114</v>
      </c>
      <c r="AH276" s="38">
        <v>1</v>
      </c>
      <c r="AI276" s="38">
        <v>1</v>
      </c>
      <c r="AJ276" s="38">
        <v>1</v>
      </c>
      <c r="AK276" s="22" t="s">
        <v>574</v>
      </c>
      <c r="AL276" s="17"/>
      <c r="AM276" s="17"/>
      <c r="AN276" s="17"/>
      <c r="AO276" t="s">
        <v>941</v>
      </c>
    </row>
    <row r="277" spans="2:41" x14ac:dyDescent="0.25">
      <c r="B277" s="92">
        <f t="shared" si="29"/>
        <v>230</v>
      </c>
      <c r="C277" s="18" t="s">
        <v>713</v>
      </c>
      <c r="D277" s="17" t="s">
        <v>3</v>
      </c>
      <c r="E277" s="17" t="s">
        <v>634</v>
      </c>
      <c r="F277" s="127" t="s">
        <v>853</v>
      </c>
      <c r="G277" s="19">
        <v>1418684</v>
      </c>
      <c r="H277" s="86" t="s">
        <v>65</v>
      </c>
      <c r="I277" s="35" t="s">
        <v>622</v>
      </c>
      <c r="J277" s="86" t="s">
        <v>65</v>
      </c>
      <c r="K277" s="17" t="s">
        <v>469</v>
      </c>
      <c r="L277" s="17" t="s">
        <v>798</v>
      </c>
      <c r="M277" s="17" t="s">
        <v>649</v>
      </c>
      <c r="N277" s="17" t="s">
        <v>709</v>
      </c>
      <c r="O277" s="19" t="s">
        <v>65</v>
      </c>
      <c r="P277" s="19" t="s">
        <v>698</v>
      </c>
      <c r="Q277" s="20"/>
      <c r="R277" s="86" t="s">
        <v>65</v>
      </c>
      <c r="S277" s="17" t="s">
        <v>430</v>
      </c>
      <c r="T277" s="17"/>
      <c r="U277" s="17"/>
      <c r="V277" s="17">
        <v>55</v>
      </c>
      <c r="W277" s="17">
        <f t="shared" si="32"/>
        <v>55</v>
      </c>
      <c r="X277" s="17">
        <f t="shared" si="31"/>
        <v>55</v>
      </c>
      <c r="Y277" s="17">
        <f>ROUNDDOWN(W277/HLOOKUP(D277,Table!$C$3:$D$4,2,0)*8,2)</f>
        <v>0.97</v>
      </c>
      <c r="Z277" s="17">
        <v>0.12</v>
      </c>
      <c r="AA277" s="18" t="s">
        <v>21</v>
      </c>
      <c r="AB277" s="21">
        <v>43943</v>
      </c>
      <c r="AC277" s="21">
        <v>43941</v>
      </c>
      <c r="AD277" s="21">
        <v>43943</v>
      </c>
      <c r="AE277" s="21">
        <v>43943</v>
      </c>
      <c r="AF277" s="21">
        <v>43943</v>
      </c>
      <c r="AG277" s="22" t="s">
        <v>114</v>
      </c>
      <c r="AH277" s="38">
        <v>1</v>
      </c>
      <c r="AI277" s="38">
        <v>1</v>
      </c>
      <c r="AJ277" s="38">
        <v>1</v>
      </c>
      <c r="AK277" s="22" t="s">
        <v>574</v>
      </c>
      <c r="AL277" s="17"/>
      <c r="AM277" s="17"/>
      <c r="AN277" s="17"/>
      <c r="AO277" t="s">
        <v>941</v>
      </c>
    </row>
    <row r="278" spans="2:41" x14ac:dyDescent="0.25">
      <c r="B278" s="92">
        <f t="shared" si="29"/>
        <v>231</v>
      </c>
      <c r="C278" s="18" t="s">
        <v>713</v>
      </c>
      <c r="D278" s="17" t="s">
        <v>3</v>
      </c>
      <c r="E278" s="17" t="s">
        <v>634</v>
      </c>
      <c r="F278" s="127" t="s">
        <v>854</v>
      </c>
      <c r="G278" s="19">
        <v>1418684</v>
      </c>
      <c r="H278" s="86" t="s">
        <v>65</v>
      </c>
      <c r="I278" s="35" t="s">
        <v>622</v>
      </c>
      <c r="J278" s="86" t="s">
        <v>65</v>
      </c>
      <c r="K278" s="17" t="s">
        <v>469</v>
      </c>
      <c r="L278" s="17" t="s">
        <v>798</v>
      </c>
      <c r="M278" s="17" t="s">
        <v>649</v>
      </c>
      <c r="N278" s="17" t="s">
        <v>709</v>
      </c>
      <c r="O278" s="19" t="s">
        <v>65</v>
      </c>
      <c r="P278" s="19" t="s">
        <v>698</v>
      </c>
      <c r="Q278" s="20"/>
      <c r="R278" s="86" t="s">
        <v>65</v>
      </c>
      <c r="S278" s="17" t="s">
        <v>430</v>
      </c>
      <c r="T278" s="17"/>
      <c r="U278" s="17"/>
      <c r="V278" s="17">
        <v>55</v>
      </c>
      <c r="W278" s="17">
        <f t="shared" si="32"/>
        <v>55</v>
      </c>
      <c r="X278" s="17">
        <f t="shared" si="31"/>
        <v>55</v>
      </c>
      <c r="Y278" s="17">
        <f>ROUNDDOWN(W278/HLOOKUP(D278,Table!$C$3:$D$4,2,0)*8,2)</f>
        <v>0.97</v>
      </c>
      <c r="Z278" s="17">
        <v>0.12</v>
      </c>
      <c r="AA278" s="18" t="s">
        <v>21</v>
      </c>
      <c r="AB278" s="21">
        <v>43943</v>
      </c>
      <c r="AC278" s="21">
        <v>43941</v>
      </c>
      <c r="AD278" s="21">
        <v>43943</v>
      </c>
      <c r="AE278" s="21">
        <v>43943</v>
      </c>
      <c r="AF278" s="21">
        <v>43943</v>
      </c>
      <c r="AG278" s="22" t="s">
        <v>114</v>
      </c>
      <c r="AH278" s="38">
        <v>1</v>
      </c>
      <c r="AI278" s="38">
        <v>1</v>
      </c>
      <c r="AJ278" s="38">
        <v>1</v>
      </c>
      <c r="AK278" s="22" t="s">
        <v>574</v>
      </c>
      <c r="AL278" s="17"/>
      <c r="AM278" s="17"/>
      <c r="AN278" s="17"/>
      <c r="AO278" t="s">
        <v>941</v>
      </c>
    </row>
    <row r="279" spans="2:41" x14ac:dyDescent="0.25">
      <c r="B279" s="92">
        <f t="shared" si="29"/>
        <v>232</v>
      </c>
      <c r="C279" s="18" t="s">
        <v>713</v>
      </c>
      <c r="D279" s="17" t="s">
        <v>3</v>
      </c>
      <c r="E279" s="17" t="s">
        <v>635</v>
      </c>
      <c r="F279" s="127" t="s">
        <v>855</v>
      </c>
      <c r="G279" s="19">
        <v>1377406</v>
      </c>
      <c r="H279" s="86" t="s">
        <v>65</v>
      </c>
      <c r="I279" s="35" t="s">
        <v>676</v>
      </c>
      <c r="J279" s="86" t="s">
        <v>65</v>
      </c>
      <c r="K279" s="17" t="s">
        <v>469</v>
      </c>
      <c r="L279" s="17">
        <v>99202</v>
      </c>
      <c r="M279" s="17" t="s">
        <v>650</v>
      </c>
      <c r="N279" s="17" t="s">
        <v>709</v>
      </c>
      <c r="O279" s="19" t="s">
        <v>65</v>
      </c>
      <c r="P279" s="19" t="s">
        <v>699</v>
      </c>
      <c r="Q279" s="20"/>
      <c r="R279" s="86" t="s">
        <v>65</v>
      </c>
      <c r="S279" s="17" t="s">
        <v>430</v>
      </c>
      <c r="T279" s="17"/>
      <c r="U279" s="17"/>
      <c r="V279" s="17">
        <v>19</v>
      </c>
      <c r="W279" s="17">
        <f t="shared" si="32"/>
        <v>19</v>
      </c>
      <c r="X279" s="17">
        <f t="shared" si="31"/>
        <v>19</v>
      </c>
      <c r="Y279" s="17">
        <f>ROUNDDOWN(W279/HLOOKUP(D279,Table!$C$3:$D$4,2,0)*8,2)</f>
        <v>0.33</v>
      </c>
      <c r="Z279" s="17">
        <v>0.25</v>
      </c>
      <c r="AA279" s="18" t="s">
        <v>21</v>
      </c>
      <c r="AB279" s="21">
        <v>43943</v>
      </c>
      <c r="AC279" s="21">
        <v>43941</v>
      </c>
      <c r="AD279" s="21">
        <v>43943</v>
      </c>
      <c r="AE279" s="21">
        <v>43943</v>
      </c>
      <c r="AF279" s="21">
        <v>43943</v>
      </c>
      <c r="AG279" s="22" t="s">
        <v>114</v>
      </c>
      <c r="AH279" s="38">
        <v>1</v>
      </c>
      <c r="AI279" s="38">
        <v>1</v>
      </c>
      <c r="AJ279" s="38">
        <v>1</v>
      </c>
      <c r="AK279" s="22" t="s">
        <v>574</v>
      </c>
      <c r="AL279" s="17"/>
      <c r="AM279" s="17"/>
      <c r="AN279" s="17"/>
      <c r="AO279" t="s">
        <v>941</v>
      </c>
    </row>
    <row r="280" spans="2:41" x14ac:dyDescent="0.25">
      <c r="B280" s="92">
        <f t="shared" si="29"/>
        <v>233</v>
      </c>
      <c r="C280" s="18" t="s">
        <v>713</v>
      </c>
      <c r="D280" s="17" t="s">
        <v>3</v>
      </c>
      <c r="E280" s="17" t="s">
        <v>635</v>
      </c>
      <c r="F280" s="127" t="s">
        <v>856</v>
      </c>
      <c r="G280" s="19">
        <v>1377406</v>
      </c>
      <c r="H280" s="86" t="s">
        <v>65</v>
      </c>
      <c r="I280" s="35" t="s">
        <v>677</v>
      </c>
      <c r="J280" s="86" t="s">
        <v>65</v>
      </c>
      <c r="K280" s="17" t="s">
        <v>469</v>
      </c>
      <c r="L280" s="17">
        <v>99202</v>
      </c>
      <c r="M280" s="17" t="s">
        <v>650</v>
      </c>
      <c r="N280" s="17" t="s">
        <v>709</v>
      </c>
      <c r="O280" s="19" t="s">
        <v>65</v>
      </c>
      <c r="P280" s="19" t="s">
        <v>699</v>
      </c>
      <c r="Q280" s="20"/>
      <c r="R280" s="86" t="s">
        <v>65</v>
      </c>
      <c r="S280" s="17" t="s">
        <v>430</v>
      </c>
      <c r="T280" s="17"/>
      <c r="U280" s="17"/>
      <c r="V280" s="17">
        <v>244</v>
      </c>
      <c r="W280" s="17">
        <f t="shared" si="32"/>
        <v>244</v>
      </c>
      <c r="X280" s="17">
        <f t="shared" si="31"/>
        <v>244</v>
      </c>
      <c r="Y280" s="17">
        <f>ROUNDDOWN(W280/HLOOKUP(D280,Table!$C$3:$D$4,2,0)*8,2)</f>
        <v>4.33</v>
      </c>
      <c r="Z280" s="17"/>
      <c r="AA280" s="18" t="s">
        <v>21</v>
      </c>
      <c r="AB280" s="21">
        <v>43943</v>
      </c>
      <c r="AC280" s="21">
        <v>43941</v>
      </c>
      <c r="AD280" s="21">
        <v>43943</v>
      </c>
      <c r="AE280" s="21">
        <v>43943</v>
      </c>
      <c r="AF280" s="21">
        <v>43943</v>
      </c>
      <c r="AG280" s="22" t="s">
        <v>114</v>
      </c>
      <c r="AH280" s="38">
        <v>1</v>
      </c>
      <c r="AI280" s="38">
        <v>1</v>
      </c>
      <c r="AJ280" s="38">
        <v>1</v>
      </c>
      <c r="AK280" s="22" t="s">
        <v>574</v>
      </c>
      <c r="AL280" s="17"/>
      <c r="AM280" s="17"/>
      <c r="AN280" s="17"/>
      <c r="AO280" t="s">
        <v>941</v>
      </c>
    </row>
    <row r="281" spans="2:41" x14ac:dyDescent="0.25">
      <c r="B281" s="92">
        <f t="shared" si="29"/>
        <v>234</v>
      </c>
      <c r="C281" s="18" t="s">
        <v>713</v>
      </c>
      <c r="D281" s="17" t="s">
        <v>3</v>
      </c>
      <c r="E281" s="50" t="s">
        <v>636</v>
      </c>
      <c r="F281" s="63"/>
      <c r="G281" s="19">
        <v>1405296</v>
      </c>
      <c r="H281" s="86" t="s">
        <v>65</v>
      </c>
      <c r="I281" s="17" t="s">
        <v>678</v>
      </c>
      <c r="J281" s="86" t="s">
        <v>65</v>
      </c>
      <c r="K281" s="17" t="s">
        <v>469</v>
      </c>
      <c r="L281" s="17" t="s">
        <v>574</v>
      </c>
      <c r="M281" s="17" t="s">
        <v>648</v>
      </c>
      <c r="N281" s="17" t="s">
        <v>712</v>
      </c>
      <c r="O281" s="19" t="s">
        <v>65</v>
      </c>
      <c r="P281" s="19" t="s">
        <v>694</v>
      </c>
      <c r="Q281" s="20"/>
      <c r="R281" s="86" t="s">
        <v>65</v>
      </c>
      <c r="S281" s="17" t="s">
        <v>69</v>
      </c>
      <c r="T281" s="17"/>
      <c r="U281" s="17"/>
      <c r="V281" s="17">
        <v>803</v>
      </c>
      <c r="W281" s="17">
        <f t="shared" si="32"/>
        <v>803</v>
      </c>
      <c r="X281" s="17">
        <f t="shared" si="31"/>
        <v>803</v>
      </c>
      <c r="Y281" s="17">
        <f>ROUNDDOWN(W281/HLOOKUP(D281,Table!$C$3:$D$4,2,0)*8,2)</f>
        <v>14.27</v>
      </c>
      <c r="Z281" s="17">
        <v>5</v>
      </c>
      <c r="AA281" s="17" t="s">
        <v>78</v>
      </c>
      <c r="AB281" s="78">
        <v>43942</v>
      </c>
      <c r="AC281" s="21">
        <v>43941</v>
      </c>
      <c r="AD281" s="21">
        <v>43942</v>
      </c>
      <c r="AE281" s="21">
        <v>43941</v>
      </c>
      <c r="AF281" s="21">
        <v>43942</v>
      </c>
      <c r="AG281" s="22" t="s">
        <v>115</v>
      </c>
      <c r="AH281" s="38">
        <v>1</v>
      </c>
      <c r="AI281" s="38">
        <v>1</v>
      </c>
      <c r="AJ281" s="38">
        <v>0.9</v>
      </c>
      <c r="AK281" s="22" t="s">
        <v>354</v>
      </c>
      <c r="AL281" s="17" t="s">
        <v>802</v>
      </c>
      <c r="AM281" s="17"/>
      <c r="AN281" s="17"/>
      <c r="AO281" t="s">
        <v>941</v>
      </c>
    </row>
    <row r="282" spans="2:41" x14ac:dyDescent="0.25">
      <c r="B282" s="135">
        <f t="shared" si="29"/>
        <v>235</v>
      </c>
      <c r="C282" s="136" t="s">
        <v>713</v>
      </c>
      <c r="D282" s="136" t="s">
        <v>3</v>
      </c>
      <c r="E282" s="136" t="s">
        <v>636</v>
      </c>
      <c r="F282" s="137"/>
      <c r="G282" s="86">
        <v>1405296</v>
      </c>
      <c r="H282" s="86" t="s">
        <v>65</v>
      </c>
      <c r="I282" s="136" t="s">
        <v>679</v>
      </c>
      <c r="J282" s="86" t="s">
        <v>65</v>
      </c>
      <c r="K282" s="136" t="s">
        <v>469</v>
      </c>
      <c r="L282" s="136" t="s">
        <v>574</v>
      </c>
      <c r="M282" s="136" t="s">
        <v>648</v>
      </c>
      <c r="N282" s="136" t="s">
        <v>712</v>
      </c>
      <c r="O282" s="86" t="s">
        <v>65</v>
      </c>
      <c r="P282" s="86" t="s">
        <v>694</v>
      </c>
      <c r="Q282" s="136"/>
      <c r="R282" s="86" t="s">
        <v>65</v>
      </c>
      <c r="S282" s="136" t="s">
        <v>70</v>
      </c>
      <c r="T282" s="136"/>
      <c r="U282" s="136"/>
      <c r="V282" s="136"/>
      <c r="W282" s="136"/>
      <c r="X282" s="136"/>
      <c r="Y282" s="136"/>
      <c r="Z282" s="136"/>
      <c r="AA282" s="136"/>
      <c r="AB282" s="138"/>
      <c r="AC282" s="138"/>
      <c r="AD282" s="138"/>
      <c r="AE282" s="138"/>
      <c r="AF282" s="138"/>
      <c r="AG282" s="135"/>
      <c r="AH282" s="139"/>
      <c r="AI282" s="139"/>
      <c r="AJ282" s="139"/>
      <c r="AK282" s="135"/>
      <c r="AL282" s="136"/>
      <c r="AM282" s="136"/>
      <c r="AN282" s="140" t="s">
        <v>900</v>
      </c>
      <c r="AO282" t="s">
        <v>941</v>
      </c>
    </row>
    <row r="283" spans="2:41" x14ac:dyDescent="0.25">
      <c r="B283" s="92">
        <f t="shared" si="29"/>
        <v>236</v>
      </c>
      <c r="C283" s="18" t="s">
        <v>713</v>
      </c>
      <c r="D283" s="17" t="s">
        <v>3</v>
      </c>
      <c r="E283" s="50" t="s">
        <v>637</v>
      </c>
      <c r="F283" s="63"/>
      <c r="G283" s="19">
        <v>1417022</v>
      </c>
      <c r="H283" s="86" t="s">
        <v>65</v>
      </c>
      <c r="I283" s="17" t="s">
        <v>680</v>
      </c>
      <c r="J283" s="86" t="s">
        <v>65</v>
      </c>
      <c r="K283" s="17" t="s">
        <v>469</v>
      </c>
      <c r="L283" s="17" t="s">
        <v>574</v>
      </c>
      <c r="M283" s="17" t="s">
        <v>651</v>
      </c>
      <c r="N283" s="17" t="s">
        <v>712</v>
      </c>
      <c r="O283" s="19" t="s">
        <v>65</v>
      </c>
      <c r="P283" s="19" t="s">
        <v>694</v>
      </c>
      <c r="Q283" s="20"/>
      <c r="R283" s="86" t="s">
        <v>65</v>
      </c>
      <c r="S283" s="17" t="s">
        <v>70</v>
      </c>
      <c r="T283" s="17"/>
      <c r="U283" s="17"/>
      <c r="V283" s="17">
        <v>259</v>
      </c>
      <c r="W283" s="17">
        <f t="shared" si="32"/>
        <v>259</v>
      </c>
      <c r="X283" s="17">
        <v>259</v>
      </c>
      <c r="Y283" s="17">
        <f>ROUNDDOWN(W283/HLOOKUP(D283,Table!$C$3:$D$4,2,0)*8,2)</f>
        <v>4.5999999999999996</v>
      </c>
      <c r="Z283" s="17">
        <v>1</v>
      </c>
      <c r="AA283" s="17" t="s">
        <v>78</v>
      </c>
      <c r="AB283" s="78">
        <v>43942</v>
      </c>
      <c r="AC283" s="21">
        <v>43941</v>
      </c>
      <c r="AD283" s="21">
        <v>43942</v>
      </c>
      <c r="AE283" s="21">
        <v>43941</v>
      </c>
      <c r="AF283" s="21">
        <v>43941</v>
      </c>
      <c r="AG283" s="22" t="s">
        <v>114</v>
      </c>
      <c r="AH283" s="38">
        <v>1</v>
      </c>
      <c r="AI283" s="38">
        <v>1</v>
      </c>
      <c r="AJ283" s="38">
        <v>0.94</v>
      </c>
      <c r="AK283" s="22" t="s">
        <v>573</v>
      </c>
      <c r="AL283" s="17"/>
      <c r="AM283" s="17"/>
      <c r="AN283" s="17" t="s">
        <v>903</v>
      </c>
      <c r="AO283" t="s">
        <v>941</v>
      </c>
    </row>
    <row r="284" spans="2:41" x14ac:dyDescent="0.25">
      <c r="B284" s="92">
        <f t="shared" si="29"/>
        <v>237</v>
      </c>
      <c r="C284" s="18" t="s">
        <v>713</v>
      </c>
      <c r="D284" s="17" t="s">
        <v>3</v>
      </c>
      <c r="E284" s="50" t="s">
        <v>637</v>
      </c>
      <c r="F284" s="63"/>
      <c r="G284" s="19">
        <v>1417022</v>
      </c>
      <c r="H284" s="86" t="s">
        <v>65</v>
      </c>
      <c r="I284" s="17" t="s">
        <v>681</v>
      </c>
      <c r="J284" s="86" t="s">
        <v>65</v>
      </c>
      <c r="K284" s="17" t="s">
        <v>469</v>
      </c>
      <c r="L284" s="17" t="s">
        <v>574</v>
      </c>
      <c r="M284" s="17" t="s">
        <v>651</v>
      </c>
      <c r="N284" s="17" t="s">
        <v>712</v>
      </c>
      <c r="O284" s="19" t="s">
        <v>65</v>
      </c>
      <c r="P284" s="19" t="s">
        <v>694</v>
      </c>
      <c r="Q284" s="20"/>
      <c r="R284" s="86" t="s">
        <v>65</v>
      </c>
      <c r="S284" s="17" t="s">
        <v>70</v>
      </c>
      <c r="T284" s="17"/>
      <c r="U284" s="17"/>
      <c r="V284" s="17">
        <v>85</v>
      </c>
      <c r="W284" s="17">
        <f t="shared" si="32"/>
        <v>85</v>
      </c>
      <c r="X284" s="17">
        <v>85</v>
      </c>
      <c r="Y284" s="17">
        <f>ROUNDDOWN(W284/HLOOKUP(D284,Table!$C$3:$D$4,2,0)*8,2)</f>
        <v>1.51</v>
      </c>
      <c r="Z284" s="17">
        <v>1</v>
      </c>
      <c r="AA284" s="17" t="s">
        <v>78</v>
      </c>
      <c r="AB284" s="78">
        <v>43942</v>
      </c>
      <c r="AC284" s="21">
        <v>43941</v>
      </c>
      <c r="AD284" s="21">
        <v>43942</v>
      </c>
      <c r="AE284" s="21">
        <v>43942</v>
      </c>
      <c r="AF284" s="21">
        <v>43942</v>
      </c>
      <c r="AG284" s="22" t="s">
        <v>114</v>
      </c>
      <c r="AH284" s="38">
        <v>1</v>
      </c>
      <c r="AI284" s="38">
        <v>1</v>
      </c>
      <c r="AJ284" s="38">
        <v>1</v>
      </c>
      <c r="AK284" s="22" t="s">
        <v>574</v>
      </c>
      <c r="AL284" s="17"/>
      <c r="AM284" s="17"/>
      <c r="AN284" s="17"/>
      <c r="AO284" t="s">
        <v>941</v>
      </c>
    </row>
    <row r="285" spans="2:41" x14ac:dyDescent="0.25">
      <c r="B285" s="92">
        <f t="shared" si="29"/>
        <v>238</v>
      </c>
      <c r="C285" s="18" t="s">
        <v>713</v>
      </c>
      <c r="D285" s="17" t="s">
        <v>3</v>
      </c>
      <c r="E285" s="50" t="s">
        <v>637</v>
      </c>
      <c r="F285" s="63"/>
      <c r="G285" s="19">
        <v>1417022</v>
      </c>
      <c r="H285" s="86" t="s">
        <v>65</v>
      </c>
      <c r="I285" s="17" t="s">
        <v>679</v>
      </c>
      <c r="J285" s="86" t="s">
        <v>65</v>
      </c>
      <c r="K285" s="17" t="s">
        <v>469</v>
      </c>
      <c r="L285" s="17" t="s">
        <v>574</v>
      </c>
      <c r="M285" s="17" t="s">
        <v>651</v>
      </c>
      <c r="N285" s="17" t="s">
        <v>712</v>
      </c>
      <c r="O285" s="19" t="s">
        <v>65</v>
      </c>
      <c r="P285" s="19" t="s">
        <v>694</v>
      </c>
      <c r="Q285" s="20"/>
      <c r="R285" s="86" t="s">
        <v>65</v>
      </c>
      <c r="S285" s="17" t="s">
        <v>70</v>
      </c>
      <c r="T285" s="17"/>
      <c r="U285" s="17"/>
      <c r="V285" s="17">
        <v>208</v>
      </c>
      <c r="W285" s="17">
        <f t="shared" si="32"/>
        <v>208</v>
      </c>
      <c r="X285" s="17">
        <v>208</v>
      </c>
      <c r="Y285" s="17">
        <f>ROUNDDOWN(W285/HLOOKUP(D285,Table!$C$3:$D$4,2,0)*8,2)</f>
        <v>3.69</v>
      </c>
      <c r="Z285" s="17">
        <v>2</v>
      </c>
      <c r="AA285" s="17" t="s">
        <v>78</v>
      </c>
      <c r="AB285" s="78">
        <v>43942</v>
      </c>
      <c r="AC285" s="21">
        <v>43941</v>
      </c>
      <c r="AD285" s="21">
        <v>43942</v>
      </c>
      <c r="AE285" s="21">
        <v>43942</v>
      </c>
      <c r="AF285" s="21">
        <v>43942</v>
      </c>
      <c r="AG285" s="22" t="s">
        <v>114</v>
      </c>
      <c r="AH285" s="38">
        <v>1</v>
      </c>
      <c r="AI285" s="38">
        <v>1</v>
      </c>
      <c r="AJ285" s="38">
        <v>1</v>
      </c>
      <c r="AK285" s="22" t="s">
        <v>574</v>
      </c>
      <c r="AL285" s="17"/>
      <c r="AM285" s="17"/>
      <c r="AN285" s="125" t="s">
        <v>801</v>
      </c>
      <c r="AO285" t="s">
        <v>941</v>
      </c>
    </row>
    <row r="286" spans="2:41" x14ac:dyDescent="0.25">
      <c r="B286" s="92">
        <f t="shared" si="29"/>
        <v>239</v>
      </c>
      <c r="C286" s="18" t="s">
        <v>713</v>
      </c>
      <c r="D286" s="17" t="s">
        <v>3</v>
      </c>
      <c r="E286" s="50" t="s">
        <v>637</v>
      </c>
      <c r="F286" s="63"/>
      <c r="G286" s="19">
        <v>1417022</v>
      </c>
      <c r="H286" s="86" t="s">
        <v>65</v>
      </c>
      <c r="I286" s="17" t="s">
        <v>682</v>
      </c>
      <c r="J286" s="86" t="s">
        <v>65</v>
      </c>
      <c r="K286" s="17" t="s">
        <v>469</v>
      </c>
      <c r="L286" s="17" t="s">
        <v>574</v>
      </c>
      <c r="M286" s="17" t="s">
        <v>651</v>
      </c>
      <c r="N286" s="17" t="s">
        <v>712</v>
      </c>
      <c r="O286" s="19" t="s">
        <v>65</v>
      </c>
      <c r="P286" s="19" t="s">
        <v>694</v>
      </c>
      <c r="Q286" s="20"/>
      <c r="R286" s="86" t="s">
        <v>65</v>
      </c>
      <c r="S286" s="17" t="s">
        <v>70</v>
      </c>
      <c r="T286" s="17"/>
      <c r="U286" s="17"/>
      <c r="V286" s="17">
        <v>321</v>
      </c>
      <c r="W286" s="17">
        <f t="shared" si="32"/>
        <v>321</v>
      </c>
      <c r="X286" s="17">
        <v>321</v>
      </c>
      <c r="Y286" s="17">
        <f>ROUNDDOWN(W286/HLOOKUP(D286,Table!$C$3:$D$4,2,0)*8,2)</f>
        <v>5.7</v>
      </c>
      <c r="Z286" s="17">
        <v>2</v>
      </c>
      <c r="AA286" s="17" t="s">
        <v>78</v>
      </c>
      <c r="AB286" s="78">
        <v>43942</v>
      </c>
      <c r="AC286" s="21">
        <v>43941</v>
      </c>
      <c r="AD286" s="21">
        <v>43942</v>
      </c>
      <c r="AE286" s="21">
        <v>43941</v>
      </c>
      <c r="AF286" s="21">
        <v>43941</v>
      </c>
      <c r="AG286" s="22" t="s">
        <v>114</v>
      </c>
      <c r="AH286" s="38">
        <v>1</v>
      </c>
      <c r="AI286" s="38">
        <v>1</v>
      </c>
      <c r="AJ286" s="38">
        <v>1</v>
      </c>
      <c r="AK286" s="22" t="s">
        <v>574</v>
      </c>
      <c r="AL286" s="17"/>
      <c r="AM286" s="17"/>
      <c r="AN286" s="17"/>
      <c r="AO286" t="s">
        <v>941</v>
      </c>
    </row>
    <row r="287" spans="2:41" x14ac:dyDescent="0.25">
      <c r="B287" s="92">
        <f t="shared" si="29"/>
        <v>240</v>
      </c>
      <c r="C287" s="18" t="s">
        <v>713</v>
      </c>
      <c r="D287" s="17" t="s">
        <v>3</v>
      </c>
      <c r="E287" s="17" t="s">
        <v>638</v>
      </c>
      <c r="F287" s="128" t="s">
        <v>857</v>
      </c>
      <c r="G287" s="19">
        <v>1414681</v>
      </c>
      <c r="H287" s="86" t="s">
        <v>65</v>
      </c>
      <c r="I287" s="17" t="s">
        <v>683</v>
      </c>
      <c r="J287" s="86" t="s">
        <v>65</v>
      </c>
      <c r="K287" s="17" t="s">
        <v>469</v>
      </c>
      <c r="L287" s="17">
        <v>81728</v>
      </c>
      <c r="M287" s="17" t="s">
        <v>652</v>
      </c>
      <c r="N287" s="17" t="s">
        <v>569</v>
      </c>
      <c r="O287" s="19" t="s">
        <v>65</v>
      </c>
      <c r="P287" s="19" t="s">
        <v>700</v>
      </c>
      <c r="Q287" s="20"/>
      <c r="R287" s="86" t="s">
        <v>65</v>
      </c>
      <c r="S287" s="17" t="s">
        <v>70</v>
      </c>
      <c r="T287" s="17"/>
      <c r="U287" s="17"/>
      <c r="V287" s="17">
        <v>118</v>
      </c>
      <c r="W287" s="17">
        <f t="shared" si="32"/>
        <v>118</v>
      </c>
      <c r="X287" s="17">
        <v>118</v>
      </c>
      <c r="Y287" s="17">
        <f>ROUNDDOWN(W287/HLOOKUP(D287,Table!$C$3:$D$4,2,0)*8,2)</f>
        <v>2.09</v>
      </c>
      <c r="Z287" s="17">
        <v>1</v>
      </c>
      <c r="AA287" s="17" t="s">
        <v>78</v>
      </c>
      <c r="AB287" s="78">
        <v>43942</v>
      </c>
      <c r="AC287" s="21">
        <v>43941</v>
      </c>
      <c r="AD287" s="21">
        <v>43942</v>
      </c>
      <c r="AE287" s="21">
        <v>43941</v>
      </c>
      <c r="AF287" s="21">
        <v>43941</v>
      </c>
      <c r="AG287" s="22" t="s">
        <v>114</v>
      </c>
      <c r="AH287" s="38">
        <v>1</v>
      </c>
      <c r="AI287" s="38">
        <v>1</v>
      </c>
      <c r="AJ287" s="38">
        <v>1</v>
      </c>
      <c r="AK287" s="22" t="s">
        <v>574</v>
      </c>
      <c r="AL287" s="17"/>
      <c r="AM287" s="17"/>
      <c r="AN287" s="17"/>
      <c r="AO287" t="s">
        <v>941</v>
      </c>
    </row>
    <row r="288" spans="2:41" x14ac:dyDescent="0.25">
      <c r="B288" s="92">
        <f t="shared" si="29"/>
        <v>241</v>
      </c>
      <c r="C288" s="18" t="s">
        <v>713</v>
      </c>
      <c r="D288" s="17" t="s">
        <v>3</v>
      </c>
      <c r="E288" s="17" t="s">
        <v>639</v>
      </c>
      <c r="F288" s="127" t="s">
        <v>858</v>
      </c>
      <c r="G288" s="19">
        <v>1416204</v>
      </c>
      <c r="H288" s="86" t="s">
        <v>65</v>
      </c>
      <c r="I288" s="17" t="s">
        <v>616</v>
      </c>
      <c r="J288" s="86" t="s">
        <v>65</v>
      </c>
      <c r="K288" s="17" t="s">
        <v>469</v>
      </c>
      <c r="L288" s="17">
        <v>99308</v>
      </c>
      <c r="M288" s="17" t="s">
        <v>649</v>
      </c>
      <c r="N288" s="17" t="s">
        <v>710</v>
      </c>
      <c r="O288" s="19" t="s">
        <v>65</v>
      </c>
      <c r="P288" s="19" t="s">
        <v>618</v>
      </c>
      <c r="Q288" s="20"/>
      <c r="R288" s="86" t="s">
        <v>65</v>
      </c>
      <c r="S288" s="17" t="s">
        <v>70</v>
      </c>
      <c r="T288" s="17"/>
      <c r="U288" s="17"/>
      <c r="V288" s="17">
        <v>116</v>
      </c>
      <c r="W288" s="17">
        <f t="shared" si="32"/>
        <v>116</v>
      </c>
      <c r="X288" s="17">
        <v>116</v>
      </c>
      <c r="Y288" s="17">
        <f>ROUNDDOWN(W288/HLOOKUP(D288,Table!$C$3:$D$4,2,0)*8,2)</f>
        <v>2.06</v>
      </c>
      <c r="Z288" s="17">
        <v>1</v>
      </c>
      <c r="AA288" s="18" t="s">
        <v>21</v>
      </c>
      <c r="AB288" s="21">
        <v>43943</v>
      </c>
      <c r="AC288" s="21">
        <v>43941</v>
      </c>
      <c r="AD288" s="21">
        <v>43943</v>
      </c>
      <c r="AE288" s="21">
        <v>43942</v>
      </c>
      <c r="AF288" s="21">
        <v>43942</v>
      </c>
      <c r="AG288" s="22" t="s">
        <v>114</v>
      </c>
      <c r="AH288" s="38">
        <v>1</v>
      </c>
      <c r="AI288" s="38">
        <v>1</v>
      </c>
      <c r="AJ288" s="38">
        <v>1</v>
      </c>
      <c r="AK288" s="22" t="s">
        <v>574</v>
      </c>
      <c r="AL288" s="17"/>
      <c r="AM288" s="17"/>
      <c r="AN288" s="17"/>
      <c r="AO288" t="s">
        <v>941</v>
      </c>
    </row>
    <row r="289" spans="2:41" x14ac:dyDescent="0.25">
      <c r="B289" s="92">
        <f t="shared" si="29"/>
        <v>242</v>
      </c>
      <c r="C289" s="18" t="s">
        <v>713</v>
      </c>
      <c r="D289" s="17" t="s">
        <v>3</v>
      </c>
      <c r="E289" s="17" t="s">
        <v>639</v>
      </c>
      <c r="F289" s="127" t="s">
        <v>859</v>
      </c>
      <c r="G289" s="19">
        <v>1416204</v>
      </c>
      <c r="H289" s="86" t="s">
        <v>65</v>
      </c>
      <c r="I289" s="17" t="s">
        <v>617</v>
      </c>
      <c r="J289" s="86" t="s">
        <v>65</v>
      </c>
      <c r="K289" s="17" t="s">
        <v>469</v>
      </c>
      <c r="L289" s="17">
        <v>99308</v>
      </c>
      <c r="M289" s="17" t="s">
        <v>649</v>
      </c>
      <c r="N289" s="17" t="s">
        <v>710</v>
      </c>
      <c r="O289" s="19" t="s">
        <v>65</v>
      </c>
      <c r="P289" s="19" t="s">
        <v>618</v>
      </c>
      <c r="Q289" s="20"/>
      <c r="R289" s="86" t="s">
        <v>65</v>
      </c>
      <c r="S289" s="17" t="s">
        <v>70</v>
      </c>
      <c r="T289" s="17"/>
      <c r="U289" s="17"/>
      <c r="V289" s="17">
        <v>119</v>
      </c>
      <c r="W289" s="17">
        <f t="shared" si="32"/>
        <v>119</v>
      </c>
      <c r="X289" s="17">
        <v>119</v>
      </c>
      <c r="Y289" s="17">
        <f>ROUNDDOWN(W289/HLOOKUP(D289,Table!$C$3:$D$4,2,0)*8,2)</f>
        <v>2.11</v>
      </c>
      <c r="Z289" s="17">
        <v>1</v>
      </c>
      <c r="AA289" s="18" t="s">
        <v>21</v>
      </c>
      <c r="AB289" s="21">
        <v>43943</v>
      </c>
      <c r="AC289" s="21">
        <v>43941</v>
      </c>
      <c r="AD289" s="21">
        <v>43943</v>
      </c>
      <c r="AE289" s="21">
        <v>43942</v>
      </c>
      <c r="AF289" s="21">
        <v>43942</v>
      </c>
      <c r="AG289" s="22" t="s">
        <v>114</v>
      </c>
      <c r="AH289" s="38">
        <v>1</v>
      </c>
      <c r="AI289" s="38">
        <v>1</v>
      </c>
      <c r="AJ289" s="38">
        <v>1</v>
      </c>
      <c r="AK289" s="22" t="s">
        <v>574</v>
      </c>
      <c r="AL289" s="17"/>
      <c r="AM289" s="17"/>
      <c r="AN289" s="17"/>
      <c r="AO289" t="s">
        <v>941</v>
      </c>
    </row>
    <row r="290" spans="2:41" x14ac:dyDescent="0.25">
      <c r="B290" s="92">
        <f t="shared" si="29"/>
        <v>243</v>
      </c>
      <c r="C290" s="18" t="s">
        <v>713</v>
      </c>
      <c r="D290" s="17" t="s">
        <v>3</v>
      </c>
      <c r="E290" s="17" t="s">
        <v>640</v>
      </c>
      <c r="F290" s="127" t="s">
        <v>860</v>
      </c>
      <c r="G290" s="19">
        <v>1417780</v>
      </c>
      <c r="H290" s="86" t="s">
        <v>65</v>
      </c>
      <c r="I290" s="17" t="s">
        <v>684</v>
      </c>
      <c r="J290" s="86" t="s">
        <v>65</v>
      </c>
      <c r="K290" s="17" t="s">
        <v>469</v>
      </c>
      <c r="L290" s="17" t="s">
        <v>574</v>
      </c>
      <c r="M290" s="17" t="s">
        <v>653</v>
      </c>
      <c r="N290" s="17" t="s">
        <v>711</v>
      </c>
      <c r="O290" s="19" t="s">
        <v>65</v>
      </c>
      <c r="P290" s="19" t="s">
        <v>701</v>
      </c>
      <c r="Q290" s="20"/>
      <c r="R290" s="86" t="s">
        <v>65</v>
      </c>
      <c r="S290" s="17" t="s">
        <v>70</v>
      </c>
      <c r="T290" s="17"/>
      <c r="U290" s="17"/>
      <c r="V290" s="17">
        <v>73</v>
      </c>
      <c r="W290" s="17">
        <f t="shared" si="32"/>
        <v>73</v>
      </c>
      <c r="X290" s="17">
        <v>73</v>
      </c>
      <c r="Y290" s="17">
        <f>ROUNDDOWN(W290/HLOOKUP(D290,Table!$C$3:$D$4,2,0)*8,2)</f>
        <v>1.29</v>
      </c>
      <c r="Z290" s="17">
        <v>1</v>
      </c>
      <c r="AA290" s="17" t="s">
        <v>21</v>
      </c>
      <c r="AB290" s="21">
        <v>43950</v>
      </c>
      <c r="AC290" s="21">
        <v>43941</v>
      </c>
      <c r="AD290" s="21">
        <v>43951</v>
      </c>
      <c r="AE290" s="21">
        <v>43942</v>
      </c>
      <c r="AF290" s="21">
        <v>43942</v>
      </c>
      <c r="AG290" s="22" t="s">
        <v>114</v>
      </c>
      <c r="AH290" s="38">
        <v>1</v>
      </c>
      <c r="AI290" s="38">
        <v>1</v>
      </c>
      <c r="AJ290" s="38">
        <v>1</v>
      </c>
      <c r="AK290" s="22" t="s">
        <v>574</v>
      </c>
      <c r="AL290" s="17"/>
      <c r="AM290" s="17"/>
      <c r="AN290" s="17"/>
      <c r="AO290" t="s">
        <v>941</v>
      </c>
    </row>
    <row r="291" spans="2:41" x14ac:dyDescent="0.25">
      <c r="B291" s="92">
        <f t="shared" si="29"/>
        <v>244</v>
      </c>
      <c r="C291" s="18" t="s">
        <v>713</v>
      </c>
      <c r="D291" s="17" t="s">
        <v>3</v>
      </c>
      <c r="E291" s="17" t="s">
        <v>640</v>
      </c>
      <c r="F291" s="127" t="s">
        <v>861</v>
      </c>
      <c r="G291" s="19">
        <v>1417780</v>
      </c>
      <c r="H291" s="86" t="s">
        <v>65</v>
      </c>
      <c r="I291" s="17" t="s">
        <v>685</v>
      </c>
      <c r="J291" s="86" t="s">
        <v>65</v>
      </c>
      <c r="K291" s="17" t="s">
        <v>469</v>
      </c>
      <c r="L291" s="17" t="s">
        <v>574</v>
      </c>
      <c r="M291" s="17" t="s">
        <v>653</v>
      </c>
      <c r="N291" s="17" t="s">
        <v>711</v>
      </c>
      <c r="O291" s="19" t="s">
        <v>65</v>
      </c>
      <c r="P291" s="19" t="s">
        <v>701</v>
      </c>
      <c r="Q291" s="20"/>
      <c r="R291" s="86" t="s">
        <v>65</v>
      </c>
      <c r="S291" s="17" t="s">
        <v>70</v>
      </c>
      <c r="T291" s="17"/>
      <c r="U291" s="17"/>
      <c r="V291" s="17">
        <v>131</v>
      </c>
      <c r="W291" s="17">
        <f t="shared" si="32"/>
        <v>131</v>
      </c>
      <c r="X291" s="17">
        <v>131</v>
      </c>
      <c r="Y291" s="17">
        <f>ROUNDDOWN(W291/HLOOKUP(D291,Table!$C$3:$D$4,2,0)*8,2)</f>
        <v>2.3199999999999998</v>
      </c>
      <c r="Z291" s="17">
        <v>1</v>
      </c>
      <c r="AA291" s="17" t="s">
        <v>97</v>
      </c>
      <c r="AB291" s="21">
        <v>43950</v>
      </c>
      <c r="AC291" s="21">
        <v>43941</v>
      </c>
      <c r="AD291" s="21">
        <v>43951</v>
      </c>
      <c r="AE291" s="21">
        <v>43943</v>
      </c>
      <c r="AF291" s="21">
        <v>43943</v>
      </c>
      <c r="AG291" s="22" t="s">
        <v>114</v>
      </c>
      <c r="AH291" s="38">
        <v>1</v>
      </c>
      <c r="AI291" s="38">
        <v>0.96</v>
      </c>
      <c r="AJ291" s="38">
        <v>0.88</v>
      </c>
      <c r="AK291" s="22" t="s">
        <v>354</v>
      </c>
      <c r="AL291" s="17" t="s">
        <v>935</v>
      </c>
      <c r="AM291" s="17"/>
      <c r="AN291" s="17" t="s">
        <v>953</v>
      </c>
      <c r="AO291" t="s">
        <v>941</v>
      </c>
    </row>
    <row r="292" spans="2:41" x14ac:dyDescent="0.25">
      <c r="B292" s="92">
        <f t="shared" si="29"/>
        <v>245</v>
      </c>
      <c r="C292" s="18" t="s">
        <v>713</v>
      </c>
      <c r="D292" s="17" t="s">
        <v>3</v>
      </c>
      <c r="E292" s="17" t="s">
        <v>640</v>
      </c>
      <c r="F292" s="127" t="s">
        <v>862</v>
      </c>
      <c r="G292" s="19">
        <v>1417780</v>
      </c>
      <c r="H292" s="86" t="s">
        <v>65</v>
      </c>
      <c r="I292" s="17" t="s">
        <v>686</v>
      </c>
      <c r="J292" s="86" t="s">
        <v>65</v>
      </c>
      <c r="K292" s="17" t="s">
        <v>469</v>
      </c>
      <c r="L292" s="17" t="s">
        <v>574</v>
      </c>
      <c r="M292" s="17" t="s">
        <v>653</v>
      </c>
      <c r="N292" s="17" t="s">
        <v>711</v>
      </c>
      <c r="O292" s="19" t="s">
        <v>65</v>
      </c>
      <c r="P292" s="19" t="s">
        <v>701</v>
      </c>
      <c r="Q292" s="20"/>
      <c r="R292" s="86" t="s">
        <v>65</v>
      </c>
      <c r="S292" s="17" t="s">
        <v>70</v>
      </c>
      <c r="T292" s="17"/>
      <c r="U292" s="17"/>
      <c r="V292" s="17">
        <v>191</v>
      </c>
      <c r="W292" s="17">
        <f t="shared" si="32"/>
        <v>191</v>
      </c>
      <c r="X292" s="17">
        <v>191</v>
      </c>
      <c r="Y292" s="17">
        <f>ROUNDDOWN(W292/HLOOKUP(D292,Table!$C$3:$D$4,2,0)*8,2)</f>
        <v>3.39</v>
      </c>
      <c r="Z292" s="17">
        <v>1</v>
      </c>
      <c r="AA292" s="17" t="s">
        <v>97</v>
      </c>
      <c r="AB292" s="21">
        <v>43950</v>
      </c>
      <c r="AC292" s="21">
        <v>43941</v>
      </c>
      <c r="AD292" s="21">
        <v>43951</v>
      </c>
      <c r="AE292" s="21">
        <v>43944</v>
      </c>
      <c r="AF292" s="21">
        <v>43944</v>
      </c>
      <c r="AG292" s="22" t="s">
        <v>114</v>
      </c>
      <c r="AH292" s="38">
        <v>0.94</v>
      </c>
      <c r="AI292" s="38">
        <v>0.97</v>
      </c>
      <c r="AJ292" s="38">
        <v>1</v>
      </c>
      <c r="AK292" s="22" t="s">
        <v>354</v>
      </c>
      <c r="AL292" s="148" t="s">
        <v>936</v>
      </c>
      <c r="AM292" s="17"/>
      <c r="AN292" s="17" t="s">
        <v>953</v>
      </c>
      <c r="AO292" t="s">
        <v>941</v>
      </c>
    </row>
    <row r="293" spans="2:41" x14ac:dyDescent="0.25">
      <c r="B293" s="92">
        <f t="shared" si="29"/>
        <v>246</v>
      </c>
      <c r="C293" s="18" t="s">
        <v>713</v>
      </c>
      <c r="D293" s="17" t="s">
        <v>3</v>
      </c>
      <c r="E293" s="17" t="s">
        <v>640</v>
      </c>
      <c r="F293" s="127" t="s">
        <v>863</v>
      </c>
      <c r="G293" s="19">
        <v>1417780</v>
      </c>
      <c r="H293" s="86" t="s">
        <v>65</v>
      </c>
      <c r="I293" s="17" t="s">
        <v>687</v>
      </c>
      <c r="J293" s="86" t="s">
        <v>65</v>
      </c>
      <c r="K293" s="17" t="s">
        <v>469</v>
      </c>
      <c r="L293" s="17" t="s">
        <v>574</v>
      </c>
      <c r="M293" s="17" t="s">
        <v>653</v>
      </c>
      <c r="N293" s="17" t="s">
        <v>711</v>
      </c>
      <c r="O293" s="19" t="s">
        <v>65</v>
      </c>
      <c r="P293" s="19" t="s">
        <v>701</v>
      </c>
      <c r="Q293" s="20"/>
      <c r="R293" s="86" t="s">
        <v>65</v>
      </c>
      <c r="S293" s="17" t="s">
        <v>70</v>
      </c>
      <c r="T293" s="17"/>
      <c r="U293" s="17"/>
      <c r="V293" s="17">
        <v>344</v>
      </c>
      <c r="W293" s="17">
        <f t="shared" si="32"/>
        <v>344</v>
      </c>
      <c r="X293" s="17">
        <v>344</v>
      </c>
      <c r="Y293" s="17">
        <f>ROUNDDOWN(W293/HLOOKUP(D293,Table!$C$3:$D$4,2,0)*8,2)</f>
        <v>6.11</v>
      </c>
      <c r="Z293" s="17">
        <v>1</v>
      </c>
      <c r="AA293" s="17" t="s">
        <v>97</v>
      </c>
      <c r="AB293" s="21">
        <v>43950</v>
      </c>
      <c r="AC293" s="21">
        <v>43941</v>
      </c>
      <c r="AD293" s="21">
        <v>43951</v>
      </c>
      <c r="AE293" s="21">
        <v>43943</v>
      </c>
      <c r="AF293" s="21">
        <v>43943</v>
      </c>
      <c r="AG293" s="22" t="s">
        <v>114</v>
      </c>
      <c r="AH293" s="38">
        <v>0.97</v>
      </c>
      <c r="AI293" s="38">
        <v>0.95</v>
      </c>
      <c r="AJ293" s="38">
        <v>0.83</v>
      </c>
      <c r="AK293" s="22" t="s">
        <v>354</v>
      </c>
      <c r="AL293" s="17" t="s">
        <v>937</v>
      </c>
      <c r="AM293" s="17"/>
      <c r="AN293" s="17" t="s">
        <v>953</v>
      </c>
      <c r="AO293" t="s">
        <v>941</v>
      </c>
    </row>
    <row r="294" spans="2:41" x14ac:dyDescent="0.25">
      <c r="B294" s="92">
        <f t="shared" si="29"/>
        <v>247</v>
      </c>
      <c r="C294" s="18" t="s">
        <v>713</v>
      </c>
      <c r="D294" s="17" t="s">
        <v>3</v>
      </c>
      <c r="E294" s="17" t="s">
        <v>640</v>
      </c>
      <c r="F294" s="127" t="s">
        <v>864</v>
      </c>
      <c r="G294" s="19">
        <v>1417780</v>
      </c>
      <c r="H294" s="86" t="s">
        <v>65</v>
      </c>
      <c r="I294" s="17" t="s">
        <v>688</v>
      </c>
      <c r="J294" s="86" t="s">
        <v>65</v>
      </c>
      <c r="K294" s="17" t="s">
        <v>469</v>
      </c>
      <c r="L294" s="17" t="s">
        <v>574</v>
      </c>
      <c r="M294" s="17" t="s">
        <v>653</v>
      </c>
      <c r="N294" s="17" t="s">
        <v>711</v>
      </c>
      <c r="O294" s="19" t="s">
        <v>65</v>
      </c>
      <c r="P294" s="19" t="s">
        <v>701</v>
      </c>
      <c r="Q294" s="20"/>
      <c r="R294" s="86" t="s">
        <v>65</v>
      </c>
      <c r="S294" s="17" t="s">
        <v>70</v>
      </c>
      <c r="T294" s="17"/>
      <c r="U294" s="17"/>
      <c r="V294" s="17">
        <v>40</v>
      </c>
      <c r="W294" s="17">
        <f t="shared" si="32"/>
        <v>40</v>
      </c>
      <c r="X294" s="17">
        <v>40</v>
      </c>
      <c r="Y294" s="17">
        <f>ROUNDDOWN(W294/HLOOKUP(D294,Table!$C$3:$D$4,2,0)*8,2)</f>
        <v>0.71</v>
      </c>
      <c r="Z294" s="17">
        <v>0.1</v>
      </c>
      <c r="AA294" s="17" t="s">
        <v>21</v>
      </c>
      <c r="AB294" s="21">
        <v>43950</v>
      </c>
      <c r="AC294" s="21">
        <v>43941</v>
      </c>
      <c r="AD294" s="21">
        <v>43951</v>
      </c>
      <c r="AE294" s="21">
        <v>43944</v>
      </c>
      <c r="AF294" s="21">
        <v>43944</v>
      </c>
      <c r="AG294" s="22" t="s">
        <v>114</v>
      </c>
      <c r="AH294" s="38">
        <v>1</v>
      </c>
      <c r="AI294" s="38">
        <v>1</v>
      </c>
      <c r="AJ294" s="38">
        <v>1</v>
      </c>
      <c r="AK294" s="22" t="s">
        <v>574</v>
      </c>
      <c r="AL294" s="17"/>
      <c r="AM294" s="17"/>
      <c r="AN294" s="17"/>
      <c r="AO294" t="s">
        <v>941</v>
      </c>
    </row>
    <row r="295" spans="2:41" x14ac:dyDescent="0.25">
      <c r="B295" s="92">
        <f t="shared" si="29"/>
        <v>248</v>
      </c>
      <c r="C295" s="18" t="s">
        <v>713</v>
      </c>
      <c r="D295" s="17" t="s">
        <v>3</v>
      </c>
      <c r="E295" s="17" t="s">
        <v>640</v>
      </c>
      <c r="F295" s="127" t="s">
        <v>865</v>
      </c>
      <c r="G295" s="19">
        <v>1417780</v>
      </c>
      <c r="H295" s="86" t="s">
        <v>65</v>
      </c>
      <c r="I295" s="17" t="s">
        <v>689</v>
      </c>
      <c r="J295" s="86" t="s">
        <v>65</v>
      </c>
      <c r="K295" s="17" t="s">
        <v>469</v>
      </c>
      <c r="L295" s="17" t="s">
        <v>574</v>
      </c>
      <c r="M295" s="17" t="s">
        <v>653</v>
      </c>
      <c r="N295" s="17" t="s">
        <v>711</v>
      </c>
      <c r="O295" s="19" t="s">
        <v>65</v>
      </c>
      <c r="P295" s="19" t="s">
        <v>701</v>
      </c>
      <c r="Q295" s="20"/>
      <c r="R295" s="86" t="s">
        <v>65</v>
      </c>
      <c r="S295" s="17" t="s">
        <v>70</v>
      </c>
      <c r="T295" s="17"/>
      <c r="U295" s="17"/>
      <c r="V295" s="17">
        <v>146</v>
      </c>
      <c r="W295" s="17">
        <f t="shared" si="32"/>
        <v>146</v>
      </c>
      <c r="X295" s="17">
        <v>146</v>
      </c>
      <c r="Y295" s="17">
        <f>ROUNDDOWN(W295/HLOOKUP(D295,Table!$C$3:$D$4,2,0)*8,2)</f>
        <v>2.59</v>
      </c>
      <c r="Z295" s="17">
        <v>2</v>
      </c>
      <c r="AA295" s="17" t="s">
        <v>21</v>
      </c>
      <c r="AB295" s="21">
        <v>43950</v>
      </c>
      <c r="AC295" s="21">
        <v>43941</v>
      </c>
      <c r="AD295" s="21">
        <v>43951</v>
      </c>
      <c r="AE295" s="21">
        <v>43942</v>
      </c>
      <c r="AF295" s="21">
        <v>43942</v>
      </c>
      <c r="AG295" s="22" t="s">
        <v>114</v>
      </c>
      <c r="AH295" s="38">
        <v>1</v>
      </c>
      <c r="AI295" s="38">
        <v>1</v>
      </c>
      <c r="AJ295" s="38">
        <v>1</v>
      </c>
      <c r="AK295" s="22" t="s">
        <v>574</v>
      </c>
      <c r="AL295" s="17"/>
      <c r="AM295" s="17"/>
      <c r="AN295" s="17"/>
      <c r="AO295" t="s">
        <v>941</v>
      </c>
    </row>
    <row r="296" spans="2:41" x14ac:dyDescent="0.25">
      <c r="B296" s="92">
        <f t="shared" si="29"/>
        <v>249</v>
      </c>
      <c r="C296" s="18" t="s">
        <v>713</v>
      </c>
      <c r="D296" s="17" t="s">
        <v>3</v>
      </c>
      <c r="E296" s="17" t="s">
        <v>640</v>
      </c>
      <c r="F296" s="127" t="s">
        <v>866</v>
      </c>
      <c r="G296" s="19">
        <v>1417780</v>
      </c>
      <c r="H296" s="86" t="s">
        <v>65</v>
      </c>
      <c r="I296" s="17" t="s">
        <v>524</v>
      </c>
      <c r="J296" s="86" t="s">
        <v>65</v>
      </c>
      <c r="K296" s="17" t="s">
        <v>469</v>
      </c>
      <c r="L296" s="17" t="s">
        <v>574</v>
      </c>
      <c r="M296" s="17" t="s">
        <v>653</v>
      </c>
      <c r="N296" s="17" t="s">
        <v>711</v>
      </c>
      <c r="O296" s="19" t="s">
        <v>65</v>
      </c>
      <c r="P296" s="19" t="s">
        <v>701</v>
      </c>
      <c r="Q296" s="20"/>
      <c r="R296" s="86" t="s">
        <v>65</v>
      </c>
      <c r="S296" s="17" t="s">
        <v>70</v>
      </c>
      <c r="T296" s="17"/>
      <c r="U296" s="17"/>
      <c r="V296" s="17">
        <v>51</v>
      </c>
      <c r="W296" s="17">
        <f t="shared" si="32"/>
        <v>51</v>
      </c>
      <c r="X296" s="17">
        <v>51</v>
      </c>
      <c r="Y296" s="17">
        <f>ROUNDDOWN(W296/HLOOKUP(D296,Table!$C$3:$D$4,2,0)*8,2)</f>
        <v>0.9</v>
      </c>
      <c r="Z296" s="17">
        <v>0.1</v>
      </c>
      <c r="AA296" s="17" t="s">
        <v>21</v>
      </c>
      <c r="AB296" s="21">
        <v>43950</v>
      </c>
      <c r="AC296" s="21">
        <v>43941</v>
      </c>
      <c r="AD296" s="21">
        <v>43951</v>
      </c>
      <c r="AE296" s="21">
        <v>43942</v>
      </c>
      <c r="AF296" s="21">
        <v>43942</v>
      </c>
      <c r="AG296" s="22" t="s">
        <v>114</v>
      </c>
      <c r="AH296" s="38">
        <v>1</v>
      </c>
      <c r="AI296" s="38">
        <v>1</v>
      </c>
      <c r="AJ296" s="38">
        <v>1</v>
      </c>
      <c r="AK296" s="22" t="s">
        <v>574</v>
      </c>
      <c r="AL296" s="17"/>
      <c r="AM296" s="17"/>
      <c r="AN296" s="17"/>
      <c r="AO296" t="s">
        <v>941</v>
      </c>
    </row>
    <row r="297" spans="2:41" x14ac:dyDescent="0.25">
      <c r="B297" s="92">
        <f t="shared" si="29"/>
        <v>250</v>
      </c>
      <c r="C297" s="18" t="s">
        <v>713</v>
      </c>
      <c r="D297" s="17" t="s">
        <v>3</v>
      </c>
      <c r="E297" s="17" t="s">
        <v>641</v>
      </c>
      <c r="F297" s="127" t="s">
        <v>867</v>
      </c>
      <c r="G297" s="19">
        <v>1423395</v>
      </c>
      <c r="H297" s="86" t="s">
        <v>65</v>
      </c>
      <c r="I297" s="17" t="s">
        <v>690</v>
      </c>
      <c r="J297" s="86" t="s">
        <v>65</v>
      </c>
      <c r="K297" s="17" t="s">
        <v>469</v>
      </c>
      <c r="L297" s="17">
        <v>81640</v>
      </c>
      <c r="M297" s="17" t="s">
        <v>648</v>
      </c>
      <c r="N297" s="17" t="s">
        <v>712</v>
      </c>
      <c r="O297" s="19" t="s">
        <v>65</v>
      </c>
      <c r="P297" s="19" t="s">
        <v>702</v>
      </c>
      <c r="Q297" s="20"/>
      <c r="R297" s="86" t="s">
        <v>65</v>
      </c>
      <c r="S297" s="17" t="s">
        <v>70</v>
      </c>
      <c r="T297" s="17"/>
      <c r="U297" s="17"/>
      <c r="V297" s="17">
        <v>101</v>
      </c>
      <c r="W297" s="17">
        <f t="shared" si="32"/>
        <v>101</v>
      </c>
      <c r="X297" s="17">
        <v>101</v>
      </c>
      <c r="Y297" s="17">
        <f>ROUNDDOWN(W297/HLOOKUP(D297,Table!$C$3:$D$4,2,0)*8,2)</f>
        <v>1.79</v>
      </c>
      <c r="Z297" s="17">
        <v>1</v>
      </c>
      <c r="AA297" s="18" t="s">
        <v>21</v>
      </c>
      <c r="AB297" s="21">
        <v>43943</v>
      </c>
      <c r="AC297" s="21">
        <v>43941</v>
      </c>
      <c r="AD297" s="21">
        <v>43943</v>
      </c>
      <c r="AE297" s="21">
        <v>43941</v>
      </c>
      <c r="AF297" s="21">
        <v>43941</v>
      </c>
      <c r="AG297" s="22" t="s">
        <v>114</v>
      </c>
      <c r="AH297" s="38">
        <v>1</v>
      </c>
      <c r="AI297" s="38">
        <v>1</v>
      </c>
      <c r="AJ297" s="38">
        <v>0.75</v>
      </c>
      <c r="AK297" s="22" t="s">
        <v>354</v>
      </c>
      <c r="AL297" s="17" t="s">
        <v>924</v>
      </c>
      <c r="AM297" s="17"/>
      <c r="AN297" s="17"/>
      <c r="AO297" t="s">
        <v>941</v>
      </c>
    </row>
    <row r="298" spans="2:41" x14ac:dyDescent="0.25">
      <c r="B298" s="92">
        <f t="shared" si="29"/>
        <v>251</v>
      </c>
      <c r="C298" s="18" t="s">
        <v>713</v>
      </c>
      <c r="D298" s="17" t="s">
        <v>3</v>
      </c>
      <c r="E298" s="17" t="s">
        <v>641</v>
      </c>
      <c r="F298" s="127" t="s">
        <v>868</v>
      </c>
      <c r="G298" s="19">
        <v>1423395</v>
      </c>
      <c r="H298" s="86" t="s">
        <v>65</v>
      </c>
      <c r="I298" s="17" t="s">
        <v>691</v>
      </c>
      <c r="J298" s="86" t="s">
        <v>65</v>
      </c>
      <c r="K298" s="17" t="s">
        <v>469</v>
      </c>
      <c r="L298" s="17">
        <v>81640</v>
      </c>
      <c r="M298" s="17" t="s">
        <v>648</v>
      </c>
      <c r="N298" s="17" t="s">
        <v>712</v>
      </c>
      <c r="O298" s="19" t="s">
        <v>65</v>
      </c>
      <c r="P298" s="19" t="s">
        <v>702</v>
      </c>
      <c r="Q298" s="20"/>
      <c r="R298" s="86" t="s">
        <v>65</v>
      </c>
      <c r="S298" s="17" t="s">
        <v>70</v>
      </c>
      <c r="T298" s="17"/>
      <c r="U298" s="17"/>
      <c r="V298" s="17">
        <v>116</v>
      </c>
      <c r="W298" s="17">
        <f t="shared" si="32"/>
        <v>116</v>
      </c>
      <c r="X298" s="17">
        <v>116</v>
      </c>
      <c r="Y298" s="17">
        <f>ROUNDDOWN(W298/HLOOKUP(D298,Table!$C$3:$D$4,2,0)*8,2)</f>
        <v>2.06</v>
      </c>
      <c r="Z298" s="17">
        <v>2</v>
      </c>
      <c r="AA298" s="18" t="s">
        <v>21</v>
      </c>
      <c r="AB298" s="21">
        <v>43943</v>
      </c>
      <c r="AC298" s="21">
        <v>43941</v>
      </c>
      <c r="AD298" s="21">
        <v>43943</v>
      </c>
      <c r="AE298" s="21">
        <v>43941</v>
      </c>
      <c r="AF298" s="21">
        <v>43941</v>
      </c>
      <c r="AG298" s="22" t="s">
        <v>114</v>
      </c>
      <c r="AH298" s="38">
        <v>0.92</v>
      </c>
      <c r="AI298" s="38">
        <v>0.85</v>
      </c>
      <c r="AJ298" s="38">
        <v>1</v>
      </c>
      <c r="AK298" s="22" t="s">
        <v>354</v>
      </c>
      <c r="AL298" s="17" t="s">
        <v>925</v>
      </c>
      <c r="AM298" s="17"/>
      <c r="AN298" s="17"/>
      <c r="AO298" t="s">
        <v>941</v>
      </c>
    </row>
    <row r="299" spans="2:41" x14ac:dyDescent="0.25">
      <c r="B299" s="92">
        <f t="shared" si="29"/>
        <v>252</v>
      </c>
      <c r="C299" s="18" t="s">
        <v>713</v>
      </c>
      <c r="D299" s="17" t="s">
        <v>3</v>
      </c>
      <c r="E299" s="17" t="s">
        <v>641</v>
      </c>
      <c r="F299" s="127" t="s">
        <v>869</v>
      </c>
      <c r="G299" s="19">
        <v>1423395</v>
      </c>
      <c r="H299" s="86" t="s">
        <v>65</v>
      </c>
      <c r="I299" s="17" t="s">
        <v>692</v>
      </c>
      <c r="J299" s="86" t="s">
        <v>65</v>
      </c>
      <c r="K299" s="17" t="s">
        <v>469</v>
      </c>
      <c r="L299" s="17">
        <v>81640</v>
      </c>
      <c r="M299" s="17" t="s">
        <v>648</v>
      </c>
      <c r="N299" s="17" t="s">
        <v>712</v>
      </c>
      <c r="O299" s="19" t="s">
        <v>65</v>
      </c>
      <c r="P299" s="19" t="s">
        <v>702</v>
      </c>
      <c r="Q299" s="20"/>
      <c r="R299" s="86" t="s">
        <v>65</v>
      </c>
      <c r="S299" s="17" t="s">
        <v>70</v>
      </c>
      <c r="T299" s="17"/>
      <c r="U299" s="17"/>
      <c r="V299" s="17">
        <v>60</v>
      </c>
      <c r="W299" s="17">
        <f t="shared" si="32"/>
        <v>60</v>
      </c>
      <c r="X299" s="17">
        <v>60</v>
      </c>
      <c r="Y299" s="17">
        <f>ROUNDDOWN(W299/HLOOKUP(D299,Table!$C$3:$D$4,2,0)*8,2)</f>
        <v>1.06</v>
      </c>
      <c r="Z299" s="17">
        <v>0.5</v>
      </c>
      <c r="AA299" s="18" t="s">
        <v>21</v>
      </c>
      <c r="AB299" s="21">
        <v>43943</v>
      </c>
      <c r="AC299" s="21">
        <v>43941</v>
      </c>
      <c r="AD299" s="21">
        <v>43943</v>
      </c>
      <c r="AE299" s="21">
        <v>43941</v>
      </c>
      <c r="AF299" s="21">
        <v>43941</v>
      </c>
      <c r="AG299" s="22" t="s">
        <v>114</v>
      </c>
      <c r="AH299" s="38">
        <v>1</v>
      </c>
      <c r="AI299" s="38">
        <v>1</v>
      </c>
      <c r="AJ299" s="38">
        <v>1</v>
      </c>
      <c r="AK299" s="22" t="s">
        <v>354</v>
      </c>
      <c r="AL299" s="17" t="s">
        <v>926</v>
      </c>
      <c r="AM299" s="17"/>
      <c r="AN299" s="17"/>
      <c r="AO299" t="s">
        <v>941</v>
      </c>
    </row>
    <row r="300" spans="2:41" hidden="1" x14ac:dyDescent="0.25">
      <c r="B300" s="89">
        <f t="shared" si="29"/>
        <v>253</v>
      </c>
      <c r="C300" s="18">
        <v>20200417</v>
      </c>
      <c r="D300" s="17" t="s">
        <v>3</v>
      </c>
      <c r="E300" s="17" t="s">
        <v>725</v>
      </c>
      <c r="F300" s="128" t="s">
        <v>876</v>
      </c>
      <c r="G300" s="19">
        <v>1417738</v>
      </c>
      <c r="H300" s="86" t="s">
        <v>65</v>
      </c>
      <c r="I300" s="17" t="s">
        <v>623</v>
      </c>
      <c r="J300" s="86" t="s">
        <v>65</v>
      </c>
      <c r="K300" s="17" t="s">
        <v>469</v>
      </c>
      <c r="L300" s="17" t="s">
        <v>574</v>
      </c>
      <c r="M300" s="17" t="s">
        <v>644</v>
      </c>
      <c r="N300" s="17" t="s">
        <v>750</v>
      </c>
      <c r="O300" s="19" t="s">
        <v>65</v>
      </c>
      <c r="P300" s="19" t="s">
        <v>701</v>
      </c>
      <c r="Q300" s="20"/>
      <c r="R300" s="86"/>
      <c r="S300" s="17" t="s">
        <v>69</v>
      </c>
      <c r="T300" s="17"/>
      <c r="U300" s="17"/>
      <c r="V300" s="17">
        <v>180</v>
      </c>
      <c r="W300" s="17">
        <f t="shared" si="32"/>
        <v>180</v>
      </c>
      <c r="X300" s="17">
        <f>W300</f>
        <v>180</v>
      </c>
      <c r="Y300" s="17">
        <f>ROUNDDOWN(W300/HLOOKUP(D300,Table!$C$3:$D$4,2,0)*8,2)</f>
        <v>3.2</v>
      </c>
      <c r="Z300" s="17">
        <v>2</v>
      </c>
      <c r="AA300" s="17" t="s">
        <v>21</v>
      </c>
      <c r="AB300" s="142">
        <v>43945</v>
      </c>
      <c r="AC300" s="21">
        <v>43941</v>
      </c>
      <c r="AD300" s="21">
        <v>43945</v>
      </c>
      <c r="AE300" s="21">
        <v>43943</v>
      </c>
      <c r="AF300" s="21">
        <v>43943</v>
      </c>
      <c r="AG300" s="22" t="s">
        <v>114</v>
      </c>
      <c r="AH300" s="38">
        <v>1</v>
      </c>
      <c r="AI300" s="38">
        <v>1</v>
      </c>
      <c r="AJ300" s="38">
        <v>0.9</v>
      </c>
      <c r="AK300" s="22" t="s">
        <v>574</v>
      </c>
      <c r="AL300" s="17"/>
      <c r="AM300" s="17"/>
      <c r="AN300" s="17"/>
      <c r="AO300" t="s">
        <v>941</v>
      </c>
    </row>
    <row r="301" spans="2:41" hidden="1" x14ac:dyDescent="0.25">
      <c r="B301" s="89">
        <f t="shared" si="29"/>
        <v>254</v>
      </c>
      <c r="C301" s="18">
        <v>20200417</v>
      </c>
      <c r="D301" s="17" t="s">
        <v>3</v>
      </c>
      <c r="E301" s="17" t="s">
        <v>726</v>
      </c>
      <c r="F301" s="128" t="s">
        <v>877</v>
      </c>
      <c r="G301" s="19">
        <v>1423830</v>
      </c>
      <c r="H301" s="86" t="s">
        <v>65</v>
      </c>
      <c r="I301" s="17" t="s">
        <v>733</v>
      </c>
      <c r="J301" s="86" t="s">
        <v>65</v>
      </c>
      <c r="K301" s="17" t="s">
        <v>469</v>
      </c>
      <c r="L301" s="17" t="s">
        <v>574</v>
      </c>
      <c r="M301" s="17" t="s">
        <v>730</v>
      </c>
      <c r="N301" s="17" t="s">
        <v>751</v>
      </c>
      <c r="O301" s="19" t="s">
        <v>65</v>
      </c>
      <c r="P301" s="19" t="s">
        <v>590</v>
      </c>
      <c r="Q301" s="20"/>
      <c r="R301" s="86"/>
      <c r="S301" s="17" t="s">
        <v>68</v>
      </c>
      <c r="T301" s="17"/>
      <c r="U301" s="17"/>
      <c r="V301" s="17">
        <v>224</v>
      </c>
      <c r="W301" s="17">
        <f t="shared" si="32"/>
        <v>224</v>
      </c>
      <c r="X301" s="17">
        <f t="shared" si="32"/>
        <v>224</v>
      </c>
      <c r="Y301" s="17">
        <f>ROUNDDOWN(W301/HLOOKUP(D301,Table!$C$3:$D$4,2,0)*8,2)</f>
        <v>3.98</v>
      </c>
      <c r="Z301" s="17">
        <v>2</v>
      </c>
      <c r="AA301" s="17" t="s">
        <v>21</v>
      </c>
      <c r="AB301" s="142">
        <v>43945</v>
      </c>
      <c r="AC301" s="21">
        <v>43941</v>
      </c>
      <c r="AD301" s="21">
        <v>43945</v>
      </c>
      <c r="AE301" s="21">
        <v>43942</v>
      </c>
      <c r="AF301" s="21">
        <v>43942</v>
      </c>
      <c r="AG301" s="22" t="s">
        <v>114</v>
      </c>
      <c r="AH301" s="38">
        <v>1</v>
      </c>
      <c r="AI301" s="38">
        <v>1</v>
      </c>
      <c r="AJ301" s="38">
        <v>1</v>
      </c>
      <c r="AK301" s="22" t="s">
        <v>574</v>
      </c>
      <c r="AL301" s="17"/>
      <c r="AM301" s="17"/>
      <c r="AN301" s="17"/>
      <c r="AO301" t="s">
        <v>941</v>
      </c>
    </row>
    <row r="302" spans="2:41" hidden="1" x14ac:dyDescent="0.25">
      <c r="B302" s="89">
        <f t="shared" si="29"/>
        <v>255</v>
      </c>
      <c r="C302" s="18">
        <v>20200417</v>
      </c>
      <c r="D302" s="17" t="s">
        <v>3</v>
      </c>
      <c r="E302" s="17" t="s">
        <v>726</v>
      </c>
      <c r="F302" s="128" t="s">
        <v>878</v>
      </c>
      <c r="G302" s="19">
        <v>1423830</v>
      </c>
      <c r="H302" s="86" t="s">
        <v>65</v>
      </c>
      <c r="I302" s="17" t="s">
        <v>734</v>
      </c>
      <c r="J302" s="86" t="s">
        <v>65</v>
      </c>
      <c r="K302" s="17" t="s">
        <v>469</v>
      </c>
      <c r="L302" s="17" t="s">
        <v>574</v>
      </c>
      <c r="M302" s="17" t="s">
        <v>730</v>
      </c>
      <c r="N302" s="17" t="s">
        <v>751</v>
      </c>
      <c r="O302" s="19" t="s">
        <v>65</v>
      </c>
      <c r="P302" s="19" t="s">
        <v>590</v>
      </c>
      <c r="Q302" s="20"/>
      <c r="R302" s="86"/>
      <c r="S302" s="17" t="s">
        <v>68</v>
      </c>
      <c r="T302" s="17"/>
      <c r="U302" s="17"/>
      <c r="V302" s="17">
        <v>309</v>
      </c>
      <c r="W302" s="17">
        <f t="shared" si="32"/>
        <v>309</v>
      </c>
      <c r="X302" s="17">
        <f t="shared" si="32"/>
        <v>309</v>
      </c>
      <c r="Y302" s="17">
        <f>ROUNDDOWN(W302/HLOOKUP(D302,Table!$C$3:$D$4,2,0)*8,2)</f>
        <v>5.49</v>
      </c>
      <c r="Z302" s="17">
        <v>2</v>
      </c>
      <c r="AA302" s="17" t="s">
        <v>21</v>
      </c>
      <c r="AB302" s="142">
        <v>43945</v>
      </c>
      <c r="AC302" s="21">
        <v>43941</v>
      </c>
      <c r="AD302" s="21">
        <v>43945</v>
      </c>
      <c r="AE302" s="21">
        <v>43942</v>
      </c>
      <c r="AF302" s="21">
        <v>43942</v>
      </c>
      <c r="AG302" s="22" t="s">
        <v>115</v>
      </c>
      <c r="AH302" s="38">
        <v>1</v>
      </c>
      <c r="AI302" s="38">
        <v>1</v>
      </c>
      <c r="AJ302" s="38">
        <v>0.91</v>
      </c>
      <c r="AK302" s="22" t="s">
        <v>354</v>
      </c>
      <c r="AL302" s="17" t="s">
        <v>800</v>
      </c>
      <c r="AM302" s="17"/>
      <c r="AN302" s="17"/>
      <c r="AO302" t="s">
        <v>941</v>
      </c>
    </row>
    <row r="303" spans="2:41" hidden="1" x14ac:dyDescent="0.25">
      <c r="B303" s="89">
        <f t="shared" si="29"/>
        <v>256</v>
      </c>
      <c r="C303" s="18">
        <v>20200417</v>
      </c>
      <c r="D303" s="17" t="s">
        <v>3</v>
      </c>
      <c r="E303" s="17" t="s">
        <v>726</v>
      </c>
      <c r="F303" s="128" t="s">
        <v>879</v>
      </c>
      <c r="G303" s="19">
        <v>1423830</v>
      </c>
      <c r="H303" s="86" t="s">
        <v>65</v>
      </c>
      <c r="I303" s="17" t="s">
        <v>735</v>
      </c>
      <c r="J303" s="86" t="s">
        <v>65</v>
      </c>
      <c r="K303" s="17" t="s">
        <v>469</v>
      </c>
      <c r="L303" s="17" t="s">
        <v>574</v>
      </c>
      <c r="M303" s="17" t="s">
        <v>730</v>
      </c>
      <c r="N303" s="17" t="s">
        <v>751</v>
      </c>
      <c r="O303" s="19" t="s">
        <v>65</v>
      </c>
      <c r="P303" s="19" t="s">
        <v>590</v>
      </c>
      <c r="Q303" s="20"/>
      <c r="R303" s="86"/>
      <c r="S303" s="17" t="s">
        <v>68</v>
      </c>
      <c r="T303" s="17"/>
      <c r="U303" s="17"/>
      <c r="V303" s="17">
        <v>25</v>
      </c>
      <c r="W303" s="17">
        <f t="shared" si="32"/>
        <v>25</v>
      </c>
      <c r="X303" s="17">
        <f t="shared" si="32"/>
        <v>25</v>
      </c>
      <c r="Y303" s="17">
        <f>ROUNDDOWN(W303/HLOOKUP(D303,Table!$C$3:$D$4,2,0)*8,2)</f>
        <v>0.44</v>
      </c>
      <c r="Z303" s="17">
        <v>2</v>
      </c>
      <c r="AA303" s="17" t="s">
        <v>21</v>
      </c>
      <c r="AB303" s="142">
        <v>43945</v>
      </c>
      <c r="AC303" s="21">
        <v>43941</v>
      </c>
      <c r="AD303" s="21">
        <v>43945</v>
      </c>
      <c r="AE303" s="21">
        <v>43942</v>
      </c>
      <c r="AF303" s="21">
        <v>43942</v>
      </c>
      <c r="AG303" s="22" t="s">
        <v>114</v>
      </c>
      <c r="AH303" s="38">
        <v>1</v>
      </c>
      <c r="AI303" s="38">
        <v>1</v>
      </c>
      <c r="AJ303" s="38">
        <v>1</v>
      </c>
      <c r="AK303" s="22" t="s">
        <v>574</v>
      </c>
      <c r="AL303" s="17"/>
      <c r="AM303" s="17"/>
      <c r="AN303" s="17"/>
      <c r="AO303" t="s">
        <v>941</v>
      </c>
    </row>
    <row r="304" spans="2:41" hidden="1" x14ac:dyDescent="0.25">
      <c r="B304" s="89">
        <f t="shared" si="29"/>
        <v>257</v>
      </c>
      <c r="C304" s="18">
        <v>20200417</v>
      </c>
      <c r="D304" s="17" t="s">
        <v>3</v>
      </c>
      <c r="E304" s="17" t="s">
        <v>726</v>
      </c>
      <c r="F304" s="128" t="s">
        <v>880</v>
      </c>
      <c r="G304" s="19">
        <v>1423830</v>
      </c>
      <c r="H304" s="86" t="s">
        <v>65</v>
      </c>
      <c r="I304" s="17" t="s">
        <v>736</v>
      </c>
      <c r="J304" s="86" t="s">
        <v>65</v>
      </c>
      <c r="K304" s="17" t="s">
        <v>469</v>
      </c>
      <c r="L304" s="17" t="s">
        <v>574</v>
      </c>
      <c r="M304" s="17" t="s">
        <v>730</v>
      </c>
      <c r="N304" s="17" t="s">
        <v>751</v>
      </c>
      <c r="O304" s="19" t="s">
        <v>65</v>
      </c>
      <c r="P304" s="19" t="s">
        <v>590</v>
      </c>
      <c r="Q304" s="20"/>
      <c r="R304" s="86"/>
      <c r="S304" s="17" t="s">
        <v>68</v>
      </c>
      <c r="T304" s="17"/>
      <c r="U304" s="17"/>
      <c r="V304" s="17">
        <v>215</v>
      </c>
      <c r="W304" s="17">
        <f t="shared" si="32"/>
        <v>215</v>
      </c>
      <c r="X304" s="17">
        <f t="shared" si="32"/>
        <v>215</v>
      </c>
      <c r="Y304" s="17">
        <f>ROUNDDOWN(W304/HLOOKUP(D304,Table!$C$3:$D$4,2,0)*8,2)</f>
        <v>3.82</v>
      </c>
      <c r="Z304" s="17">
        <v>2</v>
      </c>
      <c r="AA304" s="17" t="s">
        <v>21</v>
      </c>
      <c r="AB304" s="142">
        <v>43945</v>
      </c>
      <c r="AC304" s="21">
        <v>43941</v>
      </c>
      <c r="AD304" s="21">
        <v>43945</v>
      </c>
      <c r="AE304" s="21">
        <v>43942</v>
      </c>
      <c r="AF304" s="21">
        <v>43942</v>
      </c>
      <c r="AG304" s="22" t="s">
        <v>114</v>
      </c>
      <c r="AH304" s="38">
        <v>1</v>
      </c>
      <c r="AI304" s="38">
        <v>1</v>
      </c>
      <c r="AJ304" s="38">
        <v>1</v>
      </c>
      <c r="AK304" s="22" t="s">
        <v>574</v>
      </c>
      <c r="AL304" s="17"/>
      <c r="AM304" s="17"/>
      <c r="AN304" s="17"/>
      <c r="AO304" t="s">
        <v>941</v>
      </c>
    </row>
    <row r="305" spans="2:41" hidden="1" x14ac:dyDescent="0.25">
      <c r="B305" s="89">
        <f t="shared" si="29"/>
        <v>258</v>
      </c>
      <c r="C305" s="18">
        <v>20200417</v>
      </c>
      <c r="D305" s="17" t="s">
        <v>3</v>
      </c>
      <c r="E305" s="17" t="s">
        <v>726</v>
      </c>
      <c r="F305" s="128" t="s">
        <v>881</v>
      </c>
      <c r="G305" s="19">
        <v>1423830</v>
      </c>
      <c r="H305" s="86" t="s">
        <v>65</v>
      </c>
      <c r="I305" s="17" t="s">
        <v>737</v>
      </c>
      <c r="J305" s="86" t="s">
        <v>65</v>
      </c>
      <c r="K305" s="17" t="s">
        <v>469</v>
      </c>
      <c r="L305" s="17" t="s">
        <v>574</v>
      </c>
      <c r="M305" s="17" t="s">
        <v>730</v>
      </c>
      <c r="N305" s="17" t="s">
        <v>751</v>
      </c>
      <c r="O305" s="19" t="s">
        <v>65</v>
      </c>
      <c r="P305" s="19" t="s">
        <v>590</v>
      </c>
      <c r="Q305" s="20"/>
      <c r="R305" s="86"/>
      <c r="S305" s="17" t="s">
        <v>68</v>
      </c>
      <c r="T305" s="17"/>
      <c r="U305" s="17"/>
      <c r="V305" s="17">
        <v>1703</v>
      </c>
      <c r="W305" s="17">
        <f t="shared" si="32"/>
        <v>1703</v>
      </c>
      <c r="X305" s="17">
        <f t="shared" si="32"/>
        <v>1703</v>
      </c>
      <c r="Y305" s="17">
        <f>ROUNDDOWN(W305/HLOOKUP(D305,Table!$C$3:$D$4,2,0)*8,2)</f>
        <v>30.27</v>
      </c>
      <c r="Z305" s="17">
        <v>8</v>
      </c>
      <c r="AA305" s="17" t="s">
        <v>21</v>
      </c>
      <c r="AB305" s="142">
        <v>43945</v>
      </c>
      <c r="AC305" s="21">
        <v>43941</v>
      </c>
      <c r="AD305" s="21">
        <v>43945</v>
      </c>
      <c r="AE305" s="21">
        <v>43942</v>
      </c>
      <c r="AF305" s="21">
        <v>43942</v>
      </c>
      <c r="AG305" s="22" t="s">
        <v>114</v>
      </c>
      <c r="AH305" s="38">
        <v>1</v>
      </c>
      <c r="AI305" s="38">
        <v>1</v>
      </c>
      <c r="AJ305" s="38">
        <v>1</v>
      </c>
      <c r="AK305" s="22" t="s">
        <v>574</v>
      </c>
      <c r="AL305" s="17"/>
      <c r="AM305" s="17"/>
      <c r="AN305" s="17"/>
      <c r="AO305" t="s">
        <v>941</v>
      </c>
    </row>
    <row r="306" spans="2:41" hidden="1" x14ac:dyDescent="0.25">
      <c r="B306" s="89">
        <f t="shared" ref="B306:B341" si="33">B305+1</f>
        <v>259</v>
      </c>
      <c r="C306" s="18">
        <v>20200417</v>
      </c>
      <c r="D306" s="17" t="s">
        <v>3</v>
      </c>
      <c r="E306" s="17" t="s">
        <v>727</v>
      </c>
      <c r="F306" s="128" t="s">
        <v>882</v>
      </c>
      <c r="G306" s="19">
        <v>1423829</v>
      </c>
      <c r="H306" s="86" t="s">
        <v>65</v>
      </c>
      <c r="I306" s="35" t="s">
        <v>733</v>
      </c>
      <c r="J306" s="86" t="s">
        <v>65</v>
      </c>
      <c r="K306" s="17" t="s">
        <v>469</v>
      </c>
      <c r="L306" s="17" t="s">
        <v>574</v>
      </c>
      <c r="M306" s="17" t="s">
        <v>730</v>
      </c>
      <c r="N306" s="17" t="s">
        <v>752</v>
      </c>
      <c r="O306" s="19" t="s">
        <v>65</v>
      </c>
      <c r="P306" s="19" t="s">
        <v>590</v>
      </c>
      <c r="Q306" s="20"/>
      <c r="R306" s="86"/>
      <c r="S306" s="17" t="s">
        <v>430</v>
      </c>
      <c r="T306" s="17"/>
      <c r="U306" s="17"/>
      <c r="V306" s="17">
        <v>224</v>
      </c>
      <c r="W306" s="17">
        <f t="shared" si="32"/>
        <v>224</v>
      </c>
      <c r="X306" s="17">
        <f t="shared" si="32"/>
        <v>224</v>
      </c>
      <c r="Y306" s="17">
        <f>ROUNDDOWN(W306/HLOOKUP(D306,Table!$C$3:$D$4,2,0)*8,2)</f>
        <v>3.98</v>
      </c>
      <c r="Z306" s="17">
        <v>3</v>
      </c>
      <c r="AA306" s="17" t="s">
        <v>21</v>
      </c>
      <c r="AB306" s="142">
        <v>43945</v>
      </c>
      <c r="AC306" s="21">
        <v>43941</v>
      </c>
      <c r="AD306" s="21">
        <v>43945</v>
      </c>
      <c r="AE306" s="21">
        <v>43943</v>
      </c>
      <c r="AF306" s="21">
        <v>43943</v>
      </c>
      <c r="AG306" s="22" t="s">
        <v>114</v>
      </c>
      <c r="AH306" s="38">
        <v>1</v>
      </c>
      <c r="AI306" s="38">
        <v>1</v>
      </c>
      <c r="AJ306" s="38">
        <v>1</v>
      </c>
      <c r="AK306" s="22" t="s">
        <v>574</v>
      </c>
      <c r="AL306" s="17"/>
      <c r="AM306" s="17"/>
      <c r="AN306" s="17"/>
      <c r="AO306" t="s">
        <v>941</v>
      </c>
    </row>
    <row r="307" spans="2:41" hidden="1" x14ac:dyDescent="0.25">
      <c r="B307" s="89">
        <f t="shared" si="33"/>
        <v>260</v>
      </c>
      <c r="C307" s="18">
        <v>20200417</v>
      </c>
      <c r="D307" s="17" t="s">
        <v>3</v>
      </c>
      <c r="E307" s="17" t="s">
        <v>727</v>
      </c>
      <c r="F307" s="128" t="s">
        <v>883</v>
      </c>
      <c r="G307" s="19">
        <v>1423829</v>
      </c>
      <c r="H307" s="86" t="s">
        <v>65</v>
      </c>
      <c r="I307" s="35" t="s">
        <v>734</v>
      </c>
      <c r="J307" s="86" t="s">
        <v>65</v>
      </c>
      <c r="K307" s="17" t="s">
        <v>469</v>
      </c>
      <c r="L307" s="17" t="s">
        <v>574</v>
      </c>
      <c r="M307" s="17" t="s">
        <v>730</v>
      </c>
      <c r="N307" s="17" t="s">
        <v>752</v>
      </c>
      <c r="O307" s="19" t="s">
        <v>65</v>
      </c>
      <c r="P307" s="19" t="s">
        <v>590</v>
      </c>
      <c r="Q307" s="20"/>
      <c r="R307" s="86"/>
      <c r="S307" s="17" t="s">
        <v>430</v>
      </c>
      <c r="T307" s="17"/>
      <c r="U307" s="17"/>
      <c r="V307" s="17">
        <v>309</v>
      </c>
      <c r="W307" s="17">
        <f t="shared" si="32"/>
        <v>309</v>
      </c>
      <c r="X307" s="17">
        <f>W307</f>
        <v>309</v>
      </c>
      <c r="Y307" s="17">
        <f>ROUNDDOWN(W307/HLOOKUP(D307,Table!$C$3:$D$4,2,0)*8,2)</f>
        <v>5.49</v>
      </c>
      <c r="Z307" s="17">
        <v>4</v>
      </c>
      <c r="AA307" s="17" t="s">
        <v>21</v>
      </c>
      <c r="AB307" s="142">
        <v>43945</v>
      </c>
      <c r="AC307" s="21">
        <v>43941</v>
      </c>
      <c r="AD307" s="21">
        <v>43945</v>
      </c>
      <c r="AE307" s="21">
        <v>43944</v>
      </c>
      <c r="AF307" s="21">
        <v>43944</v>
      </c>
      <c r="AG307" s="22" t="s">
        <v>115</v>
      </c>
      <c r="AH307" s="38">
        <v>1</v>
      </c>
      <c r="AI307" s="38">
        <v>1</v>
      </c>
      <c r="AJ307" s="38">
        <v>0.91</v>
      </c>
      <c r="AK307" s="22" t="s">
        <v>354</v>
      </c>
      <c r="AL307" s="17" t="s">
        <v>933</v>
      </c>
      <c r="AM307" s="17"/>
      <c r="AN307" s="17"/>
      <c r="AO307" t="s">
        <v>941</v>
      </c>
    </row>
    <row r="308" spans="2:41" hidden="1" x14ac:dyDescent="0.25">
      <c r="B308" s="89">
        <f t="shared" si="33"/>
        <v>261</v>
      </c>
      <c r="C308" s="18">
        <v>20200417</v>
      </c>
      <c r="D308" s="17" t="s">
        <v>3</v>
      </c>
      <c r="E308" s="17" t="s">
        <v>727</v>
      </c>
      <c r="F308" s="128" t="s">
        <v>884</v>
      </c>
      <c r="G308" s="19">
        <v>1423829</v>
      </c>
      <c r="H308" s="86" t="s">
        <v>65</v>
      </c>
      <c r="I308" s="35" t="s">
        <v>735</v>
      </c>
      <c r="J308" s="86" t="s">
        <v>65</v>
      </c>
      <c r="K308" s="17" t="s">
        <v>469</v>
      </c>
      <c r="L308" s="17" t="s">
        <v>574</v>
      </c>
      <c r="M308" s="17" t="s">
        <v>730</v>
      </c>
      <c r="N308" s="17" t="s">
        <v>752</v>
      </c>
      <c r="O308" s="19" t="s">
        <v>65</v>
      </c>
      <c r="P308" s="19" t="s">
        <v>590</v>
      </c>
      <c r="Q308" s="20"/>
      <c r="R308" s="86"/>
      <c r="S308" s="17" t="s">
        <v>430</v>
      </c>
      <c r="T308" s="17"/>
      <c r="U308" s="17"/>
      <c r="V308" s="17">
        <v>25</v>
      </c>
      <c r="W308" s="17">
        <f t="shared" si="32"/>
        <v>25</v>
      </c>
      <c r="X308" s="17">
        <f>W308</f>
        <v>25</v>
      </c>
      <c r="Y308" s="17">
        <f>ROUNDDOWN(W308/HLOOKUP(D308,Table!$C$3:$D$4,2,0)*8,2)</f>
        <v>0.44</v>
      </c>
      <c r="Z308" s="17">
        <v>0.12</v>
      </c>
      <c r="AA308" s="17" t="s">
        <v>21</v>
      </c>
      <c r="AB308" s="142">
        <v>43945</v>
      </c>
      <c r="AC308" s="21">
        <v>43941</v>
      </c>
      <c r="AD308" s="21">
        <v>43945</v>
      </c>
      <c r="AE308" s="21">
        <v>43944</v>
      </c>
      <c r="AF308" s="21">
        <v>43944</v>
      </c>
      <c r="AG308" s="22" t="s">
        <v>114</v>
      </c>
      <c r="AH308" s="38">
        <v>1</v>
      </c>
      <c r="AI308" s="38">
        <v>1</v>
      </c>
      <c r="AJ308" s="38">
        <v>1</v>
      </c>
      <c r="AK308" s="22" t="s">
        <v>574</v>
      </c>
      <c r="AL308" s="17"/>
      <c r="AM308" s="17"/>
      <c r="AN308" s="17"/>
      <c r="AO308" t="s">
        <v>941</v>
      </c>
    </row>
    <row r="309" spans="2:41" hidden="1" x14ac:dyDescent="0.25">
      <c r="B309" s="89">
        <f t="shared" si="33"/>
        <v>262</v>
      </c>
      <c r="C309" s="18">
        <v>20200417</v>
      </c>
      <c r="D309" s="17" t="s">
        <v>3</v>
      </c>
      <c r="E309" s="17" t="s">
        <v>727</v>
      </c>
      <c r="F309" s="128" t="s">
        <v>885</v>
      </c>
      <c r="G309" s="19">
        <v>1423829</v>
      </c>
      <c r="H309" s="86" t="s">
        <v>65</v>
      </c>
      <c r="I309" s="35" t="s">
        <v>736</v>
      </c>
      <c r="J309" s="86" t="s">
        <v>65</v>
      </c>
      <c r="K309" s="17" t="s">
        <v>469</v>
      </c>
      <c r="L309" s="17" t="s">
        <v>574</v>
      </c>
      <c r="M309" s="17" t="s">
        <v>730</v>
      </c>
      <c r="N309" s="17" t="s">
        <v>752</v>
      </c>
      <c r="O309" s="19" t="s">
        <v>65</v>
      </c>
      <c r="P309" s="19" t="s">
        <v>590</v>
      </c>
      <c r="Q309" s="20"/>
      <c r="R309" s="86"/>
      <c r="S309" s="17" t="s">
        <v>430</v>
      </c>
      <c r="T309" s="17"/>
      <c r="U309" s="17"/>
      <c r="V309" s="17">
        <v>215</v>
      </c>
      <c r="W309" s="17">
        <f t="shared" si="32"/>
        <v>215</v>
      </c>
      <c r="X309" s="17">
        <f>W309</f>
        <v>215</v>
      </c>
      <c r="Y309" s="17">
        <f>ROUNDDOWN(W309/HLOOKUP(D309,Table!$C$3:$D$4,2,0)*8,2)</f>
        <v>3.82</v>
      </c>
      <c r="Z309" s="17">
        <v>2</v>
      </c>
      <c r="AA309" s="17" t="s">
        <v>21</v>
      </c>
      <c r="AB309" s="142">
        <v>43945</v>
      </c>
      <c r="AC309" s="21">
        <v>43941</v>
      </c>
      <c r="AD309" s="21">
        <v>43945</v>
      </c>
      <c r="AE309" s="21">
        <v>43944</v>
      </c>
      <c r="AF309" s="21">
        <v>43944</v>
      </c>
      <c r="AG309" s="22" t="s">
        <v>114</v>
      </c>
      <c r="AH309" s="38">
        <v>1</v>
      </c>
      <c r="AI309" s="38">
        <v>1</v>
      </c>
      <c r="AJ309" s="38">
        <v>1</v>
      </c>
      <c r="AK309" s="22" t="s">
        <v>574</v>
      </c>
      <c r="AL309" s="17"/>
      <c r="AM309" s="17"/>
      <c r="AN309" s="17"/>
      <c r="AO309" t="s">
        <v>941</v>
      </c>
    </row>
    <row r="310" spans="2:41" hidden="1" x14ac:dyDescent="0.25">
      <c r="B310" s="89">
        <f t="shared" si="33"/>
        <v>263</v>
      </c>
      <c r="C310" s="18">
        <v>20200417</v>
      </c>
      <c r="D310" s="17" t="s">
        <v>3</v>
      </c>
      <c r="E310" s="17" t="s">
        <v>727</v>
      </c>
      <c r="F310" s="128" t="s">
        <v>886</v>
      </c>
      <c r="G310" s="19">
        <v>1423829</v>
      </c>
      <c r="H310" s="86" t="s">
        <v>65</v>
      </c>
      <c r="I310" s="17" t="s">
        <v>737</v>
      </c>
      <c r="J310" s="86" t="s">
        <v>65</v>
      </c>
      <c r="K310" s="17" t="s">
        <v>469</v>
      </c>
      <c r="L310" s="17" t="s">
        <v>574</v>
      </c>
      <c r="M310" s="17" t="s">
        <v>730</v>
      </c>
      <c r="N310" s="17" t="s">
        <v>752</v>
      </c>
      <c r="O310" s="19" t="s">
        <v>65</v>
      </c>
      <c r="P310" s="19" t="s">
        <v>590</v>
      </c>
      <c r="Q310" s="20"/>
      <c r="R310" s="86"/>
      <c r="S310" s="17" t="s">
        <v>6</v>
      </c>
      <c r="T310" s="17"/>
      <c r="U310" s="17"/>
      <c r="V310" s="17">
        <v>1703</v>
      </c>
      <c r="W310" s="17">
        <f t="shared" si="32"/>
        <v>1703</v>
      </c>
      <c r="X310" s="17">
        <f>W310</f>
        <v>1703</v>
      </c>
      <c r="Y310" s="17">
        <f>ROUNDDOWN(W310/HLOOKUP(D310,Table!$C$3:$D$4,2,0)*8,2)</f>
        <v>30.27</v>
      </c>
      <c r="Z310" s="17">
        <v>3</v>
      </c>
      <c r="AA310" s="17" t="s">
        <v>21</v>
      </c>
      <c r="AB310" s="142">
        <v>43945</v>
      </c>
      <c r="AC310" s="21">
        <v>43941</v>
      </c>
      <c r="AD310" s="21">
        <v>43945</v>
      </c>
      <c r="AE310" s="21">
        <v>43944</v>
      </c>
      <c r="AF310" s="21">
        <v>43944</v>
      </c>
      <c r="AG310" s="22" t="s">
        <v>114</v>
      </c>
      <c r="AH310" s="38">
        <v>1</v>
      </c>
      <c r="AI310" s="38">
        <v>1</v>
      </c>
      <c r="AJ310" s="38">
        <v>1</v>
      </c>
      <c r="AK310" s="22" t="s">
        <v>574</v>
      </c>
      <c r="AL310" s="17"/>
      <c r="AM310" s="17"/>
      <c r="AN310" s="17"/>
      <c r="AO310" t="s">
        <v>941</v>
      </c>
    </row>
    <row r="311" spans="2:41" hidden="1" x14ac:dyDescent="0.25">
      <c r="B311" s="89">
        <f t="shared" si="33"/>
        <v>264</v>
      </c>
      <c r="C311" s="18">
        <v>20200417</v>
      </c>
      <c r="D311" s="17" t="s">
        <v>3</v>
      </c>
      <c r="E311" s="17" t="s">
        <v>728</v>
      </c>
      <c r="F311" s="128" t="s">
        <v>887</v>
      </c>
      <c r="G311" s="19">
        <v>1423560</v>
      </c>
      <c r="H311" s="86" t="s">
        <v>65</v>
      </c>
      <c r="I311" s="17" t="s">
        <v>738</v>
      </c>
      <c r="J311" s="86" t="s">
        <v>65</v>
      </c>
      <c r="K311" s="17" t="s">
        <v>469</v>
      </c>
      <c r="L311" s="17">
        <v>99186</v>
      </c>
      <c r="M311" s="17" t="s">
        <v>731</v>
      </c>
      <c r="N311" s="17" t="s">
        <v>753</v>
      </c>
      <c r="O311" s="19" t="s">
        <v>65</v>
      </c>
      <c r="P311" s="19" t="s">
        <v>748</v>
      </c>
      <c r="Q311" s="20"/>
      <c r="R311" s="86"/>
      <c r="S311" s="17" t="s">
        <v>70</v>
      </c>
      <c r="T311" s="17"/>
      <c r="U311" s="17"/>
      <c r="V311" s="17">
        <v>168</v>
      </c>
      <c r="W311" s="17">
        <f t="shared" si="32"/>
        <v>168</v>
      </c>
      <c r="X311" s="17">
        <v>168</v>
      </c>
      <c r="Y311" s="17">
        <f>ROUNDDOWN(W311/HLOOKUP(D311,Table!$C$3:$D$4,2,0)*8,2)</f>
        <v>2.98</v>
      </c>
      <c r="Z311" s="17">
        <v>1</v>
      </c>
      <c r="AA311" s="17" t="s">
        <v>21</v>
      </c>
      <c r="AB311" s="78">
        <v>43942</v>
      </c>
      <c r="AC311" s="21">
        <v>43941</v>
      </c>
      <c r="AD311" s="21">
        <v>43942</v>
      </c>
      <c r="AE311" s="21">
        <v>43941</v>
      </c>
      <c r="AF311" s="21">
        <v>43941</v>
      </c>
      <c r="AG311" s="22" t="s">
        <v>114</v>
      </c>
      <c r="AH311" s="38">
        <v>1</v>
      </c>
      <c r="AI311" s="38">
        <v>1</v>
      </c>
      <c r="AJ311" s="38">
        <v>1</v>
      </c>
      <c r="AK311" s="22" t="s">
        <v>574</v>
      </c>
      <c r="AL311" s="17"/>
      <c r="AM311" s="17"/>
      <c r="AN311" s="17"/>
      <c r="AO311" t="s">
        <v>941</v>
      </c>
    </row>
    <row r="312" spans="2:41" hidden="1" x14ac:dyDescent="0.25">
      <c r="B312" s="89">
        <f t="shared" si="33"/>
        <v>265</v>
      </c>
      <c r="C312" s="18">
        <v>20200417</v>
      </c>
      <c r="D312" s="17" t="s">
        <v>3</v>
      </c>
      <c r="E312" s="17" t="s">
        <v>729</v>
      </c>
      <c r="F312" s="127" t="s">
        <v>888</v>
      </c>
      <c r="G312" s="19">
        <v>1424417</v>
      </c>
      <c r="H312" s="86" t="s">
        <v>65</v>
      </c>
      <c r="I312" s="134" t="s">
        <v>739</v>
      </c>
      <c r="J312" s="86" t="s">
        <v>65</v>
      </c>
      <c r="K312" s="17" t="s">
        <v>469</v>
      </c>
      <c r="L312" s="17">
        <v>81260</v>
      </c>
      <c r="M312" s="17" t="s">
        <v>732</v>
      </c>
      <c r="N312" s="17" t="s">
        <v>754</v>
      </c>
      <c r="O312" s="19" t="s">
        <v>65</v>
      </c>
      <c r="P312" s="19" t="s">
        <v>749</v>
      </c>
      <c r="Q312" s="20"/>
      <c r="R312" s="86"/>
      <c r="S312" s="17" t="s">
        <v>430</v>
      </c>
      <c r="T312" s="17"/>
      <c r="U312" s="17"/>
      <c r="V312" s="17">
        <v>145</v>
      </c>
      <c r="W312" s="17">
        <f t="shared" si="32"/>
        <v>145</v>
      </c>
      <c r="X312" s="17">
        <v>145</v>
      </c>
      <c r="Y312" s="17">
        <f>ROUNDDOWN(W312/HLOOKUP(D312,Table!$C$3:$D$4,2,0)*8,2)</f>
        <v>2.57</v>
      </c>
      <c r="Z312" s="17">
        <v>2</v>
      </c>
      <c r="AA312" s="17" t="s">
        <v>78</v>
      </c>
      <c r="AB312" s="21">
        <v>43949</v>
      </c>
      <c r="AC312" s="21">
        <v>43941</v>
      </c>
      <c r="AD312" s="21">
        <v>43949</v>
      </c>
      <c r="AE312" s="21">
        <v>43945</v>
      </c>
      <c r="AF312" s="21">
        <v>43945</v>
      </c>
      <c r="AG312" s="22" t="s">
        <v>114</v>
      </c>
      <c r="AH312" s="38">
        <v>1</v>
      </c>
      <c r="AI312" s="38">
        <v>1</v>
      </c>
      <c r="AJ312" s="38">
        <v>1</v>
      </c>
      <c r="AK312" s="22" t="s">
        <v>574</v>
      </c>
      <c r="AL312" s="17"/>
      <c r="AM312" s="17"/>
      <c r="AN312" s="17"/>
      <c r="AO312" t="s">
        <v>941</v>
      </c>
    </row>
    <row r="313" spans="2:41" hidden="1" x14ac:dyDescent="0.25">
      <c r="B313" s="89">
        <f t="shared" si="33"/>
        <v>266</v>
      </c>
      <c r="C313" s="18">
        <v>20200417</v>
      </c>
      <c r="D313" s="17" t="s">
        <v>3</v>
      </c>
      <c r="E313" s="17" t="s">
        <v>729</v>
      </c>
      <c r="F313" s="127" t="s">
        <v>889</v>
      </c>
      <c r="G313" s="19">
        <v>1424417</v>
      </c>
      <c r="H313" s="86" t="s">
        <v>65</v>
      </c>
      <c r="I313" s="134" t="s">
        <v>740</v>
      </c>
      <c r="J313" s="86" t="s">
        <v>65</v>
      </c>
      <c r="K313" s="17" t="s">
        <v>469</v>
      </c>
      <c r="L313" s="17">
        <v>81260</v>
      </c>
      <c r="M313" s="17" t="s">
        <v>732</v>
      </c>
      <c r="N313" s="17" t="s">
        <v>754</v>
      </c>
      <c r="O313" s="19" t="s">
        <v>65</v>
      </c>
      <c r="P313" s="19" t="s">
        <v>749</v>
      </c>
      <c r="Q313" s="20"/>
      <c r="R313" s="86"/>
      <c r="S313" s="17" t="s">
        <v>430</v>
      </c>
      <c r="T313" s="17"/>
      <c r="U313" s="17"/>
      <c r="V313" s="17">
        <v>89</v>
      </c>
      <c r="W313" s="17">
        <f t="shared" si="32"/>
        <v>89</v>
      </c>
      <c r="X313" s="17">
        <f t="shared" si="32"/>
        <v>89</v>
      </c>
      <c r="Y313" s="17">
        <f>ROUNDDOWN(W313/HLOOKUP(D313,Table!$C$3:$D$4,2,0)*8,2)</f>
        <v>1.58</v>
      </c>
      <c r="Z313" s="17">
        <v>1</v>
      </c>
      <c r="AA313" s="17" t="s">
        <v>78</v>
      </c>
      <c r="AB313" s="21">
        <v>43949</v>
      </c>
      <c r="AC313" s="21">
        <v>43941</v>
      </c>
      <c r="AD313" s="21">
        <v>43949</v>
      </c>
      <c r="AE313" s="21">
        <v>43945</v>
      </c>
      <c r="AF313" s="21">
        <v>43945</v>
      </c>
      <c r="AG313" s="22" t="s">
        <v>114</v>
      </c>
      <c r="AH313" s="38">
        <v>1</v>
      </c>
      <c r="AI313" s="38">
        <v>1</v>
      </c>
      <c r="AJ313" s="38">
        <v>1</v>
      </c>
      <c r="AK313" s="22" t="s">
        <v>574</v>
      </c>
      <c r="AL313" s="17"/>
      <c r="AM313" s="17"/>
      <c r="AN313" s="17"/>
      <c r="AO313" t="s">
        <v>941</v>
      </c>
    </row>
    <row r="314" spans="2:41" hidden="1" x14ac:dyDescent="0.25">
      <c r="B314" s="89">
        <f t="shared" si="33"/>
        <v>267</v>
      </c>
      <c r="C314" s="18">
        <v>20200417</v>
      </c>
      <c r="D314" s="17" t="s">
        <v>3</v>
      </c>
      <c r="E314" s="17" t="s">
        <v>729</v>
      </c>
      <c r="F314" s="127" t="s">
        <v>890</v>
      </c>
      <c r="G314" s="19">
        <v>1424417</v>
      </c>
      <c r="H314" s="86" t="s">
        <v>65</v>
      </c>
      <c r="I314" s="134" t="s">
        <v>741</v>
      </c>
      <c r="J314" s="86" t="s">
        <v>65</v>
      </c>
      <c r="K314" s="17" t="s">
        <v>469</v>
      </c>
      <c r="L314" s="17">
        <v>81260</v>
      </c>
      <c r="M314" s="17" t="s">
        <v>732</v>
      </c>
      <c r="N314" s="17" t="s">
        <v>754</v>
      </c>
      <c r="O314" s="19" t="s">
        <v>65</v>
      </c>
      <c r="P314" s="19" t="s">
        <v>749</v>
      </c>
      <c r="Q314" s="20"/>
      <c r="R314" s="86"/>
      <c r="S314" s="17" t="s">
        <v>430</v>
      </c>
      <c r="T314" s="17"/>
      <c r="U314" s="17"/>
      <c r="V314" s="17">
        <v>186</v>
      </c>
      <c r="W314" s="17">
        <f t="shared" si="32"/>
        <v>186</v>
      </c>
      <c r="X314" s="17">
        <f t="shared" si="32"/>
        <v>186</v>
      </c>
      <c r="Y314" s="17">
        <f>ROUNDDOWN(W314/HLOOKUP(D314,Table!$C$3:$D$4,2,0)*8,2)</f>
        <v>3.3</v>
      </c>
      <c r="Z314" s="17">
        <v>2</v>
      </c>
      <c r="AA314" s="17" t="s">
        <v>78</v>
      </c>
      <c r="AB314" s="21">
        <v>43949</v>
      </c>
      <c r="AC314" s="21">
        <v>43941</v>
      </c>
      <c r="AD314" s="21">
        <v>43949</v>
      </c>
      <c r="AE314" s="21">
        <v>43945</v>
      </c>
      <c r="AF314" s="21">
        <v>43945</v>
      </c>
      <c r="AG314" s="22" t="s">
        <v>114</v>
      </c>
      <c r="AH314" s="38">
        <v>1</v>
      </c>
      <c r="AI314" s="38">
        <v>1</v>
      </c>
      <c r="AJ314" s="38">
        <v>1</v>
      </c>
      <c r="AK314" s="22" t="s">
        <v>574</v>
      </c>
      <c r="AL314" s="17"/>
      <c r="AM314" s="17"/>
      <c r="AN314" s="17"/>
      <c r="AO314" t="s">
        <v>941</v>
      </c>
    </row>
    <row r="315" spans="2:41" hidden="1" x14ac:dyDescent="0.25">
      <c r="B315" s="89">
        <f t="shared" si="33"/>
        <v>268</v>
      </c>
      <c r="C315" s="18">
        <v>20200417</v>
      </c>
      <c r="D315" s="17" t="s">
        <v>3</v>
      </c>
      <c r="E315" s="17" t="s">
        <v>729</v>
      </c>
      <c r="F315" s="127" t="s">
        <v>891</v>
      </c>
      <c r="G315" s="19">
        <v>1424417</v>
      </c>
      <c r="H315" s="86" t="s">
        <v>65</v>
      </c>
      <c r="I315" s="134" t="s">
        <v>742</v>
      </c>
      <c r="J315" s="86" t="s">
        <v>65</v>
      </c>
      <c r="K315" s="17" t="s">
        <v>469</v>
      </c>
      <c r="L315" s="17">
        <v>81260</v>
      </c>
      <c r="M315" s="17" t="s">
        <v>732</v>
      </c>
      <c r="N315" s="17" t="s">
        <v>754</v>
      </c>
      <c r="O315" s="19" t="s">
        <v>65</v>
      </c>
      <c r="P315" s="19" t="s">
        <v>749</v>
      </c>
      <c r="Q315" s="20"/>
      <c r="R315" s="86"/>
      <c r="S315" s="17" t="s">
        <v>430</v>
      </c>
      <c r="T315" s="17"/>
      <c r="U315" s="17"/>
      <c r="V315" s="17">
        <v>18</v>
      </c>
      <c r="W315" s="17">
        <f t="shared" si="32"/>
        <v>18</v>
      </c>
      <c r="X315" s="17">
        <f t="shared" si="32"/>
        <v>18</v>
      </c>
      <c r="Y315" s="17">
        <f>ROUNDDOWN(W315/HLOOKUP(D315,Table!$C$3:$D$4,2,0)*8,2)</f>
        <v>0.32</v>
      </c>
      <c r="Z315" s="17">
        <v>0.12</v>
      </c>
      <c r="AA315" s="17" t="s">
        <v>78</v>
      </c>
      <c r="AB315" s="21">
        <v>43949</v>
      </c>
      <c r="AC315" s="21">
        <v>43941</v>
      </c>
      <c r="AD315" s="21">
        <v>43949</v>
      </c>
      <c r="AE315" s="21">
        <v>43948</v>
      </c>
      <c r="AF315" s="21">
        <v>43948</v>
      </c>
      <c r="AG315" s="22" t="s">
        <v>114</v>
      </c>
      <c r="AH315" s="38">
        <v>1</v>
      </c>
      <c r="AI315" s="38">
        <v>1</v>
      </c>
      <c r="AJ315" s="38">
        <v>1</v>
      </c>
      <c r="AK315" s="22" t="s">
        <v>574</v>
      </c>
      <c r="AL315" s="17"/>
      <c r="AM315" s="17"/>
      <c r="AN315" s="17"/>
      <c r="AO315" t="s">
        <v>941</v>
      </c>
    </row>
    <row r="316" spans="2:41" hidden="1" x14ac:dyDescent="0.25">
      <c r="B316" s="89">
        <f t="shared" si="33"/>
        <v>269</v>
      </c>
      <c r="C316" s="18">
        <v>20200417</v>
      </c>
      <c r="D316" s="17" t="s">
        <v>3</v>
      </c>
      <c r="E316" s="17" t="s">
        <v>729</v>
      </c>
      <c r="F316" s="127" t="s">
        <v>892</v>
      </c>
      <c r="G316" s="19">
        <v>1424417</v>
      </c>
      <c r="H316" s="86" t="s">
        <v>65</v>
      </c>
      <c r="I316" s="134" t="s">
        <v>690</v>
      </c>
      <c r="J316" s="86" t="s">
        <v>65</v>
      </c>
      <c r="K316" s="17" t="s">
        <v>469</v>
      </c>
      <c r="L316" s="17">
        <v>81260</v>
      </c>
      <c r="M316" s="17" t="s">
        <v>732</v>
      </c>
      <c r="N316" s="17" t="s">
        <v>754</v>
      </c>
      <c r="O316" s="19" t="s">
        <v>65</v>
      </c>
      <c r="P316" s="19" t="s">
        <v>749</v>
      </c>
      <c r="Q316" s="20"/>
      <c r="R316" s="86"/>
      <c r="S316" s="17" t="s">
        <v>430</v>
      </c>
      <c r="T316" s="17"/>
      <c r="U316" s="17"/>
      <c r="V316" s="17">
        <v>124</v>
      </c>
      <c r="W316" s="17">
        <f t="shared" si="32"/>
        <v>124</v>
      </c>
      <c r="X316" s="17">
        <f t="shared" si="32"/>
        <v>124</v>
      </c>
      <c r="Y316" s="17">
        <f>ROUNDDOWN(W316/HLOOKUP(D316,Table!$C$3:$D$4,2,0)*8,2)</f>
        <v>2.2000000000000002</v>
      </c>
      <c r="Z316" s="17">
        <v>1</v>
      </c>
      <c r="AA316" s="17" t="s">
        <v>97</v>
      </c>
      <c r="AB316" s="21">
        <v>43949</v>
      </c>
      <c r="AC316" s="21">
        <v>43941</v>
      </c>
      <c r="AD316" s="21">
        <v>43949</v>
      </c>
      <c r="AE316" s="21">
        <v>43948</v>
      </c>
      <c r="AF316" s="21">
        <v>43948</v>
      </c>
      <c r="AG316" s="22" t="s">
        <v>115</v>
      </c>
      <c r="AH316" s="38">
        <v>1</v>
      </c>
      <c r="AI316" s="38">
        <v>1</v>
      </c>
      <c r="AJ316" s="38">
        <v>0.5</v>
      </c>
      <c r="AK316" s="22" t="s">
        <v>354</v>
      </c>
      <c r="AL316" s="159" t="s">
        <v>951</v>
      </c>
      <c r="AM316" s="17"/>
      <c r="AN316" s="17" t="s">
        <v>953</v>
      </c>
      <c r="AO316" t="s">
        <v>941</v>
      </c>
    </row>
    <row r="317" spans="2:41" hidden="1" x14ac:dyDescent="0.25">
      <c r="B317" s="89">
        <f t="shared" si="33"/>
        <v>270</v>
      </c>
      <c r="C317" s="18">
        <v>20200417</v>
      </c>
      <c r="D317" s="17" t="s">
        <v>3</v>
      </c>
      <c r="E317" s="17" t="s">
        <v>729</v>
      </c>
      <c r="F317" s="127" t="s">
        <v>893</v>
      </c>
      <c r="G317" s="19">
        <v>1424417</v>
      </c>
      <c r="H317" s="86" t="s">
        <v>65</v>
      </c>
      <c r="I317" s="134" t="s">
        <v>691</v>
      </c>
      <c r="J317" s="86" t="s">
        <v>65</v>
      </c>
      <c r="K317" s="17" t="s">
        <v>469</v>
      </c>
      <c r="L317" s="17">
        <v>81260</v>
      </c>
      <c r="M317" s="17" t="s">
        <v>732</v>
      </c>
      <c r="N317" s="17" t="s">
        <v>754</v>
      </c>
      <c r="O317" s="19" t="s">
        <v>65</v>
      </c>
      <c r="P317" s="19" t="s">
        <v>749</v>
      </c>
      <c r="Q317" s="20"/>
      <c r="R317" s="86"/>
      <c r="S317" s="17" t="s">
        <v>430</v>
      </c>
      <c r="T317" s="17"/>
      <c r="U317" s="17"/>
      <c r="V317" s="17">
        <v>154</v>
      </c>
      <c r="W317" s="17">
        <f t="shared" si="32"/>
        <v>154</v>
      </c>
      <c r="X317" s="17">
        <f t="shared" si="32"/>
        <v>154</v>
      </c>
      <c r="Y317" s="17">
        <f>ROUNDDOWN(W317/HLOOKUP(D317,Table!$C$3:$D$4,2,0)*8,2)</f>
        <v>2.73</v>
      </c>
      <c r="Z317" s="17">
        <v>1</v>
      </c>
      <c r="AA317" s="17" t="s">
        <v>97</v>
      </c>
      <c r="AB317" s="21">
        <v>43949</v>
      </c>
      <c r="AC317" s="21">
        <v>43941</v>
      </c>
      <c r="AD317" s="21">
        <v>43949</v>
      </c>
      <c r="AE317" s="21">
        <v>43948</v>
      </c>
      <c r="AF317" s="21">
        <v>43948</v>
      </c>
      <c r="AG317" s="22" t="s">
        <v>115</v>
      </c>
      <c r="AH317" s="38">
        <v>0.93</v>
      </c>
      <c r="AI317" s="38">
        <v>0.8</v>
      </c>
      <c r="AJ317" s="38">
        <v>1</v>
      </c>
      <c r="AK317" s="22" t="s">
        <v>354</v>
      </c>
      <c r="AL317" s="160" t="s">
        <v>950</v>
      </c>
      <c r="AM317" s="17"/>
      <c r="AN317" s="17" t="s">
        <v>953</v>
      </c>
      <c r="AO317" t="s">
        <v>941</v>
      </c>
    </row>
    <row r="318" spans="2:41" hidden="1" x14ac:dyDescent="0.25">
      <c r="B318" s="89">
        <f t="shared" si="33"/>
        <v>271</v>
      </c>
      <c r="C318" s="18">
        <v>20200417</v>
      </c>
      <c r="D318" s="17" t="s">
        <v>3</v>
      </c>
      <c r="E318" s="17" t="s">
        <v>729</v>
      </c>
      <c r="F318" s="127" t="s">
        <v>894</v>
      </c>
      <c r="G318" s="19">
        <v>1424417</v>
      </c>
      <c r="H318" s="86" t="s">
        <v>65</v>
      </c>
      <c r="I318" s="134" t="s">
        <v>743</v>
      </c>
      <c r="J318" s="86" t="s">
        <v>65</v>
      </c>
      <c r="K318" s="17" t="s">
        <v>469</v>
      </c>
      <c r="L318" s="17">
        <v>81260</v>
      </c>
      <c r="M318" s="17" t="s">
        <v>732</v>
      </c>
      <c r="N318" s="17" t="s">
        <v>754</v>
      </c>
      <c r="O318" s="19" t="s">
        <v>65</v>
      </c>
      <c r="P318" s="19" t="s">
        <v>749</v>
      </c>
      <c r="Q318" s="20"/>
      <c r="R318" s="86"/>
      <c r="S318" s="17" t="s">
        <v>430</v>
      </c>
      <c r="T318" s="17"/>
      <c r="U318" s="17"/>
      <c r="V318" s="17">
        <v>135</v>
      </c>
      <c r="W318" s="17">
        <f t="shared" si="32"/>
        <v>135</v>
      </c>
      <c r="X318" s="17">
        <f t="shared" si="32"/>
        <v>135</v>
      </c>
      <c r="Y318" s="17">
        <f>ROUNDDOWN(W318/HLOOKUP(D318,Table!$C$3:$D$4,2,0)*8,2)</f>
        <v>2.4</v>
      </c>
      <c r="Z318" s="17">
        <v>1</v>
      </c>
      <c r="AA318" s="17" t="s">
        <v>78</v>
      </c>
      <c r="AB318" s="21">
        <v>43949</v>
      </c>
      <c r="AC318" s="21">
        <v>43941</v>
      </c>
      <c r="AD318" s="21">
        <v>43949</v>
      </c>
      <c r="AE318" s="21">
        <v>43948</v>
      </c>
      <c r="AF318" s="21">
        <v>43948</v>
      </c>
      <c r="AG318" s="22" t="s">
        <v>114</v>
      </c>
      <c r="AH318" s="38">
        <v>1</v>
      </c>
      <c r="AI318" s="38">
        <v>1</v>
      </c>
      <c r="AJ318" s="38">
        <v>1</v>
      </c>
      <c r="AK318" s="22" t="s">
        <v>574</v>
      </c>
      <c r="AL318" s="17"/>
      <c r="AM318" s="17"/>
      <c r="AN318" s="17"/>
      <c r="AO318" t="s">
        <v>941</v>
      </c>
    </row>
    <row r="319" spans="2:41" hidden="1" x14ac:dyDescent="0.25">
      <c r="B319" s="89">
        <f t="shared" si="33"/>
        <v>272</v>
      </c>
      <c r="C319" s="18">
        <v>20200417</v>
      </c>
      <c r="D319" s="17" t="s">
        <v>3</v>
      </c>
      <c r="E319" s="17" t="s">
        <v>729</v>
      </c>
      <c r="F319" s="127" t="s">
        <v>895</v>
      </c>
      <c r="G319" s="19">
        <v>1424417</v>
      </c>
      <c r="H319" s="86" t="s">
        <v>65</v>
      </c>
      <c r="I319" s="17" t="s">
        <v>744</v>
      </c>
      <c r="J319" s="86" t="s">
        <v>65</v>
      </c>
      <c r="K319" s="17" t="s">
        <v>469</v>
      </c>
      <c r="L319" s="17">
        <v>81260</v>
      </c>
      <c r="M319" s="17" t="s">
        <v>732</v>
      </c>
      <c r="N319" s="17" t="s">
        <v>754</v>
      </c>
      <c r="O319" s="19" t="s">
        <v>65</v>
      </c>
      <c r="P319" s="19" t="s">
        <v>749</v>
      </c>
      <c r="Q319" s="20"/>
      <c r="R319" s="86"/>
      <c r="S319" s="17" t="s">
        <v>70</v>
      </c>
      <c r="T319" s="17"/>
      <c r="U319" s="17"/>
      <c r="V319" s="17">
        <v>178</v>
      </c>
      <c r="W319" s="17">
        <f t="shared" si="32"/>
        <v>178</v>
      </c>
      <c r="X319" s="17">
        <v>178</v>
      </c>
      <c r="Y319" s="17">
        <f>ROUNDDOWN(W319/HLOOKUP(D319,Table!$C$3:$D$4,2,0)*8,2)</f>
        <v>3.16</v>
      </c>
      <c r="Z319" s="17">
        <v>1</v>
      </c>
      <c r="AA319" s="17" t="s">
        <v>78</v>
      </c>
      <c r="AB319" s="21">
        <v>43949</v>
      </c>
      <c r="AC319" s="21">
        <v>43941</v>
      </c>
      <c r="AD319" s="21">
        <v>43949</v>
      </c>
      <c r="AE319" s="21">
        <v>43943</v>
      </c>
      <c r="AF319" s="21">
        <v>43943</v>
      </c>
      <c r="AG319" s="22" t="s">
        <v>114</v>
      </c>
      <c r="AH319" s="39" t="s">
        <v>65</v>
      </c>
      <c r="AI319" s="39" t="s">
        <v>65</v>
      </c>
      <c r="AJ319" s="39" t="s">
        <v>65</v>
      </c>
      <c r="AK319" s="22" t="s">
        <v>574</v>
      </c>
      <c r="AL319" s="17"/>
      <c r="AM319" s="17"/>
      <c r="AN319" s="17" t="s">
        <v>718</v>
      </c>
      <c r="AO319" t="s">
        <v>941</v>
      </c>
    </row>
    <row r="320" spans="2:41" hidden="1" x14ac:dyDescent="0.25">
      <c r="B320" s="89">
        <f t="shared" si="33"/>
        <v>273</v>
      </c>
      <c r="C320" s="18">
        <v>20200417</v>
      </c>
      <c r="D320" s="17" t="s">
        <v>3</v>
      </c>
      <c r="E320" s="17" t="s">
        <v>729</v>
      </c>
      <c r="F320" s="127" t="s">
        <v>896</v>
      </c>
      <c r="G320" s="19">
        <v>1424417</v>
      </c>
      <c r="H320" s="86" t="s">
        <v>65</v>
      </c>
      <c r="I320" s="17" t="s">
        <v>692</v>
      </c>
      <c r="J320" s="86" t="s">
        <v>65</v>
      </c>
      <c r="K320" s="17" t="s">
        <v>469</v>
      </c>
      <c r="L320" s="17">
        <v>81260</v>
      </c>
      <c r="M320" s="17" t="s">
        <v>732</v>
      </c>
      <c r="N320" s="17" t="s">
        <v>754</v>
      </c>
      <c r="O320" s="19" t="s">
        <v>65</v>
      </c>
      <c r="P320" s="19" t="s">
        <v>749</v>
      </c>
      <c r="Q320" s="20"/>
      <c r="R320" s="86"/>
      <c r="S320" s="17" t="s">
        <v>70</v>
      </c>
      <c r="T320" s="17"/>
      <c r="U320" s="17"/>
      <c r="V320" s="17">
        <v>71</v>
      </c>
      <c r="W320" s="17">
        <f t="shared" si="32"/>
        <v>71</v>
      </c>
      <c r="X320" s="17">
        <v>71</v>
      </c>
      <c r="Y320" s="17">
        <f>ROUNDDOWN(W320/HLOOKUP(D320,Table!$C$3:$D$4,2,0)*8,2)</f>
        <v>1.26</v>
      </c>
      <c r="Z320" s="17">
        <v>1</v>
      </c>
      <c r="AA320" s="17" t="s">
        <v>78</v>
      </c>
      <c r="AB320" s="21">
        <v>43949</v>
      </c>
      <c r="AC320" s="21">
        <v>43941</v>
      </c>
      <c r="AD320" s="21">
        <v>43949</v>
      </c>
      <c r="AE320" s="21">
        <v>43943</v>
      </c>
      <c r="AF320" s="21">
        <v>43943</v>
      </c>
      <c r="AG320" s="22" t="s">
        <v>114</v>
      </c>
      <c r="AH320" s="38">
        <v>1</v>
      </c>
      <c r="AI320" s="38">
        <v>1</v>
      </c>
      <c r="AJ320" s="38">
        <v>1</v>
      </c>
      <c r="AK320" s="22" t="s">
        <v>574</v>
      </c>
      <c r="AL320" s="17"/>
      <c r="AM320" s="17"/>
      <c r="AN320" s="17"/>
      <c r="AO320" t="s">
        <v>941</v>
      </c>
    </row>
    <row r="321" spans="2:41" hidden="1" x14ac:dyDescent="0.25">
      <c r="B321" s="89">
        <f t="shared" si="33"/>
        <v>274</v>
      </c>
      <c r="C321" s="18">
        <v>20200417</v>
      </c>
      <c r="D321" s="17" t="s">
        <v>3</v>
      </c>
      <c r="E321" s="17" t="s">
        <v>729</v>
      </c>
      <c r="F321" s="127" t="s">
        <v>897</v>
      </c>
      <c r="G321" s="19">
        <v>1424417</v>
      </c>
      <c r="H321" s="86" t="s">
        <v>65</v>
      </c>
      <c r="I321" s="17" t="s">
        <v>745</v>
      </c>
      <c r="J321" s="86" t="s">
        <v>65</v>
      </c>
      <c r="K321" s="17" t="s">
        <v>469</v>
      </c>
      <c r="L321" s="17">
        <v>81260</v>
      </c>
      <c r="M321" s="17" t="s">
        <v>732</v>
      </c>
      <c r="N321" s="17" t="s">
        <v>754</v>
      </c>
      <c r="O321" s="19" t="s">
        <v>65</v>
      </c>
      <c r="P321" s="19" t="s">
        <v>749</v>
      </c>
      <c r="Q321" s="20"/>
      <c r="R321" s="86"/>
      <c r="S321" s="17" t="s">
        <v>70</v>
      </c>
      <c r="T321" s="17"/>
      <c r="U321" s="17"/>
      <c r="V321" s="17">
        <v>326</v>
      </c>
      <c r="W321" s="17">
        <f t="shared" si="32"/>
        <v>326</v>
      </c>
      <c r="X321" s="17">
        <v>326</v>
      </c>
      <c r="Y321" s="17">
        <f>ROUNDDOWN(W321/HLOOKUP(D321,Table!$C$3:$D$4,2,0)*8,2)</f>
        <v>5.79</v>
      </c>
      <c r="Z321" s="17">
        <v>1</v>
      </c>
      <c r="AA321" s="17" t="s">
        <v>78</v>
      </c>
      <c r="AB321" s="21">
        <v>43949</v>
      </c>
      <c r="AC321" s="21">
        <v>43941</v>
      </c>
      <c r="AD321" s="21">
        <v>43949</v>
      </c>
      <c r="AE321" s="21">
        <v>43943</v>
      </c>
      <c r="AF321" s="21">
        <v>43943</v>
      </c>
      <c r="AG321" s="22" t="s">
        <v>114</v>
      </c>
      <c r="AH321" s="38">
        <v>1</v>
      </c>
      <c r="AI321" s="38">
        <v>1</v>
      </c>
      <c r="AJ321" s="38">
        <v>1</v>
      </c>
      <c r="AK321" s="22" t="s">
        <v>574</v>
      </c>
      <c r="AL321" s="17"/>
      <c r="AM321" s="17"/>
      <c r="AN321" s="17"/>
      <c r="AO321" t="s">
        <v>941</v>
      </c>
    </row>
    <row r="322" spans="2:41" hidden="1" x14ac:dyDescent="0.25">
      <c r="B322" s="89">
        <f t="shared" si="33"/>
        <v>275</v>
      </c>
      <c r="C322" s="18">
        <v>20200417</v>
      </c>
      <c r="D322" s="17" t="s">
        <v>3</v>
      </c>
      <c r="E322" s="17" t="s">
        <v>729</v>
      </c>
      <c r="F322" s="127" t="s">
        <v>898</v>
      </c>
      <c r="G322" s="19">
        <v>1424417</v>
      </c>
      <c r="H322" s="86" t="s">
        <v>65</v>
      </c>
      <c r="I322" s="17" t="s">
        <v>746</v>
      </c>
      <c r="J322" s="86" t="s">
        <v>65</v>
      </c>
      <c r="K322" s="17" t="s">
        <v>469</v>
      </c>
      <c r="L322" s="17">
        <v>81260</v>
      </c>
      <c r="M322" s="17" t="s">
        <v>732</v>
      </c>
      <c r="N322" s="17" t="s">
        <v>754</v>
      </c>
      <c r="O322" s="19" t="s">
        <v>65</v>
      </c>
      <c r="P322" s="19" t="s">
        <v>749</v>
      </c>
      <c r="Q322" s="20"/>
      <c r="R322" s="86"/>
      <c r="S322" s="17" t="s">
        <v>70</v>
      </c>
      <c r="T322" s="17"/>
      <c r="U322" s="17"/>
      <c r="V322" s="17">
        <v>112</v>
      </c>
      <c r="W322" s="17">
        <f t="shared" si="32"/>
        <v>112</v>
      </c>
      <c r="X322" s="17">
        <v>112</v>
      </c>
      <c r="Y322" s="17">
        <f>ROUNDDOWN(W322/HLOOKUP(D322,Table!$C$3:$D$4,2,0)*8,2)</f>
        <v>1.99</v>
      </c>
      <c r="Z322" s="17">
        <v>1</v>
      </c>
      <c r="AA322" s="17" t="s">
        <v>78</v>
      </c>
      <c r="AB322" s="21">
        <v>43949</v>
      </c>
      <c r="AC322" s="21">
        <v>43941</v>
      </c>
      <c r="AD322" s="21">
        <v>43949</v>
      </c>
      <c r="AE322" s="21">
        <v>43943</v>
      </c>
      <c r="AF322" s="21">
        <v>43943</v>
      </c>
      <c r="AG322" s="22" t="s">
        <v>114</v>
      </c>
      <c r="AH322" s="38">
        <v>1</v>
      </c>
      <c r="AI322" s="38">
        <v>1</v>
      </c>
      <c r="AJ322" s="38">
        <v>1</v>
      </c>
      <c r="AK322" s="22" t="s">
        <v>574</v>
      </c>
      <c r="AL322" s="17"/>
      <c r="AM322" s="17"/>
      <c r="AN322" s="17"/>
      <c r="AO322" t="s">
        <v>941</v>
      </c>
    </row>
    <row r="323" spans="2:41" hidden="1" x14ac:dyDescent="0.25">
      <c r="B323" s="89">
        <f t="shared" si="33"/>
        <v>276</v>
      </c>
      <c r="C323" s="18">
        <v>20200417</v>
      </c>
      <c r="D323" s="17" t="s">
        <v>3</v>
      </c>
      <c r="E323" s="17" t="s">
        <v>729</v>
      </c>
      <c r="F323" s="127" t="s">
        <v>899</v>
      </c>
      <c r="G323" s="19">
        <v>1424417</v>
      </c>
      <c r="H323" s="86" t="s">
        <v>65</v>
      </c>
      <c r="I323" s="17" t="s">
        <v>747</v>
      </c>
      <c r="J323" s="86" t="s">
        <v>65</v>
      </c>
      <c r="K323" s="17" t="s">
        <v>469</v>
      </c>
      <c r="L323" s="17">
        <v>81260</v>
      </c>
      <c r="M323" s="17" t="s">
        <v>732</v>
      </c>
      <c r="N323" s="17" t="s">
        <v>754</v>
      </c>
      <c r="O323" s="19" t="s">
        <v>65</v>
      </c>
      <c r="P323" s="19" t="s">
        <v>749</v>
      </c>
      <c r="Q323" s="20"/>
      <c r="R323" s="86"/>
      <c r="S323" s="17" t="s">
        <v>70</v>
      </c>
      <c r="T323" s="17"/>
      <c r="U323" s="17"/>
      <c r="V323" s="17">
        <v>135</v>
      </c>
      <c r="W323" s="17">
        <f t="shared" si="32"/>
        <v>135</v>
      </c>
      <c r="X323" s="17">
        <v>135</v>
      </c>
      <c r="Y323" s="17">
        <f>ROUNDDOWN(W323/HLOOKUP(D323,Table!$C$3:$D$4,2,0)*8,2)</f>
        <v>2.4</v>
      </c>
      <c r="Z323" s="17">
        <v>1</v>
      </c>
      <c r="AA323" s="17" t="s">
        <v>78</v>
      </c>
      <c r="AB323" s="21">
        <v>43949</v>
      </c>
      <c r="AC323" s="21">
        <v>43941</v>
      </c>
      <c r="AD323" s="21">
        <v>43949</v>
      </c>
      <c r="AE323" s="21">
        <v>43943</v>
      </c>
      <c r="AF323" s="21">
        <v>43943</v>
      </c>
      <c r="AG323" s="22" t="s">
        <v>115</v>
      </c>
      <c r="AH323" s="38">
        <v>1</v>
      </c>
      <c r="AI323" s="38">
        <v>0.9</v>
      </c>
      <c r="AJ323" s="38">
        <v>0.5</v>
      </c>
      <c r="AK323" s="22" t="s">
        <v>354</v>
      </c>
      <c r="AL323" s="17" t="s">
        <v>934</v>
      </c>
      <c r="AM323" s="17"/>
      <c r="AN323" s="17" t="s">
        <v>954</v>
      </c>
      <c r="AO323" t="s">
        <v>941</v>
      </c>
    </row>
    <row r="324" spans="2:41" hidden="1" x14ac:dyDescent="0.25">
      <c r="B324" s="116">
        <f t="shared" si="33"/>
        <v>277</v>
      </c>
      <c r="C324" s="18">
        <v>20200420</v>
      </c>
      <c r="D324" s="17" t="s">
        <v>3</v>
      </c>
      <c r="E324" s="17" t="s">
        <v>763</v>
      </c>
      <c r="F324" s="127" t="s">
        <v>906</v>
      </c>
      <c r="G324" s="19">
        <v>1426302</v>
      </c>
      <c r="H324" s="86" t="s">
        <v>65</v>
      </c>
      <c r="I324" s="17" t="s">
        <v>766</v>
      </c>
      <c r="J324" s="86" t="s">
        <v>65</v>
      </c>
      <c r="K324" s="90" t="s">
        <v>612</v>
      </c>
      <c r="L324" s="17">
        <v>99180</v>
      </c>
      <c r="M324" s="17" t="s">
        <v>774</v>
      </c>
      <c r="N324" s="17" t="s">
        <v>777</v>
      </c>
      <c r="O324" s="19" t="s">
        <v>65</v>
      </c>
      <c r="P324" s="19" t="s">
        <v>779</v>
      </c>
      <c r="Q324" s="20"/>
      <c r="R324" s="86"/>
      <c r="S324" s="17" t="s">
        <v>72</v>
      </c>
      <c r="T324" s="17"/>
      <c r="U324" s="17"/>
      <c r="V324" s="17">
        <v>260</v>
      </c>
      <c r="W324" s="17">
        <f t="shared" si="32"/>
        <v>260</v>
      </c>
      <c r="X324" s="17">
        <f>W324</f>
        <v>260</v>
      </c>
      <c r="Y324" s="17">
        <f>ROUNDDOWN(W324/HLOOKUP(D324,Table!$C$3:$D$4,2,0)*8,2)</f>
        <v>4.62</v>
      </c>
      <c r="Z324" s="17">
        <v>2</v>
      </c>
      <c r="AA324" s="17" t="s">
        <v>78</v>
      </c>
      <c r="AB324" s="21">
        <v>43948</v>
      </c>
      <c r="AC324" s="21">
        <v>43941</v>
      </c>
      <c r="AD324" s="21">
        <v>43950</v>
      </c>
      <c r="AE324" s="21">
        <v>43948</v>
      </c>
      <c r="AF324" s="21">
        <v>43948</v>
      </c>
      <c r="AG324" s="22" t="s">
        <v>114</v>
      </c>
      <c r="AH324" s="38">
        <v>1</v>
      </c>
      <c r="AI324" s="38">
        <v>1</v>
      </c>
      <c r="AJ324" s="38">
        <v>1</v>
      </c>
      <c r="AK324" s="22" t="s">
        <v>574</v>
      </c>
      <c r="AL324" s="17"/>
      <c r="AM324" s="17"/>
      <c r="AN324" s="17"/>
      <c r="AO324" t="s">
        <v>941</v>
      </c>
    </row>
    <row r="325" spans="2:41" hidden="1" x14ac:dyDescent="0.25">
      <c r="B325" s="116">
        <f t="shared" si="33"/>
        <v>278</v>
      </c>
      <c r="C325" s="18">
        <v>20200420</v>
      </c>
      <c r="D325" s="17" t="s">
        <v>3</v>
      </c>
      <c r="E325" s="17" t="s">
        <v>763</v>
      </c>
      <c r="F325" s="127" t="s">
        <v>907</v>
      </c>
      <c r="G325" s="19">
        <v>1426302</v>
      </c>
      <c r="H325" s="86" t="s">
        <v>65</v>
      </c>
      <c r="I325" s="17" t="s">
        <v>767</v>
      </c>
      <c r="J325" s="86" t="s">
        <v>65</v>
      </c>
      <c r="K325" s="90" t="s">
        <v>612</v>
      </c>
      <c r="L325" s="17">
        <v>99180</v>
      </c>
      <c r="M325" s="17" t="s">
        <v>774</v>
      </c>
      <c r="N325" s="17" t="s">
        <v>777</v>
      </c>
      <c r="O325" s="19" t="s">
        <v>65</v>
      </c>
      <c r="P325" s="19" t="s">
        <v>779</v>
      </c>
      <c r="Q325" s="20"/>
      <c r="R325" s="86"/>
      <c r="S325" s="17" t="s">
        <v>72</v>
      </c>
      <c r="T325" s="17"/>
      <c r="U325" s="17"/>
      <c r="V325" s="17">
        <v>330</v>
      </c>
      <c r="W325" s="17">
        <f t="shared" si="32"/>
        <v>330</v>
      </c>
      <c r="X325" s="17">
        <f t="shared" ref="X325:X329" si="34">W325</f>
        <v>330</v>
      </c>
      <c r="Y325" s="17">
        <f>ROUNDDOWN(W325/HLOOKUP(D325,Table!$C$3:$D$4,2,0)*8,2)</f>
        <v>5.86</v>
      </c>
      <c r="Z325" s="17">
        <v>1</v>
      </c>
      <c r="AA325" s="17" t="s">
        <v>78</v>
      </c>
      <c r="AB325" s="21">
        <v>43948</v>
      </c>
      <c r="AC325" s="21">
        <v>43941</v>
      </c>
      <c r="AD325" s="21">
        <v>43950</v>
      </c>
      <c r="AE325" s="21">
        <v>43948</v>
      </c>
      <c r="AF325" s="21">
        <v>43948</v>
      </c>
      <c r="AG325" s="22" t="s">
        <v>114</v>
      </c>
      <c r="AH325" s="38">
        <v>1</v>
      </c>
      <c r="AI325" s="38">
        <v>1</v>
      </c>
      <c r="AJ325" s="38">
        <v>1</v>
      </c>
      <c r="AK325" s="22" t="s">
        <v>574</v>
      </c>
      <c r="AL325" s="17"/>
      <c r="AM325" s="17"/>
      <c r="AN325" s="17"/>
      <c r="AO325" t="s">
        <v>941</v>
      </c>
    </row>
    <row r="326" spans="2:41" hidden="1" x14ac:dyDescent="0.25">
      <c r="B326" s="116">
        <f t="shared" si="33"/>
        <v>279</v>
      </c>
      <c r="C326" s="18">
        <v>20200420</v>
      </c>
      <c r="D326" s="17" t="s">
        <v>3</v>
      </c>
      <c r="E326" s="17" t="s">
        <v>633</v>
      </c>
      <c r="F326" s="127" t="s">
        <v>908</v>
      </c>
      <c r="G326" s="19">
        <v>1425475</v>
      </c>
      <c r="H326" s="86" t="s">
        <v>65</v>
      </c>
      <c r="I326" s="17" t="s">
        <v>768</v>
      </c>
      <c r="J326" s="86" t="s">
        <v>65</v>
      </c>
      <c r="K326" s="90" t="s">
        <v>612</v>
      </c>
      <c r="L326" s="17" t="s">
        <v>799</v>
      </c>
      <c r="M326" s="17" t="s">
        <v>648</v>
      </c>
      <c r="N326" s="17" t="s">
        <v>708</v>
      </c>
      <c r="O326" s="19" t="s">
        <v>65</v>
      </c>
      <c r="P326" s="19" t="s">
        <v>780</v>
      </c>
      <c r="Q326" s="20"/>
      <c r="R326" s="86"/>
      <c r="S326" s="17" t="s">
        <v>72</v>
      </c>
      <c r="T326" s="17"/>
      <c r="U326" s="17"/>
      <c r="V326" s="17">
        <v>83</v>
      </c>
      <c r="W326" s="17">
        <f t="shared" si="32"/>
        <v>83</v>
      </c>
      <c r="X326" s="17">
        <f t="shared" si="34"/>
        <v>83</v>
      </c>
      <c r="Y326" s="17">
        <f>ROUNDDOWN(W326/HLOOKUP(D326,Table!$C$3:$D$4,2,0)*8,2)</f>
        <v>1.47</v>
      </c>
      <c r="Z326" s="17">
        <v>1</v>
      </c>
      <c r="AA326" s="17" t="s">
        <v>78</v>
      </c>
      <c r="AB326" s="21">
        <v>43948</v>
      </c>
      <c r="AC326" s="21">
        <v>43941</v>
      </c>
      <c r="AD326" s="21">
        <v>43950</v>
      </c>
      <c r="AE326" s="21">
        <v>43948</v>
      </c>
      <c r="AF326" s="21">
        <v>43948</v>
      </c>
      <c r="AG326" s="22" t="s">
        <v>114</v>
      </c>
      <c r="AH326" s="38">
        <v>1</v>
      </c>
      <c r="AI326" s="38">
        <v>1</v>
      </c>
      <c r="AJ326" s="38">
        <v>1</v>
      </c>
      <c r="AK326" s="22" t="s">
        <v>574</v>
      </c>
      <c r="AL326" s="17"/>
      <c r="AM326" s="17"/>
      <c r="AN326" s="17"/>
      <c r="AO326" t="s">
        <v>941</v>
      </c>
    </row>
    <row r="327" spans="2:41" hidden="1" x14ac:dyDescent="0.25">
      <c r="B327" s="116">
        <f t="shared" si="33"/>
        <v>280</v>
      </c>
      <c r="C327" s="18">
        <v>20200420</v>
      </c>
      <c r="D327" s="17" t="s">
        <v>3</v>
      </c>
      <c r="E327" s="17" t="s">
        <v>633</v>
      </c>
      <c r="F327" s="127" t="s">
        <v>909</v>
      </c>
      <c r="G327" s="19">
        <v>1425475</v>
      </c>
      <c r="H327" s="86" t="s">
        <v>65</v>
      </c>
      <c r="I327" s="17" t="s">
        <v>768</v>
      </c>
      <c r="J327" s="86" t="s">
        <v>65</v>
      </c>
      <c r="K327" s="90" t="s">
        <v>612</v>
      </c>
      <c r="L327" s="17" t="s">
        <v>799</v>
      </c>
      <c r="M327" s="17" t="s">
        <v>648</v>
      </c>
      <c r="N327" s="17" t="s">
        <v>708</v>
      </c>
      <c r="O327" s="19" t="s">
        <v>65</v>
      </c>
      <c r="P327" s="19" t="s">
        <v>780</v>
      </c>
      <c r="Q327" s="20"/>
      <c r="R327" s="86"/>
      <c r="S327" s="17" t="s">
        <v>72</v>
      </c>
      <c r="T327" s="17"/>
      <c r="U327" s="17"/>
      <c r="V327" s="17">
        <v>80</v>
      </c>
      <c r="W327" s="17">
        <f t="shared" si="32"/>
        <v>80</v>
      </c>
      <c r="X327" s="17">
        <f t="shared" si="34"/>
        <v>80</v>
      </c>
      <c r="Y327" s="17">
        <f>ROUNDDOWN(W327/HLOOKUP(D327,Table!$C$3:$D$4,2,0)*8,2)</f>
        <v>1.42</v>
      </c>
      <c r="Z327" s="17">
        <v>1</v>
      </c>
      <c r="AA327" s="17" t="s">
        <v>78</v>
      </c>
      <c r="AB327" s="21">
        <v>43948</v>
      </c>
      <c r="AC327" s="21">
        <v>43941</v>
      </c>
      <c r="AD327" s="21">
        <v>43950</v>
      </c>
      <c r="AE327" s="21">
        <v>43948</v>
      </c>
      <c r="AF327" s="21">
        <v>43948</v>
      </c>
      <c r="AG327" s="22" t="s">
        <v>114</v>
      </c>
      <c r="AH327" s="38">
        <v>1</v>
      </c>
      <c r="AI327" s="38">
        <v>1</v>
      </c>
      <c r="AJ327" s="38">
        <v>1</v>
      </c>
      <c r="AK327" s="22" t="s">
        <v>574</v>
      </c>
      <c r="AL327" s="17"/>
      <c r="AM327" s="17"/>
      <c r="AN327" s="17"/>
      <c r="AO327" t="s">
        <v>941</v>
      </c>
    </row>
    <row r="328" spans="2:41" hidden="1" x14ac:dyDescent="0.25">
      <c r="B328" s="116">
        <f t="shared" si="33"/>
        <v>281</v>
      </c>
      <c r="C328" s="18">
        <v>20200420</v>
      </c>
      <c r="D328" s="17" t="s">
        <v>3</v>
      </c>
      <c r="E328" s="17" t="s">
        <v>633</v>
      </c>
      <c r="F328" s="127" t="s">
        <v>910</v>
      </c>
      <c r="G328" s="19">
        <v>1425475</v>
      </c>
      <c r="H328" s="86" t="s">
        <v>65</v>
      </c>
      <c r="I328" s="17" t="s">
        <v>768</v>
      </c>
      <c r="J328" s="86" t="s">
        <v>65</v>
      </c>
      <c r="K328" s="90" t="s">
        <v>612</v>
      </c>
      <c r="L328" s="17" t="s">
        <v>799</v>
      </c>
      <c r="M328" s="17" t="s">
        <v>648</v>
      </c>
      <c r="N328" s="17" t="s">
        <v>708</v>
      </c>
      <c r="O328" s="19" t="s">
        <v>65</v>
      </c>
      <c r="P328" s="19" t="s">
        <v>780</v>
      </c>
      <c r="Q328" s="20"/>
      <c r="R328" s="86"/>
      <c r="S328" s="17" t="s">
        <v>72</v>
      </c>
      <c r="T328" s="17"/>
      <c r="U328" s="17"/>
      <c r="V328" s="17">
        <v>59</v>
      </c>
      <c r="W328" s="17">
        <f t="shared" si="32"/>
        <v>59</v>
      </c>
      <c r="X328" s="17">
        <f t="shared" si="34"/>
        <v>59</v>
      </c>
      <c r="Y328" s="17">
        <f>ROUNDDOWN(W328/HLOOKUP(D328,Table!$C$3:$D$4,2,0)*8,2)</f>
        <v>1.04</v>
      </c>
      <c r="Z328" s="17">
        <v>1</v>
      </c>
      <c r="AA328" s="17" t="s">
        <v>78</v>
      </c>
      <c r="AB328" s="21">
        <v>43948</v>
      </c>
      <c r="AC328" s="21">
        <v>43941</v>
      </c>
      <c r="AD328" s="21">
        <v>43950</v>
      </c>
      <c r="AE328" s="21">
        <v>43948</v>
      </c>
      <c r="AF328" s="21">
        <v>43948</v>
      </c>
      <c r="AG328" s="22" t="s">
        <v>114</v>
      </c>
      <c r="AH328" s="38">
        <v>1</v>
      </c>
      <c r="AI328" s="38">
        <v>1</v>
      </c>
      <c r="AJ328" s="38">
        <v>1</v>
      </c>
      <c r="AK328" s="22" t="s">
        <v>574</v>
      </c>
      <c r="AL328" s="17"/>
      <c r="AM328" s="17"/>
      <c r="AN328" s="17"/>
      <c r="AO328" t="s">
        <v>941</v>
      </c>
    </row>
    <row r="329" spans="2:41" hidden="1" x14ac:dyDescent="0.25">
      <c r="B329" s="116">
        <f t="shared" si="33"/>
        <v>282</v>
      </c>
      <c r="C329" s="18">
        <v>20200420</v>
      </c>
      <c r="D329" s="17" t="s">
        <v>3</v>
      </c>
      <c r="E329" s="17" t="s">
        <v>633</v>
      </c>
      <c r="F329" s="127" t="s">
        <v>911</v>
      </c>
      <c r="G329" s="19">
        <v>1425475</v>
      </c>
      <c r="H329" s="86" t="s">
        <v>65</v>
      </c>
      <c r="I329" s="17" t="s">
        <v>768</v>
      </c>
      <c r="J329" s="86" t="s">
        <v>65</v>
      </c>
      <c r="K329" s="90" t="s">
        <v>612</v>
      </c>
      <c r="L329" s="17" t="s">
        <v>799</v>
      </c>
      <c r="M329" s="17" t="s">
        <v>648</v>
      </c>
      <c r="N329" s="17" t="s">
        <v>708</v>
      </c>
      <c r="O329" s="19" t="s">
        <v>65</v>
      </c>
      <c r="P329" s="19" t="s">
        <v>780</v>
      </c>
      <c r="Q329" s="20"/>
      <c r="R329" s="86"/>
      <c r="S329" s="17" t="s">
        <v>72</v>
      </c>
      <c r="T329" s="17"/>
      <c r="U329" s="17"/>
      <c r="V329" s="17">
        <v>84</v>
      </c>
      <c r="W329" s="17">
        <f t="shared" si="32"/>
        <v>84</v>
      </c>
      <c r="X329" s="17">
        <f t="shared" si="34"/>
        <v>84</v>
      </c>
      <c r="Y329" s="17">
        <f>ROUNDDOWN(W329/HLOOKUP(D329,Table!$C$3:$D$4,2,0)*8,2)</f>
        <v>1.49</v>
      </c>
      <c r="Z329" s="17">
        <v>1</v>
      </c>
      <c r="AA329" s="17" t="s">
        <v>78</v>
      </c>
      <c r="AB329" s="21">
        <v>43948</v>
      </c>
      <c r="AC329" s="21">
        <v>43941</v>
      </c>
      <c r="AD329" s="21">
        <v>43950</v>
      </c>
      <c r="AE329" s="21">
        <v>43948</v>
      </c>
      <c r="AF329" s="21">
        <v>43948</v>
      </c>
      <c r="AG329" s="22" t="s">
        <v>114</v>
      </c>
      <c r="AH329" s="38">
        <v>1</v>
      </c>
      <c r="AI329" s="38">
        <v>1</v>
      </c>
      <c r="AJ329" s="38">
        <v>1</v>
      </c>
      <c r="AK329" s="22" t="s">
        <v>574</v>
      </c>
      <c r="AL329" s="17"/>
      <c r="AM329" s="17"/>
      <c r="AN329" s="17"/>
      <c r="AO329" t="s">
        <v>941</v>
      </c>
    </row>
    <row r="330" spans="2:41" hidden="1" x14ac:dyDescent="0.25">
      <c r="B330" s="116">
        <f t="shared" si="33"/>
        <v>283</v>
      </c>
      <c r="C330" s="18">
        <v>20200420</v>
      </c>
      <c r="D330" s="17" t="s">
        <v>3</v>
      </c>
      <c r="E330" s="17" t="s">
        <v>764</v>
      </c>
      <c r="F330" s="127" t="s">
        <v>912</v>
      </c>
      <c r="G330" s="19">
        <v>1420442</v>
      </c>
      <c r="H330" s="86" t="s">
        <v>65</v>
      </c>
      <c r="I330" s="17" t="s">
        <v>769</v>
      </c>
      <c r="J330" s="86" t="s">
        <v>65</v>
      </c>
      <c r="K330" s="90" t="s">
        <v>612</v>
      </c>
      <c r="L330" s="17">
        <v>81770</v>
      </c>
      <c r="M330" s="17" t="s">
        <v>775</v>
      </c>
      <c r="N330" s="17" t="s">
        <v>778</v>
      </c>
      <c r="O330" s="19" t="s">
        <v>65</v>
      </c>
      <c r="P330" s="19" t="s">
        <v>781</v>
      </c>
      <c r="Q330" s="20"/>
      <c r="R330" s="86"/>
      <c r="S330" s="17" t="s">
        <v>72</v>
      </c>
      <c r="T330" s="17"/>
      <c r="U330" s="17"/>
      <c r="V330" s="17">
        <v>188</v>
      </c>
      <c r="W330" s="17">
        <f t="shared" ref="W330:X341" si="35">V330</f>
        <v>188</v>
      </c>
      <c r="X330" s="17">
        <f t="shared" si="35"/>
        <v>188</v>
      </c>
      <c r="Y330" s="17">
        <f>ROUNDDOWN(W330/HLOOKUP(D330,Table!$C$3:$D$4,2,0)*8,2)</f>
        <v>3.34</v>
      </c>
      <c r="Z330" s="17">
        <v>0.5</v>
      </c>
      <c r="AA330" s="17" t="s">
        <v>78</v>
      </c>
      <c r="AB330" s="21">
        <v>43948</v>
      </c>
      <c r="AC330" s="21">
        <v>43941</v>
      </c>
      <c r="AD330" s="21">
        <v>43950</v>
      </c>
      <c r="AE330" s="21">
        <v>43943</v>
      </c>
      <c r="AF330" s="21">
        <v>43943</v>
      </c>
      <c r="AG330" s="22" t="s">
        <v>114</v>
      </c>
      <c r="AH330" s="39" t="s">
        <v>65</v>
      </c>
      <c r="AI330" s="39" t="s">
        <v>65</v>
      </c>
      <c r="AJ330" s="39" t="s">
        <v>65</v>
      </c>
      <c r="AK330" s="22" t="s">
        <v>574</v>
      </c>
      <c r="AL330" s="17"/>
      <c r="AM330" s="17"/>
      <c r="AN330" s="17" t="s">
        <v>718</v>
      </c>
      <c r="AO330" t="s">
        <v>941</v>
      </c>
    </row>
    <row r="331" spans="2:41" hidden="1" x14ac:dyDescent="0.25">
      <c r="B331" s="116">
        <f t="shared" si="33"/>
        <v>284</v>
      </c>
      <c r="C331" s="18">
        <v>20200420</v>
      </c>
      <c r="D331" s="17" t="s">
        <v>3</v>
      </c>
      <c r="E331" s="17" t="s">
        <v>764</v>
      </c>
      <c r="F331" s="127" t="s">
        <v>913</v>
      </c>
      <c r="G331" s="19">
        <v>1420442</v>
      </c>
      <c r="H331" s="86" t="s">
        <v>65</v>
      </c>
      <c r="I331" s="17" t="s">
        <v>770</v>
      </c>
      <c r="J331" s="86" t="s">
        <v>65</v>
      </c>
      <c r="K331" s="90" t="s">
        <v>612</v>
      </c>
      <c r="L331" s="17">
        <v>81770</v>
      </c>
      <c r="M331" s="17" t="s">
        <v>775</v>
      </c>
      <c r="N331" s="17" t="s">
        <v>778</v>
      </c>
      <c r="O331" s="19" t="s">
        <v>65</v>
      </c>
      <c r="P331" s="19" t="s">
        <v>781</v>
      </c>
      <c r="Q331" s="20"/>
      <c r="R331" s="86"/>
      <c r="S331" s="17" t="s">
        <v>72</v>
      </c>
      <c r="T331" s="17"/>
      <c r="U331" s="17"/>
      <c r="V331" s="17">
        <v>1141</v>
      </c>
      <c r="W331" s="17">
        <f t="shared" si="35"/>
        <v>1141</v>
      </c>
      <c r="X331" s="17">
        <f t="shared" si="35"/>
        <v>1141</v>
      </c>
      <c r="Y331" s="17">
        <f>ROUNDDOWN(W331/HLOOKUP(D331,Table!$C$3:$D$4,2,0)*8,2)</f>
        <v>20.28</v>
      </c>
      <c r="Z331" s="17">
        <v>3</v>
      </c>
      <c r="AA331" s="17" t="s">
        <v>78</v>
      </c>
      <c r="AB331" s="21">
        <v>43948</v>
      </c>
      <c r="AC331" s="21">
        <v>43941</v>
      </c>
      <c r="AD331" s="21">
        <v>43950</v>
      </c>
      <c r="AE331" s="21">
        <v>43943</v>
      </c>
      <c r="AF331" s="21">
        <v>43943</v>
      </c>
      <c r="AG331" s="22" t="s">
        <v>114</v>
      </c>
      <c r="AH331" s="38">
        <v>1</v>
      </c>
      <c r="AI331" s="38">
        <v>1</v>
      </c>
      <c r="AJ331" s="38">
        <v>1</v>
      </c>
      <c r="AK331" s="22" t="s">
        <v>574</v>
      </c>
      <c r="AL331" s="17"/>
      <c r="AM331" s="17"/>
      <c r="AN331" s="17"/>
      <c r="AO331" t="s">
        <v>941</v>
      </c>
    </row>
    <row r="332" spans="2:41" hidden="1" x14ac:dyDescent="0.25">
      <c r="B332" s="116">
        <f t="shared" si="33"/>
        <v>285</v>
      </c>
      <c r="C332" s="18">
        <v>20200420</v>
      </c>
      <c r="D332" s="17" t="s">
        <v>3</v>
      </c>
      <c r="E332" s="17" t="s">
        <v>765</v>
      </c>
      <c r="F332" s="127" t="s">
        <v>914</v>
      </c>
      <c r="G332" s="19">
        <v>1404793</v>
      </c>
      <c r="H332" s="86" t="s">
        <v>65</v>
      </c>
      <c r="I332" s="17" t="s">
        <v>771</v>
      </c>
      <c r="J332" s="86" t="s">
        <v>65</v>
      </c>
      <c r="K332" s="90" t="s">
        <v>612</v>
      </c>
      <c r="L332" s="17" t="s">
        <v>574</v>
      </c>
      <c r="M332" s="17" t="s">
        <v>776</v>
      </c>
      <c r="N332" s="17" t="s">
        <v>712</v>
      </c>
      <c r="O332" s="19" t="s">
        <v>65</v>
      </c>
      <c r="P332" s="19" t="s">
        <v>694</v>
      </c>
      <c r="Q332" s="20"/>
      <c r="R332" s="86"/>
      <c r="S332" s="17" t="s">
        <v>72</v>
      </c>
      <c r="T332" s="17"/>
      <c r="U332" s="17"/>
      <c r="V332" s="17">
        <v>574</v>
      </c>
      <c r="W332" s="17">
        <f t="shared" si="35"/>
        <v>574</v>
      </c>
      <c r="X332" s="17">
        <f t="shared" si="35"/>
        <v>574</v>
      </c>
      <c r="Y332" s="17">
        <f>ROUNDDOWN(W332/HLOOKUP(D332,Table!$C$3:$D$4,2,0)*8,2)</f>
        <v>10.199999999999999</v>
      </c>
      <c r="Z332" s="17">
        <v>8</v>
      </c>
      <c r="AA332" s="17" t="s">
        <v>78</v>
      </c>
      <c r="AB332" s="21">
        <v>43948</v>
      </c>
      <c r="AC332" s="21">
        <v>43941</v>
      </c>
      <c r="AD332" s="21">
        <v>43950</v>
      </c>
      <c r="AE332" s="21">
        <v>43945</v>
      </c>
      <c r="AF332" s="21">
        <v>43945</v>
      </c>
      <c r="AG332" s="22" t="s">
        <v>114</v>
      </c>
      <c r="AH332" s="38">
        <v>1</v>
      </c>
      <c r="AI332" s="38">
        <v>1</v>
      </c>
      <c r="AJ332" s="38">
        <v>1</v>
      </c>
      <c r="AK332" s="22" t="s">
        <v>574</v>
      </c>
      <c r="AL332" s="17"/>
      <c r="AM332" s="17"/>
      <c r="AN332" s="17"/>
      <c r="AO332" t="s">
        <v>941</v>
      </c>
    </row>
    <row r="333" spans="2:41" hidden="1" x14ac:dyDescent="0.25">
      <c r="B333" s="116">
        <f t="shared" si="33"/>
        <v>286</v>
      </c>
      <c r="C333" s="18">
        <v>20200420</v>
      </c>
      <c r="D333" s="17" t="s">
        <v>3</v>
      </c>
      <c r="E333" s="17" t="s">
        <v>765</v>
      </c>
      <c r="F333" s="127" t="s">
        <v>915</v>
      </c>
      <c r="G333" s="19">
        <v>1404793</v>
      </c>
      <c r="H333" s="86" t="s">
        <v>65</v>
      </c>
      <c r="I333" s="17" t="s">
        <v>772</v>
      </c>
      <c r="J333" s="86" t="s">
        <v>65</v>
      </c>
      <c r="K333" s="90" t="s">
        <v>612</v>
      </c>
      <c r="L333" s="17" t="s">
        <v>574</v>
      </c>
      <c r="M333" s="17" t="s">
        <v>776</v>
      </c>
      <c r="N333" s="17" t="s">
        <v>712</v>
      </c>
      <c r="O333" s="19" t="s">
        <v>65</v>
      </c>
      <c r="P333" s="19" t="s">
        <v>694</v>
      </c>
      <c r="Q333" s="20"/>
      <c r="R333" s="86"/>
      <c r="S333" s="17" t="s">
        <v>72</v>
      </c>
      <c r="T333" s="17"/>
      <c r="U333" s="17"/>
      <c r="V333" s="17">
        <v>33</v>
      </c>
      <c r="W333" s="17">
        <f t="shared" si="35"/>
        <v>33</v>
      </c>
      <c r="X333" s="17">
        <f t="shared" si="35"/>
        <v>33</v>
      </c>
      <c r="Y333" s="17">
        <f>ROUNDDOWN(W333/HLOOKUP(D333,Table!$C$3:$D$4,2,0)*8,2)</f>
        <v>0.57999999999999996</v>
      </c>
      <c r="Z333" s="17">
        <v>1</v>
      </c>
      <c r="AA333" s="17" t="s">
        <v>78</v>
      </c>
      <c r="AB333" s="21">
        <v>43948</v>
      </c>
      <c r="AC333" s="21">
        <v>43941</v>
      </c>
      <c r="AD333" s="21">
        <v>43950</v>
      </c>
      <c r="AE333" s="21">
        <v>43944</v>
      </c>
      <c r="AF333" s="21">
        <v>43944</v>
      </c>
      <c r="AG333" s="22" t="s">
        <v>114</v>
      </c>
      <c r="AH333" s="38">
        <v>1</v>
      </c>
      <c r="AI333" s="38">
        <v>1</v>
      </c>
      <c r="AJ333" s="38">
        <v>1</v>
      </c>
      <c r="AK333" s="22" t="s">
        <v>574</v>
      </c>
      <c r="AL333" s="17"/>
      <c r="AM333" s="17"/>
      <c r="AN333" s="17"/>
      <c r="AO333" t="s">
        <v>941</v>
      </c>
    </row>
    <row r="334" spans="2:41" hidden="1" x14ac:dyDescent="0.25">
      <c r="B334" s="116">
        <f t="shared" si="33"/>
        <v>287</v>
      </c>
      <c r="C334" s="18">
        <v>20200420</v>
      </c>
      <c r="D334" s="17" t="s">
        <v>3</v>
      </c>
      <c r="E334" s="17" t="s">
        <v>765</v>
      </c>
      <c r="F334" s="127" t="s">
        <v>916</v>
      </c>
      <c r="G334" s="19">
        <v>1404793</v>
      </c>
      <c r="H334" s="86" t="s">
        <v>65</v>
      </c>
      <c r="I334" s="17" t="s">
        <v>773</v>
      </c>
      <c r="J334" s="86" t="s">
        <v>65</v>
      </c>
      <c r="K334" s="90" t="s">
        <v>612</v>
      </c>
      <c r="L334" s="17" t="s">
        <v>574</v>
      </c>
      <c r="M334" s="17" t="s">
        <v>776</v>
      </c>
      <c r="N334" s="17" t="s">
        <v>712</v>
      </c>
      <c r="O334" s="19" t="s">
        <v>65</v>
      </c>
      <c r="P334" s="19" t="s">
        <v>694</v>
      </c>
      <c r="Q334" s="20"/>
      <c r="R334" s="86"/>
      <c r="S334" s="17" t="s">
        <v>72</v>
      </c>
      <c r="T334" s="17"/>
      <c r="U334" s="17"/>
      <c r="V334" s="17">
        <v>69</v>
      </c>
      <c r="W334" s="17">
        <f t="shared" si="35"/>
        <v>69</v>
      </c>
      <c r="X334" s="17">
        <f t="shared" si="35"/>
        <v>69</v>
      </c>
      <c r="Y334" s="17">
        <f>ROUNDDOWN(W334/HLOOKUP(D334,Table!$C$3:$D$4,2,0)*8,2)</f>
        <v>1.22</v>
      </c>
      <c r="Z334" s="17">
        <v>1</v>
      </c>
      <c r="AA334" s="17" t="s">
        <v>78</v>
      </c>
      <c r="AB334" s="21">
        <v>43948</v>
      </c>
      <c r="AC334" s="21">
        <v>43941</v>
      </c>
      <c r="AD334" s="21">
        <v>43950</v>
      </c>
      <c r="AE334" s="21">
        <v>43944</v>
      </c>
      <c r="AF334" s="21">
        <v>43944</v>
      </c>
      <c r="AG334" s="22" t="s">
        <v>115</v>
      </c>
      <c r="AH334" s="38">
        <v>1</v>
      </c>
      <c r="AI334" s="38">
        <v>1</v>
      </c>
      <c r="AJ334" s="38">
        <v>0.93</v>
      </c>
      <c r="AK334" s="22" t="s">
        <v>354</v>
      </c>
      <c r="AL334" s="19" t="s">
        <v>928</v>
      </c>
      <c r="AM334" s="17"/>
      <c r="AN334" s="17"/>
      <c r="AO334" t="s">
        <v>941</v>
      </c>
    </row>
    <row r="335" spans="2:41" hidden="1" x14ac:dyDescent="0.25">
      <c r="B335" s="119">
        <f t="shared" si="33"/>
        <v>288</v>
      </c>
      <c r="C335" s="18">
        <v>20200420</v>
      </c>
      <c r="D335" s="17" t="s">
        <v>3</v>
      </c>
      <c r="E335" s="18" t="s">
        <v>783</v>
      </c>
      <c r="F335" s="90" t="s">
        <v>917</v>
      </c>
      <c r="G335" s="118">
        <v>1428490</v>
      </c>
      <c r="H335" s="86" t="s">
        <v>65</v>
      </c>
      <c r="I335" s="17" t="s">
        <v>784</v>
      </c>
      <c r="J335" s="86" t="s">
        <v>65</v>
      </c>
      <c r="K335" s="117" t="s">
        <v>612</v>
      </c>
      <c r="L335" s="17">
        <v>80773</v>
      </c>
      <c r="M335" s="118" t="s">
        <v>785</v>
      </c>
      <c r="N335" s="17" t="s">
        <v>782</v>
      </c>
      <c r="O335" s="19" t="s">
        <v>65</v>
      </c>
      <c r="P335" s="19" t="s">
        <v>791</v>
      </c>
      <c r="Q335" s="20"/>
      <c r="R335" s="86"/>
      <c r="S335" s="17" t="s">
        <v>72</v>
      </c>
      <c r="T335" s="17"/>
      <c r="U335" s="17"/>
      <c r="V335" s="118">
        <v>386</v>
      </c>
      <c r="W335" s="17">
        <f t="shared" si="35"/>
        <v>386</v>
      </c>
      <c r="X335" s="17">
        <f t="shared" si="35"/>
        <v>386</v>
      </c>
      <c r="Y335" s="17">
        <f>ROUNDDOWN(W335/HLOOKUP(D335,Table!$C$3:$D$4,2,0)*8,2)</f>
        <v>6.86</v>
      </c>
      <c r="Z335" s="17">
        <v>3</v>
      </c>
      <c r="AA335" s="17" t="s">
        <v>78</v>
      </c>
      <c r="AB335" s="21">
        <v>43943</v>
      </c>
      <c r="AC335" s="21">
        <v>43941</v>
      </c>
      <c r="AD335" s="21">
        <v>43944</v>
      </c>
      <c r="AE335" s="21">
        <v>43943</v>
      </c>
      <c r="AF335" s="21">
        <v>43943</v>
      </c>
      <c r="AG335" s="22" t="s">
        <v>114</v>
      </c>
      <c r="AH335" s="38">
        <v>1</v>
      </c>
      <c r="AI335" s="38">
        <v>1</v>
      </c>
      <c r="AJ335" s="38">
        <v>1</v>
      </c>
      <c r="AK335" s="22" t="s">
        <v>574</v>
      </c>
      <c r="AL335" s="17"/>
      <c r="AM335" s="17"/>
      <c r="AN335" s="17" t="s">
        <v>904</v>
      </c>
      <c r="AO335" t="s">
        <v>941</v>
      </c>
    </row>
    <row r="336" spans="2:41" hidden="1" x14ac:dyDescent="0.25">
      <c r="B336" s="119">
        <f t="shared" si="33"/>
        <v>289</v>
      </c>
      <c r="C336" s="18">
        <v>20200420</v>
      </c>
      <c r="D336" s="17" t="s">
        <v>3</v>
      </c>
      <c r="E336" s="141" t="s">
        <v>783</v>
      </c>
      <c r="F336" s="90" t="s">
        <v>918</v>
      </c>
      <c r="G336" s="118">
        <v>1428490</v>
      </c>
      <c r="H336" s="86" t="s">
        <v>65</v>
      </c>
      <c r="I336" s="17" t="s">
        <v>786</v>
      </c>
      <c r="J336" s="86" t="s">
        <v>65</v>
      </c>
      <c r="K336" s="117" t="s">
        <v>612</v>
      </c>
      <c r="L336" s="17">
        <v>80773</v>
      </c>
      <c r="M336" s="118" t="s">
        <v>785</v>
      </c>
      <c r="N336" s="17" t="s">
        <v>782</v>
      </c>
      <c r="O336" s="19" t="s">
        <v>65</v>
      </c>
      <c r="P336" s="19" t="s">
        <v>791</v>
      </c>
      <c r="Q336" s="20"/>
      <c r="R336" s="86"/>
      <c r="S336" s="17" t="s">
        <v>72</v>
      </c>
      <c r="T336" s="17"/>
      <c r="U336" s="17"/>
      <c r="V336" s="118">
        <v>130</v>
      </c>
      <c r="W336" s="20">
        <v>303</v>
      </c>
      <c r="X336" s="17">
        <f t="shared" si="35"/>
        <v>303</v>
      </c>
      <c r="Y336" s="17">
        <f>ROUNDDOWN(W336/HLOOKUP(D336,Table!$C$3:$D$4,2,0)*8,2)</f>
        <v>5.38</v>
      </c>
      <c r="Z336" s="17">
        <v>3</v>
      </c>
      <c r="AA336" s="17" t="s">
        <v>78</v>
      </c>
      <c r="AB336" s="21">
        <v>43943</v>
      </c>
      <c r="AC336" s="21">
        <v>43941</v>
      </c>
      <c r="AD336" s="21">
        <v>43944</v>
      </c>
      <c r="AE336" s="21">
        <v>43942</v>
      </c>
      <c r="AF336" s="21">
        <v>43942</v>
      </c>
      <c r="AG336" s="22" t="s">
        <v>114</v>
      </c>
      <c r="AH336" s="38">
        <v>1</v>
      </c>
      <c r="AI336" s="38">
        <v>1</v>
      </c>
      <c r="AJ336" s="38">
        <v>1</v>
      </c>
      <c r="AK336" s="22" t="s">
        <v>574</v>
      </c>
      <c r="AL336" s="17"/>
      <c r="AM336" s="17"/>
      <c r="AN336" s="17" t="s">
        <v>905</v>
      </c>
      <c r="AO336" t="s">
        <v>941</v>
      </c>
    </row>
    <row r="337" spans="2:41" hidden="1" x14ac:dyDescent="0.25">
      <c r="B337" s="119">
        <f t="shared" si="33"/>
        <v>290</v>
      </c>
      <c r="C337" s="18">
        <v>20200420</v>
      </c>
      <c r="D337" s="17" t="s">
        <v>3</v>
      </c>
      <c r="E337" s="141" t="s">
        <v>783</v>
      </c>
      <c r="F337" s="90" t="s">
        <v>919</v>
      </c>
      <c r="G337" s="118">
        <v>1428490</v>
      </c>
      <c r="H337" s="86" t="s">
        <v>65</v>
      </c>
      <c r="I337" s="17" t="s">
        <v>787</v>
      </c>
      <c r="J337" s="86" t="s">
        <v>65</v>
      </c>
      <c r="K337" s="117" t="s">
        <v>612</v>
      </c>
      <c r="L337" s="17">
        <v>80773</v>
      </c>
      <c r="M337" s="118" t="s">
        <v>785</v>
      </c>
      <c r="N337" s="17" t="s">
        <v>782</v>
      </c>
      <c r="O337" s="19" t="s">
        <v>65</v>
      </c>
      <c r="P337" s="19" t="s">
        <v>791</v>
      </c>
      <c r="Q337" s="20"/>
      <c r="R337" s="86"/>
      <c r="S337" s="17" t="s">
        <v>72</v>
      </c>
      <c r="T337" s="17"/>
      <c r="U337" s="17"/>
      <c r="V337" s="118">
        <v>57</v>
      </c>
      <c r="W337" s="17">
        <f t="shared" si="35"/>
        <v>57</v>
      </c>
      <c r="X337" s="17">
        <f t="shared" si="35"/>
        <v>57</v>
      </c>
      <c r="Y337" s="17">
        <f>ROUNDDOWN(W337/HLOOKUP(D337,Table!$C$3:$D$4,2,0)*8,2)</f>
        <v>1.01</v>
      </c>
      <c r="Z337" s="17">
        <v>0.5</v>
      </c>
      <c r="AA337" s="17" t="s">
        <v>78</v>
      </c>
      <c r="AB337" s="21">
        <v>43943</v>
      </c>
      <c r="AC337" s="21">
        <v>43941</v>
      </c>
      <c r="AD337" s="21">
        <v>43944</v>
      </c>
      <c r="AE337" s="21">
        <v>43942</v>
      </c>
      <c r="AF337" s="21">
        <v>43942</v>
      </c>
      <c r="AG337" s="22" t="s">
        <v>114</v>
      </c>
      <c r="AH337" s="38">
        <v>1</v>
      </c>
      <c r="AI337" s="38">
        <v>1</v>
      </c>
      <c r="AJ337" s="38">
        <v>1</v>
      </c>
      <c r="AK337" s="22" t="s">
        <v>574</v>
      </c>
      <c r="AL337" s="17"/>
      <c r="AM337" s="17"/>
      <c r="AN337" s="17" t="s">
        <v>904</v>
      </c>
      <c r="AO337" t="s">
        <v>941</v>
      </c>
    </row>
    <row r="338" spans="2:41" hidden="1" x14ac:dyDescent="0.25">
      <c r="B338" s="119">
        <f t="shared" si="33"/>
        <v>291</v>
      </c>
      <c r="C338" s="18">
        <v>20200420</v>
      </c>
      <c r="D338" s="17" t="s">
        <v>3</v>
      </c>
      <c r="E338" s="141" t="s">
        <v>783</v>
      </c>
      <c r="F338" s="127" t="s">
        <v>920</v>
      </c>
      <c r="G338" s="118">
        <v>1428477</v>
      </c>
      <c r="H338" s="86" t="s">
        <v>65</v>
      </c>
      <c r="I338" s="17" t="s">
        <v>788</v>
      </c>
      <c r="J338" s="86" t="s">
        <v>65</v>
      </c>
      <c r="K338" s="117" t="s">
        <v>612</v>
      </c>
      <c r="L338" s="17">
        <v>80773</v>
      </c>
      <c r="M338" s="118" t="s">
        <v>785</v>
      </c>
      <c r="N338" s="17" t="s">
        <v>782</v>
      </c>
      <c r="O338" s="19" t="s">
        <v>65</v>
      </c>
      <c r="P338" s="149" t="s">
        <v>792</v>
      </c>
      <c r="Q338" s="20"/>
      <c r="R338" s="86"/>
      <c r="S338" s="17" t="s">
        <v>72</v>
      </c>
      <c r="T338" s="17"/>
      <c r="U338" s="17"/>
      <c r="V338" s="118">
        <v>90</v>
      </c>
      <c r="W338" s="17">
        <f t="shared" si="35"/>
        <v>90</v>
      </c>
      <c r="X338" s="17">
        <f t="shared" si="35"/>
        <v>90</v>
      </c>
      <c r="Y338" s="17">
        <f>ROUNDDOWN(W338/HLOOKUP(D338,Table!$C$3:$D$4,2,0)*8,2)</f>
        <v>1.6</v>
      </c>
      <c r="Z338" s="17">
        <v>0.5</v>
      </c>
      <c r="AA338" s="17" t="s">
        <v>78</v>
      </c>
      <c r="AB338" s="21">
        <v>43943</v>
      </c>
      <c r="AC338" s="21">
        <v>43941</v>
      </c>
      <c r="AD338" s="21">
        <v>43944</v>
      </c>
      <c r="AE338" s="21">
        <v>43942</v>
      </c>
      <c r="AF338" s="21">
        <v>43942</v>
      </c>
      <c r="AG338" s="22" t="s">
        <v>114</v>
      </c>
      <c r="AH338" s="38">
        <v>1</v>
      </c>
      <c r="AI338" s="38">
        <v>1</v>
      </c>
      <c r="AJ338" s="38">
        <v>1</v>
      </c>
      <c r="AK338" s="22" t="s">
        <v>574</v>
      </c>
      <c r="AL338" s="17"/>
      <c r="AM338" s="17"/>
      <c r="AN338" s="17"/>
      <c r="AO338" t="s">
        <v>941</v>
      </c>
    </row>
    <row r="339" spans="2:41" hidden="1" x14ac:dyDescent="0.25">
      <c r="B339" s="119">
        <f t="shared" si="33"/>
        <v>292</v>
      </c>
      <c r="C339" s="18">
        <v>20200420</v>
      </c>
      <c r="D339" s="17" t="s">
        <v>3</v>
      </c>
      <c r="E339" s="141" t="s">
        <v>783</v>
      </c>
      <c r="F339" s="127" t="s">
        <v>921</v>
      </c>
      <c r="G339" s="118">
        <v>1428477</v>
      </c>
      <c r="H339" s="86" t="s">
        <v>65</v>
      </c>
      <c r="I339" s="17" t="s">
        <v>789</v>
      </c>
      <c r="J339" s="86" t="s">
        <v>65</v>
      </c>
      <c r="K339" s="117" t="s">
        <v>612</v>
      </c>
      <c r="L339" s="17">
        <v>80773</v>
      </c>
      <c r="M339" s="118" t="s">
        <v>785</v>
      </c>
      <c r="N339" s="17" t="s">
        <v>782</v>
      </c>
      <c r="O339" s="19" t="s">
        <v>65</v>
      </c>
      <c r="P339" s="149" t="s">
        <v>792</v>
      </c>
      <c r="Q339" s="20"/>
      <c r="R339" s="86"/>
      <c r="S339" s="17" t="s">
        <v>72</v>
      </c>
      <c r="T339" s="17"/>
      <c r="U339" s="17"/>
      <c r="V339" s="118">
        <v>115</v>
      </c>
      <c r="W339" s="17">
        <f t="shared" si="35"/>
        <v>115</v>
      </c>
      <c r="X339" s="17">
        <f t="shared" si="35"/>
        <v>115</v>
      </c>
      <c r="Y339" s="17">
        <f>ROUNDDOWN(W339/HLOOKUP(D339,Table!$C$3:$D$4,2,0)*8,2)</f>
        <v>2.04</v>
      </c>
      <c r="Z339" s="17">
        <v>0.5</v>
      </c>
      <c r="AA339" s="17" t="s">
        <v>78</v>
      </c>
      <c r="AB339" s="21">
        <v>43943</v>
      </c>
      <c r="AC339" s="21">
        <v>43941</v>
      </c>
      <c r="AD339" s="21">
        <v>43944</v>
      </c>
      <c r="AE339" s="21">
        <v>43942</v>
      </c>
      <c r="AF339" s="21">
        <v>43942</v>
      </c>
      <c r="AG339" s="22" t="s">
        <v>114</v>
      </c>
      <c r="AH339" s="38">
        <v>1</v>
      </c>
      <c r="AI339" s="38">
        <v>1</v>
      </c>
      <c r="AJ339" s="38">
        <v>1</v>
      </c>
      <c r="AK339" s="22" t="s">
        <v>574</v>
      </c>
      <c r="AL339" s="17"/>
      <c r="AM339" s="17"/>
      <c r="AN339" s="17"/>
      <c r="AO339" t="s">
        <v>941</v>
      </c>
    </row>
    <row r="340" spans="2:41" hidden="1" x14ac:dyDescent="0.25">
      <c r="B340" s="119">
        <f t="shared" si="33"/>
        <v>293</v>
      </c>
      <c r="C340" s="18">
        <v>20200420</v>
      </c>
      <c r="D340" s="17" t="s">
        <v>3</v>
      </c>
      <c r="E340" s="141" t="s">
        <v>783</v>
      </c>
      <c r="F340" s="127" t="s">
        <v>922</v>
      </c>
      <c r="G340" s="118">
        <v>1427716</v>
      </c>
      <c r="H340" s="86" t="s">
        <v>65</v>
      </c>
      <c r="I340" s="17" t="s">
        <v>766</v>
      </c>
      <c r="J340" s="86" t="s">
        <v>65</v>
      </c>
      <c r="K340" s="117" t="s">
        <v>612</v>
      </c>
      <c r="L340" s="17">
        <v>80773</v>
      </c>
      <c r="M340" s="118" t="s">
        <v>785</v>
      </c>
      <c r="N340" s="17" t="s">
        <v>782</v>
      </c>
      <c r="O340" s="19" t="s">
        <v>65</v>
      </c>
      <c r="P340" s="19" t="s">
        <v>793</v>
      </c>
      <c r="Q340" s="20"/>
      <c r="R340" s="86"/>
      <c r="S340" s="17" t="s">
        <v>72</v>
      </c>
      <c r="T340" s="17"/>
      <c r="U340" s="17"/>
      <c r="V340" s="118">
        <v>280</v>
      </c>
      <c r="W340" s="17">
        <f t="shared" si="35"/>
        <v>280</v>
      </c>
      <c r="X340" s="17">
        <f t="shared" si="35"/>
        <v>280</v>
      </c>
      <c r="Y340" s="17">
        <f>ROUNDDOWN(W340/HLOOKUP(D340,Table!$C$3:$D$4,2,0)*8,2)</f>
        <v>4.97</v>
      </c>
      <c r="Z340" s="17">
        <v>0.5</v>
      </c>
      <c r="AA340" s="17" t="s">
        <v>78</v>
      </c>
      <c r="AB340" s="21">
        <v>43943</v>
      </c>
      <c r="AC340" s="21">
        <v>43941</v>
      </c>
      <c r="AD340" s="21">
        <v>43944</v>
      </c>
      <c r="AE340" s="21">
        <v>43942</v>
      </c>
      <c r="AF340" s="21">
        <v>43942</v>
      </c>
      <c r="AG340" s="22" t="s">
        <v>114</v>
      </c>
      <c r="AH340" s="38">
        <v>1</v>
      </c>
      <c r="AI340" s="38">
        <v>1</v>
      </c>
      <c r="AJ340" s="38">
        <v>1</v>
      </c>
      <c r="AK340" s="22" t="s">
        <v>574</v>
      </c>
      <c r="AL340" s="17"/>
      <c r="AM340" s="17"/>
      <c r="AN340" s="17"/>
      <c r="AO340" t="s">
        <v>941</v>
      </c>
    </row>
    <row r="341" spans="2:41" hidden="1" x14ac:dyDescent="0.25">
      <c r="B341" s="119">
        <f t="shared" si="33"/>
        <v>294</v>
      </c>
      <c r="C341" s="18">
        <v>20200420</v>
      </c>
      <c r="D341" s="17" t="s">
        <v>3</v>
      </c>
      <c r="E341" s="141" t="s">
        <v>783</v>
      </c>
      <c r="F341" s="127" t="s">
        <v>923</v>
      </c>
      <c r="G341" s="118">
        <v>1427716</v>
      </c>
      <c r="H341" s="86" t="s">
        <v>65</v>
      </c>
      <c r="I341" s="17" t="s">
        <v>790</v>
      </c>
      <c r="J341" s="86" t="s">
        <v>65</v>
      </c>
      <c r="K341" s="117" t="s">
        <v>612</v>
      </c>
      <c r="L341" s="17">
        <v>80773</v>
      </c>
      <c r="M341" s="118" t="s">
        <v>785</v>
      </c>
      <c r="N341" s="17" t="s">
        <v>782</v>
      </c>
      <c r="O341" s="19" t="s">
        <v>65</v>
      </c>
      <c r="P341" s="19" t="s">
        <v>793</v>
      </c>
      <c r="Q341" s="20"/>
      <c r="R341" s="86"/>
      <c r="S341" s="17" t="s">
        <v>72</v>
      </c>
      <c r="T341" s="17"/>
      <c r="U341" s="17"/>
      <c r="V341" s="118">
        <v>99</v>
      </c>
      <c r="W341" s="17">
        <f t="shared" si="35"/>
        <v>99</v>
      </c>
      <c r="X341" s="17">
        <f t="shared" si="35"/>
        <v>99</v>
      </c>
      <c r="Y341" s="17">
        <f>ROUNDDOWN(W341/HLOOKUP(D341,Table!$C$3:$D$4,2,0)*8,2)</f>
        <v>1.76</v>
      </c>
      <c r="Z341" s="17">
        <v>0.5</v>
      </c>
      <c r="AA341" s="17" t="s">
        <v>78</v>
      </c>
      <c r="AB341" s="21">
        <v>43943</v>
      </c>
      <c r="AC341" s="21">
        <v>43941</v>
      </c>
      <c r="AD341" s="21">
        <v>43944</v>
      </c>
      <c r="AE341" s="21">
        <v>43942</v>
      </c>
      <c r="AF341" s="21">
        <v>43942</v>
      </c>
      <c r="AG341" s="22" t="s">
        <v>114</v>
      </c>
      <c r="AH341" s="38">
        <v>1</v>
      </c>
      <c r="AI341" s="38">
        <v>1</v>
      </c>
      <c r="AJ341" s="38">
        <v>1</v>
      </c>
      <c r="AK341" s="22" t="s">
        <v>574</v>
      </c>
      <c r="AL341" s="17"/>
      <c r="AM341" s="17"/>
      <c r="AN341" s="17"/>
      <c r="AO341" t="s">
        <v>941</v>
      </c>
    </row>
    <row r="342" spans="2:41" x14ac:dyDescent="0.25">
      <c r="B342" s="22"/>
      <c r="C342" s="18"/>
      <c r="D342" s="17"/>
      <c r="E342" s="17"/>
      <c r="F342" s="19"/>
      <c r="G342" s="19"/>
      <c r="H342" s="17"/>
      <c r="I342" s="17"/>
      <c r="J342" s="17"/>
      <c r="K342" s="17"/>
      <c r="L342" s="17"/>
      <c r="M342" s="17"/>
      <c r="N342" s="17"/>
      <c r="O342" s="19"/>
      <c r="P342" s="19"/>
      <c r="Q342" s="20"/>
      <c r="R342" s="18"/>
      <c r="S342" s="17"/>
      <c r="T342" s="17"/>
      <c r="U342" s="17"/>
      <c r="V342" s="17"/>
      <c r="W342" s="17"/>
      <c r="X342" s="17"/>
      <c r="Y342" s="17"/>
      <c r="Z342" s="17"/>
      <c r="AA342" s="17"/>
      <c r="AB342" s="17"/>
      <c r="AC342" s="21"/>
      <c r="AD342" s="21"/>
      <c r="AE342" s="21"/>
      <c r="AF342" s="21"/>
      <c r="AG342" s="21"/>
      <c r="AH342" s="38"/>
      <c r="AI342" s="38"/>
      <c r="AJ342" s="38"/>
      <c r="AK342" s="21"/>
      <c r="AL342" s="17"/>
      <c r="AM342" s="17"/>
      <c r="AN342" s="17"/>
    </row>
    <row r="343" spans="2:41" x14ac:dyDescent="0.25">
      <c r="B343" s="22"/>
      <c r="C343" s="18"/>
      <c r="D343" s="17"/>
      <c r="E343" s="17"/>
      <c r="F343" s="19"/>
      <c r="G343" s="19"/>
      <c r="H343" s="17"/>
      <c r="I343" s="17"/>
      <c r="J343" s="17"/>
      <c r="K343" s="17"/>
      <c r="L343" s="17"/>
      <c r="M343" s="17"/>
      <c r="N343" s="17"/>
      <c r="O343" s="19"/>
      <c r="P343" s="19"/>
      <c r="Q343" s="20"/>
      <c r="R343" s="18"/>
      <c r="S343" s="17"/>
      <c r="T343" s="17"/>
      <c r="U343" s="17"/>
      <c r="V343" s="17"/>
      <c r="W343" s="17"/>
      <c r="X343" s="17"/>
      <c r="Y343" s="17"/>
      <c r="Z343" s="17"/>
      <c r="AA343" s="17"/>
      <c r="AB343" s="17"/>
      <c r="AC343" s="21"/>
      <c r="AD343" s="21"/>
      <c r="AE343" s="21"/>
      <c r="AF343" s="21"/>
      <c r="AG343" s="21"/>
      <c r="AH343" s="38"/>
      <c r="AI343" s="38"/>
      <c r="AJ343" s="38"/>
      <c r="AK343" s="21"/>
      <c r="AL343" s="17"/>
      <c r="AM343" s="17"/>
      <c r="AN343" s="17"/>
    </row>
    <row r="344" spans="2:41" x14ac:dyDescent="0.25">
      <c r="B344" s="22"/>
      <c r="C344" s="18"/>
      <c r="D344" s="17"/>
      <c r="E344" s="17"/>
      <c r="F344" s="19"/>
      <c r="G344" s="19"/>
      <c r="H344" s="17"/>
      <c r="I344" s="17"/>
      <c r="J344" s="17"/>
      <c r="K344" s="17"/>
      <c r="L344" s="17"/>
      <c r="M344" s="17"/>
      <c r="N344" s="17"/>
      <c r="O344" s="19"/>
      <c r="P344" s="19"/>
      <c r="Q344" s="20"/>
      <c r="R344" s="18"/>
      <c r="S344" s="17"/>
      <c r="T344" s="17"/>
      <c r="U344" s="17"/>
      <c r="V344" s="17"/>
      <c r="W344" s="17"/>
      <c r="X344" s="17"/>
      <c r="Y344" s="17"/>
      <c r="Z344" s="17"/>
      <c r="AA344" s="17"/>
      <c r="AB344" s="17"/>
      <c r="AC344" s="21"/>
      <c r="AD344" s="21"/>
      <c r="AE344" s="21"/>
      <c r="AF344" s="21"/>
      <c r="AG344" s="21"/>
      <c r="AH344" s="38"/>
      <c r="AI344" s="38"/>
      <c r="AJ344" s="38"/>
      <c r="AK344" s="21"/>
      <c r="AL344" s="17"/>
      <c r="AM344" s="17"/>
      <c r="AN344" s="17"/>
    </row>
    <row r="345" spans="2:41" x14ac:dyDescent="0.25">
      <c r="B345" s="22"/>
      <c r="C345" s="18"/>
      <c r="D345" s="17"/>
      <c r="E345" s="17"/>
      <c r="F345" s="19"/>
      <c r="G345" s="19"/>
      <c r="H345" s="17"/>
      <c r="I345" s="17"/>
      <c r="J345" s="17"/>
      <c r="K345" s="17"/>
      <c r="L345" s="17"/>
      <c r="M345" s="17"/>
      <c r="N345" s="17"/>
      <c r="O345" s="19"/>
      <c r="P345" s="19"/>
      <c r="Q345" s="20"/>
      <c r="R345" s="18"/>
      <c r="S345" s="17"/>
      <c r="T345" s="17"/>
      <c r="U345" s="17"/>
      <c r="V345" s="17"/>
      <c r="W345" s="17"/>
      <c r="X345" s="17"/>
      <c r="Y345" s="17"/>
      <c r="Z345" s="17"/>
      <c r="AA345" s="17"/>
      <c r="AB345" s="17"/>
      <c r="AC345" s="21"/>
      <c r="AD345" s="21"/>
      <c r="AE345" s="21"/>
      <c r="AF345" s="21"/>
      <c r="AG345" s="21"/>
      <c r="AH345" s="38"/>
      <c r="AI345" s="38"/>
      <c r="AJ345" s="38"/>
      <c r="AK345" s="21"/>
      <c r="AL345" s="17"/>
      <c r="AM345" s="17"/>
      <c r="AN345" s="17"/>
    </row>
    <row r="346" spans="2:41" x14ac:dyDescent="0.25">
      <c r="B346" s="22"/>
      <c r="C346" s="18"/>
      <c r="D346" s="17"/>
      <c r="E346" s="17"/>
      <c r="F346" s="19"/>
      <c r="G346" s="19"/>
      <c r="H346" s="17"/>
      <c r="I346" s="17"/>
      <c r="J346" s="17"/>
      <c r="K346" s="17"/>
      <c r="L346" s="17"/>
      <c r="M346" s="17"/>
      <c r="N346" s="17"/>
      <c r="O346" s="19"/>
      <c r="P346" s="19"/>
      <c r="Q346" s="20"/>
      <c r="R346" s="18"/>
      <c r="S346" s="17"/>
      <c r="T346" s="17"/>
      <c r="U346" s="17"/>
      <c r="V346" s="17"/>
      <c r="W346" s="17"/>
      <c r="X346" s="17"/>
      <c r="Y346" s="17"/>
      <c r="Z346" s="17"/>
      <c r="AA346" s="17"/>
      <c r="AB346" s="17"/>
      <c r="AC346" s="21"/>
      <c r="AD346" s="21"/>
      <c r="AE346" s="21"/>
      <c r="AF346" s="21"/>
      <c r="AG346" s="21"/>
      <c r="AH346" s="38"/>
      <c r="AI346" s="38"/>
      <c r="AJ346" s="38"/>
      <c r="AK346" s="21"/>
      <c r="AL346" s="17"/>
      <c r="AM346" s="17"/>
      <c r="AN346" s="17"/>
    </row>
    <row r="347" spans="2:41" x14ac:dyDescent="0.25">
      <c r="B347" s="22"/>
      <c r="C347" s="18"/>
      <c r="D347" s="17"/>
      <c r="E347" s="17"/>
      <c r="F347" s="19"/>
      <c r="G347" s="19"/>
      <c r="H347" s="17"/>
      <c r="I347" s="17"/>
      <c r="J347" s="17"/>
      <c r="K347" s="17"/>
      <c r="L347" s="17"/>
      <c r="M347" s="17"/>
      <c r="N347" s="17"/>
      <c r="O347" s="19"/>
      <c r="P347" s="19"/>
      <c r="Q347" s="20"/>
      <c r="R347" s="18"/>
      <c r="S347" s="17"/>
      <c r="T347" s="17"/>
      <c r="U347" s="17"/>
      <c r="V347" s="17"/>
      <c r="W347" s="17"/>
      <c r="X347" s="17"/>
      <c r="Y347" s="17"/>
      <c r="Z347" s="17"/>
      <c r="AA347" s="17"/>
      <c r="AB347" s="17"/>
      <c r="AC347" s="21"/>
      <c r="AD347" s="21"/>
      <c r="AE347" s="21"/>
      <c r="AF347" s="21"/>
      <c r="AG347" s="21"/>
      <c r="AH347" s="38"/>
      <c r="AI347" s="38"/>
      <c r="AJ347" s="38"/>
      <c r="AK347" s="21"/>
      <c r="AL347" s="17"/>
      <c r="AM347" s="17"/>
      <c r="AN347" s="17"/>
    </row>
    <row r="348" spans="2:41" x14ac:dyDescent="0.25">
      <c r="B348" s="22"/>
      <c r="C348" s="18"/>
      <c r="D348" s="17"/>
      <c r="E348" s="17"/>
      <c r="F348" s="19"/>
      <c r="G348" s="19"/>
      <c r="H348" s="17"/>
      <c r="I348" s="17"/>
      <c r="J348" s="17"/>
      <c r="K348" s="17"/>
      <c r="L348" s="17"/>
      <c r="M348" s="17"/>
      <c r="N348" s="17"/>
      <c r="O348" s="19"/>
      <c r="P348" s="19"/>
      <c r="Q348" s="20"/>
      <c r="R348" s="18"/>
      <c r="S348" s="17"/>
      <c r="T348" s="17"/>
      <c r="U348" s="17"/>
      <c r="V348" s="17"/>
      <c r="W348" s="17"/>
      <c r="X348" s="17"/>
      <c r="Y348" s="17"/>
      <c r="Z348" s="17"/>
      <c r="AA348" s="17"/>
      <c r="AB348" s="17"/>
      <c r="AC348" s="21"/>
      <c r="AD348" s="21"/>
      <c r="AE348" s="21"/>
      <c r="AF348" s="21"/>
      <c r="AG348" s="21"/>
      <c r="AH348" s="38"/>
      <c r="AI348" s="38"/>
      <c r="AJ348" s="38"/>
      <c r="AK348" s="21"/>
      <c r="AL348" s="17"/>
      <c r="AM348" s="17"/>
      <c r="AN348" s="17"/>
    </row>
    <row r="349" spans="2:41" x14ac:dyDescent="0.25">
      <c r="B349" s="22"/>
      <c r="C349" s="18"/>
      <c r="D349" s="17"/>
      <c r="E349" s="17"/>
      <c r="F349" s="19"/>
      <c r="G349" s="19"/>
      <c r="H349" s="17"/>
      <c r="I349" s="17"/>
      <c r="J349" s="17"/>
      <c r="K349" s="17"/>
      <c r="L349" s="17"/>
      <c r="M349" s="17"/>
      <c r="N349" s="17"/>
      <c r="O349" s="19"/>
      <c r="P349" s="19"/>
      <c r="Q349" s="20"/>
      <c r="R349" s="18"/>
      <c r="S349" s="17"/>
      <c r="T349" s="17"/>
      <c r="U349" s="17"/>
      <c r="V349" s="17"/>
      <c r="W349" s="17"/>
      <c r="X349" s="17"/>
      <c r="Y349" s="17"/>
      <c r="Z349" s="17"/>
      <c r="AA349" s="17"/>
      <c r="AB349" s="17"/>
      <c r="AC349" s="21"/>
      <c r="AD349" s="21"/>
      <c r="AE349" s="21"/>
      <c r="AF349" s="21"/>
      <c r="AG349" s="21"/>
      <c r="AH349" s="38"/>
      <c r="AI349" s="38"/>
      <c r="AJ349" s="38"/>
      <c r="AK349" s="21"/>
      <c r="AL349" s="17"/>
      <c r="AM349" s="17"/>
      <c r="AN349" s="17"/>
    </row>
    <row r="350" spans="2:41" x14ac:dyDescent="0.25">
      <c r="B350" s="22"/>
      <c r="C350" s="18"/>
      <c r="D350" s="17"/>
      <c r="E350" s="17"/>
      <c r="F350" s="19"/>
      <c r="G350" s="19"/>
      <c r="H350" s="17"/>
      <c r="I350" s="17"/>
      <c r="J350" s="17"/>
      <c r="K350" s="17"/>
      <c r="L350" s="17"/>
      <c r="M350" s="17"/>
      <c r="N350" s="17"/>
      <c r="O350" s="19"/>
      <c r="P350" s="19"/>
      <c r="Q350" s="20"/>
      <c r="R350" s="18"/>
      <c r="S350" s="17"/>
      <c r="T350" s="17"/>
      <c r="U350" s="17"/>
      <c r="V350" s="17"/>
      <c r="W350" s="17"/>
      <c r="X350" s="17"/>
      <c r="Y350" s="17"/>
      <c r="Z350" s="17"/>
      <c r="AA350" s="17"/>
      <c r="AB350" s="17"/>
      <c r="AC350" s="21"/>
      <c r="AD350" s="21"/>
      <c r="AE350" s="21"/>
      <c r="AF350" s="21"/>
      <c r="AG350" s="21"/>
      <c r="AH350" s="38"/>
      <c r="AI350" s="38"/>
      <c r="AJ350" s="38"/>
      <c r="AK350" s="21"/>
      <c r="AL350" s="17"/>
      <c r="AM350" s="17"/>
      <c r="AN350" s="17"/>
    </row>
    <row r="351" spans="2:41" x14ac:dyDescent="0.25">
      <c r="B351" s="22"/>
      <c r="C351" s="18"/>
      <c r="D351" s="17"/>
      <c r="E351" s="17"/>
      <c r="F351" s="19"/>
      <c r="G351" s="19"/>
      <c r="H351" s="17"/>
      <c r="I351" s="17"/>
      <c r="J351" s="17"/>
      <c r="K351" s="17"/>
      <c r="L351" s="17"/>
      <c r="M351" s="17"/>
      <c r="N351" s="17"/>
      <c r="O351" s="19"/>
      <c r="P351" s="19"/>
      <c r="Q351" s="20"/>
      <c r="R351" s="18"/>
      <c r="S351" s="17"/>
      <c r="T351" s="17"/>
      <c r="U351" s="17"/>
      <c r="V351" s="17"/>
      <c r="W351" s="17"/>
      <c r="X351" s="17"/>
      <c r="Y351" s="17"/>
      <c r="Z351" s="17"/>
      <c r="AA351" s="17"/>
      <c r="AB351" s="17"/>
      <c r="AC351" s="21"/>
      <c r="AD351" s="21"/>
      <c r="AE351" s="21"/>
      <c r="AF351" s="21"/>
      <c r="AG351" s="21"/>
      <c r="AH351" s="38"/>
      <c r="AI351" s="38"/>
      <c r="AJ351" s="38"/>
      <c r="AK351" s="21"/>
      <c r="AL351" s="17"/>
      <c r="AM351" s="17"/>
      <c r="AN351" s="17"/>
    </row>
    <row r="352" spans="2:41" x14ac:dyDescent="0.25">
      <c r="B352" s="22"/>
      <c r="C352" s="18"/>
      <c r="D352" s="17"/>
      <c r="E352" s="17"/>
      <c r="F352" s="19"/>
      <c r="G352" s="19"/>
      <c r="H352" s="17"/>
      <c r="I352" s="17"/>
      <c r="J352" s="17"/>
      <c r="K352" s="17"/>
      <c r="L352" s="17"/>
      <c r="M352" s="17"/>
      <c r="N352" s="17"/>
      <c r="O352" s="19"/>
      <c r="P352" s="19"/>
      <c r="Q352" s="20"/>
      <c r="R352" s="18"/>
      <c r="S352" s="17"/>
      <c r="T352" s="17"/>
      <c r="U352" s="17"/>
      <c r="V352" s="17"/>
      <c r="W352" s="17"/>
      <c r="X352" s="17"/>
      <c r="Y352" s="17"/>
      <c r="Z352" s="17"/>
      <c r="AA352" s="17"/>
      <c r="AB352" s="17"/>
      <c r="AC352" s="21"/>
      <c r="AD352" s="21"/>
      <c r="AE352" s="21"/>
      <c r="AF352" s="21"/>
      <c r="AG352" s="21"/>
      <c r="AH352" s="38"/>
      <c r="AI352" s="38"/>
      <c r="AJ352" s="38"/>
      <c r="AK352" s="21"/>
      <c r="AL352" s="17"/>
      <c r="AM352" s="17"/>
      <c r="AN352" s="17"/>
    </row>
    <row r="353" spans="2:40" x14ac:dyDescent="0.25">
      <c r="B353" s="22"/>
      <c r="C353" s="18"/>
      <c r="D353" s="17"/>
      <c r="E353" s="17"/>
      <c r="F353" s="19"/>
      <c r="G353" s="19"/>
      <c r="H353" s="17"/>
      <c r="I353" s="17"/>
      <c r="J353" s="17"/>
      <c r="K353" s="17"/>
      <c r="L353" s="17"/>
      <c r="M353" s="17"/>
      <c r="N353" s="17"/>
      <c r="O353" s="19"/>
      <c r="P353" s="19"/>
      <c r="Q353" s="20"/>
      <c r="R353" s="18"/>
      <c r="S353" s="17"/>
      <c r="T353" s="17"/>
      <c r="U353" s="17"/>
      <c r="V353" s="17"/>
      <c r="W353" s="17"/>
      <c r="X353" s="17"/>
      <c r="Y353" s="17"/>
      <c r="Z353" s="17"/>
      <c r="AA353" s="17"/>
      <c r="AB353" s="17"/>
      <c r="AC353" s="21"/>
      <c r="AD353" s="21"/>
      <c r="AE353" s="21"/>
      <c r="AF353" s="21"/>
      <c r="AG353" s="21"/>
      <c r="AH353" s="38"/>
      <c r="AI353" s="38"/>
      <c r="AJ353" s="38"/>
      <c r="AK353" s="21"/>
      <c r="AL353" s="17"/>
      <c r="AM353" s="17"/>
      <c r="AN353" s="17"/>
    </row>
    <row r="354" spans="2:40" x14ac:dyDescent="0.25">
      <c r="B354" s="22"/>
      <c r="C354" s="18"/>
      <c r="D354" s="17"/>
      <c r="E354" s="17"/>
      <c r="F354" s="19"/>
      <c r="G354" s="19"/>
      <c r="H354" s="17"/>
      <c r="I354" s="17"/>
      <c r="J354" s="17"/>
      <c r="K354" s="17"/>
      <c r="L354" s="17"/>
      <c r="M354" s="17"/>
      <c r="N354" s="17"/>
      <c r="O354" s="19"/>
      <c r="P354" s="19"/>
      <c r="Q354" s="20"/>
      <c r="R354" s="18"/>
      <c r="S354" s="17"/>
      <c r="T354" s="17"/>
      <c r="U354" s="17"/>
      <c r="V354" s="17"/>
      <c r="W354" s="17"/>
      <c r="X354" s="17"/>
      <c r="Y354" s="17"/>
      <c r="Z354" s="17"/>
      <c r="AA354" s="17"/>
      <c r="AB354" s="17"/>
      <c r="AC354" s="21"/>
      <c r="AD354" s="21"/>
      <c r="AE354" s="21"/>
      <c r="AF354" s="21"/>
      <c r="AG354" s="21"/>
      <c r="AH354" s="38"/>
      <c r="AI354" s="38"/>
      <c r="AJ354" s="38"/>
      <c r="AK354" s="21"/>
      <c r="AL354" s="17"/>
      <c r="AM354" s="17"/>
      <c r="AN354" s="17"/>
    </row>
    <row r="355" spans="2:40" x14ac:dyDescent="0.25">
      <c r="B355" s="22"/>
      <c r="C355" s="18"/>
      <c r="D355" s="17"/>
      <c r="E355" s="17"/>
      <c r="F355" s="19"/>
      <c r="G355" s="19"/>
      <c r="H355" s="17"/>
      <c r="I355" s="17"/>
      <c r="J355" s="17"/>
      <c r="K355" s="17"/>
      <c r="L355" s="17"/>
      <c r="M355" s="17"/>
      <c r="N355" s="17"/>
      <c r="O355" s="19"/>
      <c r="P355" s="19"/>
      <c r="Q355" s="20"/>
      <c r="R355" s="18"/>
      <c r="S355" s="17"/>
      <c r="T355" s="17"/>
      <c r="U355" s="17"/>
      <c r="V355" s="17"/>
      <c r="W355" s="17"/>
      <c r="X355" s="17"/>
      <c r="Y355" s="17"/>
      <c r="Z355" s="17"/>
      <c r="AA355" s="17"/>
      <c r="AB355" s="17"/>
      <c r="AC355" s="21"/>
      <c r="AD355" s="21"/>
      <c r="AE355" s="21"/>
      <c r="AF355" s="21"/>
      <c r="AG355" s="21"/>
      <c r="AH355" s="38"/>
      <c r="AI355" s="38"/>
      <c r="AJ355" s="38"/>
      <c r="AK355" s="21"/>
      <c r="AL355" s="17"/>
      <c r="AM355" s="17"/>
      <c r="AN355" s="17"/>
    </row>
    <row r="356" spans="2:40" x14ac:dyDescent="0.25">
      <c r="B356" s="22"/>
      <c r="C356" s="18"/>
      <c r="D356" s="17"/>
      <c r="E356" s="17"/>
      <c r="F356" s="19"/>
      <c r="G356" s="19"/>
      <c r="H356" s="17"/>
      <c r="I356" s="17"/>
      <c r="J356" s="17"/>
      <c r="K356" s="17"/>
      <c r="L356" s="17"/>
      <c r="M356" s="17"/>
      <c r="N356" s="17"/>
      <c r="O356" s="19"/>
      <c r="P356" s="19"/>
      <c r="Q356" s="20"/>
      <c r="R356" s="18"/>
      <c r="S356" s="17"/>
      <c r="T356" s="17"/>
      <c r="U356" s="17"/>
      <c r="V356" s="17"/>
      <c r="W356" s="17"/>
      <c r="X356" s="17"/>
      <c r="Y356" s="17"/>
      <c r="Z356" s="17"/>
      <c r="AA356" s="17"/>
      <c r="AB356" s="17"/>
      <c r="AC356" s="21"/>
      <c r="AD356" s="21"/>
      <c r="AE356" s="21"/>
      <c r="AF356" s="21"/>
      <c r="AG356" s="21"/>
      <c r="AH356" s="38"/>
      <c r="AI356" s="38"/>
      <c r="AJ356" s="38"/>
      <c r="AK356" s="21"/>
      <c r="AL356" s="17"/>
      <c r="AM356" s="17"/>
      <c r="AN356" s="17"/>
    </row>
    <row r="357" spans="2:40" x14ac:dyDescent="0.25">
      <c r="B357" s="22"/>
      <c r="C357" s="18"/>
      <c r="D357" s="17"/>
      <c r="E357" s="17"/>
      <c r="F357" s="19"/>
      <c r="G357" s="19"/>
      <c r="H357" s="17"/>
      <c r="I357" s="17"/>
      <c r="J357" s="17"/>
      <c r="K357" s="17"/>
      <c r="L357" s="17"/>
      <c r="M357" s="17"/>
      <c r="N357" s="17"/>
      <c r="O357" s="19"/>
      <c r="P357" s="19"/>
      <c r="Q357" s="20"/>
      <c r="R357" s="18"/>
      <c r="S357" s="17"/>
      <c r="T357" s="17"/>
      <c r="U357" s="17"/>
      <c r="V357" s="17"/>
      <c r="W357" s="17"/>
      <c r="X357" s="17"/>
      <c r="Y357" s="17"/>
      <c r="Z357" s="17"/>
      <c r="AA357" s="17"/>
      <c r="AB357" s="17"/>
      <c r="AC357" s="21"/>
      <c r="AD357" s="21"/>
      <c r="AE357" s="21"/>
      <c r="AF357" s="21"/>
      <c r="AG357" s="21"/>
      <c r="AH357" s="38"/>
      <c r="AI357" s="38"/>
      <c r="AJ357" s="38"/>
      <c r="AK357" s="21"/>
      <c r="AL357" s="17"/>
      <c r="AM357" s="17"/>
      <c r="AN357" s="17"/>
    </row>
    <row r="358" spans="2:40" x14ac:dyDescent="0.25">
      <c r="B358" s="22"/>
      <c r="C358" s="18"/>
      <c r="D358" s="17"/>
      <c r="E358" s="17"/>
      <c r="F358" s="19"/>
      <c r="G358" s="19"/>
      <c r="H358" s="17"/>
      <c r="I358" s="17"/>
      <c r="J358" s="17"/>
      <c r="K358" s="17"/>
      <c r="L358" s="17"/>
      <c r="M358" s="17"/>
      <c r="N358" s="17"/>
      <c r="O358" s="19"/>
      <c r="P358" s="19"/>
      <c r="Q358" s="20"/>
      <c r="R358" s="18"/>
      <c r="S358" s="17"/>
      <c r="T358" s="17"/>
      <c r="U358" s="17"/>
      <c r="V358" s="17"/>
      <c r="W358" s="17"/>
      <c r="X358" s="17"/>
      <c r="Y358" s="17"/>
      <c r="Z358" s="17"/>
      <c r="AA358" s="17"/>
      <c r="AB358" s="17"/>
      <c r="AC358" s="21"/>
      <c r="AD358" s="21"/>
      <c r="AE358" s="21"/>
      <c r="AF358" s="21"/>
      <c r="AG358" s="21"/>
      <c r="AH358" s="38"/>
      <c r="AI358" s="38"/>
      <c r="AJ358" s="38"/>
      <c r="AK358" s="21"/>
      <c r="AL358" s="17"/>
      <c r="AM358" s="17"/>
      <c r="AN358" s="17"/>
    </row>
    <row r="359" spans="2:40" x14ac:dyDescent="0.25">
      <c r="B359" s="22"/>
      <c r="C359" s="18"/>
      <c r="D359" s="17"/>
      <c r="E359" s="17"/>
      <c r="F359" s="19"/>
      <c r="G359" s="19"/>
      <c r="H359" s="17"/>
      <c r="I359" s="17"/>
      <c r="J359" s="17"/>
      <c r="K359" s="17"/>
      <c r="L359" s="17"/>
      <c r="M359" s="17"/>
      <c r="N359" s="17"/>
      <c r="O359" s="19"/>
      <c r="P359" s="19"/>
      <c r="Q359" s="20"/>
      <c r="R359" s="18"/>
      <c r="S359" s="17"/>
      <c r="T359" s="17"/>
      <c r="U359" s="17"/>
      <c r="V359" s="17"/>
      <c r="W359" s="17"/>
      <c r="X359" s="17"/>
      <c r="Y359" s="17"/>
      <c r="Z359" s="17"/>
      <c r="AA359" s="17"/>
      <c r="AB359" s="17"/>
      <c r="AC359" s="21"/>
      <c r="AD359" s="21"/>
      <c r="AE359" s="21"/>
      <c r="AF359" s="21"/>
      <c r="AG359" s="21"/>
      <c r="AH359" s="38"/>
      <c r="AI359" s="38"/>
      <c r="AJ359" s="38"/>
      <c r="AK359" s="21"/>
      <c r="AL359" s="17"/>
      <c r="AM359" s="17"/>
      <c r="AN359" s="17"/>
    </row>
    <row r="360" spans="2:40" x14ac:dyDescent="0.25">
      <c r="B360" s="22"/>
      <c r="C360" s="18"/>
      <c r="D360" s="17"/>
      <c r="E360" s="17"/>
      <c r="F360" s="19"/>
      <c r="G360" s="19"/>
      <c r="H360" s="17"/>
      <c r="I360" s="17"/>
      <c r="J360" s="17"/>
      <c r="K360" s="17"/>
      <c r="L360" s="17"/>
      <c r="M360" s="17"/>
      <c r="N360" s="17"/>
      <c r="O360" s="19"/>
      <c r="P360" s="19"/>
      <c r="Q360" s="20"/>
      <c r="R360" s="18"/>
      <c r="S360" s="17"/>
      <c r="T360" s="17"/>
      <c r="U360" s="17"/>
      <c r="V360" s="17"/>
      <c r="W360" s="17"/>
      <c r="X360" s="17"/>
      <c r="Y360" s="17"/>
      <c r="Z360" s="17"/>
      <c r="AA360" s="17"/>
      <c r="AB360" s="17"/>
      <c r="AC360" s="21"/>
      <c r="AD360" s="21"/>
      <c r="AE360" s="21"/>
      <c r="AF360" s="21"/>
      <c r="AG360" s="21"/>
      <c r="AH360" s="38"/>
      <c r="AI360" s="38"/>
      <c r="AJ360" s="38"/>
      <c r="AK360" s="21"/>
      <c r="AL360" s="17"/>
      <c r="AM360" s="17"/>
      <c r="AN360" s="17"/>
    </row>
    <row r="361" spans="2:40" x14ac:dyDescent="0.25">
      <c r="B361" s="22"/>
      <c r="C361" s="18"/>
      <c r="D361" s="17"/>
      <c r="E361" s="17"/>
      <c r="F361" s="19"/>
      <c r="G361" s="19"/>
      <c r="H361" s="17"/>
      <c r="I361" s="17"/>
      <c r="J361" s="17"/>
      <c r="K361" s="17"/>
      <c r="L361" s="17"/>
      <c r="M361" s="17"/>
      <c r="N361" s="17"/>
      <c r="O361" s="19"/>
      <c r="P361" s="19"/>
      <c r="Q361" s="20"/>
      <c r="R361" s="18"/>
      <c r="S361" s="17"/>
      <c r="T361" s="17"/>
      <c r="U361" s="17"/>
      <c r="V361" s="17"/>
      <c r="W361" s="17"/>
      <c r="X361" s="17"/>
      <c r="Y361" s="17"/>
      <c r="Z361" s="17"/>
      <c r="AA361" s="17"/>
      <c r="AB361" s="17"/>
      <c r="AC361" s="21"/>
      <c r="AD361" s="21"/>
      <c r="AE361" s="21"/>
      <c r="AF361" s="21"/>
      <c r="AG361" s="21"/>
      <c r="AH361" s="38"/>
      <c r="AI361" s="38"/>
      <c r="AJ361" s="38"/>
      <c r="AK361" s="21"/>
      <c r="AL361" s="17"/>
      <c r="AM361" s="17"/>
      <c r="AN361" s="17"/>
    </row>
    <row r="362" spans="2:40" x14ac:dyDescent="0.25">
      <c r="B362" s="22"/>
      <c r="C362" s="18"/>
      <c r="D362" s="17"/>
      <c r="E362" s="17"/>
      <c r="F362" s="19"/>
      <c r="G362" s="19"/>
      <c r="H362" s="17"/>
      <c r="I362" s="17"/>
      <c r="J362" s="17"/>
      <c r="K362" s="17"/>
      <c r="L362" s="17"/>
      <c r="M362" s="17"/>
      <c r="N362" s="17"/>
      <c r="O362" s="19"/>
      <c r="P362" s="19"/>
      <c r="Q362" s="20"/>
      <c r="R362" s="18"/>
      <c r="S362" s="17"/>
      <c r="T362" s="17"/>
      <c r="U362" s="17"/>
      <c r="V362" s="17"/>
      <c r="W362" s="17"/>
      <c r="X362" s="17"/>
      <c r="Y362" s="17"/>
      <c r="Z362" s="17"/>
      <c r="AA362" s="17"/>
      <c r="AB362" s="17"/>
      <c r="AC362" s="21"/>
      <c r="AD362" s="21"/>
      <c r="AE362" s="21"/>
      <c r="AF362" s="21"/>
      <c r="AG362" s="21"/>
      <c r="AH362" s="38"/>
      <c r="AI362" s="38"/>
      <c r="AJ362" s="38"/>
      <c r="AK362" s="21"/>
      <c r="AL362" s="17"/>
      <c r="AM362" s="17"/>
      <c r="AN362" s="17"/>
    </row>
    <row r="363" spans="2:40" x14ac:dyDescent="0.25">
      <c r="B363" s="22"/>
      <c r="C363" s="18"/>
      <c r="D363" s="17"/>
      <c r="E363" s="17"/>
      <c r="F363" s="19"/>
      <c r="G363" s="19"/>
      <c r="H363" s="17"/>
      <c r="I363" s="17"/>
      <c r="J363" s="17"/>
      <c r="K363" s="17"/>
      <c r="L363" s="17"/>
      <c r="M363" s="17"/>
      <c r="N363" s="17"/>
      <c r="O363" s="19"/>
      <c r="P363" s="19"/>
      <c r="Q363" s="20"/>
      <c r="R363" s="18"/>
      <c r="S363" s="17"/>
      <c r="T363" s="17"/>
      <c r="U363" s="17"/>
      <c r="V363" s="17"/>
      <c r="W363" s="17"/>
      <c r="X363" s="17"/>
      <c r="Y363" s="17"/>
      <c r="Z363" s="17"/>
      <c r="AA363" s="17"/>
      <c r="AB363" s="17"/>
      <c r="AC363" s="21"/>
      <c r="AD363" s="21"/>
      <c r="AE363" s="21"/>
      <c r="AF363" s="21"/>
      <c r="AG363" s="21"/>
      <c r="AH363" s="38"/>
      <c r="AI363" s="38"/>
      <c r="AJ363" s="38"/>
      <c r="AK363" s="21"/>
      <c r="AL363" s="17"/>
      <c r="AM363" s="17"/>
      <c r="AN363" s="17"/>
    </row>
    <row r="364" spans="2:40" x14ac:dyDescent="0.25">
      <c r="B364" s="22"/>
      <c r="C364" s="18"/>
      <c r="D364" s="17"/>
      <c r="E364" s="17"/>
      <c r="F364" s="19"/>
      <c r="G364" s="19"/>
      <c r="H364" s="17"/>
      <c r="I364" s="17"/>
      <c r="J364" s="17"/>
      <c r="K364" s="17"/>
      <c r="L364" s="17"/>
      <c r="M364" s="17"/>
      <c r="N364" s="17"/>
      <c r="O364" s="19"/>
      <c r="P364" s="19"/>
      <c r="Q364" s="20"/>
      <c r="R364" s="18"/>
      <c r="S364" s="17"/>
      <c r="T364" s="17"/>
      <c r="U364" s="17"/>
      <c r="V364" s="17"/>
      <c r="W364" s="17"/>
      <c r="X364" s="17"/>
      <c r="Y364" s="17"/>
      <c r="Z364" s="17"/>
      <c r="AA364" s="17"/>
      <c r="AB364" s="17"/>
      <c r="AC364" s="21"/>
      <c r="AD364" s="21"/>
      <c r="AE364" s="21"/>
      <c r="AF364" s="21"/>
      <c r="AG364" s="21"/>
      <c r="AH364" s="38"/>
      <c r="AI364" s="38"/>
      <c r="AJ364" s="38"/>
      <c r="AK364" s="21"/>
      <c r="AL364" s="17"/>
      <c r="AM364" s="17"/>
      <c r="AN364" s="17"/>
    </row>
    <row r="365" spans="2:40" x14ac:dyDescent="0.25">
      <c r="B365" s="22"/>
      <c r="C365" s="18"/>
      <c r="D365" s="17"/>
      <c r="E365" s="17"/>
      <c r="F365" s="19"/>
      <c r="G365" s="19"/>
      <c r="H365" s="17"/>
      <c r="I365" s="17"/>
      <c r="J365" s="17"/>
      <c r="K365" s="17"/>
      <c r="L365" s="17"/>
      <c r="M365" s="17"/>
      <c r="N365" s="17"/>
      <c r="O365" s="19"/>
      <c r="P365" s="19"/>
      <c r="Q365" s="20"/>
      <c r="R365" s="18"/>
      <c r="S365" s="17"/>
      <c r="T365" s="17"/>
      <c r="U365" s="17"/>
      <c r="V365" s="17"/>
      <c r="W365" s="17"/>
      <c r="X365" s="17"/>
      <c r="Y365" s="17"/>
      <c r="Z365" s="17"/>
      <c r="AA365" s="17"/>
      <c r="AB365" s="17"/>
      <c r="AC365" s="21"/>
      <c r="AD365" s="21"/>
      <c r="AE365" s="21"/>
      <c r="AF365" s="21"/>
      <c r="AG365" s="21"/>
      <c r="AH365" s="38"/>
      <c r="AI365" s="38"/>
      <c r="AJ365" s="38"/>
      <c r="AK365" s="21"/>
      <c r="AL365" s="17"/>
      <c r="AM365" s="17"/>
      <c r="AN365" s="17"/>
    </row>
    <row r="366" spans="2:40" x14ac:dyDescent="0.25">
      <c r="B366" s="22"/>
      <c r="C366" s="18"/>
      <c r="D366" s="17"/>
      <c r="E366" s="17"/>
      <c r="F366" s="19"/>
      <c r="G366" s="19"/>
      <c r="H366" s="17"/>
      <c r="I366" s="17"/>
      <c r="J366" s="17"/>
      <c r="K366" s="17"/>
      <c r="L366" s="17"/>
      <c r="M366" s="17"/>
      <c r="N366" s="17"/>
      <c r="O366" s="19"/>
      <c r="P366" s="19"/>
      <c r="Q366" s="20"/>
      <c r="R366" s="18"/>
      <c r="S366" s="17"/>
      <c r="T366" s="17"/>
      <c r="U366" s="17"/>
      <c r="V366" s="17"/>
      <c r="W366" s="17"/>
      <c r="X366" s="17"/>
      <c r="Y366" s="17"/>
      <c r="Z366" s="17"/>
      <c r="AA366" s="17"/>
      <c r="AB366" s="17"/>
      <c r="AC366" s="21"/>
      <c r="AD366" s="21"/>
      <c r="AE366" s="21"/>
      <c r="AF366" s="21"/>
      <c r="AG366" s="21"/>
      <c r="AH366" s="38"/>
      <c r="AI366" s="38"/>
      <c r="AJ366" s="38"/>
      <c r="AK366" s="21"/>
      <c r="AL366" s="17"/>
      <c r="AM366" s="17"/>
      <c r="AN366" s="17"/>
    </row>
    <row r="367" spans="2:40" x14ac:dyDescent="0.25">
      <c r="B367" s="22"/>
      <c r="C367" s="18"/>
      <c r="D367" s="17"/>
      <c r="E367" s="17"/>
      <c r="F367" s="19"/>
      <c r="G367" s="19"/>
      <c r="H367" s="17"/>
      <c r="I367" s="17"/>
      <c r="J367" s="17"/>
      <c r="K367" s="17"/>
      <c r="L367" s="17"/>
      <c r="M367" s="17"/>
      <c r="N367" s="17"/>
      <c r="O367" s="19"/>
      <c r="P367" s="19"/>
      <c r="Q367" s="20"/>
      <c r="R367" s="18"/>
      <c r="S367" s="17"/>
      <c r="T367" s="17"/>
      <c r="U367" s="17"/>
      <c r="V367" s="17"/>
      <c r="W367" s="17"/>
      <c r="X367" s="17"/>
      <c r="Y367" s="17"/>
      <c r="Z367" s="17"/>
      <c r="AA367" s="17"/>
      <c r="AB367" s="17"/>
      <c r="AC367" s="21"/>
      <c r="AD367" s="21"/>
      <c r="AE367" s="21"/>
      <c r="AF367" s="21"/>
      <c r="AG367" s="21"/>
      <c r="AH367" s="38"/>
      <c r="AI367" s="38"/>
      <c r="AJ367" s="38"/>
      <c r="AK367" s="21"/>
      <c r="AL367" s="17"/>
      <c r="AM367" s="17"/>
      <c r="AN367" s="17"/>
    </row>
    <row r="368" spans="2:40" x14ac:dyDescent="0.25">
      <c r="B368" s="22"/>
      <c r="C368" s="18"/>
      <c r="D368" s="17"/>
      <c r="E368" s="17"/>
      <c r="F368" s="19"/>
      <c r="G368" s="19"/>
      <c r="H368" s="17"/>
      <c r="I368" s="17"/>
      <c r="J368" s="17"/>
      <c r="K368" s="17"/>
      <c r="L368" s="17"/>
      <c r="M368" s="17"/>
      <c r="N368" s="17"/>
      <c r="O368" s="19"/>
      <c r="P368" s="19"/>
      <c r="Q368" s="20"/>
      <c r="R368" s="18"/>
      <c r="S368" s="17"/>
      <c r="T368" s="17"/>
      <c r="U368" s="17"/>
      <c r="V368" s="17"/>
      <c r="W368" s="17"/>
      <c r="X368" s="17"/>
      <c r="Y368" s="17"/>
      <c r="Z368" s="17"/>
      <c r="AA368" s="17"/>
      <c r="AB368" s="17"/>
      <c r="AC368" s="21"/>
      <c r="AD368" s="21"/>
      <c r="AE368" s="21"/>
      <c r="AF368" s="21"/>
      <c r="AG368" s="21"/>
      <c r="AH368" s="38"/>
      <c r="AI368" s="38"/>
      <c r="AJ368" s="38"/>
      <c r="AK368" s="21"/>
      <c r="AL368" s="17"/>
      <c r="AM368" s="17"/>
      <c r="AN368" s="17"/>
    </row>
    <row r="369" spans="2:40" x14ac:dyDescent="0.25">
      <c r="B369" s="22"/>
      <c r="C369" s="18"/>
      <c r="D369" s="17"/>
      <c r="E369" s="17"/>
      <c r="F369" s="19"/>
      <c r="G369" s="19"/>
      <c r="H369" s="17"/>
      <c r="I369" s="17"/>
      <c r="J369" s="17"/>
      <c r="K369" s="17"/>
      <c r="L369" s="17"/>
      <c r="M369" s="17"/>
      <c r="N369" s="17"/>
      <c r="O369" s="19"/>
      <c r="P369" s="19"/>
      <c r="Q369" s="20"/>
      <c r="R369" s="18"/>
      <c r="S369" s="17"/>
      <c r="T369" s="17"/>
      <c r="U369" s="17"/>
      <c r="V369" s="17"/>
      <c r="W369" s="17"/>
      <c r="X369" s="17"/>
      <c r="Y369" s="17"/>
      <c r="Z369" s="17"/>
      <c r="AA369" s="17"/>
      <c r="AB369" s="17"/>
      <c r="AC369" s="21"/>
      <c r="AD369" s="21"/>
      <c r="AE369" s="21"/>
      <c r="AF369" s="21"/>
      <c r="AG369" s="21"/>
      <c r="AH369" s="38"/>
      <c r="AI369" s="38"/>
      <c r="AJ369" s="38"/>
      <c r="AK369" s="21"/>
      <c r="AL369" s="17"/>
      <c r="AM369" s="17"/>
      <c r="AN369" s="17"/>
    </row>
    <row r="370" spans="2:40" x14ac:dyDescent="0.25">
      <c r="B370" s="22"/>
      <c r="C370" s="18"/>
      <c r="D370" s="17"/>
      <c r="E370" s="17"/>
      <c r="F370" s="19"/>
      <c r="G370" s="19"/>
      <c r="H370" s="17"/>
      <c r="I370" s="17"/>
      <c r="J370" s="17"/>
      <c r="K370" s="17"/>
      <c r="L370" s="17"/>
      <c r="M370" s="17"/>
      <c r="N370" s="17"/>
      <c r="O370" s="19"/>
      <c r="P370" s="19"/>
      <c r="Q370" s="20"/>
      <c r="R370" s="18"/>
      <c r="S370" s="17"/>
      <c r="T370" s="17"/>
      <c r="U370" s="17"/>
      <c r="V370" s="17"/>
      <c r="W370" s="17"/>
      <c r="X370" s="17"/>
      <c r="Y370" s="17"/>
      <c r="Z370" s="17"/>
      <c r="AA370" s="17"/>
      <c r="AB370" s="17"/>
      <c r="AC370" s="21"/>
      <c r="AD370" s="21"/>
      <c r="AE370" s="21"/>
      <c r="AF370" s="21"/>
      <c r="AG370" s="21"/>
      <c r="AH370" s="38"/>
      <c r="AI370" s="38"/>
      <c r="AJ370" s="38"/>
      <c r="AK370" s="21"/>
      <c r="AL370" s="17"/>
      <c r="AM370" s="17"/>
      <c r="AN370" s="17"/>
    </row>
    <row r="371" spans="2:40" x14ac:dyDescent="0.25">
      <c r="B371" s="22"/>
      <c r="C371" s="18"/>
      <c r="D371" s="17"/>
      <c r="E371" s="17"/>
      <c r="F371" s="19"/>
      <c r="G371" s="19"/>
      <c r="H371" s="17"/>
      <c r="I371" s="17"/>
      <c r="J371" s="17"/>
      <c r="K371" s="17"/>
      <c r="L371" s="17"/>
      <c r="M371" s="17"/>
      <c r="N371" s="17"/>
      <c r="O371" s="19"/>
      <c r="P371" s="19"/>
      <c r="Q371" s="20"/>
      <c r="R371" s="18"/>
      <c r="S371" s="17"/>
      <c r="T371" s="17"/>
      <c r="U371" s="17"/>
      <c r="V371" s="17"/>
      <c r="W371" s="17"/>
      <c r="X371" s="17"/>
      <c r="Y371" s="17"/>
      <c r="Z371" s="17"/>
      <c r="AA371" s="17"/>
      <c r="AB371" s="17"/>
      <c r="AC371" s="21"/>
      <c r="AD371" s="21"/>
      <c r="AE371" s="21"/>
      <c r="AF371" s="21"/>
      <c r="AG371" s="21"/>
      <c r="AH371" s="38"/>
      <c r="AI371" s="38"/>
      <c r="AJ371" s="38"/>
      <c r="AK371" s="21"/>
      <c r="AL371" s="17"/>
      <c r="AM371" s="17"/>
      <c r="AN371" s="17"/>
    </row>
    <row r="372" spans="2:40" x14ac:dyDescent="0.25">
      <c r="B372" s="22"/>
      <c r="C372" s="18"/>
      <c r="D372" s="17"/>
      <c r="E372" s="17"/>
      <c r="F372" s="19"/>
      <c r="G372" s="19"/>
      <c r="H372" s="17"/>
      <c r="I372" s="17"/>
      <c r="J372" s="17"/>
      <c r="K372" s="17"/>
      <c r="L372" s="17"/>
      <c r="M372" s="17"/>
      <c r="N372" s="17"/>
      <c r="O372" s="19"/>
      <c r="P372" s="19"/>
      <c r="Q372" s="20"/>
      <c r="R372" s="18"/>
      <c r="S372" s="17"/>
      <c r="T372" s="17"/>
      <c r="U372" s="17"/>
      <c r="V372" s="17"/>
      <c r="W372" s="17"/>
      <c r="X372" s="17"/>
      <c r="Y372" s="17"/>
      <c r="Z372" s="17"/>
      <c r="AA372" s="17"/>
      <c r="AB372" s="17"/>
      <c r="AC372" s="21"/>
      <c r="AD372" s="21"/>
      <c r="AE372" s="21"/>
      <c r="AF372" s="21"/>
      <c r="AG372" s="21"/>
      <c r="AH372" s="38"/>
      <c r="AI372" s="38"/>
      <c r="AJ372" s="38"/>
      <c r="AK372" s="21"/>
      <c r="AL372" s="17"/>
      <c r="AM372" s="17"/>
      <c r="AN372" s="17"/>
    </row>
    <row r="373" spans="2:40" x14ac:dyDescent="0.25">
      <c r="B373" s="22"/>
      <c r="C373" s="18"/>
      <c r="D373" s="17"/>
      <c r="E373" s="17"/>
      <c r="F373" s="19"/>
      <c r="G373" s="19"/>
      <c r="H373" s="17"/>
      <c r="I373" s="17"/>
      <c r="J373" s="17"/>
      <c r="K373" s="17"/>
      <c r="L373" s="17"/>
      <c r="M373" s="17"/>
      <c r="N373" s="17"/>
      <c r="O373" s="19"/>
      <c r="P373" s="19"/>
      <c r="Q373" s="20"/>
      <c r="R373" s="18"/>
      <c r="S373" s="17"/>
      <c r="T373" s="17"/>
      <c r="U373" s="17"/>
      <c r="V373" s="17"/>
      <c r="W373" s="17"/>
      <c r="X373" s="17"/>
      <c r="Y373" s="17"/>
      <c r="Z373" s="17"/>
      <c r="AA373" s="17"/>
      <c r="AB373" s="17"/>
      <c r="AC373" s="21"/>
      <c r="AD373" s="21"/>
      <c r="AE373" s="21"/>
      <c r="AF373" s="21"/>
      <c r="AG373" s="21"/>
      <c r="AH373" s="38"/>
      <c r="AI373" s="38"/>
      <c r="AJ373" s="38"/>
      <c r="AK373" s="21"/>
      <c r="AL373" s="17"/>
      <c r="AM373" s="17"/>
      <c r="AN373" s="17"/>
    </row>
    <row r="374" spans="2:40" x14ac:dyDescent="0.25">
      <c r="B374" s="22"/>
      <c r="C374" s="18"/>
      <c r="D374" s="17"/>
      <c r="E374" s="17"/>
      <c r="F374" s="19"/>
      <c r="G374" s="19"/>
      <c r="H374" s="17"/>
      <c r="I374" s="17"/>
      <c r="J374" s="17"/>
      <c r="K374" s="17"/>
      <c r="L374" s="17"/>
      <c r="M374" s="17"/>
      <c r="N374" s="17"/>
      <c r="O374" s="19"/>
      <c r="P374" s="19"/>
      <c r="Q374" s="20"/>
      <c r="R374" s="18"/>
      <c r="S374" s="17"/>
      <c r="T374" s="17"/>
      <c r="U374" s="17"/>
      <c r="V374" s="17"/>
      <c r="W374" s="17"/>
      <c r="X374" s="17"/>
      <c r="Y374" s="17"/>
      <c r="Z374" s="17"/>
      <c r="AA374" s="17"/>
      <c r="AB374" s="17"/>
      <c r="AC374" s="21"/>
      <c r="AD374" s="21"/>
      <c r="AE374" s="21"/>
      <c r="AF374" s="21"/>
      <c r="AG374" s="21"/>
      <c r="AH374" s="38"/>
      <c r="AI374" s="38"/>
      <c r="AJ374" s="38"/>
      <c r="AK374" s="21"/>
      <c r="AL374" s="17"/>
      <c r="AM374" s="17"/>
      <c r="AN374" s="17"/>
    </row>
    <row r="375" spans="2:40" x14ac:dyDescent="0.25">
      <c r="B375" s="22"/>
      <c r="C375" s="18"/>
      <c r="D375" s="17"/>
      <c r="E375" s="17"/>
      <c r="F375" s="19"/>
      <c r="G375" s="19"/>
      <c r="H375" s="17"/>
      <c r="I375" s="17"/>
      <c r="J375" s="17"/>
      <c r="K375" s="17"/>
      <c r="L375" s="17"/>
      <c r="M375" s="17"/>
      <c r="N375" s="17"/>
      <c r="O375" s="19"/>
      <c r="P375" s="19"/>
      <c r="Q375" s="20"/>
      <c r="R375" s="18"/>
      <c r="S375" s="17"/>
      <c r="T375" s="17"/>
      <c r="U375" s="17"/>
      <c r="V375" s="17"/>
      <c r="W375" s="17"/>
      <c r="X375" s="17"/>
      <c r="Y375" s="17"/>
      <c r="Z375" s="17"/>
      <c r="AA375" s="17"/>
      <c r="AB375" s="17"/>
      <c r="AC375" s="21"/>
      <c r="AD375" s="21"/>
      <c r="AE375" s="21"/>
      <c r="AF375" s="21"/>
      <c r="AG375" s="21"/>
      <c r="AH375" s="38"/>
      <c r="AI375" s="38"/>
      <c r="AJ375" s="38"/>
      <c r="AK375" s="21"/>
      <c r="AL375" s="17"/>
      <c r="AM375" s="17"/>
      <c r="AN375" s="17"/>
    </row>
    <row r="376" spans="2:40" x14ac:dyDescent="0.25">
      <c r="B376" s="22"/>
      <c r="C376" s="18"/>
      <c r="D376" s="17"/>
      <c r="E376" s="17"/>
      <c r="F376" s="19"/>
      <c r="G376" s="19"/>
      <c r="H376" s="17"/>
      <c r="I376" s="17"/>
      <c r="J376" s="17"/>
      <c r="K376" s="17"/>
      <c r="L376" s="17"/>
      <c r="M376" s="17"/>
      <c r="N376" s="17"/>
      <c r="O376" s="19"/>
      <c r="P376" s="19"/>
      <c r="Q376" s="20"/>
      <c r="R376" s="18"/>
      <c r="S376" s="17"/>
      <c r="T376" s="17"/>
      <c r="U376" s="17"/>
      <c r="V376" s="17"/>
      <c r="W376" s="17"/>
      <c r="X376" s="17"/>
      <c r="Y376" s="17"/>
      <c r="Z376" s="17"/>
      <c r="AA376" s="17"/>
      <c r="AB376" s="17"/>
      <c r="AC376" s="21"/>
      <c r="AD376" s="21"/>
      <c r="AE376" s="21"/>
      <c r="AF376" s="21"/>
      <c r="AG376" s="21"/>
      <c r="AH376" s="38"/>
      <c r="AI376" s="38"/>
      <c r="AJ376" s="38"/>
      <c r="AK376" s="21"/>
      <c r="AL376" s="17"/>
      <c r="AM376" s="17"/>
      <c r="AN376" s="17"/>
    </row>
    <row r="377" spans="2:40" x14ac:dyDescent="0.25">
      <c r="B377" s="22"/>
      <c r="C377" s="18"/>
      <c r="D377" s="17"/>
      <c r="E377" s="17"/>
      <c r="F377" s="19"/>
      <c r="G377" s="19"/>
      <c r="H377" s="17"/>
      <c r="I377" s="17"/>
      <c r="J377" s="17"/>
      <c r="K377" s="17"/>
      <c r="L377" s="17"/>
      <c r="M377" s="17"/>
      <c r="N377" s="17"/>
      <c r="O377" s="19"/>
      <c r="P377" s="19"/>
      <c r="Q377" s="20"/>
      <c r="R377" s="18"/>
      <c r="S377" s="17"/>
      <c r="T377" s="17"/>
      <c r="U377" s="17"/>
      <c r="V377" s="17"/>
      <c r="W377" s="17"/>
      <c r="X377" s="17"/>
      <c r="Y377" s="17"/>
      <c r="Z377" s="17"/>
      <c r="AA377" s="17"/>
      <c r="AB377" s="17"/>
      <c r="AC377" s="21"/>
      <c r="AD377" s="21"/>
      <c r="AE377" s="21"/>
      <c r="AF377" s="21"/>
      <c r="AG377" s="21"/>
      <c r="AH377" s="38"/>
      <c r="AI377" s="38"/>
      <c r="AJ377" s="38"/>
      <c r="AK377" s="21"/>
      <c r="AL377" s="17"/>
      <c r="AM377" s="17"/>
      <c r="AN377" s="17"/>
    </row>
    <row r="378" spans="2:40" x14ac:dyDescent="0.25">
      <c r="B378" s="22"/>
      <c r="C378" s="18"/>
      <c r="D378" s="17"/>
      <c r="E378" s="17"/>
      <c r="F378" s="19"/>
      <c r="G378" s="19"/>
      <c r="H378" s="17"/>
      <c r="I378" s="17"/>
      <c r="J378" s="17"/>
      <c r="K378" s="17"/>
      <c r="L378" s="17"/>
      <c r="M378" s="17"/>
      <c r="N378" s="17"/>
      <c r="O378" s="19"/>
      <c r="P378" s="19"/>
      <c r="Q378" s="20"/>
      <c r="R378" s="18"/>
      <c r="S378" s="17"/>
      <c r="T378" s="17"/>
      <c r="U378" s="17"/>
      <c r="V378" s="17"/>
      <c r="W378" s="17"/>
      <c r="X378" s="17"/>
      <c r="Y378" s="17"/>
      <c r="Z378" s="17"/>
      <c r="AA378" s="17"/>
      <c r="AB378" s="17"/>
      <c r="AC378" s="21"/>
      <c r="AD378" s="21"/>
      <c r="AE378" s="21"/>
      <c r="AF378" s="21"/>
      <c r="AG378" s="21"/>
      <c r="AH378" s="38"/>
      <c r="AI378" s="38"/>
      <c r="AJ378" s="38"/>
      <c r="AK378" s="21"/>
      <c r="AL378" s="17"/>
      <c r="AM378" s="17"/>
      <c r="AN378" s="17"/>
    </row>
    <row r="379" spans="2:40" x14ac:dyDescent="0.25">
      <c r="B379" s="22"/>
      <c r="C379" s="18"/>
      <c r="D379" s="17"/>
      <c r="E379" s="17"/>
      <c r="F379" s="19"/>
      <c r="G379" s="19"/>
      <c r="H379" s="17"/>
      <c r="I379" s="17"/>
      <c r="J379" s="17"/>
      <c r="K379" s="17"/>
      <c r="L379" s="17"/>
      <c r="M379" s="17"/>
      <c r="N379" s="17"/>
      <c r="O379" s="19"/>
      <c r="P379" s="19"/>
      <c r="Q379" s="20"/>
      <c r="R379" s="18"/>
      <c r="S379" s="17"/>
      <c r="T379" s="17"/>
      <c r="U379" s="17"/>
      <c r="V379" s="17"/>
      <c r="W379" s="17"/>
      <c r="X379" s="17"/>
      <c r="Y379" s="17"/>
      <c r="Z379" s="17"/>
      <c r="AA379" s="17"/>
      <c r="AB379" s="17"/>
      <c r="AC379" s="21"/>
      <c r="AD379" s="21"/>
      <c r="AE379" s="21"/>
      <c r="AF379" s="21"/>
      <c r="AG379" s="21"/>
      <c r="AH379" s="38"/>
      <c r="AI379" s="38"/>
      <c r="AJ379" s="38"/>
      <c r="AK379" s="21"/>
      <c r="AL379" s="17"/>
      <c r="AM379" s="17"/>
      <c r="AN379" s="17"/>
    </row>
    <row r="380" spans="2:40" x14ac:dyDescent="0.25">
      <c r="B380" s="22"/>
      <c r="C380" s="18"/>
      <c r="D380" s="17"/>
      <c r="E380" s="17"/>
      <c r="F380" s="19"/>
      <c r="G380" s="19"/>
      <c r="H380" s="17"/>
      <c r="I380" s="17"/>
      <c r="J380" s="17"/>
      <c r="K380" s="17"/>
      <c r="L380" s="17"/>
      <c r="M380" s="17"/>
      <c r="N380" s="17"/>
      <c r="O380" s="19"/>
      <c r="P380" s="19"/>
      <c r="Q380" s="20"/>
      <c r="R380" s="18"/>
      <c r="S380" s="17"/>
      <c r="T380" s="17"/>
      <c r="U380" s="17"/>
      <c r="V380" s="17"/>
      <c r="W380" s="17"/>
      <c r="X380" s="17"/>
      <c r="Y380" s="17"/>
      <c r="Z380" s="17"/>
      <c r="AA380" s="17"/>
      <c r="AB380" s="17"/>
      <c r="AC380" s="21"/>
      <c r="AD380" s="21"/>
      <c r="AE380" s="21"/>
      <c r="AF380" s="21"/>
      <c r="AG380" s="21"/>
      <c r="AH380" s="38"/>
      <c r="AI380" s="38"/>
      <c r="AJ380" s="38"/>
      <c r="AK380" s="21"/>
      <c r="AL380" s="17"/>
      <c r="AM380" s="17"/>
      <c r="AN380" s="17"/>
    </row>
    <row r="381" spans="2:40" x14ac:dyDescent="0.25">
      <c r="B381" s="22"/>
      <c r="C381" s="18"/>
      <c r="D381" s="17"/>
      <c r="E381" s="17"/>
      <c r="F381" s="19"/>
      <c r="G381" s="19"/>
      <c r="H381" s="17"/>
      <c r="I381" s="17"/>
      <c r="J381" s="17"/>
      <c r="K381" s="17"/>
      <c r="L381" s="17"/>
      <c r="M381" s="17"/>
      <c r="N381" s="17"/>
      <c r="O381" s="19"/>
      <c r="P381" s="19"/>
      <c r="Q381" s="20"/>
      <c r="R381" s="18"/>
      <c r="S381" s="17"/>
      <c r="T381" s="17"/>
      <c r="U381" s="17"/>
      <c r="V381" s="17"/>
      <c r="W381" s="17"/>
      <c r="X381" s="17"/>
      <c r="Y381" s="17"/>
      <c r="Z381" s="17"/>
      <c r="AA381" s="17"/>
      <c r="AB381" s="17"/>
      <c r="AC381" s="21"/>
      <c r="AD381" s="21"/>
      <c r="AE381" s="21"/>
      <c r="AF381" s="21"/>
      <c r="AG381" s="21"/>
      <c r="AH381" s="38"/>
      <c r="AI381" s="38"/>
      <c r="AJ381" s="38"/>
      <c r="AK381" s="21"/>
      <c r="AL381" s="17"/>
      <c r="AM381" s="17"/>
      <c r="AN381" s="17"/>
    </row>
    <row r="382" spans="2:40" x14ac:dyDescent="0.25">
      <c r="B382" s="22"/>
      <c r="C382" s="18"/>
      <c r="D382" s="17"/>
      <c r="E382" s="17"/>
      <c r="F382" s="19"/>
      <c r="G382" s="19"/>
      <c r="H382" s="17"/>
      <c r="I382" s="17"/>
      <c r="J382" s="17"/>
      <c r="K382" s="17"/>
      <c r="L382" s="17"/>
      <c r="M382" s="17"/>
      <c r="N382" s="17"/>
      <c r="O382" s="19"/>
      <c r="P382" s="19"/>
      <c r="Q382" s="20"/>
      <c r="R382" s="18"/>
      <c r="S382" s="17"/>
      <c r="T382" s="17"/>
      <c r="U382" s="17"/>
      <c r="V382" s="17"/>
      <c r="W382" s="17"/>
      <c r="X382" s="17"/>
      <c r="Y382" s="17"/>
      <c r="Z382" s="17"/>
      <c r="AA382" s="17"/>
      <c r="AB382" s="17"/>
      <c r="AC382" s="21"/>
      <c r="AD382" s="21"/>
      <c r="AE382" s="21"/>
      <c r="AF382" s="21"/>
      <c r="AG382" s="21"/>
      <c r="AH382" s="38"/>
      <c r="AI382" s="38"/>
      <c r="AJ382" s="38"/>
      <c r="AK382" s="21"/>
      <c r="AL382" s="17"/>
      <c r="AM382" s="17"/>
      <c r="AN382" s="17"/>
    </row>
    <row r="383" spans="2:40" x14ac:dyDescent="0.25">
      <c r="B383" s="22"/>
      <c r="C383" s="18"/>
      <c r="D383" s="17"/>
      <c r="E383" s="17"/>
      <c r="F383" s="19"/>
      <c r="G383" s="19"/>
      <c r="H383" s="17"/>
      <c r="I383" s="17"/>
      <c r="J383" s="17"/>
      <c r="K383" s="17"/>
      <c r="L383" s="17"/>
      <c r="M383" s="17"/>
      <c r="N383" s="17"/>
      <c r="O383" s="19"/>
      <c r="P383" s="19"/>
      <c r="Q383" s="20"/>
      <c r="R383" s="18"/>
      <c r="S383" s="17"/>
      <c r="T383" s="17"/>
      <c r="U383" s="17"/>
      <c r="V383" s="17"/>
      <c r="W383" s="17"/>
      <c r="X383" s="17"/>
      <c r="Y383" s="17"/>
      <c r="Z383" s="17"/>
      <c r="AA383" s="17"/>
      <c r="AB383" s="17"/>
      <c r="AC383" s="21"/>
      <c r="AD383" s="21"/>
      <c r="AE383" s="21"/>
      <c r="AF383" s="21"/>
      <c r="AG383" s="21"/>
      <c r="AH383" s="38"/>
      <c r="AI383" s="38"/>
      <c r="AJ383" s="38"/>
      <c r="AK383" s="21"/>
      <c r="AL383" s="17"/>
      <c r="AM383" s="17"/>
      <c r="AN383" s="17"/>
    </row>
    <row r="384" spans="2:40" x14ac:dyDescent="0.25">
      <c r="B384" s="22"/>
      <c r="C384" s="18"/>
      <c r="D384" s="17"/>
      <c r="E384" s="17"/>
      <c r="F384" s="19"/>
      <c r="G384" s="19"/>
      <c r="H384" s="17"/>
      <c r="I384" s="17"/>
      <c r="J384" s="17"/>
      <c r="K384" s="17"/>
      <c r="L384" s="17"/>
      <c r="M384" s="17"/>
      <c r="N384" s="17"/>
      <c r="O384" s="19"/>
      <c r="P384" s="19"/>
      <c r="Q384" s="20"/>
      <c r="R384" s="18"/>
      <c r="S384" s="17"/>
      <c r="T384" s="17"/>
      <c r="U384" s="17"/>
      <c r="V384" s="17"/>
      <c r="W384" s="17"/>
      <c r="X384" s="17"/>
      <c r="Y384" s="17"/>
      <c r="Z384" s="17"/>
      <c r="AA384" s="17"/>
      <c r="AB384" s="17"/>
      <c r="AC384" s="21"/>
      <c r="AD384" s="21"/>
      <c r="AE384" s="21"/>
      <c r="AF384" s="21"/>
      <c r="AG384" s="21"/>
      <c r="AH384" s="38"/>
      <c r="AI384" s="38"/>
      <c r="AJ384" s="38"/>
      <c r="AK384" s="21"/>
      <c r="AL384" s="17"/>
      <c r="AM384" s="17"/>
      <c r="AN384" s="17"/>
    </row>
    <row r="385" spans="2:40" x14ac:dyDescent="0.25">
      <c r="B385" s="22"/>
      <c r="C385" s="18"/>
      <c r="D385" s="17"/>
      <c r="E385" s="17"/>
      <c r="F385" s="19"/>
      <c r="G385" s="19"/>
      <c r="H385" s="17"/>
      <c r="I385" s="17"/>
      <c r="J385" s="17"/>
      <c r="K385" s="17"/>
      <c r="L385" s="17"/>
      <c r="M385" s="17"/>
      <c r="N385" s="17"/>
      <c r="O385" s="19"/>
      <c r="P385" s="19"/>
      <c r="Q385" s="20"/>
      <c r="R385" s="18"/>
      <c r="S385" s="17"/>
      <c r="T385" s="17"/>
      <c r="U385" s="17"/>
      <c r="V385" s="17"/>
      <c r="W385" s="17"/>
      <c r="X385" s="17"/>
      <c r="Y385" s="17"/>
      <c r="Z385" s="17"/>
      <c r="AA385" s="17"/>
      <c r="AB385" s="17"/>
      <c r="AC385" s="21"/>
      <c r="AD385" s="21"/>
      <c r="AE385" s="21"/>
      <c r="AF385" s="21"/>
      <c r="AG385" s="21"/>
      <c r="AH385" s="38"/>
      <c r="AI385" s="38"/>
      <c r="AJ385" s="38"/>
      <c r="AK385" s="21"/>
      <c r="AL385" s="17"/>
      <c r="AM385" s="17"/>
      <c r="AN385" s="17"/>
    </row>
    <row r="386" spans="2:40" x14ac:dyDescent="0.25">
      <c r="B386" s="22"/>
      <c r="C386" s="18"/>
      <c r="D386" s="17"/>
      <c r="E386" s="17"/>
      <c r="F386" s="19"/>
      <c r="G386" s="19"/>
      <c r="H386" s="17"/>
      <c r="I386" s="17"/>
      <c r="J386" s="17"/>
      <c r="K386" s="17"/>
      <c r="L386" s="17"/>
      <c r="M386" s="17"/>
      <c r="N386" s="17"/>
      <c r="O386" s="19"/>
      <c r="P386" s="19"/>
      <c r="Q386" s="20"/>
      <c r="R386" s="18"/>
      <c r="S386" s="17"/>
      <c r="T386" s="17"/>
      <c r="U386" s="17"/>
      <c r="V386" s="17"/>
      <c r="W386" s="17"/>
      <c r="X386" s="17"/>
      <c r="Y386" s="17"/>
      <c r="Z386" s="17"/>
      <c r="AA386" s="17"/>
      <c r="AB386" s="17"/>
      <c r="AC386" s="21"/>
      <c r="AD386" s="21"/>
      <c r="AE386" s="21"/>
      <c r="AF386" s="21"/>
      <c r="AG386" s="21"/>
      <c r="AH386" s="38"/>
      <c r="AI386" s="38"/>
      <c r="AJ386" s="38"/>
      <c r="AK386" s="21"/>
      <c r="AL386" s="17"/>
      <c r="AM386" s="17"/>
      <c r="AN386" s="17"/>
    </row>
    <row r="387" spans="2:40" x14ac:dyDescent="0.25">
      <c r="B387" s="22"/>
      <c r="C387" s="18"/>
      <c r="D387" s="17"/>
      <c r="E387" s="17"/>
      <c r="F387" s="19"/>
      <c r="G387" s="19"/>
      <c r="H387" s="17"/>
      <c r="I387" s="17"/>
      <c r="J387" s="17"/>
      <c r="K387" s="17"/>
      <c r="L387" s="17"/>
      <c r="M387" s="17"/>
      <c r="N387" s="17"/>
      <c r="O387" s="19"/>
      <c r="P387" s="19"/>
      <c r="Q387" s="20"/>
      <c r="R387" s="18"/>
      <c r="S387" s="17"/>
      <c r="T387" s="17"/>
      <c r="U387" s="17"/>
      <c r="V387" s="17"/>
      <c r="W387" s="17"/>
      <c r="X387" s="17"/>
      <c r="Y387" s="17"/>
      <c r="Z387" s="17"/>
      <c r="AA387" s="17"/>
      <c r="AB387" s="17"/>
      <c r="AC387" s="21"/>
      <c r="AD387" s="21"/>
      <c r="AE387" s="21"/>
      <c r="AF387" s="21"/>
      <c r="AG387" s="21"/>
      <c r="AH387" s="38"/>
      <c r="AI387" s="38"/>
      <c r="AJ387" s="38"/>
      <c r="AK387" s="21"/>
      <c r="AL387" s="17"/>
      <c r="AM387" s="17"/>
      <c r="AN387" s="17"/>
    </row>
    <row r="388" spans="2:40" x14ac:dyDescent="0.25">
      <c r="B388" s="22"/>
      <c r="C388" s="18"/>
      <c r="D388" s="17"/>
      <c r="E388" s="17"/>
      <c r="F388" s="19"/>
      <c r="G388" s="19"/>
      <c r="H388" s="17"/>
      <c r="I388" s="17"/>
      <c r="J388" s="17"/>
      <c r="K388" s="17"/>
      <c r="L388" s="17"/>
      <c r="M388" s="17"/>
      <c r="N388" s="17"/>
      <c r="O388" s="19"/>
      <c r="P388" s="19"/>
      <c r="Q388" s="20"/>
      <c r="R388" s="18"/>
      <c r="S388" s="17"/>
      <c r="T388" s="17"/>
      <c r="U388" s="17"/>
      <c r="V388" s="17"/>
      <c r="W388" s="17"/>
      <c r="X388" s="17"/>
      <c r="Y388" s="17"/>
      <c r="Z388" s="17"/>
      <c r="AA388" s="17"/>
      <c r="AB388" s="17"/>
      <c r="AC388" s="21"/>
      <c r="AD388" s="21"/>
      <c r="AE388" s="21"/>
      <c r="AF388" s="21"/>
      <c r="AG388" s="21"/>
      <c r="AH388" s="38"/>
      <c r="AI388" s="38"/>
      <c r="AJ388" s="38"/>
      <c r="AK388" s="21"/>
      <c r="AL388" s="17"/>
      <c r="AM388" s="17"/>
      <c r="AN388" s="17"/>
    </row>
    <row r="389" spans="2:40" x14ac:dyDescent="0.25">
      <c r="B389" s="22"/>
      <c r="C389" s="18"/>
      <c r="D389" s="17"/>
      <c r="E389" s="17"/>
      <c r="F389" s="19"/>
      <c r="G389" s="19"/>
      <c r="H389" s="17"/>
      <c r="I389" s="17"/>
      <c r="J389" s="17"/>
      <c r="K389" s="17"/>
      <c r="L389" s="17"/>
      <c r="M389" s="17"/>
      <c r="N389" s="17"/>
      <c r="O389" s="19"/>
      <c r="P389" s="19"/>
      <c r="Q389" s="20"/>
      <c r="R389" s="18"/>
      <c r="S389" s="17"/>
      <c r="T389" s="17"/>
      <c r="U389" s="17"/>
      <c r="V389" s="17"/>
      <c r="W389" s="17"/>
      <c r="X389" s="17"/>
      <c r="Y389" s="17"/>
      <c r="Z389" s="17"/>
      <c r="AA389" s="17"/>
      <c r="AB389" s="17"/>
      <c r="AC389" s="21"/>
      <c r="AD389" s="21"/>
      <c r="AE389" s="21"/>
      <c r="AF389" s="21"/>
      <c r="AG389" s="21"/>
      <c r="AH389" s="38"/>
      <c r="AI389" s="38"/>
      <c r="AJ389" s="38"/>
      <c r="AK389" s="21"/>
      <c r="AL389" s="17"/>
      <c r="AM389" s="17"/>
      <c r="AN389" s="17"/>
    </row>
    <row r="390" spans="2:40" x14ac:dyDescent="0.25">
      <c r="B390" s="22"/>
      <c r="C390" s="18"/>
      <c r="D390" s="17"/>
      <c r="E390" s="17"/>
      <c r="F390" s="19"/>
      <c r="G390" s="19"/>
      <c r="H390" s="17"/>
      <c r="I390" s="17"/>
      <c r="J390" s="17"/>
      <c r="K390" s="17"/>
      <c r="L390" s="17"/>
      <c r="M390" s="17"/>
      <c r="N390" s="17"/>
      <c r="O390" s="19"/>
      <c r="P390" s="19"/>
      <c r="Q390" s="20"/>
      <c r="R390" s="18"/>
      <c r="S390" s="17"/>
      <c r="T390" s="17"/>
      <c r="U390" s="17"/>
      <c r="V390" s="17"/>
      <c r="W390" s="17"/>
      <c r="X390" s="17"/>
      <c r="Y390" s="17"/>
      <c r="Z390" s="17"/>
      <c r="AA390" s="17"/>
      <c r="AB390" s="17"/>
      <c r="AC390" s="21"/>
      <c r="AD390" s="21"/>
      <c r="AE390" s="21"/>
      <c r="AF390" s="21"/>
      <c r="AG390" s="21"/>
      <c r="AH390" s="38"/>
      <c r="AI390" s="38"/>
      <c r="AJ390" s="38"/>
      <c r="AK390" s="21"/>
      <c r="AL390" s="17"/>
      <c r="AM390" s="17"/>
      <c r="AN390" s="17"/>
    </row>
    <row r="391" spans="2:40" x14ac:dyDescent="0.25">
      <c r="B391" s="22"/>
      <c r="C391" s="18"/>
      <c r="D391" s="17"/>
      <c r="E391" s="17"/>
      <c r="F391" s="19"/>
      <c r="G391" s="19"/>
      <c r="H391" s="17"/>
      <c r="I391" s="17"/>
      <c r="J391" s="17"/>
      <c r="K391" s="17"/>
      <c r="L391" s="17"/>
      <c r="M391" s="17"/>
      <c r="N391" s="17"/>
      <c r="O391" s="19"/>
      <c r="P391" s="19"/>
      <c r="Q391" s="20"/>
      <c r="R391" s="18"/>
      <c r="S391" s="17"/>
      <c r="T391" s="17"/>
      <c r="U391" s="17"/>
      <c r="V391" s="17"/>
      <c r="W391" s="17"/>
      <c r="X391" s="17"/>
      <c r="Y391" s="17"/>
      <c r="Z391" s="17"/>
      <c r="AA391" s="17"/>
      <c r="AB391" s="17"/>
      <c r="AC391" s="21"/>
      <c r="AD391" s="21"/>
      <c r="AE391" s="21"/>
      <c r="AF391" s="21"/>
      <c r="AG391" s="21"/>
      <c r="AH391" s="38"/>
      <c r="AI391" s="38"/>
      <c r="AJ391" s="38"/>
      <c r="AK391" s="21"/>
      <c r="AL391" s="17"/>
      <c r="AM391" s="17"/>
      <c r="AN391" s="17"/>
    </row>
    <row r="392" spans="2:40" x14ac:dyDescent="0.25">
      <c r="B392" s="5"/>
      <c r="C392" s="5"/>
      <c r="D392" s="5"/>
      <c r="E392" s="5"/>
      <c r="F392" s="5"/>
      <c r="G392" s="5"/>
      <c r="H392" s="5"/>
      <c r="I392" s="5"/>
      <c r="J392" s="5"/>
      <c r="K392" s="5"/>
      <c r="L392" s="5"/>
      <c r="M392" s="5"/>
      <c r="N392" s="5"/>
      <c r="O392" s="5"/>
      <c r="P392" s="5"/>
      <c r="Q392" s="5"/>
    </row>
  </sheetData>
  <autoFilter ref="B47:AO341">
    <filterColumn colId="1">
      <filters>
        <filter val="20200416_1"/>
      </filters>
    </filterColumn>
  </autoFilter>
  <customSheetViews>
    <customSheetView guid="{250915DF-0B97-45D7-B29D-7EED4C89C1C1}" scale="70" filter="1" showAutoFilter="1" topLeftCell="J256">
      <selection activeCell="X299" sqref="X299"/>
      <pageMargins left="0.7" right="0.7" top="0.75" bottom="0.75" header="0.3" footer="0.3"/>
      <pageSetup orientation="portrait" horizontalDpi="300" verticalDpi="0" r:id="rId1"/>
      <autoFilter ref="B47:AO341">
        <filterColumn colId="1">
          <filters>
            <filter val="20200416_1"/>
          </filters>
        </filterColumn>
      </autoFilter>
    </customSheetView>
    <customSheetView guid="{A2C66332-A809-458E-971B-FDB6D62C74C3}" scale="70" filter="1" showAutoFilter="1" topLeftCell="Q31">
      <selection activeCell="AH165" sqref="AH165:AJ300"/>
      <pageMargins left="0.7" right="0.7" top="0.75" bottom="0.75" header="0.3" footer="0.3"/>
      <pageSetup orientation="portrait" horizontalDpi="300" verticalDpi="0" r:id="rId2"/>
      <autoFilter ref="B47:AN391">
        <filterColumn colId="17">
          <filters>
            <filter val="bang.nguyen-duy"/>
          </filters>
        </filterColumn>
      </autoFilter>
    </customSheetView>
    <customSheetView guid="{72A6EB0A-84D5-4B8A-AC51-54CCD061630B}" scale="80" filter="1" showAutoFilter="1" topLeftCell="R26">
      <selection activeCell="AE325" sqref="AE325:AK329"/>
      <pageMargins left="0.7" right="0.7" top="0.75" bottom="0.75" header="0.3" footer="0.3"/>
      <pageSetup orientation="portrait" horizontalDpi="300" verticalDpi="0" r:id="rId3"/>
      <autoFilter ref="B47:AO341">
        <filterColumn colId="17">
          <filters>
            <filter val="loc.do-phu"/>
          </filters>
        </filterColumn>
      </autoFilter>
    </customSheetView>
    <customSheetView guid="{7ECC2B8E-6A82-42F5-8AB0-4A51C54EA5EC}" scale="70" showAutoFilter="1" topLeftCell="M59">
      <selection activeCell="AD1" sqref="AD1:AD1048576"/>
      <pageMargins left="0.7" right="0.7" top="0.75" bottom="0.75" header="0.3" footer="0.3"/>
      <pageSetup orientation="portrait" horizontalDpi="300" verticalDpi="0" r:id="rId4"/>
      <autoFilter ref="B62:AJ313"/>
    </customSheetView>
    <customSheetView guid="{336B6883-2145-4B58-921E-CEC7185A847E}" scale="85" showAutoFilter="1" topLeftCell="P217">
      <selection activeCell="AG242" sqref="AG242"/>
      <pageMargins left="0.7" right="0.7" top="0.75" bottom="0.75" header="0.3" footer="0.3"/>
      <pageSetup orientation="portrait" horizontalDpi="300" verticalDpi="0" r:id="rId5"/>
      <autoFilter ref="P62:P328"/>
    </customSheetView>
    <customSheetView guid="{D33AC7AF-C8AB-4CE9-94C7-9237011A5FC3}" scale="70" topLeftCell="G50">
      <selection activeCell="M263" sqref="M263"/>
      <pageMargins left="0.7" right="0.7" top="0.75" bottom="0.75" header="0.3" footer="0.3"/>
      <pageSetup orientation="portrait" horizontalDpi="300" verticalDpi="0" r:id="rId6"/>
    </customSheetView>
    <customSheetView guid="{3B3E6719-EACB-4D2C-89C1-05FFAB6020FD}" scale="55" filter="1" showAutoFilter="1" topLeftCell="N40">
      <selection activeCell="AI316" sqref="AI316"/>
      <pageMargins left="0.7" right="0.7" top="0.75" bottom="0.75" header="0.3" footer="0.3"/>
      <pageSetup orientation="portrait" horizontalDpi="300" verticalDpi="0" r:id="rId7"/>
      <autoFilter ref="B47:AO341">
        <filterColumn colId="17">
          <filters>
            <filter val="phuong.nguyen-thanh"/>
          </filters>
        </filterColumn>
      </autoFilter>
    </customSheetView>
  </customSheetViews>
  <conditionalFormatting sqref="H4:H13 H19:H29">
    <cfRule type="cellIs" dxfId="136" priority="89" operator="equal">
      <formula>1</formula>
    </cfRule>
    <cfRule type="cellIs" dxfId="135" priority="90" operator="lessThan">
      <formula>1</formula>
    </cfRule>
  </conditionalFormatting>
  <conditionalFormatting sqref="AG48:AG116 AK48:AK116 AK342:AK391 AG342:AG391">
    <cfRule type="cellIs" dxfId="134" priority="87" operator="equal">
      <formula>"OK"</formula>
    </cfRule>
    <cfRule type="cellIs" dxfId="133" priority="88" operator="equal">
      <formula>"NG"</formula>
    </cfRule>
  </conditionalFormatting>
  <conditionalFormatting sqref="O48:P116 O342:P391">
    <cfRule type="cellIs" dxfId="132" priority="86" operator="equal">
      <formula>"PUT_VERSION"</formula>
    </cfRule>
  </conditionalFormatting>
  <conditionalFormatting sqref="D14">
    <cfRule type="expression" dxfId="131" priority="74">
      <formula>$D$14=SUM($D$4:$D$13)</formula>
    </cfRule>
  </conditionalFormatting>
  <conditionalFormatting sqref="E14">
    <cfRule type="expression" dxfId="130" priority="73">
      <formula>$E$14=SUM($E$4:$E$13)</formula>
    </cfRule>
  </conditionalFormatting>
  <conditionalFormatting sqref="F14">
    <cfRule type="expression" dxfId="129" priority="72">
      <formula>$F$14=SUM($F$4:$F$13)</formula>
    </cfRule>
  </conditionalFormatting>
  <conditionalFormatting sqref="D29">
    <cfRule type="expression" dxfId="128" priority="71">
      <formula>$D$29=SUM($D$19:$D$28)</formula>
    </cfRule>
  </conditionalFormatting>
  <conditionalFormatting sqref="E29">
    <cfRule type="expression" dxfId="127" priority="70">
      <formula>$E$29=SUM($E$19:$E$28)</formula>
    </cfRule>
  </conditionalFormatting>
  <conditionalFormatting sqref="H34">
    <cfRule type="cellIs" dxfId="126" priority="55" operator="equal">
      <formula>1</formula>
    </cfRule>
    <cfRule type="cellIs" dxfId="125" priority="56" operator="lessThan">
      <formula>1</formula>
    </cfRule>
  </conditionalFormatting>
  <conditionalFormatting sqref="H35:H43">
    <cfRule type="cellIs" dxfId="124" priority="53" operator="equal">
      <formula>1</formula>
    </cfRule>
    <cfRule type="cellIs" dxfId="123" priority="54" operator="lessThan">
      <formula>1</formula>
    </cfRule>
  </conditionalFormatting>
  <conditionalFormatting sqref="H44">
    <cfRule type="cellIs" dxfId="122" priority="47" operator="equal">
      <formula>1</formula>
    </cfRule>
    <cfRule type="cellIs" dxfId="121" priority="48" operator="lessThan">
      <formula>1</formula>
    </cfRule>
  </conditionalFormatting>
  <conditionalFormatting sqref="F29">
    <cfRule type="expression" dxfId="120" priority="107">
      <formula>$F$29=SUM($F$19:$F$28)</formula>
    </cfRule>
  </conditionalFormatting>
  <conditionalFormatting sqref="AG117 AG121:AG170 AG172:AG270 AG272:AG341">
    <cfRule type="cellIs" dxfId="119" priority="13" operator="equal">
      <formula>"OK"</formula>
    </cfRule>
    <cfRule type="cellIs" dxfId="118" priority="14" operator="equal">
      <formula>"NG"</formula>
    </cfRule>
  </conditionalFormatting>
  <conditionalFormatting sqref="AG118">
    <cfRule type="cellIs" dxfId="117" priority="10" operator="equal">
      <formula>"OK"</formula>
    </cfRule>
    <cfRule type="cellIs" dxfId="116" priority="11" operator="equal">
      <formula>"NG"</formula>
    </cfRule>
  </conditionalFormatting>
  <conditionalFormatting sqref="AG119">
    <cfRule type="cellIs" dxfId="115" priority="7" operator="equal">
      <formula>"OK"</formula>
    </cfRule>
    <cfRule type="cellIs" dxfId="114" priority="8" operator="equal">
      <formula>"NG"</formula>
    </cfRule>
  </conditionalFormatting>
  <conditionalFormatting sqref="AG120">
    <cfRule type="cellIs" dxfId="113" priority="4" operator="equal">
      <formula>"OK"</formula>
    </cfRule>
    <cfRule type="cellIs" dxfId="112" priority="5" operator="equal">
      <formula>"NG"</formula>
    </cfRule>
  </conditionalFormatting>
  <conditionalFormatting sqref="AG171">
    <cfRule type="cellIs" dxfId="111" priority="1" operator="equal">
      <formula>"OK"</formula>
    </cfRule>
    <cfRule type="cellIs" dxfId="110" priority="2" operator="equal">
      <formula>"NG"</formula>
    </cfRule>
  </conditionalFormatting>
  <dataValidations disablePrompts="1" count="3">
    <dataValidation type="list" allowBlank="1" showInputMessage="1" showErrorMessage="1" sqref="AG48:AG270 AK104:AK116 AK342:AK391 AG272:AG391">
      <formula1>"OK,NG"</formula1>
    </dataValidation>
    <dataValidation type="list" allowBlank="1" showInputMessage="1" showErrorMessage="1" sqref="U48:U116 U342:U391">
      <formula1>"Yes,No"</formula1>
    </dataValidation>
    <dataValidation type="list" allowBlank="1" showInputMessage="1" showErrorMessage="1" sqref="K117:K341">
      <formula1>"Auto,Manual"</formula1>
    </dataValidation>
  </dataValidations>
  <pageMargins left="0.7" right="0.7" top="0.75" bottom="0.75" header="0.3" footer="0.3"/>
  <pageSetup orientation="portrait" horizontalDpi="300" verticalDpi="0" r:id="rId8"/>
  <legacyDrawing r:id="rId9"/>
  <extLst>
    <ext xmlns:x14="http://schemas.microsoft.com/office/spreadsheetml/2009/9/main" uri="{78C0D931-6437-407d-A8EE-F0AAD7539E65}">
      <x14:conditionalFormattings>
        <x14:conditionalFormatting xmlns:xm="http://schemas.microsoft.com/office/excel/2006/main">
          <x14:cfRule type="cellIs" priority="91" operator="greaterThanOrEqual" id="{880EA441-2590-4E05-81FB-030A6B262BA2}">
            <xm:f>Table!$C$4</xm:f>
            <x14:dxf>
              <font>
                <color rgb="FF006100"/>
              </font>
              <fill>
                <patternFill>
                  <bgColor rgb="FFC6EFCE"/>
                </patternFill>
              </fill>
            </x14:dxf>
          </x14:cfRule>
          <x14:cfRule type="cellIs" priority="92"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93" operator="greaterThanOrEqual" id="{055B1730-1858-463E-9B0B-33FF6EF9C729}">
            <xm:f>Table!$D$4</xm:f>
            <x14:dxf>
              <font>
                <color rgb="FF006100"/>
              </font>
              <fill>
                <patternFill>
                  <bgColor rgb="FFC6EFCE"/>
                </patternFill>
              </fill>
            </x14:dxf>
          </x14:cfRule>
          <x14:cfRule type="cellIs" priority="94"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67" operator="greaterThanOrEqual" id="{8D99BF4A-D908-47F1-8E24-1697DAA263CD}">
            <xm:f>Table!$D$4</xm:f>
            <x14:dxf>
              <font>
                <color rgb="FF006100"/>
              </font>
              <fill>
                <patternFill>
                  <bgColor rgb="FFC6EFCE"/>
                </patternFill>
              </fill>
            </x14:dxf>
          </x14:cfRule>
          <x14:cfRule type="cellIs" priority="68"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65" operator="greaterThanOrEqual" id="{42805A51-A68C-45B4-950B-7CB2B9B10AB3}">
            <xm:f>Table!$D$4</xm:f>
            <x14:dxf>
              <font>
                <color rgb="FF006100"/>
              </font>
              <fill>
                <patternFill>
                  <bgColor rgb="FFC6EFCE"/>
                </patternFill>
              </fill>
            </x14:dxf>
          </x14:cfRule>
          <x14:cfRule type="cellIs" priority="66"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63" operator="greaterThanOrEqual" id="{2AA0948F-74AB-46EC-B255-A7ABEAF4E4D2}">
            <xm:f>Table!$D$4</xm:f>
            <x14:dxf>
              <font>
                <color rgb="FF006100"/>
              </font>
              <fill>
                <patternFill>
                  <bgColor rgb="FFC6EFCE"/>
                </patternFill>
              </fill>
            </x14:dxf>
          </x14:cfRule>
          <x14:cfRule type="cellIs" priority="64"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61" operator="greaterThanOrEqual" id="{B0B60969-8423-4320-940F-E9B989674632}">
            <xm:f>Table!$D$4</xm:f>
            <x14:dxf>
              <font>
                <color rgb="FF006100"/>
              </font>
              <fill>
                <patternFill>
                  <bgColor rgb="FFC6EFCE"/>
                </patternFill>
              </fill>
            </x14:dxf>
          </x14:cfRule>
          <x14:cfRule type="cellIs" priority="62"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expression" priority="12" id="{F654B39B-765E-4B9D-9121-9C5B1BF0D607}">
            <xm:f>OR(AK117=Table!$C$36,AK117=Table!$C$37)</xm:f>
            <x14:dxf>
              <font>
                <color rgb="FF9C0006"/>
              </font>
              <fill>
                <patternFill>
                  <bgColor rgb="FFFFC7CE"/>
                </patternFill>
              </fill>
            </x14:dxf>
          </x14:cfRule>
          <xm:sqref>AK117 AK121:AK270 AK272:AK341</xm:sqref>
        </x14:conditionalFormatting>
        <x14:conditionalFormatting xmlns:xm="http://schemas.microsoft.com/office/excel/2006/main">
          <x14:cfRule type="expression" priority="9" id="{94A8819A-7D28-44BF-88D2-72376FD799AB}">
            <xm:f>OR(AK118=Table!$C$36,AK118=Table!$C$37)</xm:f>
            <x14:dxf>
              <font>
                <color rgb="FF9C0006"/>
              </font>
              <fill>
                <patternFill>
                  <bgColor rgb="FFFFC7CE"/>
                </patternFill>
              </fill>
            </x14:dxf>
          </x14:cfRule>
          <xm:sqref>AK118</xm:sqref>
        </x14:conditionalFormatting>
        <x14:conditionalFormatting xmlns:xm="http://schemas.microsoft.com/office/excel/2006/main">
          <x14:cfRule type="expression" priority="6" id="{46443473-3845-438C-B401-7A9FCB4909A2}">
            <xm:f>OR(AK119=Table!$C$36,AK119=Table!$C$37)</xm:f>
            <x14:dxf>
              <font>
                <color rgb="FF9C0006"/>
              </font>
              <fill>
                <patternFill>
                  <bgColor rgb="FFFFC7CE"/>
                </patternFill>
              </fill>
            </x14:dxf>
          </x14:cfRule>
          <xm:sqref>AK119</xm:sqref>
        </x14:conditionalFormatting>
        <x14:conditionalFormatting xmlns:xm="http://schemas.microsoft.com/office/excel/2006/main">
          <x14:cfRule type="expression" priority="3" id="{938DC9C7-F880-4A72-99E9-52A30EF76283}">
            <xm:f>OR(AK120=Table!$C$36,AK120=Table!$C$37)</xm:f>
            <x14:dxf>
              <font>
                <color rgb="FF9C0006"/>
              </font>
              <fill>
                <patternFill>
                  <bgColor rgb="FFFFC7CE"/>
                </patternFill>
              </fill>
            </x14:dxf>
          </x14:cfRule>
          <xm:sqref>AK120</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Table!$C$13:$C$22</xm:f>
          </x14:formula1>
          <xm:sqref>S48:T116 S117:S341 S342:T391</xm:sqref>
        </x14:dataValidation>
        <x14:dataValidation type="list" allowBlank="1" showInputMessage="1" showErrorMessage="1">
          <x14:formula1>
            <xm:f>Table!$C$26:$C$32</xm:f>
          </x14:formula1>
          <xm:sqref>AA48:AB116 AA117:AA191 AA193:AA270 AA272:AA341 AA342:AB391</xm:sqref>
        </x14:dataValidation>
        <x14:dataValidation type="list" allowBlank="1" showInputMessage="1" showErrorMessage="1">
          <x14:formula1>
            <xm:f>Table!$C$36:$C$38</xm:f>
          </x14:formula1>
          <xm:sqref>AK117:AK270 AK272:AK341</xm:sqref>
        </x14:dataValidation>
        <x14:dataValidation type="list" allowBlank="1" showInputMessage="1" showErrorMessage="1">
          <x14:formula1>
            <xm:f>Table!$C$8:$C$9</xm:f>
          </x14:formula1>
          <xm:sqref>D48:D391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72A6EB0A-84D5-4B8A-AC51-54CCD061630B}">
      <selection activeCell="C39" sqref="C39"/>
      <pageMargins left="0.7" right="0.7" top="0.75" bottom="0.75" header="0.3" footer="0.3"/>
    </customSheetView>
    <customSheetView guid="{4E06BDBF-2CED-473B-850B-2A6C7311FF41}">
      <selection activeCell="C39" sqref="C39"/>
      <pageMargins left="0.7" right="0.7" top="0.75" bottom="0.75" header="0.3" footer="0.3"/>
    </customSheetView>
    <customSheetView guid="{7E0EA425-A420-4443-B9E0-CDF0AA9E5D09}">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V198"/>
  <sheetViews>
    <sheetView topLeftCell="A181" zoomScale="85" zoomScaleNormal="85" workbookViewId="0">
      <selection activeCell="K193" sqref="K193"/>
    </sheetView>
  </sheetViews>
  <sheetFormatPr defaultRowHeight="15" x14ac:dyDescent="0.25"/>
  <cols>
    <col min="2" max="2" width="16.28515625" bestFit="1" customWidth="1"/>
    <col min="3" max="3" width="12"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9" x14ac:dyDescent="0.25">
      <c r="A2" s="1">
        <f>1</f>
        <v>1</v>
      </c>
      <c r="B2" s="1" t="s">
        <v>60</v>
      </c>
      <c r="C2" s="1" t="s">
        <v>190</v>
      </c>
    </row>
    <row r="3" spans="1:9" x14ac:dyDescent="0.25">
      <c r="B3" s="1" t="s">
        <v>153</v>
      </c>
      <c r="C3" s="42">
        <f>SUM(G9:G10)</f>
        <v>11.399999999999999</v>
      </c>
      <c r="D3" t="s">
        <v>154</v>
      </c>
    </row>
    <row r="4" spans="1:9" x14ac:dyDescent="0.25">
      <c r="B4" s="1" t="s">
        <v>164</v>
      </c>
      <c r="C4">
        <f>SUM(INT((WEEKDAY(F4-{2,3,4,5,6})+H4-F4)/7))-1-(2/8)-1</f>
        <v>2.75</v>
      </c>
      <c r="D4" t="s">
        <v>154</v>
      </c>
      <c r="E4" t="s">
        <v>231</v>
      </c>
      <c r="F4" s="6">
        <v>43920</v>
      </c>
      <c r="G4" s="6" t="s">
        <v>150</v>
      </c>
      <c r="H4" s="6">
        <v>43924</v>
      </c>
    </row>
    <row r="5" spans="1:9" x14ac:dyDescent="0.25">
      <c r="B5" s="1" t="s">
        <v>165</v>
      </c>
      <c r="C5">
        <f>SUM(INT((WEEKDAY(F5-{2,3,4,5,6})+H5-F5)/7))-1-1</f>
        <v>3</v>
      </c>
      <c r="D5" t="s">
        <v>154</v>
      </c>
      <c r="E5" t="s">
        <v>245</v>
      </c>
      <c r="F5" s="6">
        <v>43920</v>
      </c>
      <c r="G5" s="6" t="s">
        <v>163</v>
      </c>
      <c r="H5" s="6">
        <v>43924</v>
      </c>
    </row>
    <row r="6" spans="1:9" x14ac:dyDescent="0.25">
      <c r="B6" s="1" t="s">
        <v>17</v>
      </c>
      <c r="C6" t="str">
        <f>IF(SUM(H9:H10)&gt;SUM(G9:G10),"Delayed",IF(SUM(H9:H10)&lt;SUM(G9:G10),"InAdvanced","Ontime"))</f>
        <v>InAdvanced</v>
      </c>
      <c r="F6" s="6"/>
      <c r="G6" s="6"/>
      <c r="H6" s="6"/>
    </row>
    <row r="8" spans="1:9" ht="45" x14ac:dyDescent="0.25">
      <c r="C8" s="51" t="s">
        <v>25</v>
      </c>
      <c r="D8" s="51" t="s">
        <v>26</v>
      </c>
      <c r="E8" s="9" t="s">
        <v>155</v>
      </c>
      <c r="F8" s="9" t="s">
        <v>156</v>
      </c>
      <c r="G8" s="9" t="s">
        <v>157</v>
      </c>
      <c r="H8" s="9" t="s">
        <v>158</v>
      </c>
      <c r="I8" s="9" t="s">
        <v>29</v>
      </c>
    </row>
    <row r="9" spans="1:9" x14ac:dyDescent="0.25">
      <c r="C9" s="8">
        <v>1</v>
      </c>
      <c r="D9" s="52" t="s">
        <v>3</v>
      </c>
      <c r="E9" s="57">
        <f>SUMIFS(Merged!$W$48:$W$391,Merged!$D$48:$D$391,Table!$D$3, Merged!$E$48:$E$391,Report_For_Each_Project!C2)</f>
        <v>5130</v>
      </c>
      <c r="F9" s="60">
        <f>SUMIFS(Merged!$X$48:$X$391,Merged!$D$48:$D$391,Table!$D$3, Merged!$E$48:$E$391,Report_For_Each_Project!C2)</f>
        <v>5130</v>
      </c>
      <c r="G9" s="57">
        <f>1/8*(SUMIFS(Merged!$Y$48:$Y$391,Merged!$D$48:$D$391,Table!$D$3, Merged!$E$48:$E$391,Report_For_Each_Project!C2))</f>
        <v>11.399999999999999</v>
      </c>
      <c r="H9" s="57">
        <f>1/8*(SUMIFS(Merged!$Z$48:$Z$391,Merged!$D$48:$D$391,Table!$D$3, Merged!$E$48:$E$391,Report_For_Each_Project!C2)-SUM(SUMIFS(Merged!$Z$48:$Z$391,Merged!$D$48:$D$391,Table!$D$3,Merged!$AA$48:$AA$391,{"Ongoing","N/A",""},Merged!$E$48:$E$391,Report_For_Each_Project!C2)))</f>
        <v>9</v>
      </c>
      <c r="I9" s="49">
        <f>IFERROR(F9/E9,"N/A")</f>
        <v>1</v>
      </c>
    </row>
    <row r="10" spans="1:9" x14ac:dyDescent="0.25">
      <c r="C10" s="8">
        <v>2</v>
      </c>
      <c r="D10" s="52" t="s">
        <v>2</v>
      </c>
      <c r="E10" s="57">
        <f>SUMIFS(Merged!$W$48:$W$391,Merged!$D$48:$D$391,Table!$C$3, Merged!$E$48:$E$391,Report_For_Each_Project!C2)</f>
        <v>0</v>
      </c>
      <c r="F10" s="60">
        <f>SUMIFS(Merged!$X$48:$X$391,Merged!$D$48:$D$391,Table!$C$3, Merged!$E$48:$E$391,Report_For_Each_Project!C2)-SUM(SUMIFS(Merged!$X$48:$X$391,Merged!$D$48:$D$391,Table!$C$3,Merged!$AA$48:$AA$391,{"Ongoing","N/A",""},Merged!$E$48:$E$391,Report_For_Each_Project!C2))</f>
        <v>0</v>
      </c>
      <c r="G10" s="57">
        <f>1/8*(SUMIFS(Merged!$Y$48:$Y$391,Merged!$D$48:$D$391,Table!$C$3, Merged!$E$48:$E$391,Report_For_Each_Project!C2))</f>
        <v>0</v>
      </c>
      <c r="H10" s="57">
        <f>1/8*(SUMIFS(Merged!$Z$48:$Z$391,Merged!$D$48:$D$391,Table!$C$3, Merged!$E$48:$E$391,Report_For_Each_Project!C2)-SUM(SUMIFS(Merged!$Z$48:$Z$391,Merged!$D$48:$D$391,Table!$C$3,Merged!$AA$48:$AA$391,{"Ongoing","N/A",""},Merged!$E$48:$E$391,Report_For_Each_Project!C2)))</f>
        <v>0</v>
      </c>
      <c r="I10" s="49" t="str">
        <f t="shared" ref="I10" si="0">IFERROR(F10/E10,"N/A")</f>
        <v>N/A</v>
      </c>
    </row>
    <row r="12" spans="1:9" x14ac:dyDescent="0.25">
      <c r="C12" t="s">
        <v>160</v>
      </c>
    </row>
    <row r="13" spans="1:9" x14ac:dyDescent="0.25">
      <c r="D13" t="s">
        <v>167</v>
      </c>
    </row>
    <row r="14" spans="1:9" x14ac:dyDescent="0.25">
      <c r="D14" s="44"/>
    </row>
    <row r="15" spans="1:9" x14ac:dyDescent="0.25">
      <c r="A15" s="1">
        <f>A2+1</f>
        <v>2</v>
      </c>
      <c r="B15" s="1" t="s">
        <v>60</v>
      </c>
      <c r="C15" s="1" t="s">
        <v>232</v>
      </c>
    </row>
    <row r="16" spans="1:9" x14ac:dyDescent="0.25">
      <c r="B16" s="1" t="s">
        <v>153</v>
      </c>
      <c r="C16" s="42">
        <f>SUM(G22:G23)</f>
        <v>1.2</v>
      </c>
      <c r="D16" t="s">
        <v>154</v>
      </c>
    </row>
    <row r="17" spans="1:9" x14ac:dyDescent="0.25">
      <c r="B17" s="1" t="s">
        <v>164</v>
      </c>
      <c r="C17">
        <f>SUM(INT((WEEKDAY(F17-{2,3,4,5,6})+H17-F17)/7))-1-(2/8)-1</f>
        <v>0.75</v>
      </c>
      <c r="D17" t="s">
        <v>154</v>
      </c>
      <c r="E17" t="s">
        <v>246</v>
      </c>
      <c r="F17" s="6">
        <v>43922</v>
      </c>
      <c r="G17" s="6" t="s">
        <v>163</v>
      </c>
      <c r="H17" s="6">
        <v>43924</v>
      </c>
    </row>
    <row r="18" spans="1:9" x14ac:dyDescent="0.25">
      <c r="B18" s="1" t="s">
        <v>165</v>
      </c>
      <c r="C18">
        <f>SUM(INT((WEEKDAY(F18-{2,3,4,5,6})+H18-F18)/7))-1-0.5</f>
        <v>1.5</v>
      </c>
      <c r="D18" t="s">
        <v>154</v>
      </c>
      <c r="E18" t="s">
        <v>245</v>
      </c>
      <c r="F18" s="6">
        <v>43922</v>
      </c>
      <c r="G18" s="6" t="s">
        <v>163</v>
      </c>
      <c r="H18" s="6">
        <v>43924</v>
      </c>
    </row>
    <row r="19" spans="1:9" x14ac:dyDescent="0.25">
      <c r="B19" s="1" t="s">
        <v>17</v>
      </c>
      <c r="C19" t="s">
        <v>162</v>
      </c>
      <c r="F19" s="6"/>
      <c r="G19" s="6"/>
      <c r="H19" s="6"/>
    </row>
    <row r="21" spans="1:9" ht="45" x14ac:dyDescent="0.25">
      <c r="C21" s="55" t="s">
        <v>25</v>
      </c>
      <c r="D21" s="55" t="s">
        <v>26</v>
      </c>
      <c r="E21" s="9" t="s">
        <v>155</v>
      </c>
      <c r="F21" s="9" t="s">
        <v>156</v>
      </c>
      <c r="G21" s="9" t="s">
        <v>157</v>
      </c>
      <c r="H21" s="9" t="s">
        <v>158</v>
      </c>
      <c r="I21" s="9" t="s">
        <v>29</v>
      </c>
    </row>
    <row r="22" spans="1:9" x14ac:dyDescent="0.25">
      <c r="C22" s="8">
        <v>1</v>
      </c>
      <c r="D22" s="56" t="s">
        <v>3</v>
      </c>
      <c r="E22" s="57">
        <f>SUMIFS(Merged!$W$48:$W$391,Merged!$D$48:$D$391,Table!$D$3, Merged!$E$48:$E$391,Report_For_Each_Project!C15)</f>
        <v>135</v>
      </c>
      <c r="F22" s="60">
        <f>SUMIFS(Merged!$X$48:$X$391,Merged!$D$48:$D$391,Table!$D$3, Merged!$E$48:$E$391,Report_For_Each_Project!C15)</f>
        <v>135</v>
      </c>
      <c r="G22" s="57">
        <f>1/8*(SUMIFS(Merged!$Y$48:$Y$391,Merged!$D$48:$D$391,Table!$D$3, Merged!$E$48:$E$391,Report_For_Each_Project!C15))</f>
        <v>0.3</v>
      </c>
      <c r="H22" s="57">
        <f>1/8*(SUMIFS(Merged!$Z$48:$Z$391,Merged!$D$48:$D$391,Table!$D$3, Merged!$E$48:$E$391,Report_For_Each_Project!C15)-SUM(SUMIFS(Merged!$Z$48:$Z$391,Merged!$D$48:$D$391,Table!$D$3,Merged!$AA$48:$AA$391,{"Ongoing","N/A",""},Merged!$E$48:$E$391,Report_For_Each_Project!C15)))</f>
        <v>1</v>
      </c>
      <c r="I22" s="49">
        <f>IFERROR(F22/E22,"N/A")</f>
        <v>1</v>
      </c>
    </row>
    <row r="23" spans="1:9" x14ac:dyDescent="0.25">
      <c r="C23" s="8">
        <v>2</v>
      </c>
      <c r="D23" s="56" t="s">
        <v>2</v>
      </c>
      <c r="E23" s="57">
        <f>SUMIFS(Merged!$W$48:$W$391,Merged!$D$48:$D$391,Table!$C$3, Merged!$E$48:$E$391,Report_For_Each_Project!C15)</f>
        <v>117</v>
      </c>
      <c r="F23" s="60">
        <f>SUMIFS(Merged!$X$48:$X$391,Merged!$D$48:$D$391,Table!$C$3, Merged!$E$48:$E$391,Report_For_Each_Project!C15)-SUM(SUMIFS(Merged!$X$48:$X$391,Merged!$D$48:$D$391,Table!$C$3,Merged!$AA$48:$AA$391,{"Ongoing","N/A",""},Merged!$E$48:$E$391,Report_For_Each_Project!C15))</f>
        <v>117</v>
      </c>
      <c r="G23" s="57">
        <f>1/8*(SUMIFS(Merged!$Y$48:$Y$391,Merged!$D$48:$D$391,Table!$C$3, Merged!$E$48:$E$391,Report_For_Each_Project!C15))</f>
        <v>0.89999999999999991</v>
      </c>
      <c r="H23" s="57">
        <f>1/8*(SUMIFS(Merged!$Z$48:$Z$391,Merged!$D$48:$D$391,Table!$C$3, Merged!$E$48:$E$391,Report_For_Each_Project!C15)-SUM(SUMIFS(Merged!$Z$48:$Z$391,Merged!$D$48:$D$391,Table!$C$3,Merged!$AA$48:$AA$391,{"Ongoing","N/A",""},Merged!$E$48:$E$391,Report_For_Each_Project!C15)))</f>
        <v>0.55000000000000004</v>
      </c>
      <c r="I23" s="49">
        <f>IFERROR(F23/E23,"N/A")</f>
        <v>1</v>
      </c>
    </row>
    <row r="25" spans="1:9" x14ac:dyDescent="0.25">
      <c r="C25" t="s">
        <v>160</v>
      </c>
    </row>
    <row r="26" spans="1:9" x14ac:dyDescent="0.25">
      <c r="D26" s="44" t="s">
        <v>329</v>
      </c>
    </row>
    <row r="28" spans="1:9" x14ac:dyDescent="0.25">
      <c r="A28" s="64">
        <f>A15+1</f>
        <v>3</v>
      </c>
      <c r="B28" s="64" t="s">
        <v>60</v>
      </c>
      <c r="C28" s="64" t="s">
        <v>256</v>
      </c>
    </row>
    <row r="29" spans="1:9" x14ac:dyDescent="0.25">
      <c r="B29" s="64" t="s">
        <v>153</v>
      </c>
      <c r="C29">
        <f>SUM(G35:G36)</f>
        <v>1.125</v>
      </c>
      <c r="D29" t="s">
        <v>154</v>
      </c>
    </row>
    <row r="30" spans="1:9" x14ac:dyDescent="0.25">
      <c r="B30" s="64" t="s">
        <v>164</v>
      </c>
      <c r="C30">
        <f>SUM(INT((WEEKDAY(F30-{2,3,4,5,6})+H30-F30)/7))</f>
        <v>1</v>
      </c>
      <c r="D30" t="s">
        <v>154</v>
      </c>
      <c r="E30" t="s">
        <v>150</v>
      </c>
      <c r="F30" s="6">
        <v>43927</v>
      </c>
      <c r="G30" s="6" t="s">
        <v>150</v>
      </c>
      <c r="H30" s="6">
        <v>43927</v>
      </c>
    </row>
    <row r="31" spans="1:9" x14ac:dyDescent="0.25">
      <c r="B31" s="64" t="s">
        <v>165</v>
      </c>
      <c r="C31">
        <f>SUM(INT((WEEKDAY(F31-{2,3,4,5,6})+H31-F31)/7))</f>
        <v>1</v>
      </c>
      <c r="D31" t="s">
        <v>154</v>
      </c>
      <c r="E31" t="s">
        <v>150</v>
      </c>
      <c r="F31" s="6">
        <v>43927</v>
      </c>
      <c r="G31" s="6" t="s">
        <v>150</v>
      </c>
      <c r="H31" s="6">
        <v>43927</v>
      </c>
    </row>
    <row r="32" spans="1:9" x14ac:dyDescent="0.25">
      <c r="B32" s="64" t="s">
        <v>17</v>
      </c>
      <c r="C32" t="str">
        <f>IF(SUM(H35:H36)&gt;SUM(G35:G36),"Delayed",IF(SUM(H35:H36)&lt;SUM(G35:G36),"InAdvanced","Ontime"))</f>
        <v>Ontime</v>
      </c>
      <c r="F32" s="6"/>
      <c r="G32" s="6"/>
      <c r="H32" s="6"/>
    </row>
    <row r="34" spans="1:9" ht="45" x14ac:dyDescent="0.25">
      <c r="C34" s="65" t="s">
        <v>25</v>
      </c>
      <c r="D34" s="65" t="s">
        <v>26</v>
      </c>
      <c r="E34" s="66" t="s">
        <v>155</v>
      </c>
      <c r="F34" s="66" t="s">
        <v>156</v>
      </c>
      <c r="G34" s="66" t="s">
        <v>157</v>
      </c>
      <c r="H34" s="66" t="s">
        <v>158</v>
      </c>
      <c r="I34" s="66" t="s">
        <v>29</v>
      </c>
    </row>
    <row r="35" spans="1:9" x14ac:dyDescent="0.25">
      <c r="C35" s="67">
        <v>1</v>
      </c>
      <c r="D35" s="48" t="s">
        <v>3</v>
      </c>
      <c r="E35" s="48">
        <f>SUMIFS(Merged!$W$48:$W$391,Merged!$D$48:$D$391,Table!$D$3, Merged!$E$48:$E$391,Report_For_Each_Project!C28)</f>
        <v>0</v>
      </c>
      <c r="F35" s="48">
        <f>SUMIFS(Merged!$X$48:$X$391,Merged!$D$48:$D$391,Table!$D$3, Merged!$E$48:$E$391,Report_For_Each_Project!C28)</f>
        <v>0</v>
      </c>
      <c r="G35" s="48">
        <f>1/8*(SUMIFS(Merged!$Y$48:$Y$391,Merged!$D$48:$D$391,Table!$D$3, Merged!$E$48:$E$391,Report_For_Each_Project!C28))</f>
        <v>0</v>
      </c>
      <c r="H35" s="73">
        <f>1/8*(SUMIFS(Merged!$Z$48:$Z$391,Merged!$D$48:$D$391,Table!$D$3, Merged!$E$48:$E$391,Report_For_Each_Project!C28)-SUM(SUMIFS(Merged!$Z$48:$Z$391,Merged!$D$48:$D$391,Table!$D$3,Merged!$AA$48:$AA$391,{"Ongoing","N/A",""},Merged!$E$48:$E$391,Report_For_Each_Project!C28)))</f>
        <v>0</v>
      </c>
      <c r="I35" s="49" t="str">
        <f t="shared" ref="I35:I36" si="1">IFERROR(F35/E35,"N/A")</f>
        <v>N/A</v>
      </c>
    </row>
    <row r="36" spans="1:9" x14ac:dyDescent="0.25">
      <c r="C36" s="67">
        <v>2</v>
      </c>
      <c r="D36" s="48" t="s">
        <v>2</v>
      </c>
      <c r="E36" s="48">
        <f>SUMIFS(Merged!$W$48:$W$391,Merged!$D$48:$D$391,Table!$C$3, Merged!$E$48:$E$391,Report_For_Each_Project!C28)</f>
        <v>146.25</v>
      </c>
      <c r="F36" s="48">
        <f>SUMIFS(Merged!$X$48:$X$391,Merged!$D$48:$D$391,Table!$C$3, Merged!$E$48:$E$391,Report_For_Each_Project!C28)-SUM(SUMIFS(Merged!$X$48:$X$391,Merged!$D$48:$D$391,Table!$C$3,Merged!$AA$48:$AA$391,{"Ongoing","N/A",""},Merged!$E$48:$E$391,Report_For_Each_Project!C28))</f>
        <v>146.25</v>
      </c>
      <c r="G36" s="48">
        <f>1/8*(SUMIFS(Merged!$Y$48:$Y$391,Merged!$D$48:$D$391,Table!$C$3, Merged!$E$48:$E$391,Report_For_Each_Project!C28))</f>
        <v>1.125</v>
      </c>
      <c r="H36" s="73">
        <f>1/8*(SUMIFS(Merged!$Z$48:$Z$391,Merged!$D$48:$D$391,Table!$C$3, Merged!$E$48:$E$391,Report_For_Each_Project!C28)-SUM(SUMIFS(Merged!$Z$48:$Z$391,Merged!$D$48:$D$391,Table!$C$3,Merged!$AA$48:$AA$391,{"Ongoing","N/A",""},Merged!$E$48:$E$391,Report_For_Each_Project!C28)))</f>
        <v>1.125</v>
      </c>
      <c r="I36" s="49">
        <f t="shared" si="1"/>
        <v>1</v>
      </c>
    </row>
    <row r="38" spans="1:9" x14ac:dyDescent="0.25">
      <c r="C38" t="s">
        <v>160</v>
      </c>
    </row>
    <row r="39" spans="1:9" x14ac:dyDescent="0.25">
      <c r="D39" t="s">
        <v>329</v>
      </c>
    </row>
    <row r="41" spans="1:9" x14ac:dyDescent="0.25">
      <c r="A41" s="64">
        <f>A28+1</f>
        <v>4</v>
      </c>
      <c r="B41" s="64" t="s">
        <v>60</v>
      </c>
      <c r="C41" s="64" t="s">
        <v>271</v>
      </c>
    </row>
    <row r="42" spans="1:9" x14ac:dyDescent="0.25">
      <c r="B42" s="64" t="s">
        <v>153</v>
      </c>
      <c r="C42">
        <f>SUM(G48:G49)</f>
        <v>1.5</v>
      </c>
      <c r="D42" t="s">
        <v>154</v>
      </c>
    </row>
    <row r="43" spans="1:9" x14ac:dyDescent="0.25">
      <c r="B43" s="64" t="s">
        <v>164</v>
      </c>
      <c r="C43">
        <f>SUM(INT((WEEKDAY(F43-{2,3,4,5,6})+H43-F43)/7))</f>
        <v>1</v>
      </c>
      <c r="D43" t="s">
        <v>154</v>
      </c>
      <c r="E43" t="s">
        <v>150</v>
      </c>
      <c r="F43" s="6">
        <v>43928</v>
      </c>
      <c r="G43" s="6" t="s">
        <v>150</v>
      </c>
      <c r="H43" s="6">
        <v>43928</v>
      </c>
    </row>
    <row r="44" spans="1:9" x14ac:dyDescent="0.25">
      <c r="B44" s="64" t="s">
        <v>165</v>
      </c>
      <c r="C44">
        <f>SUM(INT((WEEKDAY(F44-{2,3,4,5,6})+H44-F44)/7))</f>
        <v>2</v>
      </c>
      <c r="D44" t="s">
        <v>154</v>
      </c>
      <c r="E44" t="s">
        <v>150</v>
      </c>
      <c r="F44" s="6">
        <v>43928</v>
      </c>
      <c r="G44" s="6" t="s">
        <v>163</v>
      </c>
      <c r="H44" s="6">
        <v>43929</v>
      </c>
    </row>
    <row r="45" spans="1:9" x14ac:dyDescent="0.25">
      <c r="B45" s="64" t="s">
        <v>17</v>
      </c>
      <c r="C45" t="s">
        <v>168</v>
      </c>
      <c r="F45" s="6"/>
      <c r="G45" s="6"/>
      <c r="H45" s="6"/>
    </row>
    <row r="47" spans="1:9" ht="45" x14ac:dyDescent="0.25">
      <c r="C47" s="65" t="s">
        <v>25</v>
      </c>
      <c r="D47" s="65" t="s">
        <v>26</v>
      </c>
      <c r="E47" s="66" t="s">
        <v>155</v>
      </c>
      <c r="F47" s="66" t="s">
        <v>156</v>
      </c>
      <c r="G47" s="66" t="s">
        <v>157</v>
      </c>
      <c r="H47" s="66" t="s">
        <v>158</v>
      </c>
      <c r="I47" s="66" t="s">
        <v>29</v>
      </c>
    </row>
    <row r="48" spans="1:9" x14ac:dyDescent="0.25">
      <c r="C48" s="67">
        <v>1</v>
      </c>
      <c r="D48" s="48" t="s">
        <v>3</v>
      </c>
      <c r="E48" s="48">
        <f>SUMIFS(Merged!$W$48:$W$391,Merged!$D$48:$D$391,Table!$D$3, Merged!$E$48:$E$391,Report_For_Each_Project!C41)</f>
        <v>0</v>
      </c>
      <c r="F48" s="48">
        <f>SUMIFS(Merged!$X$48:$X$391,Merged!$D$48:$D$391,Table!$D$3, Merged!$E$48:$E$391,Report_For_Each_Project!C41)</f>
        <v>0</v>
      </c>
      <c r="G48" s="48">
        <f>1/8*(SUMIFS(Merged!$Y$48:$Y$391,Merged!$D$48:$D$391,Table!$D$3, Merged!$E$48:$E$391,Report_For_Each_Project!C41))</f>
        <v>0</v>
      </c>
      <c r="H48" s="73">
        <f>1/8*(SUMIFS(Merged!$Z$48:$Z$391,Merged!$D$48:$D$391,Table!$D$3, Merged!$E$48:$E$391,Report_For_Each_Project!C41)-SUM(SUMIFS(Merged!$Z$48:$Z$391,Merged!$D$48:$D$391,Table!$D$3,Merged!$AA$48:$AA$391,{"Ongoing","N/A",""},Merged!$E$48:$E$391,Report_For_Each_Project!C41)))</f>
        <v>0</v>
      </c>
      <c r="I48" s="49" t="str">
        <f t="shared" ref="I48:I49" si="2">IFERROR(F48/E48,"N/A")</f>
        <v>N/A</v>
      </c>
    </row>
    <row r="49" spans="1:9" x14ac:dyDescent="0.25">
      <c r="C49" s="67">
        <v>2</v>
      </c>
      <c r="D49" s="48" t="s">
        <v>2</v>
      </c>
      <c r="E49" s="48">
        <f>SUMIFS(Merged!$W$48:$W$391,Merged!$D$48:$D$391,Table!$C$3, Merged!$E$48:$E$391,Report_For_Each_Project!C41)</f>
        <v>195</v>
      </c>
      <c r="F49" s="48">
        <f>SUMIFS(Merged!$X$48:$X$391,Merged!$D$48:$D$391,Table!$C$3, Merged!$E$48:$E$391,Report_For_Each_Project!C41)-SUM(SUMIFS(Merged!$X$48:$X$391,Merged!$D$48:$D$391,Table!$C$3,Merged!$AA$48:$AA$391,{"Ongoing","N/A",""},Merged!$E$48:$E$391,Report_For_Each_Project!C41))</f>
        <v>195</v>
      </c>
      <c r="G49" s="48">
        <f>1/8*(SUMIFS(Merged!$Y$48:$Y$391,Merged!$D$48:$D$391,Table!$C$3, Merged!$E$48:$E$391,Report_For_Each_Project!C41))</f>
        <v>1.5</v>
      </c>
      <c r="H49" s="73">
        <f>1/8*(SUMIFS(Merged!$Z$48:$Z$391,Merged!$D$48:$D$391,Table!$C$3, Merged!$E$48:$E$391,Report_For_Each_Project!C41)-SUM(SUMIFS(Merged!$Z$48:$Z$391,Merged!$D$48:$D$391,Table!$C$3,Merged!$AA$48:$AA$391,{"Ongoing","N/A",""},Merged!$E$48:$E$391,Report_For_Each_Project!C41)))</f>
        <v>2</v>
      </c>
      <c r="I49" s="49">
        <f t="shared" si="2"/>
        <v>1</v>
      </c>
    </row>
    <row r="51" spans="1:9" x14ac:dyDescent="0.25">
      <c r="C51" t="s">
        <v>160</v>
      </c>
    </row>
    <row r="52" spans="1:9" x14ac:dyDescent="0.25">
      <c r="D52" s="68" t="s">
        <v>326</v>
      </c>
    </row>
    <row r="53" spans="1:9" x14ac:dyDescent="0.25">
      <c r="D53" s="68" t="s">
        <v>327</v>
      </c>
    </row>
    <row r="54" spans="1:9" x14ac:dyDescent="0.25">
      <c r="D54" s="68" t="s">
        <v>328</v>
      </c>
    </row>
    <row r="55" spans="1:9" x14ac:dyDescent="0.25">
      <c r="D55" s="68" t="s">
        <v>329</v>
      </c>
    </row>
    <row r="57" spans="1:9" x14ac:dyDescent="0.25">
      <c r="A57" s="64">
        <f>A41+1</f>
        <v>5</v>
      </c>
      <c r="B57" s="64" t="s">
        <v>60</v>
      </c>
      <c r="C57" s="64" t="s">
        <v>315</v>
      </c>
    </row>
    <row r="58" spans="1:9" x14ac:dyDescent="0.25">
      <c r="B58" s="64" t="s">
        <v>153</v>
      </c>
      <c r="C58">
        <f>SUM(G64:G65)</f>
        <v>4.6550000000000002</v>
      </c>
      <c r="D58" t="s">
        <v>154</v>
      </c>
    </row>
    <row r="59" spans="1:9" x14ac:dyDescent="0.25">
      <c r="B59" s="64" t="s">
        <v>164</v>
      </c>
      <c r="C59">
        <f>SUM(INT((WEEKDAY(F59-{2,3,4,5,6})+H59-F59)/7))-1-0.5</f>
        <v>2.5</v>
      </c>
      <c r="D59" t="s">
        <v>154</v>
      </c>
      <c r="E59" t="s">
        <v>325</v>
      </c>
      <c r="F59" s="6">
        <v>43928</v>
      </c>
      <c r="G59" s="6" t="s">
        <v>163</v>
      </c>
      <c r="H59" s="6">
        <v>43931</v>
      </c>
    </row>
    <row r="60" spans="1:9" x14ac:dyDescent="0.25">
      <c r="B60" s="64" t="s">
        <v>165</v>
      </c>
      <c r="C60">
        <f>SUM(INT((WEEKDAY(F60-{2,3,4,5,6})+H60-F60)/7))</f>
        <v>3</v>
      </c>
      <c r="D60" t="s">
        <v>154</v>
      </c>
      <c r="E60" t="s">
        <v>245</v>
      </c>
      <c r="F60" s="6">
        <v>43929</v>
      </c>
      <c r="G60" s="6" t="s">
        <v>163</v>
      </c>
      <c r="H60" s="6">
        <v>43931</v>
      </c>
    </row>
    <row r="61" spans="1:9" x14ac:dyDescent="0.25">
      <c r="B61" s="64" t="s">
        <v>17</v>
      </c>
      <c r="C61" t="s">
        <v>162</v>
      </c>
      <c r="F61" s="6"/>
      <c r="G61" s="6"/>
      <c r="H61" s="6"/>
    </row>
    <row r="63" spans="1:9" ht="45" x14ac:dyDescent="0.25">
      <c r="C63" s="65" t="s">
        <v>25</v>
      </c>
      <c r="D63" s="65" t="s">
        <v>26</v>
      </c>
      <c r="E63" s="66" t="s">
        <v>155</v>
      </c>
      <c r="F63" s="66" t="s">
        <v>156</v>
      </c>
      <c r="G63" s="66" t="s">
        <v>157</v>
      </c>
      <c r="H63" s="66" t="s">
        <v>158</v>
      </c>
      <c r="I63" s="66" t="s">
        <v>29</v>
      </c>
    </row>
    <row r="64" spans="1:9" x14ac:dyDescent="0.25">
      <c r="C64" s="67">
        <v>1</v>
      </c>
      <c r="D64" s="48" t="s">
        <v>3</v>
      </c>
      <c r="E64" s="48">
        <f>SUMIFS(Merged!$W$48:$W$391,Merged!$D$48:$D$391,Table!$D$3, Merged!$E$48:$E$391,Report_For_Each_Project!C57)</f>
        <v>1707.75</v>
      </c>
      <c r="F64" s="48">
        <f>SUMIFS(Merged!$X$48:$X$391,Merged!$D$48:$D$391,Table!$D$3, Merged!$E$48:$E$391,Report_For_Each_Project!C57)</f>
        <v>1707.75</v>
      </c>
      <c r="G64" s="48">
        <f>1/8*(SUMIFS(Merged!$Y$48:$Y$391,Merged!$D$48:$D$391,Table!$D$3, Merged!$E$48:$E$391,Report_For_Each_Project!C57))</f>
        <v>3.7949999999999999</v>
      </c>
      <c r="H64" s="73">
        <f>1/8*(SUMIFS(Merged!$Z$48:$Z$391,Merged!$D$48:$D$391,Table!$D$3, Merged!$E$48:$E$391,Report_For_Each_Project!C57)-SUM(SUMIFS(Merged!$Z$48:$Z$391,Merged!$D$48:$D$391,Table!$D$3,Merged!$AA$48:$AA$391,{"Ongoing","N/A",""},Merged!$E$48:$E$391,Report_For_Each_Project!C57)))</f>
        <v>5</v>
      </c>
      <c r="I64" s="49">
        <f>IFERROR(F64/E64,"N/A")</f>
        <v>1</v>
      </c>
    </row>
    <row r="65" spans="1:9" x14ac:dyDescent="0.25">
      <c r="C65" s="67">
        <v>2</v>
      </c>
      <c r="D65" s="48" t="s">
        <v>2</v>
      </c>
      <c r="E65" s="48">
        <f>SUMIFS(Merged!$W$48:$W$391,Merged!$D$48:$D$391,Table!$C$3, Merged!$E$48:$E$391,Report_For_Each_Project!C57)</f>
        <v>111.8</v>
      </c>
      <c r="F65" s="48">
        <f>SUMIFS(Merged!$X$48:$X$391,Merged!$D$48:$D$391,Table!$C$3, Merged!$E$48:$E$391,Report_For_Each_Project!C57)-SUM(SUMIFS(Merged!$X$48:$X$391,Merged!$D$48:$D$391,Table!$C$3,Merged!$AA$48:$AA$391,{"Ongoing","N/A",""},Merged!$E$48:$E$391,Report_For_Each_Project!C57))</f>
        <v>111.8</v>
      </c>
      <c r="G65" s="48">
        <f>1/8*(SUMIFS(Merged!$Y$48:$Y$391,Merged!$D$48:$D$391,Table!$C$3, Merged!$E$48:$E$391,Report_For_Each_Project!C57))</f>
        <v>0.86</v>
      </c>
      <c r="H65" s="73">
        <f>1/8*(SUMIFS(Merged!$Z$48:$Z$391,Merged!$D$48:$D$391,Table!$C$3, Merged!$E$48:$E$391,Report_For_Each_Project!C57)-SUM(SUMIFS(Merged!$Z$48:$Z$391,Merged!$D$48:$D$391,Table!$C$3,Merged!$AA$48:$AA$391,{"Ongoing","N/A",""},Merged!$E$48:$E$391,Report_For_Each_Project!C57)))</f>
        <v>0.75</v>
      </c>
      <c r="I65" s="49">
        <f>IFERROR(F65/E65,"N/A")</f>
        <v>1</v>
      </c>
    </row>
    <row r="67" spans="1:9" x14ac:dyDescent="0.25">
      <c r="C67" t="s">
        <v>160</v>
      </c>
    </row>
    <row r="68" spans="1:9" x14ac:dyDescent="0.25">
      <c r="D68" t="s">
        <v>167</v>
      </c>
    </row>
    <row r="71" spans="1:9" x14ac:dyDescent="0.25">
      <c r="A71" s="64">
        <f>A57+1</f>
        <v>6</v>
      </c>
      <c r="B71" s="64" t="s">
        <v>60</v>
      </c>
      <c r="C71" s="1" t="s">
        <v>432</v>
      </c>
    </row>
    <row r="72" spans="1:9" x14ac:dyDescent="0.25">
      <c r="B72" s="64" t="s">
        <v>153</v>
      </c>
      <c r="C72">
        <f>SUM(G78:G79)+F72</f>
        <v>3.75</v>
      </c>
      <c r="D72" t="s">
        <v>154</v>
      </c>
      <c r="E72" s="42"/>
      <c r="F72" s="101"/>
    </row>
    <row r="73" spans="1:9" x14ac:dyDescent="0.25">
      <c r="B73" s="64" t="s">
        <v>164</v>
      </c>
      <c r="C73">
        <f>SUM(INT((WEEKDAY(F73-{2,3,4,5,6})+H73-F73)/7))</f>
        <v>1</v>
      </c>
      <c r="D73" t="s">
        <v>154</v>
      </c>
      <c r="E73" t="s">
        <v>149</v>
      </c>
      <c r="F73" s="6">
        <v>43930</v>
      </c>
      <c r="G73" s="6" t="s">
        <v>150</v>
      </c>
      <c r="H73" s="6">
        <v>43930</v>
      </c>
    </row>
    <row r="74" spans="1:9" x14ac:dyDescent="0.25">
      <c r="B74" s="64" t="s">
        <v>165</v>
      </c>
      <c r="C74">
        <f>SUM(INT((WEEKDAY(F74-{2,3,4,5,6})+H74-F74)/7))</f>
        <v>1</v>
      </c>
      <c r="D74" t="s">
        <v>154</v>
      </c>
      <c r="E74" t="s">
        <v>149</v>
      </c>
      <c r="F74" s="6">
        <v>43930</v>
      </c>
      <c r="G74" s="6" t="s">
        <v>150</v>
      </c>
      <c r="H74" s="6">
        <v>43930</v>
      </c>
    </row>
    <row r="75" spans="1:9" x14ac:dyDescent="0.25">
      <c r="B75" s="64" t="s">
        <v>17</v>
      </c>
      <c r="C75" t="str">
        <f>IF(SUM(H78:H79)&gt;SUM(G78:G79),"Delayed",IF(SUM(H78:H79)&lt;SUM(G78:G79),"InAdvanced","Ontime"))</f>
        <v>InAdvanced</v>
      </c>
      <c r="F75" s="6"/>
      <c r="G75" s="6"/>
      <c r="H75" s="6"/>
    </row>
    <row r="77" spans="1:9" ht="45" x14ac:dyDescent="0.25">
      <c r="C77" s="65" t="s">
        <v>25</v>
      </c>
      <c r="D77" s="65" t="s">
        <v>26</v>
      </c>
      <c r="E77" s="66" t="s">
        <v>155</v>
      </c>
      <c r="F77" s="66" t="s">
        <v>156</v>
      </c>
      <c r="G77" s="66" t="s">
        <v>157</v>
      </c>
      <c r="H77" s="66" t="s">
        <v>158</v>
      </c>
      <c r="I77" s="66" t="s">
        <v>29</v>
      </c>
    </row>
    <row r="78" spans="1:9" x14ac:dyDescent="0.25">
      <c r="C78" s="67">
        <v>1</v>
      </c>
      <c r="D78" s="48" t="s">
        <v>3</v>
      </c>
      <c r="E78" s="48">
        <f>SUMIFS(Merged!$W$48:$W$391,Merged!$D$48:$D$391,Table!$D$3, Merged!$E$48:$E$391,Report_For_Each_Project!C71)</f>
        <v>0</v>
      </c>
      <c r="F78" s="48">
        <f>SUMIFS(Merged!$X$48:$X$391,Merged!$D$48:$D$391,Table!$D$3, Merged!$E$48:$E$391,Report_For_Each_Project!C71)</f>
        <v>0</v>
      </c>
      <c r="G78" s="48">
        <f>1/8*(SUMIFS(Merged!$Y$48:$Y$391,Merged!$D$48:$D$391,Table!$D$3, Merged!$E$48:$E$391,Report_For_Each_Project!C71))</f>
        <v>0</v>
      </c>
      <c r="H78" s="144">
        <f>1/8*(SUMIFS(Merged!$Z$48:$Z$391,Merged!$D$48:$D$391,Table!$D$3, Merged!$E$48:$E$391,Report_For_Each_Project!C71)-SUM(SUMIFS(Merged!$Z$48:$Z$391,Merged!$D$48:$D$391,Table!$D$3,Merged!$AA$48:$AA$391,{"Ongoing","N/A",""},Merged!$E$48:$E$391,Report_For_Each_Project!C71)))</f>
        <v>0</v>
      </c>
      <c r="I78" s="49" t="str">
        <f t="shared" ref="I78:I79" si="3">IFERROR(F78/E78,"N/A")</f>
        <v>N/A</v>
      </c>
    </row>
    <row r="79" spans="1:9" x14ac:dyDescent="0.25">
      <c r="C79" s="67">
        <v>2</v>
      </c>
      <c r="D79" s="48" t="s">
        <v>2</v>
      </c>
      <c r="E79" s="48">
        <f>SUMIFS(Merged!$W$48:$W$391,Merged!$D$48:$D$391,Table!$C$3, Merged!$E$48:$E$391,Report_For_Each_Project!C71)</f>
        <v>487.5</v>
      </c>
      <c r="F79" s="48">
        <f>SUMIFS(Merged!$X$48:$X$391,Merged!$D$48:$D$391,Table!$C$3, Merged!$E$48:$E$391,Report_For_Each_Project!C71)-SUM(SUMIFS(Merged!$X$48:$X$391,Merged!$D$48:$D$391,Table!$C$3,Merged!$AA$48:$AA$391,{"Ongoing","N/A",""},Merged!$E$48:$E$391,Report_For_Each_Project!C71))</f>
        <v>487.5</v>
      </c>
      <c r="G79" s="48">
        <f>1/8*(SUMIFS(Merged!$Y$48:$Y$391,Merged!$D$48:$D$391,Table!$C$3, Merged!$E$48:$E$391,Report_For_Each_Project!C71))</f>
        <v>3.75</v>
      </c>
      <c r="H79" s="144">
        <f>1/8*(SUMIFS(Merged!$Z$48:$Z$391,Merged!$D$48:$D$391,Table!$C$3, Merged!$E$48:$E$391,Report_For_Each_Project!C71)-SUM(SUMIFS(Merged!$Z$48:$Z$391,Merged!$D$48:$D$391,Table!$C$3,Merged!$AA$48:$AA$391,{"Ongoing","N/A",""},Merged!$E$48:$E$391,Report_For_Each_Project!C71)))</f>
        <v>1.625</v>
      </c>
      <c r="I79" s="49">
        <f t="shared" si="3"/>
        <v>1</v>
      </c>
    </row>
    <row r="81" spans="1:9" x14ac:dyDescent="0.25">
      <c r="C81" t="s">
        <v>160</v>
      </c>
    </row>
    <row r="82" spans="1:9" x14ac:dyDescent="0.25">
      <c r="D82" t="s">
        <v>329</v>
      </c>
    </row>
    <row r="83" spans="1:9" x14ac:dyDescent="0.25">
      <c r="D83" s="85" t="s">
        <v>582</v>
      </c>
    </row>
    <row r="85" spans="1:9" x14ac:dyDescent="0.25">
      <c r="A85" s="64">
        <f>A71+1</f>
        <v>7</v>
      </c>
      <c r="B85" s="64" t="s">
        <v>60</v>
      </c>
      <c r="C85" s="64" t="s">
        <v>347</v>
      </c>
    </row>
    <row r="86" spans="1:9" x14ac:dyDescent="0.25">
      <c r="B86" s="64" t="s">
        <v>153</v>
      </c>
      <c r="C86">
        <f>SUM(G92:G93)</f>
        <v>0.4</v>
      </c>
      <c r="D86" t="s">
        <v>154</v>
      </c>
    </row>
    <row r="87" spans="1:9" x14ac:dyDescent="0.25">
      <c r="B87" s="64" t="s">
        <v>164</v>
      </c>
      <c r="C87">
        <f>SUM(INT((WEEKDAY(F87-{2,3,4,5,6})+H87-F87)/7))</f>
        <v>1</v>
      </c>
      <c r="D87" t="s">
        <v>154</v>
      </c>
      <c r="E87" t="s">
        <v>149</v>
      </c>
      <c r="F87" s="6">
        <v>43930</v>
      </c>
      <c r="G87" s="6" t="s">
        <v>150</v>
      </c>
      <c r="H87" s="6">
        <v>43930</v>
      </c>
    </row>
    <row r="88" spans="1:9" x14ac:dyDescent="0.25">
      <c r="B88" s="64" t="s">
        <v>165</v>
      </c>
      <c r="C88">
        <f>SUM(INT((WEEKDAY(F88-{2,3,4,5,6})+H88-F88)/7))</f>
        <v>1</v>
      </c>
      <c r="D88" t="s">
        <v>154</v>
      </c>
      <c r="E88" t="s">
        <v>149</v>
      </c>
      <c r="F88" s="6">
        <v>43930</v>
      </c>
      <c r="G88" s="6" t="s">
        <v>150</v>
      </c>
      <c r="H88" s="6">
        <v>43930</v>
      </c>
    </row>
    <row r="89" spans="1:9" x14ac:dyDescent="0.25">
      <c r="B89" s="64" t="s">
        <v>17</v>
      </c>
      <c r="C89" t="str">
        <f>IF(SUM(H92:H93)&gt;SUM(G92:G93),"Delayed",IF(SUM(H92:H93)&lt;SUM(G92:G93),"InAdvanced","Ontime"))</f>
        <v>Ontime</v>
      </c>
      <c r="F89" s="6"/>
      <c r="G89" s="6"/>
      <c r="H89" s="6"/>
    </row>
    <row r="91" spans="1:9" ht="45" x14ac:dyDescent="0.25">
      <c r="C91" s="65" t="s">
        <v>25</v>
      </c>
      <c r="D91" s="65" t="s">
        <v>26</v>
      </c>
      <c r="E91" s="66" t="s">
        <v>155</v>
      </c>
      <c r="F91" s="66" t="s">
        <v>156</v>
      </c>
      <c r="G91" s="66" t="s">
        <v>157</v>
      </c>
      <c r="H91" s="66" t="s">
        <v>158</v>
      </c>
      <c r="I91" s="66" t="s">
        <v>29</v>
      </c>
    </row>
    <row r="92" spans="1:9" x14ac:dyDescent="0.25">
      <c r="C92" s="67">
        <v>1</v>
      </c>
      <c r="D92" s="48" t="s">
        <v>3</v>
      </c>
      <c r="E92" s="48">
        <f>SUMIFS(Merged!$W$48:$W$391,Merged!$D$48:$D$391,Table!$D$3, Merged!$E$48:$E$391,Report_For_Each_Project!C85)</f>
        <v>0</v>
      </c>
      <c r="F92" s="48">
        <f>SUMIFS(Merged!$X$48:$X$391,Merged!$D$48:$D$391,Table!$D$3, Merged!$E$48:$E$391,Report_For_Each_Project!C85)</f>
        <v>0</v>
      </c>
      <c r="G92" s="48">
        <f>1/8*(SUMIFS(Merged!$Y$48:$Y$391,Merged!$D$48:$D$391,Table!$D$3, Merged!$E$48:$E$391,Report_For_Each_Project!C85))</f>
        <v>0</v>
      </c>
      <c r="H92" s="144">
        <f>1/8*(SUMIFS(Merged!$Z$48:$Z$391,Merged!$D$48:$D$391,Table!$D$3, Merged!$E$48:$E$391,Report_For_Each_Project!C85)-SUM(SUMIFS(Merged!$Z$48:$Z$391,Merged!$D$48:$D$391,Table!$D$3,Merged!$AA$48:$AA$391,{"Ongoing","N/A",""},Merged!$E$48:$E$391,Report_For_Each_Project!C85)))</f>
        <v>0</v>
      </c>
      <c r="I92" s="49" t="str">
        <f t="shared" ref="I92:I93" si="4">IFERROR(F92/E92,"N/A")</f>
        <v>N/A</v>
      </c>
    </row>
    <row r="93" spans="1:9" x14ac:dyDescent="0.25">
      <c r="C93" s="67">
        <v>2</v>
      </c>
      <c r="D93" s="48" t="s">
        <v>2</v>
      </c>
      <c r="E93" s="48">
        <f>SUMIFS(Merged!$W$48:$W$391,Merged!$D$48:$D$391,Table!$C$3, Merged!$E$48:$E$391,Report_For_Each_Project!C85)</f>
        <v>52</v>
      </c>
      <c r="F93" s="48">
        <f>SUMIFS(Merged!$X$48:$X$391,Merged!$D$48:$D$391,Table!$C$3, Merged!$E$48:$E$391,Report_For_Each_Project!C85)-SUM(SUMIFS(Merged!$X$48:$X$391,Merged!$D$48:$D$391,Table!$C$3,Merged!$AA$48:$AA$391,{"Ongoing","N/A",""},Merged!$E$48:$E$391,Report_For_Each_Project!C85))</f>
        <v>52</v>
      </c>
      <c r="G93" s="48">
        <f>1/8*(SUMIFS(Merged!$Y$48:$Y$391,Merged!$D$48:$D$391,Table!$C$3, Merged!$E$48:$E$391,Report_For_Each_Project!C85))</f>
        <v>0.4</v>
      </c>
      <c r="H93" s="144">
        <f>1/8*(SUMIFS(Merged!$Z$48:$Z$391,Merged!$D$48:$D$391,Table!$C$3, Merged!$E$48:$E$391,Report_For_Each_Project!C85)-SUM(SUMIFS(Merged!$Z$48:$Z$391,Merged!$D$48:$D$391,Table!$C$3,Merged!$AA$48:$AA$391,{"Ongoing","N/A",""},Merged!$E$48:$E$391,Report_For_Each_Project!C85)))</f>
        <v>0.4</v>
      </c>
      <c r="I93" s="49">
        <f t="shared" si="4"/>
        <v>1</v>
      </c>
    </row>
    <row r="95" spans="1:9" x14ac:dyDescent="0.25">
      <c r="C95" t="s">
        <v>160</v>
      </c>
    </row>
    <row r="96" spans="1:9" x14ac:dyDescent="0.25">
      <c r="D96" t="s">
        <v>329</v>
      </c>
    </row>
    <row r="98" spans="1:9" x14ac:dyDescent="0.25">
      <c r="A98" s="64">
        <f>A85+1</f>
        <v>8</v>
      </c>
      <c r="B98" s="64" t="s">
        <v>60</v>
      </c>
      <c r="C98" s="64" t="s">
        <v>359</v>
      </c>
    </row>
    <row r="99" spans="1:9" x14ac:dyDescent="0.25">
      <c r="B99" s="64" t="s">
        <v>153</v>
      </c>
      <c r="C99">
        <f>SUM(G105:G106)</f>
        <v>1.2999999999999998</v>
      </c>
      <c r="D99" t="s">
        <v>154</v>
      </c>
    </row>
    <row r="100" spans="1:9" x14ac:dyDescent="0.25">
      <c r="B100" s="64" t="s">
        <v>164</v>
      </c>
      <c r="C100">
        <f>SUM(INT((WEEKDAY(F100-{2,3,4,5,6})+H100-F100)/7))</f>
        <v>1</v>
      </c>
      <c r="D100" t="s">
        <v>154</v>
      </c>
      <c r="E100" t="s">
        <v>149</v>
      </c>
      <c r="F100" s="6">
        <v>43934</v>
      </c>
      <c r="G100" s="6" t="s">
        <v>150</v>
      </c>
      <c r="H100" s="6">
        <v>43934</v>
      </c>
    </row>
    <row r="101" spans="1:9" x14ac:dyDescent="0.25">
      <c r="B101" s="64" t="s">
        <v>165</v>
      </c>
      <c r="C101">
        <f>SUM(INT((WEEKDAY(F101-{2,3,4,5,6})+H101-F101)/7))</f>
        <v>1</v>
      </c>
      <c r="D101" t="s">
        <v>154</v>
      </c>
      <c r="E101" t="s">
        <v>149</v>
      </c>
      <c r="F101" s="6">
        <v>43934</v>
      </c>
      <c r="G101" s="6" t="s">
        <v>150</v>
      </c>
      <c r="H101" s="6">
        <v>43934</v>
      </c>
    </row>
    <row r="102" spans="1:9" x14ac:dyDescent="0.25">
      <c r="B102" s="64" t="s">
        <v>17</v>
      </c>
      <c r="C102" t="str">
        <f>IF(SUM(H105:H106)&gt;SUM(G105:G106),"Delayed",IF(SUM(H105:H106)&lt;SUM(G105:G106),"InAdvanced","Ontime"))</f>
        <v>InAdvanced</v>
      </c>
      <c r="F102" s="6"/>
      <c r="G102" s="6"/>
      <c r="H102" s="6"/>
    </row>
    <row r="104" spans="1:9" ht="45" x14ac:dyDescent="0.25">
      <c r="C104" s="65" t="s">
        <v>25</v>
      </c>
      <c r="D104" s="65" t="s">
        <v>26</v>
      </c>
      <c r="E104" s="66" t="s">
        <v>155</v>
      </c>
      <c r="F104" s="66" t="s">
        <v>156</v>
      </c>
      <c r="G104" s="66" t="s">
        <v>157</v>
      </c>
      <c r="H104" s="66" t="s">
        <v>158</v>
      </c>
      <c r="I104" s="66" t="s">
        <v>29</v>
      </c>
    </row>
    <row r="105" spans="1:9" x14ac:dyDescent="0.25">
      <c r="C105" s="67">
        <v>1</v>
      </c>
      <c r="D105" s="48" t="s">
        <v>3</v>
      </c>
      <c r="E105" s="48">
        <f>SUMIFS(Merged!$W$48:$W$391,Merged!$D$48:$D$391,Table!$D$3, Merged!$E$48:$E$391,Report_For_Each_Project!C98)</f>
        <v>0</v>
      </c>
      <c r="F105" s="48">
        <f>SUMIFS(Merged!$X$48:$X$391,Merged!$D$48:$D$391,Table!$D$3, Merged!$E$48:$E$391,Report_For_Each_Project!C98)</f>
        <v>0</v>
      </c>
      <c r="G105" s="48">
        <f>1/8*(SUMIFS(Merged!$Y$48:$Y$391,Merged!$D$48:$D$391,Table!$D$3, Merged!$E$48:$E$391,Report_For_Each_Project!C98))</f>
        <v>0</v>
      </c>
      <c r="H105" s="144">
        <f>1/8*(SUMIFS(Merged!$Z$48:$Z$391,Merged!$D$48:$D$391,Table!$D$3, Merged!$E$48:$E$391,Report_For_Each_Project!C98)-SUM(SUMIFS(Merged!$Z$48:$Z$391,Merged!$D$48:$D$391,Table!$D$3,Merged!$AA$48:$AA$391,{"Ongoing","N/A",""},Merged!$E$48:$E$391,Report_For_Each_Project!C98)))</f>
        <v>0</v>
      </c>
      <c r="I105" s="49" t="str">
        <f t="shared" ref="I105:I106" si="5">IFERROR(F105/E105,"N/A")</f>
        <v>N/A</v>
      </c>
    </row>
    <row r="106" spans="1:9" x14ac:dyDescent="0.25">
      <c r="C106" s="67">
        <v>2</v>
      </c>
      <c r="D106" s="48" t="s">
        <v>2</v>
      </c>
      <c r="E106" s="48">
        <f>SUMIFS(Merged!$W$48:$W$391,Merged!$D$48:$D$391,Table!$C$3, Merged!$E$48:$E$391,Report_For_Each_Project!C98)</f>
        <v>169</v>
      </c>
      <c r="F106" s="48">
        <f>SUMIFS(Merged!$X$48:$X$391,Merged!$D$48:$D$391,Table!$C$3, Merged!$E$48:$E$391,Report_For_Each_Project!C98)-SUM(SUMIFS(Merged!$X$48:$X$391,Merged!$D$48:$D$391,Table!$C$3,Merged!$AA$48:$AA$391,{"Ongoing","N/A",""},Merged!$E$48:$E$391,Report_For_Each_Project!C98))</f>
        <v>169</v>
      </c>
      <c r="G106" s="48">
        <f>1/8*(SUMIFS(Merged!$Y$48:$Y$391,Merged!$D$48:$D$391,Table!$C$3, Merged!$E$48:$E$391,Report_For_Each_Project!C98))</f>
        <v>1.2999999999999998</v>
      </c>
      <c r="H106" s="144">
        <f>1/8*(SUMIFS(Merged!$Z$48:$Z$391,Merged!$D$48:$D$391,Table!$C$3, Merged!$E$48:$E$391,Report_For_Each_Project!C98)-SUM(SUMIFS(Merged!$Z$48:$Z$391,Merged!$D$48:$D$391,Table!$C$3,Merged!$AA$48:$AA$391,{"Ongoing","N/A",""},Merged!$E$48:$E$391,Report_For_Each_Project!C98)))</f>
        <v>1</v>
      </c>
      <c r="I106" s="49">
        <f t="shared" si="5"/>
        <v>1</v>
      </c>
    </row>
    <row r="108" spans="1:9" x14ac:dyDescent="0.25">
      <c r="C108" t="s">
        <v>160</v>
      </c>
    </row>
    <row r="109" spans="1:9" x14ac:dyDescent="0.25">
      <c r="D109" t="s">
        <v>329</v>
      </c>
    </row>
    <row r="111" spans="1:9" x14ac:dyDescent="0.25">
      <c r="A111" s="64">
        <f>A98+1</f>
        <v>9</v>
      </c>
      <c r="B111" s="64" t="s">
        <v>60</v>
      </c>
      <c r="C111" s="64" t="s">
        <v>427</v>
      </c>
    </row>
    <row r="112" spans="1:9" x14ac:dyDescent="0.25">
      <c r="B112" s="64" t="s">
        <v>153</v>
      </c>
      <c r="C112">
        <f>SUM(G118:G119)</f>
        <v>4.2</v>
      </c>
      <c r="D112" t="s">
        <v>154</v>
      </c>
    </row>
    <row r="113" spans="1:21" x14ac:dyDescent="0.25">
      <c r="B113" s="64" t="s">
        <v>164</v>
      </c>
      <c r="C113">
        <f>SUM(INT((WEEKDAY(F113-{2,3,4,5,6})+H113-F113)/7))</f>
        <v>4</v>
      </c>
      <c r="D113" t="s">
        <v>154</v>
      </c>
      <c r="E113" t="s">
        <v>231</v>
      </c>
      <c r="F113" s="6">
        <v>43934</v>
      </c>
      <c r="G113" s="6" t="s">
        <v>150</v>
      </c>
      <c r="H113" s="6">
        <v>43937</v>
      </c>
    </row>
    <row r="114" spans="1:21" x14ac:dyDescent="0.25">
      <c r="B114" s="64" t="s">
        <v>165</v>
      </c>
      <c r="C114">
        <f>SUM(INT((WEEKDAY(F114-{2,3,4,5,6})+H114-F114)/7))</f>
        <v>4</v>
      </c>
      <c r="D114" t="s">
        <v>154</v>
      </c>
      <c r="E114" t="s">
        <v>231</v>
      </c>
      <c r="F114" s="6">
        <v>43934</v>
      </c>
      <c r="G114" s="6" t="s">
        <v>150</v>
      </c>
      <c r="H114" s="6">
        <v>43937</v>
      </c>
    </row>
    <row r="115" spans="1:21" x14ac:dyDescent="0.25">
      <c r="B115" s="64" t="s">
        <v>17</v>
      </c>
      <c r="F115" s="6"/>
      <c r="G115" s="6"/>
      <c r="H115" s="6"/>
    </row>
    <row r="117" spans="1:21" ht="45" x14ac:dyDescent="0.25">
      <c r="C117" s="65" t="s">
        <v>25</v>
      </c>
      <c r="D117" s="65" t="s">
        <v>26</v>
      </c>
      <c r="E117" s="66" t="s">
        <v>155</v>
      </c>
      <c r="F117" s="66" t="s">
        <v>156</v>
      </c>
      <c r="G117" s="66" t="s">
        <v>157</v>
      </c>
      <c r="H117" s="66" t="s">
        <v>158</v>
      </c>
      <c r="I117" s="66" t="s">
        <v>29</v>
      </c>
    </row>
    <row r="118" spans="1:21" x14ac:dyDescent="0.25">
      <c r="C118" s="67">
        <v>1</v>
      </c>
      <c r="D118" s="48" t="s">
        <v>3</v>
      </c>
      <c r="E118" s="48">
        <f>SUMIFS(Merged!$W$48:$W$391,Merged!$D$48:$D$391,Table!$D$3, Merged!$E$48:$E$391,Report_For_Each_Project!C111)</f>
        <v>1890</v>
      </c>
      <c r="F118" s="48">
        <f>SUMIFS(Merged!$X$48:$X$391,Merged!$D$48:$D$391,Table!$D$3, Merged!$E$48:$E$391,Report_For_Each_Project!C111)</f>
        <v>1890</v>
      </c>
      <c r="G118" s="48">
        <f>1/8*(SUMIFS(Merged!$Y$48:$Y$391,Merged!$D$48:$D$391,Table!$D$3, Merged!$E$48:$E$391,Report_For_Each_Project!C111))</f>
        <v>4.2</v>
      </c>
      <c r="H118" s="144">
        <f>1/8*(SUMIFS(Merged!$Z$48:$Z$391,Merged!$D$48:$D$391,Table!$D$3, Merged!$E$48:$E$391,Report_For_Each_Project!C111)-SUM(SUMIFS(Merged!$Z$48:$Z$391,Merged!$D$48:$D$391,Table!$D$3,Merged!$AA$48:$AA$391,{"Ongoing","N/A",""},Merged!$E$48:$E$391,Report_For_Each_Project!C111)))</f>
        <v>4.9249999999999998</v>
      </c>
      <c r="I118" s="49">
        <f t="shared" ref="I118:I119" si="6">IFERROR(F118/E118,"N/A")</f>
        <v>1</v>
      </c>
    </row>
    <row r="119" spans="1:21" x14ac:dyDescent="0.25">
      <c r="C119" s="67">
        <v>2</v>
      </c>
      <c r="D119" s="48" t="s">
        <v>2</v>
      </c>
      <c r="E119" s="48">
        <f>SUMIFS(Merged!$W$48:$W$391,Merged!$D$48:$D$391,Table!$C$3, Merged!$E$48:$E$391,Report_For_Each_Project!C111)</f>
        <v>0</v>
      </c>
      <c r="F119" s="48">
        <f>SUMIFS(Merged!$X$48:$X$391,Merged!$D$48:$D$391,Table!$C$3, Merged!$E$48:$E$391,Report_For_Each_Project!C111)-SUM(SUMIFS(Merged!$X$48:$X$391,Merged!$D$48:$D$391,Table!$C$3,Merged!$AA$48:$AA$391,{"Ongoing","N/A",""},Merged!$E$48:$E$391,Report_For_Each_Project!C111))</f>
        <v>0</v>
      </c>
      <c r="G119" s="48">
        <f>1/8*(SUMIFS(Merged!$Y$48:$Y$391,Merged!$D$48:$D$391,Table!$C$3, Merged!$E$48:$E$391,Report_For_Each_Project!C111))</f>
        <v>0</v>
      </c>
      <c r="H119" s="144">
        <f>1/8*(SUMIFS(Merged!$Z$48:$Z$391,Merged!$D$48:$D$391,Table!$C$3, Merged!$E$48:$E$391,Report_For_Each_Project!C111)-SUM(SUMIFS(Merged!$Z$48:$Z$391,Merged!$D$48:$D$391,Table!$C$3,Merged!$AA$48:$AA$391,{"Ongoing","N/A",""},Merged!$E$48:$E$391,Report_For_Each_Project!C111)))</f>
        <v>0</v>
      </c>
      <c r="I119" s="49" t="str">
        <f t="shared" si="6"/>
        <v>N/A</v>
      </c>
    </row>
    <row r="121" spans="1:21" x14ac:dyDescent="0.25">
      <c r="C121" t="s">
        <v>160</v>
      </c>
    </row>
    <row r="122" spans="1:21" x14ac:dyDescent="0.25">
      <c r="D122" t="s">
        <v>329</v>
      </c>
    </row>
    <row r="123" spans="1:21" x14ac:dyDescent="0.25">
      <c r="N123" t="s">
        <v>714</v>
      </c>
    </row>
    <row r="124" spans="1:21" x14ac:dyDescent="0.25">
      <c r="A124" s="64">
        <f>A111+1</f>
        <v>10</v>
      </c>
      <c r="B124" s="64" t="s">
        <v>60</v>
      </c>
      <c r="C124" s="64">
        <v>20200414</v>
      </c>
      <c r="N124" s="64"/>
      <c r="O124" s="64" t="s">
        <v>60</v>
      </c>
      <c r="P124" s="64" t="s">
        <v>470</v>
      </c>
    </row>
    <row r="125" spans="1:21" x14ac:dyDescent="0.25">
      <c r="B125" s="64" t="s">
        <v>153</v>
      </c>
      <c r="C125">
        <f>SUM(G131:G132)</f>
        <v>22.066249999999997</v>
      </c>
      <c r="D125" t="s">
        <v>154</v>
      </c>
      <c r="O125" s="64" t="s">
        <v>153</v>
      </c>
      <c r="P125">
        <f>SUM(T131:T132)</f>
        <v>0.71499999999999997</v>
      </c>
      <c r="Q125" t="s">
        <v>154</v>
      </c>
    </row>
    <row r="126" spans="1:21" x14ac:dyDescent="0.25">
      <c r="B126" s="64" t="s">
        <v>164</v>
      </c>
      <c r="C126">
        <f>SUM(INT((WEEKDAY(F126-{2,3,4,5,6})+H126-F126)/7))</f>
        <v>4</v>
      </c>
      <c r="D126" t="s">
        <v>154</v>
      </c>
      <c r="E126" t="s">
        <v>581</v>
      </c>
      <c r="F126" s="6">
        <v>43935</v>
      </c>
      <c r="G126" s="6" t="s">
        <v>150</v>
      </c>
      <c r="H126" s="6">
        <v>43938</v>
      </c>
      <c r="O126" s="64" t="s">
        <v>164</v>
      </c>
      <c r="P126" t="e">
        <f>SUM(INT((WEEKDAY(S126-{2,3,4,5,6})+U126-S126)/7))</f>
        <v>#NUM!</v>
      </c>
      <c r="Q126" t="s">
        <v>154</v>
      </c>
      <c r="R126" t="s">
        <v>581</v>
      </c>
      <c r="S126" s="6"/>
      <c r="T126" s="6" t="s">
        <v>150</v>
      </c>
      <c r="U126" s="6"/>
    </row>
    <row r="127" spans="1:21" x14ac:dyDescent="0.25">
      <c r="B127" s="64" t="s">
        <v>165</v>
      </c>
      <c r="C127">
        <f>SUM(INT((WEEKDAY(F127-{2,3,4,5,6})+H127-F127)/7))</f>
        <v>4</v>
      </c>
      <c r="D127" t="s">
        <v>154</v>
      </c>
      <c r="E127" t="s">
        <v>245</v>
      </c>
      <c r="F127" s="6">
        <v>43935</v>
      </c>
      <c r="G127" s="6" t="s">
        <v>150</v>
      </c>
      <c r="H127" s="6">
        <v>43938</v>
      </c>
      <c r="O127" s="64" t="s">
        <v>165</v>
      </c>
      <c r="P127" t="e">
        <f>SUM(INT((WEEKDAY(S127-{2,3,4,5,6})+U127-S127)/7))</f>
        <v>#NUM!</v>
      </c>
      <c r="Q127" t="s">
        <v>154</v>
      </c>
      <c r="R127" t="s">
        <v>163</v>
      </c>
      <c r="S127" s="6"/>
      <c r="T127" s="6" t="s">
        <v>150</v>
      </c>
      <c r="U127" s="6"/>
    </row>
    <row r="128" spans="1:21" x14ac:dyDescent="0.25">
      <c r="B128" s="64" t="s">
        <v>17</v>
      </c>
      <c r="F128" s="6"/>
      <c r="G128" s="6"/>
      <c r="H128" s="6"/>
      <c r="O128" s="64" t="s">
        <v>17</v>
      </c>
      <c r="S128" s="6"/>
      <c r="T128" s="6"/>
      <c r="U128" s="6"/>
    </row>
    <row r="130" spans="1:22" ht="75" x14ac:dyDescent="0.25">
      <c r="C130" s="65" t="s">
        <v>25</v>
      </c>
      <c r="D130" s="65" t="s">
        <v>26</v>
      </c>
      <c r="E130" s="66" t="s">
        <v>155</v>
      </c>
      <c r="F130" s="66" t="s">
        <v>156</v>
      </c>
      <c r="G130" s="66" t="s">
        <v>157</v>
      </c>
      <c r="H130" s="66" t="s">
        <v>158</v>
      </c>
      <c r="I130" s="66" t="s">
        <v>29</v>
      </c>
      <c r="P130" s="65" t="s">
        <v>25</v>
      </c>
      <c r="Q130" s="65" t="s">
        <v>26</v>
      </c>
      <c r="R130" s="66" t="s">
        <v>155</v>
      </c>
      <c r="S130" s="66" t="s">
        <v>156</v>
      </c>
      <c r="T130" s="66" t="s">
        <v>157</v>
      </c>
      <c r="U130" s="66" t="s">
        <v>158</v>
      </c>
      <c r="V130" s="66" t="s">
        <v>29</v>
      </c>
    </row>
    <row r="131" spans="1:22" x14ac:dyDescent="0.25">
      <c r="C131" s="67">
        <v>1</v>
      </c>
      <c r="D131" s="48" t="s">
        <v>3</v>
      </c>
      <c r="E131" s="48">
        <f>SUMIFS(Merged!$W$48:$W$391,Merged!$D$48:$D$391,Table!$D$3, Merged!$C$48:$C$391,Report_For_Each_Project!C124)</f>
        <v>9954</v>
      </c>
      <c r="F131" s="48">
        <f>SUMIFS(Merged!$X$48:$X$391,Merged!$D$48:$D$391,Table!$D$3, Merged!$C$48:$C$391,Report_For_Each_Project!C124)</f>
        <v>9954</v>
      </c>
      <c r="G131" s="48">
        <f>1/8*(SUMIFS(Merged!$Y$48:$Y$391,Merged!$D$48:$D$391,Table!$D$3, Merged!$C$48:$C$391,Report_For_Each_Project!C124))</f>
        <v>22.066249999999997</v>
      </c>
      <c r="H131" s="144">
        <f>1/8*(SUMIFS(Merged!$Z$48:$Z$391,Merged!$D$48:$D$391,Table!$D$3, Merged!$C$48:$C$391,Report_For_Each_Project!C124)-SUM(SUMIFS(Merged!$Z$48:$Z$391,Merged!$D$48:$D$391,Table!$D$3,Merged!$AA$48:$AA$391,{"Ongoing","N/A",""},Merged!$C$48:$C$391,Report_For_Each_Project!C124)))</f>
        <v>14.930000000000001</v>
      </c>
      <c r="I131" s="49">
        <f t="shared" ref="I131:I132" si="7">IFERROR(F131/E131,"N/A")</f>
        <v>1</v>
      </c>
      <c r="P131" s="67">
        <v>1</v>
      </c>
      <c r="Q131" s="48" t="s">
        <v>3</v>
      </c>
      <c r="R131" s="48">
        <f>SUMIFS(Merged!$W$48:$W$391,Merged!$D$48:$D$391,Table!$D$3, Merged!$E$48:$E$391,Report_For_Each_Project!P124)</f>
        <v>322</v>
      </c>
      <c r="S131" s="48">
        <f>SUMIFS(Merged!$X$48:$X$391,Merged!$D$48:$D$391,Table!$D$3, Merged!$E$48:$E$391,Report_For_Each_Project!P124)</f>
        <v>322</v>
      </c>
      <c r="T131" s="48">
        <f>1/8*(SUMIFS(Merged!$Y$48:$Y$391,Merged!$D$48:$D$391,Table!$D$3, Merged!$E$48:$E$391,Report_For_Each_Project!P124))</f>
        <v>0.71499999999999997</v>
      </c>
      <c r="U131" s="144">
        <f>1/8*(SUMIFS(Merged!$Z$48:$Z$391,Merged!$D$48:$D$391,Table!$D$3, Merged!$E$48:$E$391,Report_For_Each_Project!P124)-SUM(SUMIFS(Merged!$Z$48:$Z$391,Merged!$D$48:$D$391,Table!$D$3,Merged!$AA$48:$AA$391,{"Ongoing","N/A",""},Merged!$E$48:$E$391,Report_For_Each_Project!P124)))</f>
        <v>0.125</v>
      </c>
      <c r="V131" s="49">
        <f>IFERROR(S131/R131,"N/A")</f>
        <v>1</v>
      </c>
    </row>
    <row r="132" spans="1:22" x14ac:dyDescent="0.25">
      <c r="C132" s="67">
        <v>2</v>
      </c>
      <c r="D132" s="48" t="s">
        <v>2</v>
      </c>
      <c r="E132" s="48">
        <f>SUMIFS(Merged!$W$48:$W$391,Merged!$D$48:$D$391,Table!$D$3, Merged!$C$48:$C$391,Report_For_Each_Project!C125)</f>
        <v>0</v>
      </c>
      <c r="F132" s="48">
        <f>SUMIFS(Merged!$X$48:$X$391,Merged!$D$48:$D$391,Table!$D$3, Merged!$C$48:$C$391,Report_For_Each_Project!C125)</f>
        <v>0</v>
      </c>
      <c r="G132" s="48">
        <f>1/8*(SUMIFS(Merged!$Y$48:$Y$391,Merged!$D$48:$D$391,Table!$C$3, Merged!$E$48:$E$391,Report_For_Each_Project!C124))</f>
        <v>0</v>
      </c>
      <c r="H132" s="144">
        <f>1/8*(SUMIFS(Merged!$Z$48:$Z$391,Merged!$D$48:$D$391,Table!$C$3, Merged!$E$48:$E$391,Report_For_Each_Project!C124)-SUM(SUMIFS(Merged!$Z$48:$Z$391,Merged!$D$48:$D$391,Table!$C$3,Merged!$AA$48:$AA$391,{"Ongoing","N/A",""},Merged!$E$48:$E$391,Report_For_Each_Project!C124)))</f>
        <v>0</v>
      </c>
      <c r="I132" s="49" t="str">
        <f t="shared" si="7"/>
        <v>N/A</v>
      </c>
      <c r="P132" s="67">
        <v>2</v>
      </c>
      <c r="Q132" s="48" t="s">
        <v>2</v>
      </c>
      <c r="R132" s="48">
        <f>SUMIFS(Merged!$W$48:$W$391,Merged!$D$48:$D$391,Table!$C$3, Merged!$E$48:$E$391,Report_For_Each_Project!P124)</f>
        <v>0</v>
      </c>
      <c r="S132" s="48">
        <f>SUMIFS(Merged!$X$48:$X$391,Merged!$D$48:$D$391,Table!$C$3, Merged!$E$48:$E$391,Report_For_Each_Project!P124)-SUM(SUMIFS(Merged!$X$48:$X$391,Merged!$D$48:$D$391,Table!$C$3,Merged!$AA$48:$AA$391,{"Ongoing","N/A",""},Merged!$E$48:$E$391,Report_For_Each_Project!P124))</f>
        <v>0</v>
      </c>
      <c r="T132" s="48">
        <f>1/8*(SUMIFS(Merged!$Y$48:$Y$391,Merged!$D$48:$D$391,Table!$C$3, Merged!$E$48:$E$391,Report_For_Each_Project!P124))</f>
        <v>0</v>
      </c>
      <c r="U132" s="144">
        <f>1/8*(SUMIFS(Merged!$Z$48:$Z$391,Merged!$D$48:$D$391,Table!$C$3, Merged!$E$48:$E$391,Report_For_Each_Project!P124)-SUM(SUMIFS(Merged!$Z$48:$Z$391,Merged!$D$48:$D$391,Table!$C$3,Merged!$AA$48:$AA$391,{"Ongoing","N/A",""},Merged!$E$48:$E$391,Report_For_Each_Project!P124)))</f>
        <v>0</v>
      </c>
      <c r="V132" s="49" t="str">
        <f>IFERROR(S132/R132,"N/A")</f>
        <v>N/A</v>
      </c>
    </row>
    <row r="134" spans="1:22" x14ac:dyDescent="0.25">
      <c r="C134" t="s">
        <v>160</v>
      </c>
      <c r="P134" t="s">
        <v>160</v>
      </c>
    </row>
    <row r="135" spans="1:22" x14ac:dyDescent="0.25">
      <c r="D135" s="44" t="s">
        <v>167</v>
      </c>
    </row>
    <row r="136" spans="1:22" x14ac:dyDescent="0.25">
      <c r="A136" s="64">
        <f>A124+1</f>
        <v>11</v>
      </c>
      <c r="B136" s="64" t="s">
        <v>60</v>
      </c>
      <c r="C136" s="64">
        <v>20200415</v>
      </c>
    </row>
    <row r="137" spans="1:22" x14ac:dyDescent="0.25">
      <c r="B137" s="64" t="s">
        <v>153</v>
      </c>
      <c r="C137">
        <f>SUM(G143:G144)</f>
        <v>0.16375000000000001</v>
      </c>
      <c r="D137" t="s">
        <v>154</v>
      </c>
    </row>
    <row r="138" spans="1:22" x14ac:dyDescent="0.25">
      <c r="B138" s="64" t="s">
        <v>164</v>
      </c>
      <c r="C138">
        <f>SUM(INT((WEEKDAY(F138-{2,3,4,5,6})+H138-F138)/7))</f>
        <v>4</v>
      </c>
      <c r="D138" t="s">
        <v>154</v>
      </c>
      <c r="E138" t="s">
        <v>581</v>
      </c>
      <c r="F138" s="6">
        <v>43935</v>
      </c>
      <c r="G138" s="6" t="s">
        <v>150</v>
      </c>
      <c r="H138" s="6">
        <v>43938</v>
      </c>
    </row>
    <row r="139" spans="1:22" x14ac:dyDescent="0.25">
      <c r="B139" s="64" t="s">
        <v>165</v>
      </c>
      <c r="C139">
        <f>SUM(INT((WEEKDAY(F139-{2,3,4,5,6})+H139-F139)/7))</f>
        <v>4</v>
      </c>
      <c r="D139" t="s">
        <v>154</v>
      </c>
      <c r="E139" t="s">
        <v>245</v>
      </c>
      <c r="F139" s="6">
        <v>43935</v>
      </c>
      <c r="G139" s="6" t="s">
        <v>150</v>
      </c>
      <c r="H139" s="6">
        <v>43938</v>
      </c>
    </row>
    <row r="140" spans="1:22" x14ac:dyDescent="0.25">
      <c r="B140" s="64" t="s">
        <v>17</v>
      </c>
      <c r="F140" s="6"/>
      <c r="G140" s="6"/>
      <c r="H140" s="6"/>
    </row>
    <row r="142" spans="1:22" ht="45" x14ac:dyDescent="0.25">
      <c r="C142" s="65" t="s">
        <v>25</v>
      </c>
      <c r="D142" s="65" t="s">
        <v>26</v>
      </c>
      <c r="E142" s="66" t="s">
        <v>155</v>
      </c>
      <c r="F142" s="66" t="s">
        <v>156</v>
      </c>
      <c r="G142" s="66" t="s">
        <v>157</v>
      </c>
      <c r="H142" s="66" t="s">
        <v>158</v>
      </c>
      <c r="I142" s="66" t="s">
        <v>29</v>
      </c>
    </row>
    <row r="143" spans="1:22" x14ac:dyDescent="0.25">
      <c r="C143" s="67">
        <v>1</v>
      </c>
      <c r="D143" s="48" t="s">
        <v>3</v>
      </c>
      <c r="E143" s="48">
        <f>SUMIFS(Merged!$W$48:$W$391,Merged!$D$48:$D$391,Table!$D$3, Merged!$C$48:$C$391,Report_For_Each_Project!C136)</f>
        <v>74</v>
      </c>
      <c r="F143" s="48">
        <f>SUMIFS(Merged!$X$48:$X$391,Merged!$D$48:$D$391,Table!$D$3, Merged!$C$48:$C$391,Report_For_Each_Project!C136)</f>
        <v>74</v>
      </c>
      <c r="G143" s="48">
        <f>1/8*(SUMIFS(Merged!$Y$48:$Y$391,Merged!$D$48:$D$391,Table!$D$3, Merged!$C$48:$C$391,Report_For_Each_Project!C136))</f>
        <v>0.16375000000000001</v>
      </c>
      <c r="H143" s="144">
        <f>1/8*(SUMIFS(Merged!$Z$48:$Z$391,Merged!$D$48:$D$391,Table!$D$3, Merged!$C$48:$C$391,Report_For_Each_Project!C136)-SUM(SUMIFS(Merged!$Z$48:$Z$391,Merged!$D$48:$D$391,Table!$D$3,Merged!$AA$48:$AA$391,{"Ongoing","N/A",""},Merged!$C$48:$C$391,Report_For_Each_Project!C136)))</f>
        <v>9.375E-2</v>
      </c>
      <c r="I143" s="49">
        <f t="shared" ref="I143:I144" si="8">IFERROR(F143/E143,"N/A")</f>
        <v>1</v>
      </c>
    </row>
    <row r="144" spans="1:22" x14ac:dyDescent="0.25">
      <c r="C144" s="67">
        <v>2</v>
      </c>
      <c r="D144" s="48" t="s">
        <v>2</v>
      </c>
      <c r="E144" s="48">
        <f>SUMIFS(Merged!$W$48:$W$391,Merged!$D$48:$D$391,Table!$D$3, Merged!$C$48:$C$391,Report_For_Each_Project!C137)</f>
        <v>0</v>
      </c>
      <c r="F144" s="48">
        <f>SUMIFS(Merged!$X$48:$X$391,Merged!$D$48:$D$391,Table!$D$3, Merged!$C$48:$C$391,Report_For_Each_Project!C137)</f>
        <v>0</v>
      </c>
      <c r="G144" s="48">
        <f>1/8*(SUMIFS(Merged!$Y$48:$Y$391,Merged!$D$48:$D$391,Table!$C$3, Merged!$E$48:$E$391,Report_For_Each_Project!C136))</f>
        <v>0</v>
      </c>
      <c r="H144" s="144">
        <f>1/8*(SUMIFS(Merged!$Z$48:$Z$391,Merged!$D$48:$D$391,Table!$C$3, Merged!$E$48:$E$391,Report_For_Each_Project!C136)-SUM(SUMIFS(Merged!$Z$48:$Z$391,Merged!$D$48:$D$391,Table!$C$3,Merged!$AA$48:$AA$391,{"Ongoing","N/A",""},Merged!$E$48:$E$391,Report_For_Each_Project!C136)))</f>
        <v>0</v>
      </c>
      <c r="I144" s="49" t="str">
        <f t="shared" si="8"/>
        <v>N/A</v>
      </c>
    </row>
    <row r="146" spans="1:9" x14ac:dyDescent="0.25">
      <c r="C146" t="s">
        <v>160</v>
      </c>
    </row>
    <row r="147" spans="1:9" x14ac:dyDescent="0.25">
      <c r="D147" t="s">
        <v>167</v>
      </c>
    </row>
    <row r="148" spans="1:9" x14ac:dyDescent="0.25">
      <c r="A148" s="64">
        <f>A136+1</f>
        <v>12</v>
      </c>
      <c r="B148" s="64" t="s">
        <v>60</v>
      </c>
      <c r="C148" s="64">
        <v>20200416</v>
      </c>
    </row>
    <row r="149" spans="1:9" x14ac:dyDescent="0.25">
      <c r="B149" s="64" t="s">
        <v>153</v>
      </c>
      <c r="C149">
        <f>SUM(G155:G156)</f>
        <v>2.3450000000000002</v>
      </c>
      <c r="D149" t="s">
        <v>154</v>
      </c>
    </row>
    <row r="150" spans="1:9" x14ac:dyDescent="0.25">
      <c r="B150" s="64" t="s">
        <v>164</v>
      </c>
      <c r="C150">
        <f>SUM(INT((WEEKDAY(F150-{2,3,4,5,6})+H150-F150)/7))</f>
        <v>4</v>
      </c>
      <c r="D150" t="s">
        <v>154</v>
      </c>
      <c r="E150" t="s">
        <v>581</v>
      </c>
      <c r="F150" s="6">
        <v>43935</v>
      </c>
      <c r="G150" s="6" t="s">
        <v>150</v>
      </c>
      <c r="H150" s="6">
        <v>43938</v>
      </c>
    </row>
    <row r="151" spans="1:9" x14ac:dyDescent="0.25">
      <c r="B151" s="64" t="s">
        <v>165</v>
      </c>
      <c r="C151">
        <f>SUM(INT((WEEKDAY(F151-{2,3,4,5,6})+H151-F151)/7))</f>
        <v>4</v>
      </c>
      <c r="D151" t="s">
        <v>154</v>
      </c>
      <c r="E151" t="s">
        <v>245</v>
      </c>
      <c r="F151" s="6">
        <v>43935</v>
      </c>
      <c r="G151" s="6" t="s">
        <v>150</v>
      </c>
      <c r="H151" s="6">
        <v>43938</v>
      </c>
    </row>
    <row r="152" spans="1:9" x14ac:dyDescent="0.25">
      <c r="B152" s="64" t="s">
        <v>17</v>
      </c>
      <c r="F152" s="6"/>
      <c r="G152" s="6"/>
      <c r="H152" s="6"/>
    </row>
    <row r="154" spans="1:9" ht="45" x14ac:dyDescent="0.25">
      <c r="C154" s="65" t="s">
        <v>25</v>
      </c>
      <c r="D154" s="65" t="s">
        <v>26</v>
      </c>
      <c r="E154" s="66" t="s">
        <v>155</v>
      </c>
      <c r="F154" s="66" t="s">
        <v>156</v>
      </c>
      <c r="G154" s="66" t="s">
        <v>157</v>
      </c>
      <c r="H154" s="66" t="s">
        <v>158</v>
      </c>
      <c r="I154" s="66" t="s">
        <v>29</v>
      </c>
    </row>
    <row r="155" spans="1:9" x14ac:dyDescent="0.25">
      <c r="C155" s="67">
        <v>1</v>
      </c>
      <c r="D155" s="48" t="s">
        <v>3</v>
      </c>
      <c r="E155" s="48">
        <f>SUMIFS(Merged!$W$48:$W$391,Merged!$D$48:$D$391,Table!$D$3, Merged!$C$48:$C$391,Report_For_Each_Project!C148)</f>
        <v>1059</v>
      </c>
      <c r="F155" s="48">
        <f>SUMIFS(Merged!$X$48:$X$391,Merged!$D$48:$D$391,Table!$D$3, Merged!$C$48:$C$391,Report_For_Each_Project!C148)</f>
        <v>1059</v>
      </c>
      <c r="G155" s="48">
        <f>1/8*(SUMIFS(Merged!$Y$48:$Y$391,Merged!$D$48:$D$391,Table!$D$3, Merged!$C$48:$C$391,Report_For_Each_Project!C148))</f>
        <v>2.3450000000000002</v>
      </c>
      <c r="H155" s="144">
        <f>1/8*(SUMIFS(Merged!$Z$48:$Z$391,Merged!$D$48:$D$391,Table!$D$3, Merged!$C$48:$C$391,Report_For_Each_Project!C148)-SUM(SUMIFS(Merged!$Z$48:$Z$391,Merged!$D$48:$D$391,Table!$D$3,Merged!$AA$48:$AA$391,{"Ongoing","N/A",""},Merged!$C$48:$C$391,Report_For_Each_Project!C148)))</f>
        <v>1.7762499999999999</v>
      </c>
      <c r="I155" s="49">
        <f t="shared" ref="I155:I156" si="9">IFERROR(F155/E155,"N/A")</f>
        <v>1</v>
      </c>
    </row>
    <row r="156" spans="1:9" x14ac:dyDescent="0.25">
      <c r="C156" s="67">
        <v>2</v>
      </c>
      <c r="D156" s="48" t="s">
        <v>2</v>
      </c>
      <c r="E156" s="48">
        <f>SUMIFS(Merged!$W$48:$W$391,Merged!$D$48:$D$391,Table!$D$3, Merged!$C$48:$C$391,Report_For_Each_Project!C149)</f>
        <v>0</v>
      </c>
      <c r="F156" s="48">
        <f>SUMIFS(Merged!$X$48:$X$391,Merged!$D$48:$D$391,Table!$D$3, Merged!$C$48:$C$391,Report_For_Each_Project!C149)</f>
        <v>0</v>
      </c>
      <c r="G156" s="48">
        <f>1/8*(SUMIFS(Merged!$Y$48:$Y$391,Merged!$D$48:$D$391,Table!$C$3, Merged!$E$48:$E$391,Report_For_Each_Project!C148))</f>
        <v>0</v>
      </c>
      <c r="H156" s="144">
        <f>1/8*(SUMIFS(Merged!$Z$48:$Z$391,Merged!$D$48:$D$391,Table!$C$3, Merged!$E$48:$E$391,Report_For_Each_Project!C148)-SUM(SUMIFS(Merged!$Z$48:$Z$391,Merged!$D$48:$D$391,Table!$C$3,Merged!$AA$48:$AA$391,{"Ongoing","N/A",""},Merged!$E$48:$E$391,Report_For_Each_Project!C148)))</f>
        <v>0</v>
      </c>
      <c r="I156" s="49" t="str">
        <f t="shared" si="9"/>
        <v>N/A</v>
      </c>
    </row>
    <row r="158" spans="1:9" x14ac:dyDescent="0.25">
      <c r="C158" t="s">
        <v>160</v>
      </c>
    </row>
    <row r="159" spans="1:9" x14ac:dyDescent="0.25">
      <c r="D159" t="s">
        <v>167</v>
      </c>
    </row>
    <row r="161" spans="1:9" x14ac:dyDescent="0.25">
      <c r="A161" s="64">
        <v>13</v>
      </c>
      <c r="B161" s="64" t="s">
        <v>60</v>
      </c>
      <c r="C161" s="1" t="s">
        <v>713</v>
      </c>
    </row>
    <row r="162" spans="1:9" x14ac:dyDescent="0.25">
      <c r="B162" s="64" t="s">
        <v>153</v>
      </c>
      <c r="C162">
        <f>SUM(G168:G169)</f>
        <v>31.656249999999996</v>
      </c>
      <c r="D162" t="s">
        <v>154</v>
      </c>
    </row>
    <row r="163" spans="1:9" x14ac:dyDescent="0.25">
      <c r="B163" s="64" t="s">
        <v>164</v>
      </c>
      <c r="C163">
        <f>SUM(INT((WEEKDAY(F163-{2,3,4,5,6})+H163-F163)/7))</f>
        <v>9</v>
      </c>
      <c r="D163" t="s">
        <v>154</v>
      </c>
      <c r="E163" t="s">
        <v>161</v>
      </c>
      <c r="F163" s="6">
        <v>43941</v>
      </c>
      <c r="G163" s="6" t="s">
        <v>150</v>
      </c>
      <c r="H163" s="6">
        <v>43951</v>
      </c>
    </row>
    <row r="164" spans="1:9" x14ac:dyDescent="0.25">
      <c r="B164" s="64" t="s">
        <v>165</v>
      </c>
      <c r="C164">
        <f>SUM(INT((WEEKDAY(F164-{2,3,4,5,6})+H164-F164)/7))</f>
        <v>9</v>
      </c>
      <c r="D164" t="s">
        <v>154</v>
      </c>
      <c r="E164" t="s">
        <v>161</v>
      </c>
      <c r="F164" s="6">
        <v>43941</v>
      </c>
      <c r="G164" s="6" t="s">
        <v>150</v>
      </c>
      <c r="H164" s="6">
        <v>43951</v>
      </c>
    </row>
    <row r="165" spans="1:9" x14ac:dyDescent="0.25">
      <c r="B165" s="64" t="s">
        <v>17</v>
      </c>
      <c r="F165" s="6"/>
      <c r="G165" s="6"/>
      <c r="H165" s="6"/>
    </row>
    <row r="167" spans="1:9" ht="45" x14ac:dyDescent="0.25">
      <c r="C167" s="65" t="s">
        <v>25</v>
      </c>
      <c r="D167" s="65" t="s">
        <v>26</v>
      </c>
      <c r="E167" s="66" t="s">
        <v>155</v>
      </c>
      <c r="F167" s="66" t="s">
        <v>156</v>
      </c>
      <c r="G167" s="66" t="s">
        <v>157</v>
      </c>
      <c r="H167" s="66" t="s">
        <v>158</v>
      </c>
      <c r="I167" s="66" t="s">
        <v>29</v>
      </c>
    </row>
    <row r="168" spans="1:9" x14ac:dyDescent="0.25">
      <c r="C168" s="67">
        <v>1</v>
      </c>
      <c r="D168" s="48" t="s">
        <v>3</v>
      </c>
      <c r="E168" s="48">
        <f>SUMIFS(Merged!$W$48:$W$391,Merged!$D$48:$D$391,Table!$D$3, Merged!$C$48:$C$391,Report_For_Each_Project!C161)</f>
        <v>14267</v>
      </c>
      <c r="F168" s="48">
        <f>SUMIFS(Merged!$X$48:$X$391,Merged!$D$48:$D$391,Table!$D$3, Merged!$C$48:$C$391,Report_For_Each_Project!C161)</f>
        <v>14267</v>
      </c>
      <c r="G168" s="48">
        <f>1/8*(SUMIFS(Merged!$Y$48:$Y$391,Merged!$D$48:$D$391,Table!$D$3, Merged!$C$48:$C$391,Report_For_Each_Project!C161))</f>
        <v>31.656249999999996</v>
      </c>
      <c r="H168" s="144">
        <f>1/8*(SUMIFS(Merged!$Z$48:$Z$391,Merged!$D$48:$D$391,Table!$D$3, Merged!$C$48:$C$391,Report_For_Each_Project!C161)-SUM(SUMIFS(Merged!$Z$48:$Z$391,Merged!$D$48:$D$391,Table!$D$3,Merged!$AA$48:$AA$391,{"Ongoing","N/A",""},Merged!$C$48:$C$391,Report_For_Each_Project!C161)))</f>
        <v>12.537500000000001</v>
      </c>
      <c r="I168" s="49">
        <f t="shared" ref="I168:I169" si="10">IFERROR(F168/E168,"N/A")</f>
        <v>1</v>
      </c>
    </row>
    <row r="169" spans="1:9" x14ac:dyDescent="0.25">
      <c r="C169" s="67">
        <v>2</v>
      </c>
      <c r="D169" s="48" t="s">
        <v>2</v>
      </c>
      <c r="E169" s="48">
        <f>SUMIFS(Merged!$W$48:$W$391,Merged!$D$48:$D$391,Table!$D$3, Merged!$C$48:$C$391,Report_For_Each_Project!C162)</f>
        <v>0</v>
      </c>
      <c r="F169" s="48">
        <f>SUMIFS(Merged!$X$48:$X$391,Merged!$D$48:$D$391,Table!$D$3, Merged!$C$48:$C$391,Report_For_Each_Project!C162)</f>
        <v>0</v>
      </c>
      <c r="G169" s="48">
        <f>1/8*(SUMIFS(Merged!$Y$48:$Y$391,Merged!$D$48:$D$391,Table!$C$3, Merged!$E$48:$E$391,Report_For_Each_Project!C161))</f>
        <v>0</v>
      </c>
      <c r="H169" s="144">
        <f>1/8*(SUMIFS(Merged!$Z$48:$Z$391,Merged!$D$48:$D$391,Table!$C$3, Merged!$E$48:$E$391,Report_For_Each_Project!C161)-SUM(SUMIFS(Merged!$Z$48:$Z$391,Merged!$D$48:$D$391,Table!$C$3,Merged!$AA$48:$AA$391,{"Ongoing","N/A",""},Merged!$E$48:$E$391,Report_For_Each_Project!C161)))</f>
        <v>0</v>
      </c>
      <c r="I169" s="49" t="str">
        <f t="shared" si="10"/>
        <v>N/A</v>
      </c>
    </row>
    <row r="171" spans="1:9" x14ac:dyDescent="0.25">
      <c r="C171" t="s">
        <v>160</v>
      </c>
    </row>
    <row r="172" spans="1:9" x14ac:dyDescent="0.25">
      <c r="D172" t="s">
        <v>167</v>
      </c>
    </row>
    <row r="174" spans="1:9" x14ac:dyDescent="0.25">
      <c r="A174" s="64">
        <v>14</v>
      </c>
      <c r="B174" s="64" t="s">
        <v>60</v>
      </c>
      <c r="C174" s="1">
        <v>20200417</v>
      </c>
    </row>
    <row r="175" spans="1:9" x14ac:dyDescent="0.25">
      <c r="B175" s="64" t="s">
        <v>153</v>
      </c>
      <c r="C175">
        <f>SUM(G181:G182)</f>
        <v>15.485000000000001</v>
      </c>
      <c r="D175" t="s">
        <v>154</v>
      </c>
    </row>
    <row r="176" spans="1:9" x14ac:dyDescent="0.25">
      <c r="B176" s="64" t="s">
        <v>164</v>
      </c>
      <c r="C176">
        <f>SUM(INT((WEEKDAY(F176-{2,3,4,5,6})+H176-F176)/7))</f>
        <v>9</v>
      </c>
      <c r="D176" t="s">
        <v>154</v>
      </c>
      <c r="E176" t="s">
        <v>161</v>
      </c>
      <c r="F176" s="6">
        <v>43941</v>
      </c>
      <c r="G176" s="6" t="s">
        <v>150</v>
      </c>
      <c r="H176" s="6">
        <v>43951</v>
      </c>
    </row>
    <row r="177" spans="1:9" x14ac:dyDescent="0.25">
      <c r="B177" s="64" t="s">
        <v>165</v>
      </c>
      <c r="C177">
        <f>SUM(INT((WEEKDAY(F177-{2,3,4,5,6})+H177-F177)/7))</f>
        <v>9</v>
      </c>
      <c r="D177" t="s">
        <v>154</v>
      </c>
      <c r="E177" t="s">
        <v>161</v>
      </c>
      <c r="F177" s="6">
        <v>43941</v>
      </c>
      <c r="G177" s="6" t="s">
        <v>150</v>
      </c>
      <c r="H177" s="6">
        <v>43951</v>
      </c>
    </row>
    <row r="178" spans="1:9" x14ac:dyDescent="0.25">
      <c r="B178" s="64" t="s">
        <v>17</v>
      </c>
      <c r="F178" s="6"/>
      <c r="G178" s="6"/>
      <c r="H178" s="6"/>
    </row>
    <row r="180" spans="1:9" ht="45" x14ac:dyDescent="0.25">
      <c r="C180" s="65" t="s">
        <v>25</v>
      </c>
      <c r="D180" s="65" t="s">
        <v>26</v>
      </c>
      <c r="E180" s="66" t="s">
        <v>155</v>
      </c>
      <c r="F180" s="66" t="s">
        <v>156</v>
      </c>
      <c r="G180" s="66" t="s">
        <v>157</v>
      </c>
      <c r="H180" s="66" t="s">
        <v>158</v>
      </c>
      <c r="I180" s="66" t="s">
        <v>29</v>
      </c>
    </row>
    <row r="181" spans="1:9" x14ac:dyDescent="0.25">
      <c r="C181" s="67">
        <v>1</v>
      </c>
      <c r="D181" s="48" t="s">
        <v>3</v>
      </c>
      <c r="E181" s="48">
        <f>SUMIFS(Merged!$W$48:$W$391,Merged!$D$48:$D$391,Table!$D$3, Merged!$C$48:$C$391,Report_For_Each_Project!C174)</f>
        <v>6973</v>
      </c>
      <c r="F181" s="48">
        <f>SUMIFS(Merged!$X$48:$X$391,Merged!$D$48:$D$391,Table!$D$3, Merged!$C$48:$C$391,Report_For_Each_Project!C174)</f>
        <v>6973</v>
      </c>
      <c r="G181" s="48">
        <f>1/8*(SUMIFS(Merged!$Y$48:$Y$391,Merged!$D$48:$D$391,Table!$D$3, Merged!$C$48:$C$391,Report_For_Each_Project!C174))</f>
        <v>15.485000000000001</v>
      </c>
      <c r="H181" s="144">
        <f>1/8*(SUMIFS(Merged!$Z$48:$Z$391,Merged!$D$48:$D$391,Table!$D$3, Merged!$C$48:$C$391,Report_For_Each_Project!C174)-SUM(SUMIFS(Merged!$Z$48:$Z$391,Merged!$D$48:$D$391,Table!$D$3,Merged!$AA$48:$AA$391,{"Ongoing","N/A",""},Merged!$C$48:$C$391,Report_For_Each_Project!C174)))</f>
        <v>5.53</v>
      </c>
      <c r="I181" s="49">
        <f t="shared" ref="I181:I182" si="11">IFERROR(F181/E181,"N/A")</f>
        <v>1</v>
      </c>
    </row>
    <row r="182" spans="1:9" x14ac:dyDescent="0.25">
      <c r="C182" s="67">
        <v>2</v>
      </c>
      <c r="D182" s="48" t="s">
        <v>2</v>
      </c>
      <c r="E182" s="48">
        <f>SUMIFS(Merged!$W$48:$W$391,Merged!$D$48:$D$391,Table!$D$3, Merged!$C$48:$C$391,Report_For_Each_Project!C175)</f>
        <v>0</v>
      </c>
      <c r="F182" s="48">
        <f>SUMIFS(Merged!$X$48:$X$391,Merged!$D$48:$D$391,Table!$D$3, Merged!$C$48:$C$391,Report_For_Each_Project!C175)</f>
        <v>0</v>
      </c>
      <c r="G182" s="48">
        <f>1/8*(SUMIFS(Merged!$Y$48:$Y$391,Merged!$D$48:$D$391,Table!$C$3, Merged!$E$48:$E$391,Report_For_Each_Project!C174))</f>
        <v>0</v>
      </c>
      <c r="H182" s="144">
        <f>1/8*(SUMIFS(Merged!$Z$48:$Z$391,Merged!$D$48:$D$391,Table!$C$3, Merged!$E$48:$E$391,Report_For_Each_Project!C174)-SUM(SUMIFS(Merged!$Z$48:$Z$391,Merged!$D$48:$D$391,Table!$C$3,Merged!$AA$48:$AA$391,{"Ongoing","N/A",""},Merged!$E$48:$E$391,Report_For_Each_Project!C174)))</f>
        <v>0</v>
      </c>
      <c r="I182" s="49" t="str">
        <f t="shared" si="11"/>
        <v>N/A</v>
      </c>
    </row>
    <row r="184" spans="1:9" x14ac:dyDescent="0.25">
      <c r="C184" t="s">
        <v>160</v>
      </c>
    </row>
    <row r="185" spans="1:9" x14ac:dyDescent="0.25">
      <c r="D185" t="s">
        <v>167</v>
      </c>
    </row>
    <row r="187" spans="1:9" x14ac:dyDescent="0.25">
      <c r="A187" s="64">
        <v>15</v>
      </c>
      <c r="B187" s="64" t="s">
        <v>60</v>
      </c>
      <c r="C187" s="1">
        <v>20200420</v>
      </c>
    </row>
    <row r="188" spans="1:9" x14ac:dyDescent="0.25">
      <c r="B188" s="64" t="s">
        <v>153</v>
      </c>
      <c r="C188">
        <f>SUM(G194:G195)</f>
        <v>9.3925000000000001</v>
      </c>
      <c r="D188" t="s">
        <v>154</v>
      </c>
    </row>
    <row r="189" spans="1:9" x14ac:dyDescent="0.25">
      <c r="B189" s="64" t="s">
        <v>164</v>
      </c>
      <c r="C189">
        <f>SUM(INT((WEEKDAY(F189-{2,3,4,5,6})+H189-F189)/7))</f>
        <v>9</v>
      </c>
      <c r="D189" t="s">
        <v>154</v>
      </c>
      <c r="E189" t="s">
        <v>161</v>
      </c>
      <c r="F189" s="6">
        <v>43941</v>
      </c>
      <c r="G189" s="6" t="s">
        <v>150</v>
      </c>
      <c r="H189" s="6">
        <v>43951</v>
      </c>
    </row>
    <row r="190" spans="1:9" x14ac:dyDescent="0.25">
      <c r="B190" s="64" t="s">
        <v>165</v>
      </c>
      <c r="C190">
        <f>SUM(INT((WEEKDAY(F190-{2,3,4,5,6})+H190-F190)/7))</f>
        <v>9</v>
      </c>
      <c r="D190" t="s">
        <v>154</v>
      </c>
      <c r="E190" t="s">
        <v>161</v>
      </c>
      <c r="F190" s="6">
        <v>43941</v>
      </c>
      <c r="G190" s="6" t="s">
        <v>150</v>
      </c>
      <c r="H190" s="6">
        <v>43951</v>
      </c>
    </row>
    <row r="191" spans="1:9" x14ac:dyDescent="0.25">
      <c r="B191" s="64" t="s">
        <v>17</v>
      </c>
      <c r="F191" s="6"/>
      <c r="G191" s="6"/>
      <c r="H191" s="6"/>
    </row>
    <row r="193" spans="3:9" ht="45" x14ac:dyDescent="0.25">
      <c r="C193" s="65" t="s">
        <v>25</v>
      </c>
      <c r="D193" s="65" t="s">
        <v>26</v>
      </c>
      <c r="E193" s="66" t="s">
        <v>155</v>
      </c>
      <c r="F193" s="66" t="s">
        <v>156</v>
      </c>
      <c r="G193" s="66" t="s">
        <v>157</v>
      </c>
      <c r="H193" s="66" t="s">
        <v>158</v>
      </c>
      <c r="I193" s="66" t="s">
        <v>29</v>
      </c>
    </row>
    <row r="194" spans="3:9" x14ac:dyDescent="0.25">
      <c r="C194" s="67">
        <v>1</v>
      </c>
      <c r="D194" s="48" t="s">
        <v>3</v>
      </c>
      <c r="E194" s="48">
        <f>SUMIFS(Merged!$W$48:$W$391,Merged!$D$48:$D$391,Table!$D$3, Merged!$C$48:$C$391,Report_For_Each_Project!C187)</f>
        <v>4231</v>
      </c>
      <c r="F194" s="48">
        <f>SUMIFS(Merged!$X$48:$X$391,Merged!$D$48:$D$391,Table!$D$3, Merged!$C$48:$C$391,Report_For_Each_Project!C187)</f>
        <v>4231</v>
      </c>
      <c r="G194" s="48">
        <f>1/8*(SUMIFS(Merged!$Y$48:$Y$391,Merged!$D$48:$D$391,Table!$D$3, Merged!$C$48:$C$391,Report_For_Each_Project!C187))</f>
        <v>9.3925000000000001</v>
      </c>
      <c r="H194" s="144">
        <f>1/8*(SUMIFS(Merged!$Z$48:$Z$391,Merged!$D$48:$D$391,Table!$D$3, Merged!$C$48:$C$391,Report_For_Each_Project!C187)-SUM(SUMIFS(Merged!$Z$48:$Z$391,Merged!$D$48:$D$391,Table!$D$3,Merged!$AA$48:$AA$391,{"Ongoing","N/A",""},Merged!$C$48:$C$391,Report_For_Each_Project!C187)))</f>
        <v>3.625</v>
      </c>
      <c r="I194" s="49">
        <f t="shared" ref="I194:I195" si="12">IFERROR(F194/E194,"N/A")</f>
        <v>1</v>
      </c>
    </row>
    <row r="195" spans="3:9" x14ac:dyDescent="0.25">
      <c r="C195" s="67">
        <v>2</v>
      </c>
      <c r="D195" s="48" t="s">
        <v>2</v>
      </c>
      <c r="E195" s="48">
        <f>SUMIFS(Merged!$W$48:$W$391,Merged!$D$48:$D$391,Table!$D$3, Merged!$C$48:$C$391,Report_For_Each_Project!C188)</f>
        <v>0</v>
      </c>
      <c r="F195" s="48">
        <f>SUMIFS(Merged!$X$48:$X$391,Merged!$D$48:$D$391,Table!$D$3, Merged!$C$48:$C$391,Report_For_Each_Project!C188)</f>
        <v>0</v>
      </c>
      <c r="G195" s="48">
        <f>1/8*(SUMIFS(Merged!$Y$48:$Y$391,Merged!$D$48:$D$391,Table!$C$3, Merged!$E$48:$E$391,Report_For_Each_Project!C187))</f>
        <v>0</v>
      </c>
      <c r="H195" s="144">
        <f>1/8*(SUMIFS(Merged!$Z$48:$Z$391,Merged!$D$48:$D$391,Table!$C$3, Merged!$E$48:$E$391,Report_For_Each_Project!C187)-SUM(SUMIFS(Merged!$Z$48:$Z$391,Merged!$D$48:$D$391,Table!$C$3,Merged!$AA$48:$AA$391,{"Ongoing","N/A",""},Merged!$E$48:$E$391,Report_For_Each_Project!C187)))</f>
        <v>0</v>
      </c>
      <c r="I195" s="49" t="str">
        <f t="shared" si="12"/>
        <v>N/A</v>
      </c>
    </row>
    <row r="197" spans="3:9" x14ac:dyDescent="0.25">
      <c r="C197" t="s">
        <v>160</v>
      </c>
    </row>
    <row r="198" spans="3:9" x14ac:dyDescent="0.25">
      <c r="D198" t="s">
        <v>167</v>
      </c>
    </row>
  </sheetData>
  <customSheetViews>
    <customSheetView guid="{250915DF-0B97-45D7-B29D-7EED4C89C1C1}" scale="85" topLeftCell="A136">
      <selection activeCell="K145" sqref="K145"/>
      <pageMargins left="0.7" right="0.7" top="0.75" bottom="0.75" header="0.3" footer="0.3"/>
      <pageSetup orientation="portrait" r:id="rId1"/>
    </customSheetView>
    <customSheetView guid="{A2C66332-A809-458E-971B-FDB6D62C74C3}" scale="85">
      <selection activeCell="G160" sqref="G160"/>
      <pageMargins left="0.7" right="0.7" top="0.75" bottom="0.75" header="0.3" footer="0.3"/>
      <pageSetup orientation="portrait" r:id="rId2"/>
    </customSheetView>
    <customSheetView guid="{72A6EB0A-84D5-4B8A-AC51-54CCD061630B}" topLeftCell="A22">
      <selection activeCell="C60" sqref="C60"/>
      <pageMargins left="0.7" right="0.7" top="0.75" bottom="0.75" header="0.3" footer="0.3"/>
    </customSheetView>
    <customSheetView guid="{7ECC2B8E-6A82-42F5-8AB0-4A51C54EA5EC}" scale="85" topLeftCell="A151">
      <selection activeCell="A178" sqref="A178:XFD178"/>
      <pageMargins left="0.7" right="0.7" top="0.75" bottom="0.75" header="0.3" footer="0.3"/>
      <pageSetup orientation="portrait" r:id="rId3"/>
    </customSheetView>
    <customSheetView guid="{336B6883-2145-4B58-921E-CEC7185A847E}" topLeftCell="A10">
      <selection activeCell="L50" sqref="L50"/>
      <pageMargins left="0.7" right="0.7" top="0.75" bottom="0.75" header="0.3" footer="0.3"/>
    </customSheetView>
    <customSheetView guid="{D33AC7AF-C8AB-4CE9-94C7-9237011A5FC3}" scale="85" topLeftCell="A151">
      <selection activeCell="A177" sqref="A177:I187"/>
      <pageMargins left="0.7" right="0.7" top="0.75" bottom="0.75" header="0.3" footer="0.3"/>
      <pageSetup orientation="portrait" r:id="rId4"/>
    </customSheetView>
    <customSheetView guid="{3B3E6719-EACB-4D2C-89C1-05FFAB6020FD}" scale="85" topLeftCell="A151">
      <selection activeCell="A178" sqref="A178:XFD178"/>
      <pageMargins left="0.7" right="0.7" top="0.75" bottom="0.75" header="0.3" footer="0.3"/>
      <pageSetup orientation="portrait" r:id="rId5"/>
    </customSheetView>
  </customSheetViews>
  <conditionalFormatting sqref="I9:I10">
    <cfRule type="cellIs" dxfId="93" priority="81" operator="equal">
      <formula>1</formula>
    </cfRule>
    <cfRule type="cellIs" dxfId="92" priority="82" operator="lessThan">
      <formula>1</formula>
    </cfRule>
  </conditionalFormatting>
  <conditionalFormatting sqref="H9">
    <cfRule type="cellIs" dxfId="91" priority="84" operator="greaterThan">
      <formula>G9</formula>
    </cfRule>
  </conditionalFormatting>
  <conditionalFormatting sqref="H10">
    <cfRule type="cellIs" dxfId="90" priority="83" operator="greaterThan">
      <formula>G10</formula>
    </cfRule>
  </conditionalFormatting>
  <conditionalFormatting sqref="H22">
    <cfRule type="cellIs" dxfId="89" priority="80" operator="greaterThan">
      <formula>G22</formula>
    </cfRule>
  </conditionalFormatting>
  <conditionalFormatting sqref="H23">
    <cfRule type="cellIs" dxfId="88" priority="79" operator="greaterThan">
      <formula>G23</formula>
    </cfRule>
  </conditionalFormatting>
  <conditionalFormatting sqref="I22:I23">
    <cfRule type="cellIs" dxfId="87" priority="77" operator="equal">
      <formula>1</formula>
    </cfRule>
    <cfRule type="cellIs" dxfId="86" priority="78" operator="lessThan">
      <formula>1</formula>
    </cfRule>
  </conditionalFormatting>
  <conditionalFormatting sqref="I35:I36">
    <cfRule type="cellIs" dxfId="85" priority="75" operator="equal">
      <formula>1</formula>
    </cfRule>
    <cfRule type="cellIs" dxfId="84" priority="76" operator="lessThan">
      <formula>1</formula>
    </cfRule>
  </conditionalFormatting>
  <conditionalFormatting sqref="I48:I49">
    <cfRule type="cellIs" dxfId="83" priority="73" operator="equal">
      <formula>1</formula>
    </cfRule>
    <cfRule type="cellIs" dxfId="82" priority="74" operator="lessThan">
      <formula>1</formula>
    </cfRule>
  </conditionalFormatting>
  <conditionalFormatting sqref="I64">
    <cfRule type="cellIs" dxfId="81" priority="71" operator="equal">
      <formula>1</formula>
    </cfRule>
    <cfRule type="cellIs" dxfId="80" priority="72" operator="lessThan">
      <formula>1</formula>
    </cfRule>
  </conditionalFormatting>
  <conditionalFormatting sqref="I65">
    <cfRule type="cellIs" dxfId="79" priority="69" operator="equal">
      <formula>1</formula>
    </cfRule>
    <cfRule type="cellIs" dxfId="78" priority="70" operator="lessThan">
      <formula>1</formula>
    </cfRule>
  </conditionalFormatting>
  <conditionalFormatting sqref="H35">
    <cfRule type="cellIs" dxfId="73" priority="64" operator="greaterThan">
      <formula>G35</formula>
    </cfRule>
  </conditionalFormatting>
  <conditionalFormatting sqref="H36">
    <cfRule type="cellIs" dxfId="72" priority="63" operator="greaterThan">
      <formula>G36</formula>
    </cfRule>
  </conditionalFormatting>
  <conditionalFormatting sqref="H48">
    <cfRule type="cellIs" dxfId="71" priority="62" operator="greaterThan">
      <formula>G48</formula>
    </cfRule>
  </conditionalFormatting>
  <conditionalFormatting sqref="H49">
    <cfRule type="cellIs" dxfId="70" priority="61" operator="greaterThan">
      <formula>G49</formula>
    </cfRule>
  </conditionalFormatting>
  <conditionalFormatting sqref="H64">
    <cfRule type="cellIs" dxfId="69" priority="60" operator="greaterThan">
      <formula>G64</formula>
    </cfRule>
  </conditionalFormatting>
  <conditionalFormatting sqref="H65">
    <cfRule type="cellIs" dxfId="68" priority="59" operator="greaterThan">
      <formula>G65</formula>
    </cfRule>
  </conditionalFormatting>
  <conditionalFormatting sqref="I78:I79">
    <cfRule type="cellIs" dxfId="57" priority="49" operator="equal">
      <formula>1</formula>
    </cfRule>
    <cfRule type="cellIs" dxfId="56" priority="50" operator="lessThan">
      <formula>1</formula>
    </cfRule>
  </conditionalFormatting>
  <conditionalFormatting sqref="H78">
    <cfRule type="cellIs" dxfId="55" priority="48" operator="greaterThan">
      <formula>G78</formula>
    </cfRule>
  </conditionalFormatting>
  <conditionalFormatting sqref="H79">
    <cfRule type="cellIs" dxfId="54" priority="47" operator="greaterThan">
      <formula>G79</formula>
    </cfRule>
  </conditionalFormatting>
  <conditionalFormatting sqref="I92:I93">
    <cfRule type="cellIs" dxfId="53" priority="45" operator="equal">
      <formula>1</formula>
    </cfRule>
    <cfRule type="cellIs" dxfId="52" priority="46" operator="lessThan">
      <formula>1</formula>
    </cfRule>
  </conditionalFormatting>
  <conditionalFormatting sqref="H92">
    <cfRule type="cellIs" dxfId="51" priority="44" operator="greaterThan">
      <formula>G92</formula>
    </cfRule>
  </conditionalFormatting>
  <conditionalFormatting sqref="H93">
    <cfRule type="cellIs" dxfId="50" priority="43" operator="greaterThan">
      <formula>G93</formula>
    </cfRule>
  </conditionalFormatting>
  <conditionalFormatting sqref="I105:I106">
    <cfRule type="cellIs" dxfId="49" priority="41" operator="equal">
      <formula>1</formula>
    </cfRule>
    <cfRule type="cellIs" dxfId="48" priority="42" operator="lessThan">
      <formula>1</formula>
    </cfRule>
  </conditionalFormatting>
  <conditionalFormatting sqref="H105">
    <cfRule type="cellIs" dxfId="47" priority="40" operator="greaterThan">
      <formula>G105</formula>
    </cfRule>
  </conditionalFormatting>
  <conditionalFormatting sqref="H106">
    <cfRule type="cellIs" dxfId="46" priority="39" operator="greaterThan">
      <formula>G106</formula>
    </cfRule>
  </conditionalFormatting>
  <conditionalFormatting sqref="I118:I119">
    <cfRule type="cellIs" dxfId="45" priority="37" operator="equal">
      <formula>1</formula>
    </cfRule>
    <cfRule type="cellIs" dxfId="44" priority="38" operator="lessThan">
      <formula>1</formula>
    </cfRule>
  </conditionalFormatting>
  <conditionalFormatting sqref="H118">
    <cfRule type="cellIs" dxfId="43" priority="36" operator="greaterThan">
      <formula>G118</formula>
    </cfRule>
  </conditionalFormatting>
  <conditionalFormatting sqref="H119">
    <cfRule type="cellIs" dxfId="42" priority="35" operator="greaterThan">
      <formula>G119</formula>
    </cfRule>
  </conditionalFormatting>
  <conditionalFormatting sqref="I131:I132">
    <cfRule type="cellIs" dxfId="33" priority="33" operator="equal">
      <formula>1</formula>
    </cfRule>
    <cfRule type="cellIs" dxfId="32" priority="34" operator="lessThan">
      <formula>1</formula>
    </cfRule>
  </conditionalFormatting>
  <conditionalFormatting sqref="I143:I144">
    <cfRule type="cellIs" dxfId="31" priority="31" operator="equal">
      <formula>1</formula>
    </cfRule>
    <cfRule type="cellIs" dxfId="30" priority="32" operator="lessThan">
      <formula>1</formula>
    </cfRule>
  </conditionalFormatting>
  <conditionalFormatting sqref="I155:I156">
    <cfRule type="cellIs" dxfId="29" priority="29" operator="equal">
      <formula>1</formula>
    </cfRule>
    <cfRule type="cellIs" dxfId="28" priority="30" operator="lessThan">
      <formula>1</formula>
    </cfRule>
  </conditionalFormatting>
  <conditionalFormatting sqref="I168:I169">
    <cfRule type="cellIs" dxfId="27" priority="27" operator="equal">
      <formula>1</formula>
    </cfRule>
    <cfRule type="cellIs" dxfId="26" priority="28" operator="lessThan">
      <formula>1</formula>
    </cfRule>
  </conditionalFormatting>
  <conditionalFormatting sqref="I181:I182">
    <cfRule type="cellIs" dxfId="25" priority="25" operator="equal">
      <formula>1</formula>
    </cfRule>
    <cfRule type="cellIs" dxfId="24" priority="26" operator="lessThan">
      <formula>1</formula>
    </cfRule>
  </conditionalFormatting>
  <conditionalFormatting sqref="I194:I195">
    <cfRule type="cellIs" dxfId="23" priority="23" operator="equal">
      <formula>1</formula>
    </cfRule>
    <cfRule type="cellIs" dxfId="22" priority="24" operator="lessThan">
      <formula>1</formula>
    </cfRule>
  </conditionalFormatting>
  <conditionalFormatting sqref="H131">
    <cfRule type="cellIs" dxfId="21" priority="22" operator="greaterThan">
      <formula>G131</formula>
    </cfRule>
  </conditionalFormatting>
  <conditionalFormatting sqref="H132">
    <cfRule type="cellIs" dxfId="20" priority="21" operator="greaterThan">
      <formula>G132</formula>
    </cfRule>
  </conditionalFormatting>
  <conditionalFormatting sqref="H143">
    <cfRule type="cellIs" dxfId="9" priority="10" operator="greaterThan">
      <formula>G143</formula>
    </cfRule>
  </conditionalFormatting>
  <conditionalFormatting sqref="H144">
    <cfRule type="cellIs" dxfId="8" priority="9" operator="greaterThan">
      <formula>G144</formula>
    </cfRule>
  </conditionalFormatting>
  <conditionalFormatting sqref="H155">
    <cfRule type="cellIs" dxfId="7" priority="8" operator="greaterThan">
      <formula>G155</formula>
    </cfRule>
  </conditionalFormatting>
  <conditionalFormatting sqref="H156">
    <cfRule type="cellIs" dxfId="6" priority="7" operator="greaterThan">
      <formula>G156</formula>
    </cfRule>
  </conditionalFormatting>
  <conditionalFormatting sqref="H168">
    <cfRule type="cellIs" dxfId="5" priority="6" operator="greaterThan">
      <formula>G168</formula>
    </cfRule>
  </conditionalFormatting>
  <conditionalFormatting sqref="H169">
    <cfRule type="cellIs" dxfId="4" priority="5" operator="greaterThan">
      <formula>G169</formula>
    </cfRule>
  </conditionalFormatting>
  <conditionalFormatting sqref="H181">
    <cfRule type="cellIs" dxfId="3" priority="4" operator="greaterThan">
      <formula>G181</formula>
    </cfRule>
  </conditionalFormatting>
  <conditionalFormatting sqref="H182">
    <cfRule type="cellIs" dxfId="2" priority="3" operator="greaterThan">
      <formula>G182</formula>
    </cfRule>
  </conditionalFormatting>
  <conditionalFormatting sqref="H194">
    <cfRule type="cellIs" dxfId="1" priority="2" operator="greaterThan">
      <formula>G194</formula>
    </cfRule>
  </conditionalFormatting>
  <conditionalFormatting sqref="H195">
    <cfRule type="cellIs" dxfId="0" priority="1" operator="greaterThan">
      <formula>G195</formula>
    </cfRule>
  </conditionalFormatting>
  <pageMargins left="0.7" right="0.7" top="0.75" bottom="0.75" header="0.3" footer="0.3"/>
  <pageSetup orientation="portrait"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8"/>
  <sheetViews>
    <sheetView zoomScale="85" zoomScaleNormal="85" workbookViewId="0">
      <selection activeCell="H59" sqref="A1:H59"/>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s>
  <sheetData>
    <row r="1" spans="1:8" x14ac:dyDescent="0.25">
      <c r="A1" s="1" t="s">
        <v>42</v>
      </c>
      <c r="B1" s="43">
        <v>43922</v>
      </c>
      <c r="D1" s="43">
        <f ca="1">TODAY()</f>
        <v>43950</v>
      </c>
      <c r="F1" s="6"/>
    </row>
    <row r="2" spans="1:8" x14ac:dyDescent="0.25">
      <c r="A2" s="1" t="s">
        <v>30</v>
      </c>
      <c r="B2" s="7">
        <f ca="1">SUM(INT((WEEKDAY(B1-{2,3,4,5,6}) +D1-B1)/7))</f>
        <v>21</v>
      </c>
    </row>
    <row r="3" spans="1:8" x14ac:dyDescent="0.25">
      <c r="A3" s="1" t="s">
        <v>247</v>
      </c>
      <c r="B3" s="7">
        <v>1</v>
      </c>
      <c r="C3" t="s">
        <v>942</v>
      </c>
    </row>
    <row r="4" spans="1:8" x14ac:dyDescent="0.25">
      <c r="A4" s="1" t="s">
        <v>131</v>
      </c>
      <c r="B4">
        <f ca="1">IF(TODAY()&lt;D1,SUM(INT((WEEKDAY(B1-{2,3,4,5,6})+TODAY()-B1)/7)),SUM(INT((WEEKDAY(B1-{2,3,4,5,6})+D1-B1)/7)))</f>
        <v>21</v>
      </c>
    </row>
    <row r="5" spans="1:8" x14ac:dyDescent="0.25">
      <c r="A5" s="1"/>
    </row>
    <row r="6" spans="1:8" x14ac:dyDescent="0.25">
      <c r="B6" s="1" t="s">
        <v>34</v>
      </c>
    </row>
    <row r="7" spans="1:8" ht="30" x14ac:dyDescent="0.25">
      <c r="C7" s="71" t="s">
        <v>25</v>
      </c>
      <c r="D7" s="71" t="s">
        <v>26</v>
      </c>
      <c r="E7" s="71" t="s">
        <v>27</v>
      </c>
      <c r="F7" s="71" t="s">
        <v>28</v>
      </c>
      <c r="G7" s="9" t="s">
        <v>120</v>
      </c>
      <c r="H7" s="9" t="s">
        <v>29</v>
      </c>
    </row>
    <row r="8" spans="1:8" x14ac:dyDescent="0.25">
      <c r="C8" s="73">
        <v>1</v>
      </c>
      <c r="D8" s="73" t="s">
        <v>3</v>
      </c>
      <c r="E8" s="73">
        <f>SUM(Merged!D14)</f>
        <v>45420.75</v>
      </c>
      <c r="F8" s="73">
        <f>SUM(Merged!E14)</f>
        <v>45420.75</v>
      </c>
      <c r="G8" s="73">
        <f>E8/Table!$D$4</f>
        <v>100.935</v>
      </c>
      <c r="H8" s="49">
        <f>IFERROR(F8/E8,"N/A")</f>
        <v>1</v>
      </c>
    </row>
    <row r="9" spans="1:8" x14ac:dyDescent="0.25">
      <c r="C9" s="73">
        <v>2</v>
      </c>
      <c r="D9" s="73" t="s">
        <v>2</v>
      </c>
      <c r="E9" s="97">
        <f>SUM(Merged!D29)</f>
        <v>1278.55</v>
      </c>
      <c r="F9" s="144">
        <f>SUM(Merged!E29)</f>
        <v>1278.55</v>
      </c>
      <c r="G9" s="73">
        <f>E9/Table!$C$4</f>
        <v>9.8349999999999991</v>
      </c>
      <c r="H9" s="49">
        <f>IFERROR(F9/E9,"N/A")</f>
        <v>1</v>
      </c>
    </row>
    <row r="10" spans="1:8" x14ac:dyDescent="0.25">
      <c r="C10" s="40"/>
      <c r="D10" s="32"/>
      <c r="E10" s="32"/>
      <c r="F10" s="32"/>
      <c r="G10" s="41"/>
    </row>
    <row r="11" spans="1:8" x14ac:dyDescent="0.25">
      <c r="B11" s="1" t="s">
        <v>35</v>
      </c>
    </row>
    <row r="12" spans="1:8" ht="30" x14ac:dyDescent="0.25">
      <c r="C12" s="71" t="s">
        <v>25</v>
      </c>
      <c r="D12" s="71" t="s">
        <v>31</v>
      </c>
      <c r="E12" s="9" t="s">
        <v>32</v>
      </c>
      <c r="F12" s="9" t="s">
        <v>33</v>
      </c>
      <c r="G12" s="9" t="s">
        <v>172</v>
      </c>
      <c r="H12" s="9" t="s">
        <v>173</v>
      </c>
    </row>
    <row r="13" spans="1:8" x14ac:dyDescent="0.25">
      <c r="C13" s="73">
        <v>1</v>
      </c>
      <c r="D13" s="30" t="s">
        <v>139</v>
      </c>
      <c r="E13" s="73">
        <f>VLOOKUP(SUBSTITUTE(SUBSTITUTE(SUBSTITUTE(SUBSTITUTE(SUBSTITUTE(SUBSTITUTE(SUBSTITUTE(SUBSTITUTE(SUBSTITUTE(SUBSTITUTE(D13,"Nguyen Trung Hieu","hieu.nguyen-trung"),"Nguyen Tai Hau","hau.nguyen-tai"),"Nguyen Duy Bang","bang.nguyen-duy"),"Luu Cong Dac","dac.luu-cong"),"Nguyen Tuan Duong","duong.nguyen"),"Do Phu Loc","loc.do-phu"),"Nguyen Kim Thanh","thanh.nguyen-kim"),"Ly Chung","chung.ly"),"Do Anh Huy","huy.do-anh"),"Nguyen Thanh Phuong","phuong.nguyen-thanh"),Merged!$C$4:$H$13,3,0)</f>
        <v>6669.5</v>
      </c>
      <c r="F13" s="97">
        <f>VLOOKUP(SUBSTITUTE(SUBSTITUTE(SUBSTITUTE(SUBSTITUTE(SUBSTITUTE(SUBSTITUTE(SUBSTITUTE(SUBSTITUTE(SUBSTITUTE(SUBSTITUTE(D13,"Nguyen Trung Hieu","hieu.nguyen-trung"),"Nguyen Tai Hau","hau.nguyen-tai"),"Nguyen Duy Bang","bang.nguyen-duy"),"Luu Cong Dac","dac.luu-cong"),"Nguyen Tuan Duong","duong.nguyen"),"Do Phu Loc","loc.do-phu"),"Nguyen Kim Thanh","thanh.nguyen-kim"),"Ly Chung","chung.ly"),"Do Anh Huy","huy.do-anh"),"Nguyen Thanh Phuong","phuong.nguyen-thanh"),Merged!$C$19:$H$28,3,0)</f>
        <v>609.04999999999995</v>
      </c>
      <c r="G13" s="73">
        <f>E13/Table!$D$4</f>
        <v>14.821111111111112</v>
      </c>
      <c r="H13" s="73">
        <f>F13/Table!$C$4</f>
        <v>4.6849999999999996</v>
      </c>
    </row>
    <row r="14" spans="1:8" x14ac:dyDescent="0.25">
      <c r="C14" s="73">
        <v>2</v>
      </c>
      <c r="D14" s="30" t="s">
        <v>140</v>
      </c>
      <c r="E14" s="144">
        <f>VLOOKUP(SUBSTITUTE(SUBSTITUTE(SUBSTITUTE(SUBSTITUTE(SUBSTITUTE(SUBSTITUTE(SUBSTITUTE(SUBSTITUTE(SUBSTITUTE(SUBSTITUTE(D14,"Nguyen Trung Hieu","hieu.nguyen-trung"),"Nguyen Tai Hau","hau.nguyen-tai"),"Nguyen Duy Bang","bang.nguyen-duy"),"Luu Cong Dac","dac.luu-cong"),"Nguyen Tuan Duong","duong.nguyen"),"Do Phu Loc","loc.do-phu"),"Nguyen Kim Thanh","thanh.nguyen-kim"),"Ly Chung","chung.ly"),"Do Anh Huy","huy.do-anh"),"Nguyen Thanh Phuong","phuong.nguyen-thanh"),Merged!$C$4:$H$13,3,0)</f>
        <v>7847.25</v>
      </c>
      <c r="F14" s="144">
        <f>VLOOKUP(SUBSTITUTE(SUBSTITUTE(SUBSTITUTE(SUBSTITUTE(SUBSTITUTE(SUBSTITUTE(SUBSTITUTE(SUBSTITUTE(SUBSTITUTE(SUBSTITUTE(D14,"Nguyen Trung Hieu","hieu.nguyen-trung"),"Nguyen Tai Hau","hau.nguyen-tai"),"Nguyen Duy Bang","bang.nguyen-duy"),"Luu Cong Dac","dac.luu-cong"),"Nguyen Tuan Duong","duong.nguyen"),"Do Phu Loc","loc.do-phu"),"Nguyen Kim Thanh","thanh.nguyen-kim"),"Ly Chung","chung.ly"),"Do Anh Huy","huy.do-anh"),"Nguyen Thanh Phuong","phuong.nguyen-thanh"),Merged!$C$19:$H$28,3,0)</f>
        <v>237.25</v>
      </c>
      <c r="G14" s="144">
        <f>E14/Table!$D$4</f>
        <v>17.438333333333333</v>
      </c>
      <c r="H14" s="144">
        <f>F14/Table!$C$4</f>
        <v>1.825</v>
      </c>
    </row>
    <row r="15" spans="1:8" x14ac:dyDescent="0.25">
      <c r="C15" s="73">
        <v>3</v>
      </c>
      <c r="D15" s="30" t="s">
        <v>141</v>
      </c>
      <c r="E15" s="144">
        <f>VLOOKUP(SUBSTITUTE(SUBSTITUTE(SUBSTITUTE(SUBSTITUTE(SUBSTITUTE(SUBSTITUTE(SUBSTITUTE(SUBSTITUTE(SUBSTITUTE(SUBSTITUTE(D15,"Nguyen Trung Hieu","hieu.nguyen-trung"),"Nguyen Tai Hau","hau.nguyen-tai"),"Nguyen Duy Bang","bang.nguyen-duy"),"Luu Cong Dac","dac.luu-cong"),"Nguyen Tuan Duong","duong.nguyen"),"Do Phu Loc","loc.do-phu"),"Nguyen Kim Thanh","thanh.nguyen-kim"),"Ly Chung","chung.ly"),"Do Anh Huy","huy.do-anh"),"Nguyen Thanh Phuong","phuong.nguyen-thanh"),Merged!$C$4:$H$13,3,0)</f>
        <v>8623.5</v>
      </c>
      <c r="F15" s="144">
        <f>VLOOKUP(SUBSTITUTE(SUBSTITUTE(SUBSTITUTE(SUBSTITUTE(SUBSTITUTE(SUBSTITUTE(SUBSTITUTE(SUBSTITUTE(SUBSTITUTE(SUBSTITUTE(D15,"Nguyen Trung Hieu","hieu.nguyen-trung"),"Nguyen Tai Hau","hau.nguyen-tai"),"Nguyen Duy Bang","bang.nguyen-duy"),"Luu Cong Dac","dac.luu-cong"),"Nguyen Tuan Duong","duong.nguyen"),"Do Phu Loc","loc.do-phu"),"Nguyen Kim Thanh","thanh.nguyen-kim"),"Ly Chung","chung.ly"),"Do Anh Huy","huy.do-anh"),"Nguyen Thanh Phuong","phuong.nguyen-thanh"),Merged!$C$19:$H$28,3,0)</f>
        <v>208</v>
      </c>
      <c r="G15" s="144">
        <f>E15/Table!$D$4</f>
        <v>19.163333333333334</v>
      </c>
      <c r="H15" s="144">
        <f>F15/Table!$C$4</f>
        <v>1.6</v>
      </c>
    </row>
    <row r="16" spans="1:8" x14ac:dyDescent="0.25">
      <c r="C16" s="144">
        <v>4</v>
      </c>
      <c r="D16" s="30" t="s">
        <v>142</v>
      </c>
      <c r="E16" s="144">
        <f>VLOOKUP(SUBSTITUTE(SUBSTITUTE(SUBSTITUTE(SUBSTITUTE(SUBSTITUTE(SUBSTITUTE(SUBSTITUTE(SUBSTITUTE(SUBSTITUTE(SUBSTITUTE(D16,"Nguyen Trung Hieu","hieu.nguyen-trung"),"Nguyen Tai Hau","hau.nguyen-tai"),"Nguyen Duy Bang","bang.nguyen-duy"),"Luu Cong Dac","dac.luu-cong"),"Nguyen Tuan Duong","duong.nguyen"),"Do Phu Loc","loc.do-phu"),"Nguyen Kim Thanh","thanh.nguyen-kim"),"Ly Chung","chung.ly"),"Do Anh Huy","huy.do-anh"),"Nguyen Thanh Phuong","phuong.nguyen-thanh"),Merged!$C$4:$H$13,3,0)</f>
        <v>7377.5</v>
      </c>
      <c r="F16" s="144">
        <f>VLOOKUP(SUBSTITUTE(SUBSTITUTE(SUBSTITUTE(SUBSTITUTE(SUBSTITUTE(SUBSTITUTE(SUBSTITUTE(SUBSTITUTE(SUBSTITUTE(SUBSTITUTE(D16,"Nguyen Trung Hieu","hieu.nguyen-trung"),"Nguyen Tai Hau","hau.nguyen-tai"),"Nguyen Duy Bang","bang.nguyen-duy"),"Luu Cong Dac","dac.luu-cong"),"Nguyen Tuan Duong","duong.nguyen"),"Do Phu Loc","loc.do-phu"),"Nguyen Kim Thanh","thanh.nguyen-kim"),"Ly Chung","chung.ly"),"Do Anh Huy","huy.do-anh"),"Nguyen Thanh Phuong","phuong.nguyen-thanh"),Merged!$C$19:$H$28,3,0)</f>
        <v>224.25</v>
      </c>
      <c r="G16" s="144">
        <f>E16/Table!$D$4</f>
        <v>16.394444444444446</v>
      </c>
      <c r="H16" s="144">
        <f>F16/Table!$C$4</f>
        <v>1.7250000000000001</v>
      </c>
    </row>
    <row r="17" spans="2:8" x14ac:dyDescent="0.25">
      <c r="C17" s="144">
        <v>5</v>
      </c>
      <c r="D17" s="30" t="s">
        <v>946</v>
      </c>
      <c r="E17" s="144">
        <f>VLOOKUP(SUBSTITUTE(SUBSTITUTE(SUBSTITUTE(SUBSTITUTE(SUBSTITUTE(SUBSTITUTE(SUBSTITUTE(SUBSTITUTE(SUBSTITUTE(SUBSTITUTE(D17,"Nguyen Trung Hieu","hieu.nguyen-trung"),"Nguyen Tai Hau","hau.nguyen-tai"),"Nguyen Duy Bang","bang.nguyen-duy"),"Luu Cong Dac","dac.luu-cong"),"Nguyen Tuan Duong","duong.nguyen"),"Do Phu Loc","loc.do-phu"),"Nguyen Kim Thanh","thanh.nguyen-kim"),"Ly Chung","chung.ly"),"Do Anh Huy","huy.do-anh"),"Nguyen Thanh Phuong","phuong.nguyen-thanh"),Merged!$C$4:$H$13,3,0)</f>
        <v>0</v>
      </c>
      <c r="F17" s="144">
        <f>VLOOKUP(SUBSTITUTE(SUBSTITUTE(SUBSTITUTE(SUBSTITUTE(SUBSTITUTE(SUBSTITUTE(SUBSTITUTE(SUBSTITUTE(SUBSTITUTE(SUBSTITUTE(D17,"Nguyen Trung Hieu","hieu.nguyen-trung"),"Nguyen Tai Hau","hau.nguyen-tai"),"Nguyen Duy Bang","bang.nguyen-duy"),"Luu Cong Dac","dac.luu-cong"),"Nguyen Tuan Duong","duong.nguyen"),"Do Phu Loc","loc.do-phu"),"Nguyen Kim Thanh","thanh.nguyen-kim"),"Ly Chung","chung.ly"),"Do Anh Huy","huy.do-anh"),"Nguyen Thanh Phuong","phuong.nguyen-thanh"),Merged!$C$19:$H$28,3,0)</f>
        <v>0</v>
      </c>
      <c r="G17" s="144">
        <f>E17/Table!$D$4</f>
        <v>0</v>
      </c>
      <c r="H17" s="144">
        <f>F17/Table!$C$4</f>
        <v>0</v>
      </c>
    </row>
    <row r="18" spans="2:8" x14ac:dyDescent="0.25">
      <c r="C18" s="144">
        <v>6</v>
      </c>
      <c r="D18" s="30" t="s">
        <v>947</v>
      </c>
      <c r="E18" s="144">
        <f>VLOOKUP(SUBSTITUTE(SUBSTITUTE(SUBSTITUTE(SUBSTITUTE(SUBSTITUTE(SUBSTITUTE(SUBSTITUTE(SUBSTITUTE(SUBSTITUTE(SUBSTITUTE(D18,"Nguyen Trung Hieu","hieu.nguyen-trung"),"Nguyen Tai Hau","hau.nguyen-tai"),"Nguyen Duy Bang","bang.nguyen-duy"),"Luu Cong Dac","dac.luu-cong"),"Nguyen Tuan Duong","duong.nguyen"),"Do Phu Loc","loc.do-phu"),"Nguyen Kim Thanh","thanh.nguyen-kim"),"Ly Chung","chung.ly"),"Do Anh Huy","huy.do-anh"),"Nguyen Thanh Phuong","phuong.nguyen-thanh"),Merged!$C$4:$H$13,3,0)</f>
        <v>4231</v>
      </c>
      <c r="F18" s="144">
        <f>VLOOKUP(SUBSTITUTE(SUBSTITUTE(SUBSTITUTE(SUBSTITUTE(SUBSTITUTE(SUBSTITUTE(SUBSTITUTE(SUBSTITUTE(SUBSTITUTE(SUBSTITUTE(D18,"Nguyen Trung Hieu","hieu.nguyen-trung"),"Nguyen Tai Hau","hau.nguyen-tai"),"Nguyen Duy Bang","bang.nguyen-duy"),"Luu Cong Dac","dac.luu-cong"),"Nguyen Tuan Duong","duong.nguyen"),"Do Phu Loc","loc.do-phu"),"Nguyen Kim Thanh","thanh.nguyen-kim"),"Ly Chung","chung.ly"),"Do Anh Huy","huy.do-anh"),"Nguyen Thanh Phuong","phuong.nguyen-thanh"),Merged!$C$19:$H$28,3,0)</f>
        <v>0</v>
      </c>
      <c r="G18" s="144">
        <f>E18/Table!$D$4</f>
        <v>9.4022222222222229</v>
      </c>
      <c r="H18" s="144">
        <f>F18/Table!$C$4</f>
        <v>0</v>
      </c>
    </row>
    <row r="19" spans="2:8" x14ac:dyDescent="0.25">
      <c r="C19" s="144">
        <v>7</v>
      </c>
      <c r="D19" s="30" t="s">
        <v>948</v>
      </c>
      <c r="E19" s="144">
        <f>VLOOKUP(SUBSTITUTE(SUBSTITUTE(SUBSTITUTE(SUBSTITUTE(SUBSTITUTE(SUBSTITUTE(SUBSTITUTE(SUBSTITUTE(SUBSTITUTE(SUBSTITUTE(D19,"Nguyen Trung Hieu","hieu.nguyen-trung"),"Nguyen Tai Hau","hau.nguyen-tai"),"Nguyen Duy Bang","bang.nguyen-duy"),"Luu Cong Dac","dac.luu-cong"),"Nguyen Tuan Duong","duong.nguyen"),"Do Phu Loc","loc.do-phu"),"Nguyen Kim Thanh","thanh.nguyen-kim"),"Ly Chung","chung.ly"),"Do Anh Huy","huy.do-anh"),"Nguyen Thanh Phuong","phuong.nguyen-thanh"),Merged!$C$4:$H$13,3,0)</f>
        <v>0</v>
      </c>
      <c r="F19" s="144">
        <f>VLOOKUP(SUBSTITUTE(SUBSTITUTE(SUBSTITUTE(SUBSTITUTE(SUBSTITUTE(SUBSTITUTE(SUBSTITUTE(SUBSTITUTE(SUBSTITUTE(SUBSTITUTE(D19,"Nguyen Trung Hieu","hieu.nguyen-trung"),"Nguyen Tai Hau","hau.nguyen-tai"),"Nguyen Duy Bang","bang.nguyen-duy"),"Luu Cong Dac","dac.luu-cong"),"Nguyen Tuan Duong","duong.nguyen"),"Do Phu Loc","loc.do-phu"),"Nguyen Kim Thanh","thanh.nguyen-kim"),"Ly Chung","chung.ly"),"Do Anh Huy","huy.do-anh"),"Nguyen Thanh Phuong","phuong.nguyen-thanh"),Merged!$C$19:$H$28,3,0)</f>
        <v>0</v>
      </c>
      <c r="G19" s="144">
        <f>E19/Table!$D$4</f>
        <v>0</v>
      </c>
      <c r="H19" s="144">
        <f>F19/Table!$C$4</f>
        <v>0</v>
      </c>
    </row>
    <row r="20" spans="2:8" x14ac:dyDescent="0.25">
      <c r="C20" s="144">
        <v>8</v>
      </c>
      <c r="D20" s="30" t="s">
        <v>949</v>
      </c>
      <c r="E20" s="144">
        <f>VLOOKUP(SUBSTITUTE(SUBSTITUTE(SUBSTITUTE(SUBSTITUTE(SUBSTITUTE(SUBSTITUTE(SUBSTITUTE(SUBSTITUTE(SUBSTITUTE(SUBSTITUTE(D20,"Nguyen Trung Hieu","hieu.nguyen-trung"),"Nguyen Tai Hau","hau.nguyen-tai"),"Nguyen Duy Bang","bang.nguyen-duy"),"Luu Cong Dac","dac.luu-cong"),"Nguyen Tuan Duong","duong.nguyen"),"Do Phu Loc","loc.do-phu"),"Nguyen Kim Thanh","thanh.nguyen-kim"),"Ly Chung","chung.ly"),"Do Anh Huy","huy.do-anh"),"Nguyen Thanh Phuong","phuong.nguyen-thanh"),Merged!$C$4:$H$13,3,0)</f>
        <v>0</v>
      </c>
      <c r="F20" s="144">
        <f>VLOOKUP(SUBSTITUTE(SUBSTITUTE(SUBSTITUTE(SUBSTITUTE(SUBSTITUTE(SUBSTITUTE(SUBSTITUTE(SUBSTITUTE(SUBSTITUTE(SUBSTITUTE(D20,"Nguyen Trung Hieu","hieu.nguyen-trung"),"Nguyen Tai Hau","hau.nguyen-tai"),"Nguyen Duy Bang","bang.nguyen-duy"),"Luu Cong Dac","dac.luu-cong"),"Nguyen Tuan Duong","duong.nguyen"),"Do Phu Loc","loc.do-phu"),"Nguyen Kim Thanh","thanh.nguyen-kim"),"Ly Chung","chung.ly"),"Do Anh Huy","huy.do-anh"),"Nguyen Thanh Phuong","phuong.nguyen-thanh"),Merged!$C$19:$H$28,3,0)</f>
        <v>0</v>
      </c>
      <c r="G20" s="144">
        <f>E20/Table!$D$4</f>
        <v>0</v>
      </c>
      <c r="H20" s="144">
        <f>F20/Table!$C$4</f>
        <v>0</v>
      </c>
    </row>
    <row r="21" spans="2:8" x14ac:dyDescent="0.25">
      <c r="C21" s="144">
        <v>9</v>
      </c>
      <c r="D21" s="30" t="s">
        <v>756</v>
      </c>
      <c r="E21" s="144">
        <f>VLOOKUP(SUBSTITUTE(SUBSTITUTE(SUBSTITUTE(SUBSTITUTE(SUBSTITUTE(SUBSTITUTE(SUBSTITUTE(SUBSTITUTE(SUBSTITUTE(SUBSTITUTE(D21,"Nguyen Trung Hieu","hieu.nguyen-trung"),"Nguyen Tai Hau","hau.nguyen-tai"),"Nguyen Duy Bang","bang.nguyen-duy"),"Luu Cong Dac","dac.luu-cong"),"Nguyen Tuan Duong","duong.nguyen"),"Do Phu Loc","loc.do-phu"),"Nguyen Kim Thanh","thanh.nguyen-kim"),"Ly Chung","chung.ly"),"Do Anh Huy","huy.do-anh"),"Nguyen Thanh Phuong","phuong.nguyen-thanh"),Merged!$C$4:$H$13,3,0)</f>
        <v>5682.5</v>
      </c>
      <c r="F21" s="144">
        <f>VLOOKUP(SUBSTITUTE(SUBSTITUTE(SUBSTITUTE(SUBSTITUTE(SUBSTITUTE(SUBSTITUTE(SUBSTITUTE(SUBSTITUTE(SUBSTITUTE(SUBSTITUTE(D21,"Nguyen Trung Hieu","hieu.nguyen-trung"),"Nguyen Tai Hau","hau.nguyen-tai"),"Nguyen Duy Bang","bang.nguyen-duy"),"Luu Cong Dac","dac.luu-cong"),"Nguyen Tuan Duong","duong.nguyen"),"Do Phu Loc","loc.do-phu"),"Nguyen Kim Thanh","thanh.nguyen-kim"),"Ly Chung","chung.ly"),"Do Anh Huy","huy.do-anh"),"Nguyen Thanh Phuong","phuong.nguyen-thanh"),Merged!$C$19:$H$28,3,0)</f>
        <v>0</v>
      </c>
      <c r="G21" s="144">
        <f>E21/Table!$D$4</f>
        <v>12.627777777777778</v>
      </c>
      <c r="H21" s="144">
        <f>F21/Table!$C$4</f>
        <v>0</v>
      </c>
    </row>
    <row r="22" spans="2:8" x14ac:dyDescent="0.25">
      <c r="C22" s="144">
        <v>10</v>
      </c>
      <c r="D22" s="30" t="s">
        <v>755</v>
      </c>
      <c r="E22" s="144">
        <f>VLOOKUP(SUBSTITUTE(SUBSTITUTE(SUBSTITUTE(SUBSTITUTE(SUBSTITUTE(SUBSTITUTE(SUBSTITUTE(SUBSTITUTE(SUBSTITUTE(SUBSTITUTE(D22,"Nguyen Trung Hieu","hieu.nguyen-trung"),"Nguyen Tai Hau","hau.nguyen-tai"),"Nguyen Duy Bang","bang.nguyen-duy"),"Luu Cong Dac","dac.luu-cong"),"Nguyen Tuan Duong","duong.nguyen"),"Do Phu Loc","loc.do-phu"),"Nguyen Kim Thanh","thanh.nguyen-kim"),"Ly Chung","chung.ly"),"Do Anh Huy","huy.do-anh"),"Nguyen Thanh Phuong","phuong.nguyen-thanh"),Merged!$C$4:$H$13,3,0)</f>
        <v>4989.5</v>
      </c>
      <c r="F22" s="144">
        <f>VLOOKUP(SUBSTITUTE(SUBSTITUTE(SUBSTITUTE(SUBSTITUTE(SUBSTITUTE(SUBSTITUTE(SUBSTITUTE(SUBSTITUTE(SUBSTITUTE(SUBSTITUTE(D22,"Nguyen Trung Hieu","hieu.nguyen-trung"),"Nguyen Tai Hau","hau.nguyen-tai"),"Nguyen Duy Bang","bang.nguyen-duy"),"Luu Cong Dac","dac.luu-cong"),"Nguyen Tuan Duong","duong.nguyen"),"Do Phu Loc","loc.do-phu"),"Nguyen Kim Thanh","thanh.nguyen-kim"),"Ly Chung","chung.ly"),"Do Anh Huy","huy.do-anh"),"Nguyen Thanh Phuong","phuong.nguyen-thanh"),Merged!$C$19:$H$28,3,0)</f>
        <v>0</v>
      </c>
      <c r="G22" s="144">
        <f>E22/Table!$D$4</f>
        <v>11.087777777777777</v>
      </c>
      <c r="H22" s="144">
        <f>F22/Table!$C$4</f>
        <v>0</v>
      </c>
    </row>
    <row r="23" spans="2:8" x14ac:dyDescent="0.25">
      <c r="C23" s="31"/>
      <c r="D23" s="31"/>
      <c r="E23" s="32"/>
      <c r="F23" s="32"/>
    </row>
    <row r="24" spans="2:8" x14ac:dyDescent="0.25">
      <c r="B24" s="1" t="s">
        <v>36</v>
      </c>
    </row>
    <row r="25" spans="2:8" x14ac:dyDescent="0.25">
      <c r="C25" s="71" t="s">
        <v>25</v>
      </c>
      <c r="D25" s="75" t="s">
        <v>37</v>
      </c>
      <c r="E25" s="76"/>
      <c r="F25" s="77"/>
    </row>
    <row r="26" spans="2:8" x14ac:dyDescent="0.25">
      <c r="C26" s="73">
        <v>1</v>
      </c>
      <c r="D26" s="45" t="s">
        <v>65</v>
      </c>
      <c r="E26" s="46"/>
      <c r="F26" s="47"/>
    </row>
    <row r="27" spans="2:8" x14ac:dyDescent="0.25">
      <c r="C27" s="73">
        <v>2</v>
      </c>
      <c r="D27" s="45" t="s">
        <v>65</v>
      </c>
      <c r="E27" s="46"/>
      <c r="F27" s="47"/>
    </row>
    <row r="28" spans="2:8" x14ac:dyDescent="0.25">
      <c r="C28" s="73">
        <v>3</v>
      </c>
      <c r="D28" s="45" t="s">
        <v>65</v>
      </c>
      <c r="E28" s="46"/>
      <c r="F28" s="47"/>
    </row>
    <row r="29" spans="2:8" x14ac:dyDescent="0.25">
      <c r="C29" s="73">
        <v>4</v>
      </c>
      <c r="D29" s="45" t="s">
        <v>65</v>
      </c>
      <c r="E29" s="46"/>
      <c r="F29" s="47"/>
    </row>
    <row r="31" spans="2:8" x14ac:dyDescent="0.25">
      <c r="B31" s="1" t="s">
        <v>38</v>
      </c>
    </row>
    <row r="32" spans="2:8" x14ac:dyDescent="0.25">
      <c r="C32" s="71" t="s">
        <v>25</v>
      </c>
      <c r="D32" s="71" t="s">
        <v>31</v>
      </c>
      <c r="E32" s="9" t="s">
        <v>170</v>
      </c>
      <c r="F32" s="9" t="s">
        <v>171</v>
      </c>
    </row>
    <row r="33" spans="2:6" x14ac:dyDescent="0.25">
      <c r="C33" s="73">
        <v>1</v>
      </c>
      <c r="D33" s="30" t="s">
        <v>139</v>
      </c>
      <c r="E33" s="72">
        <f>COUNTIFS(Merged!$S$48:$S$391,SUBSTITUTE(SUBSTITUTE(SUBSTITUTE(SUBSTITUTE(SUBSTITUTE(SUBSTITUTE(SUBSTITUTE(SUBSTITUTE(SUBSTITUTE(SUBSTITUTE(D33,"Nguyen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Phuong","phuong.nguyen-thanh"),Merged!$AK$48:$AK$391,Table!$C$36)</f>
        <v>2</v>
      </c>
      <c r="F33" s="97">
        <f>COUNTIFS(Merged!$S$48:$S$391,SUBSTITUTE(SUBSTITUTE(SUBSTITUTE(SUBSTITUTE(SUBSTITUTE(SUBSTITUTE(SUBSTITUTE(SUBSTITUTE(SUBSTITUTE(SUBSTITUTE(D33,"Nguyen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Phuong","phuong.nguyen-thanh"),Merged!$AK$48:$AK$391,Table!$C$37)</f>
        <v>0</v>
      </c>
    </row>
    <row r="34" spans="2:6" x14ac:dyDescent="0.25">
      <c r="C34" s="73">
        <v>2</v>
      </c>
      <c r="D34" s="30" t="s">
        <v>140</v>
      </c>
      <c r="E34" s="143">
        <f>COUNTIFS(Merged!$S$48:$S$391,SUBSTITUTE(SUBSTITUTE(SUBSTITUTE(SUBSTITUTE(SUBSTITUTE(SUBSTITUTE(SUBSTITUTE(SUBSTITUTE(SUBSTITUTE(SUBSTITUTE(D34,"Nguyen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Phuong","phuong.nguyen-thanh"),Merged!$AK$48:$AK$391,Table!$C$36)</f>
        <v>4</v>
      </c>
      <c r="F34" s="144">
        <f>COUNTIFS(Merged!$S$48:$S$391,SUBSTITUTE(SUBSTITUTE(SUBSTITUTE(SUBSTITUTE(SUBSTITUTE(SUBSTITUTE(SUBSTITUTE(SUBSTITUTE(SUBSTITUTE(SUBSTITUTE(D34,"Nguyen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Phuong","phuong.nguyen-thanh"),Merged!$AK$48:$AK$391,Table!$C$37)</f>
        <v>0</v>
      </c>
    </row>
    <row r="35" spans="2:6" x14ac:dyDescent="0.25">
      <c r="C35" s="73">
        <v>3</v>
      </c>
      <c r="D35" s="30" t="s">
        <v>141</v>
      </c>
      <c r="E35" s="143">
        <f>COUNTIFS(Merged!$S$48:$S$391,SUBSTITUTE(SUBSTITUTE(SUBSTITUTE(SUBSTITUTE(SUBSTITUTE(SUBSTITUTE(SUBSTITUTE(SUBSTITUTE(SUBSTITUTE(SUBSTITUTE(D35,"Nguyen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Phuong","phuong.nguyen-thanh"),Merged!$AK$48:$AK$391,Table!$C$36)</f>
        <v>4</v>
      </c>
      <c r="F35" s="144">
        <f>COUNTIFS(Merged!$S$48:$S$391,SUBSTITUTE(SUBSTITUTE(SUBSTITUTE(SUBSTITUTE(SUBSTITUTE(SUBSTITUTE(SUBSTITUTE(SUBSTITUTE(SUBSTITUTE(SUBSTITUTE(D35,"Nguyen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Phuong","phuong.nguyen-thanh"),Merged!$AK$48:$AK$391,Table!$C$37)</f>
        <v>0</v>
      </c>
    </row>
    <row r="36" spans="2:6" x14ac:dyDescent="0.25">
      <c r="C36" s="73">
        <v>4</v>
      </c>
      <c r="D36" s="30" t="s">
        <v>142</v>
      </c>
      <c r="E36" s="143">
        <f>COUNTIFS(Merged!$S$48:$S$391,SUBSTITUTE(SUBSTITUTE(SUBSTITUTE(SUBSTITUTE(SUBSTITUTE(SUBSTITUTE(SUBSTITUTE(SUBSTITUTE(SUBSTITUTE(SUBSTITUTE(D36,"Nguyen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Phuong","phuong.nguyen-thanh"),Merged!$AK$48:$AK$391,Table!$C$36)</f>
        <v>8</v>
      </c>
      <c r="F36" s="144">
        <f>COUNTIFS(Merged!$S$48:$S$391,SUBSTITUTE(SUBSTITUTE(SUBSTITUTE(SUBSTITUTE(SUBSTITUTE(SUBSTITUTE(SUBSTITUTE(SUBSTITUTE(SUBSTITUTE(SUBSTITUTE(D36,"Nguyen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Phuong","phuong.nguyen-thanh"),Merged!$AK$48:$AK$391,Table!$C$37)</f>
        <v>2</v>
      </c>
    </row>
    <row r="37" spans="2:6" x14ac:dyDescent="0.25">
      <c r="C37" s="97">
        <v>5</v>
      </c>
      <c r="D37" s="30" t="s">
        <v>755</v>
      </c>
      <c r="E37" s="143">
        <f>COUNTIFS(Merged!$S$48:$S$391,SUBSTITUTE(SUBSTITUTE(SUBSTITUTE(SUBSTITUTE(SUBSTITUTE(SUBSTITUTE(SUBSTITUTE(SUBSTITUTE(SUBSTITUTE(SUBSTITUTE(D37,"Nguyen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Phuong","phuong.nguyen-thanh"),Merged!$AK$48:$AK$391,Table!$C$36)</f>
        <v>6</v>
      </c>
      <c r="F37" s="144">
        <f>COUNTIFS(Merged!$S$48:$S$391,SUBSTITUTE(SUBSTITUTE(SUBSTITUTE(SUBSTITUTE(SUBSTITUTE(SUBSTITUTE(SUBSTITUTE(SUBSTITUTE(SUBSTITUTE(SUBSTITUTE(D37,"Nguyen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Phuong","phuong.nguyen-thanh"),Merged!$AK$48:$AK$391,Table!$C$37)</f>
        <v>0</v>
      </c>
    </row>
    <row r="38" spans="2:6" x14ac:dyDescent="0.25">
      <c r="C38" s="97">
        <v>6</v>
      </c>
      <c r="D38" s="30" t="s">
        <v>756</v>
      </c>
      <c r="E38" s="143">
        <f>COUNTIFS(Merged!$S$48:$S$391,SUBSTITUTE(SUBSTITUTE(SUBSTITUTE(SUBSTITUTE(SUBSTITUTE(SUBSTITUTE(SUBSTITUTE(SUBSTITUTE(SUBSTITUTE(SUBSTITUTE(D38,"Nguyen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Phuong","phuong.nguyen-thanh"),Merged!$AK$48:$AK$391,Table!$C$36)</f>
        <v>2</v>
      </c>
      <c r="F38" s="144">
        <f>COUNTIFS(Merged!$S$48:$S$391,SUBSTITUTE(SUBSTITUTE(SUBSTITUTE(SUBSTITUTE(SUBSTITUTE(SUBSTITUTE(SUBSTITUTE(SUBSTITUTE(SUBSTITUTE(SUBSTITUTE(D38,"Nguyen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Phuong","phuong.nguyen-thanh"),Merged!$AK$48:$AK$391,Table!$C$37)</f>
        <v>0</v>
      </c>
    </row>
    <row r="40" spans="2:6" x14ac:dyDescent="0.25">
      <c r="B40" s="1" t="s">
        <v>39</v>
      </c>
    </row>
    <row r="41" spans="2:6" x14ac:dyDescent="0.25">
      <c r="C41" s="71" t="s">
        <v>25</v>
      </c>
      <c r="D41" s="71" t="s">
        <v>31</v>
      </c>
      <c r="E41" s="9" t="s">
        <v>40</v>
      </c>
      <c r="F41" s="9" t="s">
        <v>41</v>
      </c>
    </row>
    <row r="42" spans="2:6" x14ac:dyDescent="0.25">
      <c r="C42" s="73">
        <v>1</v>
      </c>
      <c r="D42" s="30" t="s">
        <v>139</v>
      </c>
      <c r="E42" s="72" t="s">
        <v>65</v>
      </c>
      <c r="F42" s="72" t="s">
        <v>65</v>
      </c>
    </row>
    <row r="43" spans="2:6" x14ac:dyDescent="0.25">
      <c r="C43" s="73">
        <v>2</v>
      </c>
      <c r="D43" s="30" t="s">
        <v>140</v>
      </c>
      <c r="E43" s="72" t="s">
        <v>65</v>
      </c>
      <c r="F43" s="72" t="s">
        <v>65</v>
      </c>
    </row>
    <row r="44" spans="2:6" x14ac:dyDescent="0.25">
      <c r="C44" s="73">
        <v>3</v>
      </c>
      <c r="D44" s="30" t="s">
        <v>141</v>
      </c>
      <c r="E44" s="72" t="s">
        <v>65</v>
      </c>
      <c r="F44" s="143" t="s">
        <v>65</v>
      </c>
    </row>
    <row r="45" spans="2:6" x14ac:dyDescent="0.25">
      <c r="C45" s="73">
        <v>4</v>
      </c>
      <c r="D45" s="30" t="s">
        <v>142</v>
      </c>
      <c r="E45" s="72" t="s">
        <v>65</v>
      </c>
      <c r="F45" s="72" t="s">
        <v>65</v>
      </c>
    </row>
    <row r="46" spans="2:6" x14ac:dyDescent="0.25">
      <c r="C46" s="144">
        <v>5</v>
      </c>
      <c r="D46" s="30" t="s">
        <v>755</v>
      </c>
      <c r="E46" s="143" t="s">
        <v>65</v>
      </c>
      <c r="F46" s="143" t="s">
        <v>65</v>
      </c>
    </row>
    <row r="47" spans="2:6" x14ac:dyDescent="0.25">
      <c r="C47" s="144">
        <v>6</v>
      </c>
      <c r="D47" s="30" t="s">
        <v>756</v>
      </c>
      <c r="E47" s="143" t="s">
        <v>65</v>
      </c>
      <c r="F47" s="143" t="s">
        <v>65</v>
      </c>
    </row>
    <row r="48" spans="2:6" x14ac:dyDescent="0.25">
      <c r="C48" s="32"/>
      <c r="D48" s="31"/>
      <c r="E48" s="145"/>
      <c r="F48" s="145"/>
    </row>
    <row r="49" spans="2:4" x14ac:dyDescent="0.25">
      <c r="B49" s="1" t="s">
        <v>43</v>
      </c>
    </row>
    <row r="50" spans="2:4" x14ac:dyDescent="0.25">
      <c r="C50" s="1" t="s">
        <v>45</v>
      </c>
    </row>
    <row r="51" spans="2:4" x14ac:dyDescent="0.25">
      <c r="D51" t="s">
        <v>44</v>
      </c>
    </row>
    <row r="52" spans="2:4" x14ac:dyDescent="0.25">
      <c r="D52" t="s">
        <v>117</v>
      </c>
    </row>
    <row r="53" spans="2:4" x14ac:dyDescent="0.25">
      <c r="C53" s="1" t="s">
        <v>46</v>
      </c>
    </row>
    <row r="54" spans="2:4" x14ac:dyDescent="0.25">
      <c r="D54" t="s">
        <v>47</v>
      </c>
    </row>
    <row r="55" spans="2:4" x14ac:dyDescent="0.25">
      <c r="D55" t="s">
        <v>48</v>
      </c>
    </row>
    <row r="56" spans="2:4" x14ac:dyDescent="0.25">
      <c r="C56" s="1" t="s">
        <v>943</v>
      </c>
    </row>
    <row r="57" spans="2:4" x14ac:dyDescent="0.25">
      <c r="D57" t="s">
        <v>944</v>
      </c>
    </row>
    <row r="58" spans="2:4" x14ac:dyDescent="0.25">
      <c r="D58" t="s">
        <v>945</v>
      </c>
    </row>
  </sheetData>
  <customSheetViews>
    <customSheetView guid="{250915DF-0B97-45D7-B29D-7EED4C89C1C1}" scale="85">
      <selection activeCell="H59" sqref="A1:H59"/>
      <pageMargins left="0.7" right="0.7" top="0.75" bottom="0.75" header="0.3" footer="0.3"/>
      <pageSetup orientation="portrait" horizontalDpi="300" verticalDpi="0" r:id="rId1"/>
    </customSheetView>
    <customSheetView guid="{A2C66332-A809-458E-971B-FDB6D62C74C3}" scale="85">
      <selection activeCell="K21" sqref="K21"/>
      <pageMargins left="0.7" right="0.7" top="0.75" bottom="0.75" header="0.3" footer="0.3"/>
      <pageSetup orientation="portrait" horizontalDpi="300" verticalDpi="0" r:id="rId2"/>
    </customSheetView>
    <customSheetView guid="{72A6EB0A-84D5-4B8A-AC51-54CCD061630B}" scale="85">
      <selection sqref="A1:H46"/>
      <pageMargins left="0.7" right="0.7" top="0.75" bottom="0.75" header="0.3" footer="0.3"/>
      <pageSetup orientation="portrait" horizontalDpi="300" verticalDpi="0" r:id="rId3"/>
    </customSheetView>
    <customSheetView guid="{7ECC2B8E-6A82-42F5-8AB0-4A51C54EA5EC}" scale="85">
      <selection activeCell="Q1" sqref="Q1:Q1048576"/>
      <pageMargins left="0.7" right="0.7" top="0.75" bottom="0.75" header="0.3" footer="0.3"/>
      <pageSetup orientation="portrait" horizontalDpi="300" verticalDpi="0" r:id="rId4"/>
    </customSheetView>
    <customSheetView guid="{336B6883-2145-4B58-921E-CEC7185A847E}" scale="85">
      <selection activeCell="K21" sqref="K21"/>
      <pageMargins left="0.7" right="0.7" top="0.75" bottom="0.75" header="0.3" footer="0.3"/>
      <pageSetup orientation="portrait" horizontalDpi="300" verticalDpi="0" r:id="rId5"/>
    </customSheetView>
    <customSheetView guid="{D33AC7AF-C8AB-4CE9-94C7-9237011A5FC3}" scale="85">
      <selection activeCell="K21" sqref="K21"/>
      <pageMargins left="0.7" right="0.7" top="0.75" bottom="0.75" header="0.3" footer="0.3"/>
      <pageSetup orientation="portrait" horizontalDpi="300" verticalDpi="0" r:id="rId6"/>
    </customSheetView>
    <customSheetView guid="{3B3E6719-EACB-4D2C-89C1-05FFAB6020FD}" scale="85">
      <selection activeCell="Q1" sqref="Q1:Q1048576"/>
      <pageMargins left="0.7" right="0.7" top="0.75" bottom="0.75" header="0.3" footer="0.3"/>
      <pageSetup orientation="portrait" horizontalDpi="300" verticalDpi="0" r:id="rId7"/>
    </customSheetView>
  </customSheetViews>
  <conditionalFormatting sqref="H8:H9">
    <cfRule type="cellIs" dxfId="59" priority="9" operator="equal">
      <formula>1</formula>
    </cfRule>
    <cfRule type="cellIs" dxfId="58" priority="10" operator="lessThan">
      <formula>1</formula>
    </cfRule>
  </conditionalFormatting>
  <pageMargins left="0.7" right="0.7" top="0.75" bottom="0.75" header="0.3" footer="0.3"/>
  <pageSetup orientation="portrait" horizontalDpi="300" verticalDpi="0"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38"/>
  <sheetViews>
    <sheetView topLeftCell="A4" workbookViewId="0">
      <selection activeCell="C21" sqref="C21"/>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49</v>
      </c>
    </row>
    <row r="7" spans="2:5" x14ac:dyDescent="0.25">
      <c r="B7" s="2" t="s">
        <v>0</v>
      </c>
      <c r="C7" s="2" t="s">
        <v>1</v>
      </c>
      <c r="D7" s="2" t="s">
        <v>54</v>
      </c>
      <c r="E7" s="4" t="s">
        <v>51</v>
      </c>
    </row>
    <row r="8" spans="2:5" ht="60" x14ac:dyDescent="0.25">
      <c r="B8" s="13">
        <v>1</v>
      </c>
      <c r="C8" s="13" t="s">
        <v>2</v>
      </c>
      <c r="D8" s="13" t="s">
        <v>52</v>
      </c>
      <c r="E8" s="14" t="s">
        <v>9</v>
      </c>
    </row>
    <row r="9" spans="2:5" ht="75" x14ac:dyDescent="0.25">
      <c r="B9" s="13">
        <v>2</v>
      </c>
      <c r="C9" s="13" t="s">
        <v>3</v>
      </c>
      <c r="D9" s="13" t="s">
        <v>53</v>
      </c>
      <c r="E9" s="14" t="s">
        <v>10</v>
      </c>
    </row>
    <row r="11" spans="2:5" x14ac:dyDescent="0.25">
      <c r="B11" s="1" t="s">
        <v>50</v>
      </c>
    </row>
    <row r="12" spans="2:5" x14ac:dyDescent="0.25">
      <c r="B12" s="2" t="s">
        <v>0</v>
      </c>
      <c r="C12" s="2" t="s">
        <v>5</v>
      </c>
    </row>
    <row r="13" spans="2:5" x14ac:dyDescent="0.25">
      <c r="B13" s="3">
        <v>1</v>
      </c>
      <c r="C13" s="3" t="s">
        <v>6</v>
      </c>
    </row>
    <row r="14" spans="2:5" x14ac:dyDescent="0.25">
      <c r="B14" s="3">
        <v>2</v>
      </c>
      <c r="C14" s="3" t="s">
        <v>68</v>
      </c>
    </row>
    <row r="15" spans="2:5" x14ac:dyDescent="0.25">
      <c r="B15" s="3">
        <v>3</v>
      </c>
      <c r="C15" s="3" t="s">
        <v>69</v>
      </c>
    </row>
    <row r="16" spans="2:5" x14ac:dyDescent="0.25">
      <c r="B16" s="3">
        <v>4</v>
      </c>
      <c r="C16" s="3" t="s">
        <v>70</v>
      </c>
    </row>
    <row r="17" spans="2:5" x14ac:dyDescent="0.25">
      <c r="B17" s="3">
        <v>5</v>
      </c>
      <c r="C17" s="3" t="s">
        <v>71</v>
      </c>
    </row>
    <row r="18" spans="2:5" x14ac:dyDescent="0.25">
      <c r="B18" s="3">
        <v>6</v>
      </c>
      <c r="C18" s="3" t="s">
        <v>72</v>
      </c>
    </row>
    <row r="19" spans="2:5" x14ac:dyDescent="0.25">
      <c r="B19" s="3">
        <v>7</v>
      </c>
      <c r="C19" s="3" t="s">
        <v>73</v>
      </c>
    </row>
    <row r="20" spans="2:5" x14ac:dyDescent="0.25">
      <c r="B20" s="3">
        <v>8</v>
      </c>
      <c r="C20" s="3" t="s">
        <v>74</v>
      </c>
    </row>
    <row r="21" spans="2:5" x14ac:dyDescent="0.25">
      <c r="B21" s="3">
        <v>9</v>
      </c>
      <c r="C21" s="3" t="s">
        <v>429</v>
      </c>
    </row>
    <row r="22" spans="2:5" x14ac:dyDescent="0.25">
      <c r="B22" s="3">
        <v>10</v>
      </c>
      <c r="C22" s="3" t="s">
        <v>430</v>
      </c>
    </row>
    <row r="24" spans="2:5" x14ac:dyDescent="0.25">
      <c r="B24" s="10" t="s">
        <v>19</v>
      </c>
    </row>
    <row r="25" spans="2:5" x14ac:dyDescent="0.25">
      <c r="B25" s="2" t="s">
        <v>0</v>
      </c>
      <c r="C25" s="2" t="s">
        <v>17</v>
      </c>
    </row>
    <row r="26" spans="2:5" x14ac:dyDescent="0.25">
      <c r="B26" s="2">
        <v>1</v>
      </c>
      <c r="C26" s="3" t="s">
        <v>20</v>
      </c>
      <c r="E26" s="25"/>
    </row>
    <row r="27" spans="2:5" x14ac:dyDescent="0.25">
      <c r="B27" s="2">
        <v>2</v>
      </c>
      <c r="C27" s="3" t="s">
        <v>23</v>
      </c>
    </row>
    <row r="28" spans="2:5" x14ac:dyDescent="0.25">
      <c r="B28" s="2">
        <v>3</v>
      </c>
      <c r="C28" s="3" t="s">
        <v>18</v>
      </c>
    </row>
    <row r="29" spans="2:5" x14ac:dyDescent="0.25">
      <c r="B29" s="2">
        <v>4</v>
      </c>
      <c r="C29" s="3" t="s">
        <v>77</v>
      </c>
    </row>
    <row r="30" spans="2:5" x14ac:dyDescent="0.25">
      <c r="B30" s="2">
        <v>5</v>
      </c>
      <c r="C30" s="3" t="s">
        <v>21</v>
      </c>
    </row>
    <row r="31" spans="2:5" x14ac:dyDescent="0.25">
      <c r="B31" s="2">
        <v>6</v>
      </c>
      <c r="C31" s="3" t="s">
        <v>97</v>
      </c>
    </row>
    <row r="32" spans="2:5" x14ac:dyDescent="0.25">
      <c r="B32" s="2">
        <v>7</v>
      </c>
      <c r="C32" s="3" t="s">
        <v>78</v>
      </c>
    </row>
    <row r="34" spans="2:3" x14ac:dyDescent="0.25">
      <c r="B34" s="10" t="s">
        <v>572</v>
      </c>
    </row>
    <row r="35" spans="2:3" x14ac:dyDescent="0.25">
      <c r="B35" s="2" t="s">
        <v>0</v>
      </c>
      <c r="C35" s="2" t="s">
        <v>17</v>
      </c>
    </row>
    <row r="36" spans="2:3" x14ac:dyDescent="0.25">
      <c r="B36" s="2">
        <v>1</v>
      </c>
      <c r="C36" s="3" t="s">
        <v>354</v>
      </c>
    </row>
    <row r="37" spans="2:3" x14ac:dyDescent="0.25">
      <c r="B37" s="2">
        <v>2</v>
      </c>
      <c r="C37" s="3" t="s">
        <v>573</v>
      </c>
    </row>
    <row r="38" spans="2:3" x14ac:dyDescent="0.25">
      <c r="B38" s="2">
        <v>3</v>
      </c>
      <c r="C38" s="3" t="s">
        <v>574</v>
      </c>
    </row>
  </sheetData>
  <customSheetViews>
    <customSheetView guid="{250915DF-0B97-45D7-B29D-7EED4C89C1C1}" topLeftCell="A4">
      <selection activeCell="C21" sqref="C21"/>
      <pageMargins left="0.7" right="0.7" top="0.75" bottom="0.75" header="0.3" footer="0.3"/>
    </customSheetView>
    <customSheetView guid="{A2C66332-A809-458E-971B-FDB6D62C74C3}" topLeftCell="A16">
      <selection activeCell="C37" sqref="C37"/>
      <pageMargins left="0.7" right="0.7" top="0.75" bottom="0.75" header="0.3" footer="0.3"/>
    </customSheetView>
    <customSheetView guid="{72A6EB0A-84D5-4B8A-AC51-54CCD061630B}" topLeftCell="A13">
      <selection activeCell="B24" sqref="B24:C2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7E0EA425-A420-4443-B9E0-CDF0AA9E5D09}" topLeftCell="A13">
      <selection activeCell="B24" sqref="B24:C29"/>
      <pageMargins left="0.7" right="0.7" top="0.75" bottom="0.75" header="0.3" footer="0.3"/>
    </customSheetView>
    <customSheetView guid="{60D2C030-4E31-4E07-8E1C-44D2EE84B177}" topLeftCell="A19">
      <selection activeCell="B24" sqref="B24:C29"/>
      <pageMargins left="0.7" right="0.7" top="0.75" bottom="0.75" header="0.3" footer="0.3"/>
    </customSheetView>
    <customSheetView guid="{7ECC2B8E-6A82-42F5-8AB0-4A51C54EA5EC}" topLeftCell="A19">
      <selection activeCell="C39" sqref="C39"/>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 guid="{3B3E6719-EACB-4D2C-89C1-05FFAB6020FD}">
      <selection activeCell="C12" sqref="C1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6" x14ac:dyDescent="0.25">
      <c r="A1" s="1" t="s">
        <v>88</v>
      </c>
    </row>
    <row r="2" spans="1:6" x14ac:dyDescent="0.25">
      <c r="B2" s="24" t="s">
        <v>90</v>
      </c>
      <c r="C2" t="s">
        <v>91</v>
      </c>
    </row>
    <row r="3" spans="1:6" x14ac:dyDescent="0.25">
      <c r="B3" s="24" t="s">
        <v>93</v>
      </c>
      <c r="C3" t="s">
        <v>92</v>
      </c>
    </row>
    <row r="4" spans="1:6" x14ac:dyDescent="0.25">
      <c r="B4" s="24"/>
    </row>
    <row r="5" spans="1:6" x14ac:dyDescent="0.25">
      <c r="B5" s="23" t="s">
        <v>86</v>
      </c>
    </row>
    <row r="6" spans="1:6" x14ac:dyDescent="0.25">
      <c r="B6" s="24" t="s">
        <v>94</v>
      </c>
      <c r="C6" t="s">
        <v>95</v>
      </c>
    </row>
    <row r="7" spans="1:6" x14ac:dyDescent="0.25">
      <c r="B7" s="24"/>
    </row>
    <row r="8" spans="1:6" x14ac:dyDescent="0.25">
      <c r="B8" s="23" t="s">
        <v>87</v>
      </c>
      <c r="C8" t="s">
        <v>89</v>
      </c>
    </row>
    <row r="11" spans="1:6" x14ac:dyDescent="0.25">
      <c r="B11" s="26" t="s">
        <v>60</v>
      </c>
      <c r="C11" s="26" t="s">
        <v>8</v>
      </c>
      <c r="D11" s="26" t="s">
        <v>119</v>
      </c>
      <c r="E11" s="26" t="s">
        <v>120</v>
      </c>
      <c r="F11" s="26" t="s">
        <v>121</v>
      </c>
    </row>
    <row r="12" spans="1:6" x14ac:dyDescent="0.25">
      <c r="B12" s="27" t="s">
        <v>427</v>
      </c>
      <c r="C12" s="3" t="s">
        <v>122</v>
      </c>
      <c r="D12" s="3" t="s">
        <v>112</v>
      </c>
      <c r="E12" s="3">
        <v>0.65</v>
      </c>
      <c r="F12" s="3" t="s">
        <v>123</v>
      </c>
    </row>
    <row r="13" spans="1:6" x14ac:dyDescent="0.25">
      <c r="B13" s="28"/>
      <c r="C13" s="3" t="s">
        <v>124</v>
      </c>
      <c r="D13" s="15" t="s">
        <v>113</v>
      </c>
      <c r="E13" s="3">
        <v>1.6</v>
      </c>
      <c r="F13" s="3" t="s">
        <v>123</v>
      </c>
    </row>
    <row r="14" spans="1:6" x14ac:dyDescent="0.25">
      <c r="B14" s="28"/>
      <c r="C14" s="3" t="s">
        <v>125</v>
      </c>
      <c r="D14" s="15" t="s">
        <v>111</v>
      </c>
      <c r="E14" s="3">
        <v>0.75</v>
      </c>
      <c r="F14" s="3" t="s">
        <v>123</v>
      </c>
    </row>
    <row r="15" spans="1:6" x14ac:dyDescent="0.25">
      <c r="B15" s="29"/>
      <c r="C15" s="3" t="s">
        <v>126</v>
      </c>
      <c r="D15" s="15" t="s">
        <v>174</v>
      </c>
      <c r="E15" s="3">
        <v>1.2</v>
      </c>
      <c r="F15" s="3" t="s">
        <v>123</v>
      </c>
    </row>
    <row r="18" spans="1:1" x14ac:dyDescent="0.25">
      <c r="A18" s="1" t="s">
        <v>136</v>
      </c>
    </row>
    <row r="38" spans="2:2" x14ac:dyDescent="0.25">
      <c r="B38" t="s">
        <v>137</v>
      </c>
    </row>
    <row r="39" spans="2:2" x14ac:dyDescent="0.25">
      <c r="B39" t="s">
        <v>138</v>
      </c>
    </row>
  </sheetData>
  <customSheetViews>
    <customSheetView guid="{250915DF-0B97-45D7-B29D-7EED4C89C1C1}">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72A6EB0A-84D5-4B8A-AC51-54CCD061630B}">
      <selection activeCell="B6" sqref="B6:C6"/>
      <pageMargins left="0.7" right="0.7" top="0.75" bottom="0.75" header="0.3" footer="0.3"/>
    </customSheetView>
    <customSheetView guid="{4E06BDBF-2CED-473B-850B-2A6C7311FF41}">
      <selection activeCell="B6" sqref="B6:C6"/>
      <pageMargins left="0.7" right="0.7" top="0.75" bottom="0.75" header="0.3" footer="0.3"/>
    </customSheetView>
    <customSheetView guid="{7E0EA425-A420-4443-B9E0-CDF0AA9E5D09}">
      <selection activeCell="B6" sqref="B6:C6"/>
      <pageMargins left="0.7" right="0.7" top="0.75" bottom="0.75" header="0.3" footer="0.3"/>
    </customSheetView>
    <customSheetView guid="{60D2C030-4E31-4E07-8E1C-44D2EE84B177}">
      <pageMargins left="0.7" right="0.7" top="0.75" bottom="0.75" header="0.3" footer="0.3"/>
    </customSheetView>
    <customSheetView guid="{7ECC2B8E-6A82-42F5-8AB0-4A51C54EA5EC}">
      <selection activeCell="C12" sqref="C12"/>
      <pageMargins left="0.7" right="0.7" top="0.75" bottom="0.75" header="0.3" footer="0.3"/>
    </customSheetView>
    <customSheetView guid="{336B6883-2145-4B58-921E-CEC7185A847E}">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 guid="{3B3E6719-EACB-4D2C-89C1-05FFAB6020FD}">
      <selection activeCell="D14" sqref="D14"/>
      <pageMargins left="0.7" right="0.7" top="0.75" bottom="0.75" header="0.3" footer="0.3"/>
    </customSheetView>
  </customSheetView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01"/>
  <sheetViews>
    <sheetView topLeftCell="A106" workbookViewId="0">
      <selection activeCell="D4" sqref="D4"/>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8" x14ac:dyDescent="0.25">
      <c r="A1" s="1" t="s">
        <v>42</v>
      </c>
      <c r="B1" s="43">
        <v>43911</v>
      </c>
      <c r="D1" s="43">
        <v>43941</v>
      </c>
      <c r="F1" s="6"/>
    </row>
    <row r="2" spans="1:8" x14ac:dyDescent="0.25">
      <c r="A2" s="1" t="s">
        <v>30</v>
      </c>
      <c r="B2" s="7">
        <f>SUM(INT((WEEKDAY(B1-{2,3,4,5,6}) +D1-B1)/7))</f>
        <v>21</v>
      </c>
    </row>
    <row r="3" spans="1:8" x14ac:dyDescent="0.25">
      <c r="A3" s="1" t="s">
        <v>247</v>
      </c>
      <c r="B3" s="7">
        <v>1</v>
      </c>
      <c r="C3" t="s">
        <v>942</v>
      </c>
    </row>
    <row r="4" spans="1:8" x14ac:dyDescent="0.25">
      <c r="A4" s="1" t="s">
        <v>131</v>
      </c>
      <c r="B4">
        <f ca="1">IF(TODAY()&lt;D1,SUM(INT((WEEKDAY(B1-{2,3,4,5,6})+TODAY()-B1)/7)),SUM(INT((WEEKDAY(B1-{2,3,4,5,6})+D1-B1)/7)))-B3</f>
        <v>20</v>
      </c>
    </row>
    <row r="5" spans="1:8" x14ac:dyDescent="0.25">
      <c r="A5" s="1"/>
    </row>
    <row r="6" spans="1:8" x14ac:dyDescent="0.25">
      <c r="B6" s="1" t="s">
        <v>34</v>
      </c>
    </row>
    <row r="7" spans="1:8" ht="45" x14ac:dyDescent="0.25">
      <c r="C7" s="95" t="s">
        <v>25</v>
      </c>
      <c r="D7" s="95" t="s">
        <v>26</v>
      </c>
      <c r="E7" s="95" t="s">
        <v>27</v>
      </c>
      <c r="F7" s="95" t="s">
        <v>28</v>
      </c>
      <c r="G7" s="9" t="s">
        <v>120</v>
      </c>
      <c r="H7" s="9" t="s">
        <v>29</v>
      </c>
    </row>
    <row r="8" spans="1:8" x14ac:dyDescent="0.25">
      <c r="C8" s="97">
        <v>1</v>
      </c>
      <c r="D8" s="97" t="s">
        <v>3</v>
      </c>
      <c r="E8" s="97">
        <v>42469.75</v>
      </c>
      <c r="F8" s="97">
        <v>20669.75</v>
      </c>
      <c r="G8" s="97">
        <v>94.377222222222215</v>
      </c>
      <c r="H8" s="49">
        <v>0.48669347005810015</v>
      </c>
    </row>
    <row r="9" spans="1:8" x14ac:dyDescent="0.25">
      <c r="C9" s="97">
        <v>2</v>
      </c>
      <c r="D9" s="97" t="s">
        <v>2</v>
      </c>
      <c r="E9" s="97">
        <v>7701.3080000000009</v>
      </c>
      <c r="F9" s="97">
        <v>7701.3080000000009</v>
      </c>
      <c r="G9" s="97">
        <v>59.240830769230776</v>
      </c>
      <c r="H9" s="49">
        <v>1</v>
      </c>
    </row>
    <row r="10" spans="1:8" x14ac:dyDescent="0.25">
      <c r="C10" s="40"/>
      <c r="D10" s="32"/>
      <c r="E10" s="32"/>
      <c r="F10" s="32"/>
      <c r="G10" s="41"/>
    </row>
    <row r="11" spans="1:8" x14ac:dyDescent="0.25">
      <c r="B11" s="1" t="s">
        <v>35</v>
      </c>
    </row>
    <row r="12" spans="1:8" ht="45" x14ac:dyDescent="0.25">
      <c r="C12" s="95" t="s">
        <v>25</v>
      </c>
      <c r="D12" s="95" t="s">
        <v>31</v>
      </c>
      <c r="E12" s="9" t="s">
        <v>32</v>
      </c>
      <c r="F12" s="9" t="s">
        <v>33</v>
      </c>
      <c r="G12" s="9" t="s">
        <v>172</v>
      </c>
      <c r="H12" s="9" t="s">
        <v>173</v>
      </c>
    </row>
    <row r="13" spans="1:8" x14ac:dyDescent="0.25">
      <c r="C13" s="97">
        <v>1</v>
      </c>
      <c r="D13" s="30" t="s">
        <v>139</v>
      </c>
      <c r="E13" s="97">
        <v>4226.5</v>
      </c>
      <c r="F13" s="97">
        <v>2099.4260000000004</v>
      </c>
      <c r="G13" s="97">
        <v>9.3922222222222214</v>
      </c>
      <c r="H13" s="48">
        <v>16.149430769230772</v>
      </c>
    </row>
    <row r="14" spans="1:8" x14ac:dyDescent="0.25">
      <c r="C14" s="97">
        <v>2</v>
      </c>
      <c r="D14" s="30" t="s">
        <v>140</v>
      </c>
      <c r="E14" s="97">
        <v>5341.25</v>
      </c>
      <c r="F14" s="97">
        <v>2207.7340000000004</v>
      </c>
      <c r="G14" s="97">
        <v>11.869444444444444</v>
      </c>
      <c r="H14" s="48">
        <v>16.982569230769233</v>
      </c>
    </row>
    <row r="15" spans="1:8" x14ac:dyDescent="0.25">
      <c r="C15" s="97">
        <v>3</v>
      </c>
      <c r="D15" s="30" t="s">
        <v>141</v>
      </c>
      <c r="E15" s="97">
        <v>4791.5</v>
      </c>
      <c r="F15" s="97">
        <v>1347.6160000000002</v>
      </c>
      <c r="G15" s="97">
        <v>10.647777777777778</v>
      </c>
      <c r="H15" s="48">
        <v>10.366276923076924</v>
      </c>
    </row>
    <row r="16" spans="1:8" x14ac:dyDescent="0.25">
      <c r="C16" s="97">
        <v>4</v>
      </c>
      <c r="D16" s="30" t="s">
        <v>142</v>
      </c>
      <c r="E16" s="97">
        <v>3908.5</v>
      </c>
      <c r="F16" s="97">
        <v>2046.5320000000002</v>
      </c>
      <c r="G16" s="97">
        <v>8.6855555555555561</v>
      </c>
      <c r="H16" s="48">
        <v>15.742553846153847</v>
      </c>
    </row>
    <row r="17" spans="2:8" x14ac:dyDescent="0.25">
      <c r="C17" s="97">
        <v>5</v>
      </c>
      <c r="D17" s="30" t="s">
        <v>755</v>
      </c>
      <c r="E17" s="97">
        <v>1033.5</v>
      </c>
      <c r="F17" s="97">
        <v>0</v>
      </c>
      <c r="G17" s="48">
        <v>2.2966666666666669</v>
      </c>
      <c r="H17" s="48">
        <v>0</v>
      </c>
    </row>
    <row r="18" spans="2:8" x14ac:dyDescent="0.25">
      <c r="B18" s="42"/>
      <c r="C18" s="48">
        <v>6</v>
      </c>
      <c r="D18" s="99" t="s">
        <v>756</v>
      </c>
      <c r="E18" s="48">
        <v>1368.5</v>
      </c>
      <c r="F18" s="48">
        <v>0</v>
      </c>
      <c r="G18" s="48">
        <v>3.0411111111111113</v>
      </c>
      <c r="H18" s="48">
        <v>0</v>
      </c>
    </row>
    <row r="19" spans="2:8" x14ac:dyDescent="0.25">
      <c r="C19" s="102"/>
      <c r="D19" s="102"/>
      <c r="E19" s="103"/>
      <c r="F19" s="103"/>
      <c r="G19" s="104"/>
    </row>
    <row r="20" spans="2:8" x14ac:dyDescent="0.25">
      <c r="B20" s="1" t="s">
        <v>36</v>
      </c>
      <c r="C20" s="105"/>
      <c r="D20" s="106"/>
      <c r="E20" s="105"/>
      <c r="F20" s="105"/>
      <c r="G20" s="105"/>
    </row>
    <row r="21" spans="2:8" x14ac:dyDescent="0.25">
      <c r="C21" s="95" t="s">
        <v>25</v>
      </c>
      <c r="D21" s="75" t="s">
        <v>37</v>
      </c>
      <c r="E21" s="76"/>
      <c r="F21" s="77"/>
      <c r="G21" s="105"/>
    </row>
    <row r="22" spans="2:8" x14ac:dyDescent="0.25">
      <c r="C22" s="97">
        <v>1</v>
      </c>
      <c r="D22" s="45" t="s">
        <v>757</v>
      </c>
      <c r="E22" s="46"/>
      <c r="F22" s="47"/>
      <c r="G22" s="105"/>
    </row>
    <row r="23" spans="2:8" x14ac:dyDescent="0.25">
      <c r="C23" s="97">
        <v>2</v>
      </c>
      <c r="D23" s="45" t="s">
        <v>758</v>
      </c>
      <c r="E23" s="46"/>
      <c r="F23" s="47"/>
      <c r="G23" s="105"/>
    </row>
    <row r="24" spans="2:8" x14ac:dyDescent="0.25">
      <c r="C24" s="48">
        <v>3</v>
      </c>
      <c r="D24" s="45" t="s">
        <v>65</v>
      </c>
      <c r="E24" s="46"/>
      <c r="F24" s="47"/>
    </row>
    <row r="25" spans="2:8" x14ac:dyDescent="0.25">
      <c r="B25" s="42"/>
      <c r="C25" s="48">
        <v>4</v>
      </c>
      <c r="D25" s="45" t="s">
        <v>65</v>
      </c>
      <c r="E25" s="46"/>
      <c r="F25" s="47"/>
    </row>
    <row r="26" spans="2:8" x14ac:dyDescent="0.25">
      <c r="C26" s="104"/>
      <c r="D26" s="104"/>
      <c r="E26" s="104"/>
      <c r="F26" s="104"/>
      <c r="G26" s="104"/>
    </row>
    <row r="27" spans="2:8" x14ac:dyDescent="0.25">
      <c r="B27" s="1" t="s">
        <v>38</v>
      </c>
      <c r="C27" s="105"/>
      <c r="D27" s="106"/>
      <c r="E27" s="105"/>
      <c r="F27" s="105"/>
      <c r="G27" s="105"/>
    </row>
    <row r="28" spans="2:8" x14ac:dyDescent="0.25">
      <c r="C28" s="95" t="s">
        <v>25</v>
      </c>
      <c r="D28" s="107" t="s">
        <v>31</v>
      </c>
      <c r="E28" s="9" t="s">
        <v>170</v>
      </c>
      <c r="F28" s="9" t="s">
        <v>171</v>
      </c>
      <c r="G28" s="105"/>
    </row>
    <row r="29" spans="2:8" x14ac:dyDescent="0.25">
      <c r="C29" s="97">
        <v>1</v>
      </c>
      <c r="D29" s="74" t="s">
        <v>139</v>
      </c>
      <c r="E29" s="97">
        <v>2</v>
      </c>
      <c r="F29" s="97">
        <v>1</v>
      </c>
      <c r="G29" s="105"/>
    </row>
    <row r="30" spans="2:8" x14ac:dyDescent="0.25">
      <c r="C30" s="97">
        <v>2</v>
      </c>
      <c r="D30" s="74" t="s">
        <v>140</v>
      </c>
      <c r="E30" s="97">
        <v>4</v>
      </c>
      <c r="F30" s="97">
        <v>1</v>
      </c>
      <c r="G30" s="105"/>
    </row>
    <row r="31" spans="2:8" x14ac:dyDescent="0.25">
      <c r="C31" s="48">
        <v>3</v>
      </c>
      <c r="D31" s="99" t="s">
        <v>141</v>
      </c>
      <c r="E31" s="48">
        <v>2</v>
      </c>
      <c r="F31" s="48">
        <v>1</v>
      </c>
    </row>
    <row r="32" spans="2:8" x14ac:dyDescent="0.25">
      <c r="B32" s="42"/>
      <c r="C32" s="48">
        <v>4</v>
      </c>
      <c r="D32" s="99" t="s">
        <v>142</v>
      </c>
      <c r="E32" s="48">
        <v>1</v>
      </c>
      <c r="F32" s="48">
        <v>0</v>
      </c>
    </row>
    <row r="33" spans="2:6" x14ac:dyDescent="0.25">
      <c r="C33" s="108">
        <v>5</v>
      </c>
      <c r="D33" s="109" t="s">
        <v>755</v>
      </c>
      <c r="E33" s="108">
        <v>1</v>
      </c>
      <c r="F33" s="108">
        <v>0</v>
      </c>
    </row>
    <row r="34" spans="2:6" x14ac:dyDescent="0.25">
      <c r="C34" s="97">
        <v>6</v>
      </c>
      <c r="D34" s="30" t="s">
        <v>756</v>
      </c>
      <c r="E34" s="96">
        <v>3</v>
      </c>
      <c r="F34" s="96">
        <v>0</v>
      </c>
    </row>
    <row r="35" spans="2:6" x14ac:dyDescent="0.25">
      <c r="C35" s="105"/>
      <c r="D35" s="105"/>
      <c r="E35" s="106"/>
      <c r="F35" s="106"/>
    </row>
    <row r="36" spans="2:6" x14ac:dyDescent="0.25">
      <c r="B36" s="1" t="s">
        <v>39</v>
      </c>
      <c r="C36" s="105"/>
      <c r="D36" s="105"/>
      <c r="E36" s="106"/>
      <c r="F36" s="106"/>
    </row>
    <row r="37" spans="2:6" x14ac:dyDescent="0.25">
      <c r="C37" s="95" t="s">
        <v>25</v>
      </c>
      <c r="D37" s="95" t="s">
        <v>31</v>
      </c>
      <c r="E37" s="110" t="s">
        <v>40</v>
      </c>
      <c r="F37" s="110" t="s">
        <v>41</v>
      </c>
    </row>
    <row r="38" spans="2:6" x14ac:dyDescent="0.25">
      <c r="C38" s="97">
        <v>1</v>
      </c>
      <c r="D38" s="30" t="s">
        <v>139</v>
      </c>
      <c r="E38" s="96" t="s">
        <v>65</v>
      </c>
      <c r="F38" s="96" t="s">
        <v>65</v>
      </c>
    </row>
    <row r="39" spans="2:6" x14ac:dyDescent="0.25">
      <c r="C39" s="48">
        <v>2</v>
      </c>
      <c r="D39" s="99" t="s">
        <v>140</v>
      </c>
      <c r="E39" s="114" t="s">
        <v>65</v>
      </c>
      <c r="F39" s="114" t="s">
        <v>65</v>
      </c>
    </row>
    <row r="40" spans="2:6" x14ac:dyDescent="0.25">
      <c r="B40" s="42"/>
      <c r="C40" s="48">
        <v>3</v>
      </c>
      <c r="D40" s="99" t="s">
        <v>141</v>
      </c>
      <c r="E40" s="48">
        <v>10</v>
      </c>
      <c r="F40" s="115" t="s">
        <v>248</v>
      </c>
    </row>
    <row r="41" spans="2:6" x14ac:dyDescent="0.25">
      <c r="C41" s="111">
        <v>4</v>
      </c>
      <c r="D41" s="99" t="s">
        <v>142</v>
      </c>
      <c r="E41" s="114" t="s">
        <v>65</v>
      </c>
      <c r="F41" s="114" t="s">
        <v>65</v>
      </c>
    </row>
    <row r="42" spans="2:6" x14ac:dyDescent="0.25">
      <c r="C42" s="112"/>
      <c r="D42" s="112"/>
      <c r="E42" s="113"/>
      <c r="F42" s="112"/>
    </row>
    <row r="44" spans="2:6" x14ac:dyDescent="0.25">
      <c r="B44" s="1" t="s">
        <v>43</v>
      </c>
    </row>
    <row r="45" spans="2:6" x14ac:dyDescent="0.25">
      <c r="C45" s="1" t="s">
        <v>45</v>
      </c>
    </row>
    <row r="46" spans="2:6" x14ac:dyDescent="0.25">
      <c r="D46" t="s">
        <v>44</v>
      </c>
    </row>
    <row r="47" spans="2:6" x14ac:dyDescent="0.25">
      <c r="D47" t="s">
        <v>117</v>
      </c>
    </row>
    <row r="48" spans="2:6" x14ac:dyDescent="0.25">
      <c r="C48" s="1" t="s">
        <v>46</v>
      </c>
    </row>
    <row r="49" spans="1:20" x14ac:dyDescent="0.25">
      <c r="D49" t="s">
        <v>47</v>
      </c>
    </row>
    <row r="50" spans="1:20" x14ac:dyDescent="0.25">
      <c r="D50" t="s">
        <v>48</v>
      </c>
    </row>
    <row r="52" spans="1:20" x14ac:dyDescent="0.25">
      <c r="A52" s="1" t="s">
        <v>762</v>
      </c>
      <c r="L52" s="1" t="s">
        <v>761</v>
      </c>
    </row>
    <row r="53" spans="1:20" x14ac:dyDescent="0.25">
      <c r="A53" s="1">
        <v>1</v>
      </c>
      <c r="B53" s="1" t="s">
        <v>60</v>
      </c>
      <c r="C53" s="1">
        <v>20200414</v>
      </c>
      <c r="L53" s="1">
        <v>3</v>
      </c>
      <c r="M53" s="1" t="s">
        <v>60</v>
      </c>
      <c r="N53" s="1" t="s">
        <v>128</v>
      </c>
    </row>
    <row r="54" spans="1:20" x14ac:dyDescent="0.25">
      <c r="B54" s="1" t="s">
        <v>153</v>
      </c>
      <c r="C54">
        <v>22.066249999999997</v>
      </c>
      <c r="D54" t="s">
        <v>154</v>
      </c>
      <c r="M54" s="1" t="s">
        <v>153</v>
      </c>
      <c r="N54">
        <v>12.55</v>
      </c>
      <c r="O54" t="s">
        <v>154</v>
      </c>
    </row>
    <row r="55" spans="1:20" x14ac:dyDescent="0.25">
      <c r="B55" s="1" t="s">
        <v>164</v>
      </c>
      <c r="C55">
        <v>4</v>
      </c>
      <c r="D55" t="s">
        <v>154</v>
      </c>
      <c r="E55" t="s">
        <v>581</v>
      </c>
      <c r="F55" s="6">
        <v>43935</v>
      </c>
      <c r="G55" s="6" t="s">
        <v>150</v>
      </c>
      <c r="H55" s="6">
        <v>43938</v>
      </c>
      <c r="M55" s="1" t="s">
        <v>164</v>
      </c>
      <c r="N55">
        <v>3.375</v>
      </c>
      <c r="O55" t="s">
        <v>154</v>
      </c>
      <c r="P55" t="s">
        <v>151</v>
      </c>
      <c r="Q55" s="6">
        <v>43906</v>
      </c>
      <c r="R55" s="6" t="s">
        <v>150</v>
      </c>
      <c r="S55" s="6">
        <v>43909</v>
      </c>
    </row>
    <row r="56" spans="1:20" x14ac:dyDescent="0.25">
      <c r="B56" s="1" t="s">
        <v>165</v>
      </c>
      <c r="C56">
        <v>4</v>
      </c>
      <c r="D56" t="s">
        <v>154</v>
      </c>
      <c r="E56" t="s">
        <v>245</v>
      </c>
      <c r="F56" s="6">
        <v>43935</v>
      </c>
      <c r="G56" s="6" t="s">
        <v>150</v>
      </c>
      <c r="H56" s="6">
        <v>43938</v>
      </c>
      <c r="M56" s="1" t="s">
        <v>165</v>
      </c>
      <c r="N56">
        <v>3.375</v>
      </c>
      <c r="O56" t="s">
        <v>154</v>
      </c>
      <c r="P56" t="s">
        <v>149</v>
      </c>
      <c r="Q56" s="6">
        <v>43907</v>
      </c>
      <c r="R56" s="6" t="s">
        <v>163</v>
      </c>
      <c r="S56" s="6">
        <v>43910</v>
      </c>
    </row>
    <row r="57" spans="1:20" x14ac:dyDescent="0.25">
      <c r="B57" s="1" t="s">
        <v>17</v>
      </c>
      <c r="F57" s="6"/>
      <c r="G57" s="6"/>
      <c r="H57" s="6"/>
      <c r="M57" s="1" t="s">
        <v>17</v>
      </c>
      <c r="N57" t="s">
        <v>168</v>
      </c>
    </row>
    <row r="59" spans="1:20" ht="75" x14ac:dyDescent="0.25">
      <c r="C59" s="95" t="s">
        <v>25</v>
      </c>
      <c r="D59" s="95" t="s">
        <v>26</v>
      </c>
      <c r="E59" s="9" t="s">
        <v>155</v>
      </c>
      <c r="F59" s="9" t="s">
        <v>156</v>
      </c>
      <c r="G59" s="9" t="s">
        <v>157</v>
      </c>
      <c r="H59" s="9" t="s">
        <v>158</v>
      </c>
      <c r="I59" s="9" t="s">
        <v>29</v>
      </c>
      <c r="N59" s="95" t="s">
        <v>25</v>
      </c>
      <c r="O59" s="95" t="s">
        <v>26</v>
      </c>
      <c r="P59" s="9" t="s">
        <v>155</v>
      </c>
      <c r="Q59" s="9" t="s">
        <v>156</v>
      </c>
      <c r="R59" s="9" t="s">
        <v>157</v>
      </c>
      <c r="S59" s="9" t="s">
        <v>158</v>
      </c>
      <c r="T59" s="9" t="s">
        <v>29</v>
      </c>
    </row>
    <row r="60" spans="1:20" x14ac:dyDescent="0.25">
      <c r="C60" s="67">
        <v>1</v>
      </c>
      <c r="D60" s="48" t="s">
        <v>3</v>
      </c>
      <c r="E60" s="48">
        <v>9954</v>
      </c>
      <c r="F60" s="48">
        <v>9954</v>
      </c>
      <c r="G60" s="48">
        <v>22.066249999999997</v>
      </c>
      <c r="H60" s="48">
        <v>15.805</v>
      </c>
      <c r="I60" s="49">
        <v>1</v>
      </c>
      <c r="N60" s="67">
        <v>1</v>
      </c>
      <c r="O60" s="48" t="s">
        <v>3</v>
      </c>
      <c r="P60" s="48">
        <v>720</v>
      </c>
      <c r="Q60" s="48">
        <v>720</v>
      </c>
      <c r="R60" s="48">
        <v>1.6</v>
      </c>
      <c r="S60" s="48">
        <v>1.5</v>
      </c>
      <c r="T60" s="49">
        <v>1</v>
      </c>
    </row>
    <row r="61" spans="1:20" x14ac:dyDescent="0.25">
      <c r="C61" s="67">
        <v>2</v>
      </c>
      <c r="D61" s="48" t="s">
        <v>2</v>
      </c>
      <c r="E61" s="48">
        <v>0</v>
      </c>
      <c r="F61" s="48">
        <v>0</v>
      </c>
      <c r="G61" s="48">
        <v>0</v>
      </c>
      <c r="H61" s="48">
        <v>0</v>
      </c>
      <c r="I61" s="49" t="s">
        <v>20</v>
      </c>
      <c r="N61" s="67">
        <v>2</v>
      </c>
      <c r="O61" s="48" t="s">
        <v>2</v>
      </c>
      <c r="P61" s="48">
        <v>1423.5</v>
      </c>
      <c r="Q61" s="48">
        <v>1423.5</v>
      </c>
      <c r="R61" s="48">
        <v>10.950000000000001</v>
      </c>
      <c r="S61" s="48">
        <v>13.8</v>
      </c>
      <c r="T61" s="49">
        <v>1</v>
      </c>
    </row>
    <row r="63" spans="1:20" x14ac:dyDescent="0.25">
      <c r="C63" t="s">
        <v>160</v>
      </c>
      <c r="N63" t="s">
        <v>160</v>
      </c>
    </row>
    <row r="64" spans="1:20" x14ac:dyDescent="0.25">
      <c r="D64" s="44" t="s">
        <v>167</v>
      </c>
      <c r="O64" s="44" t="s">
        <v>166</v>
      </c>
    </row>
    <row r="65" spans="1:20" x14ac:dyDescent="0.25">
      <c r="A65" s="1">
        <v>2</v>
      </c>
      <c r="B65" s="1" t="s">
        <v>60</v>
      </c>
      <c r="C65" s="1">
        <v>20200415</v>
      </c>
      <c r="L65" s="1"/>
    </row>
    <row r="66" spans="1:20" x14ac:dyDescent="0.25">
      <c r="B66" s="1" t="s">
        <v>153</v>
      </c>
      <c r="C66">
        <v>0.16375000000000001</v>
      </c>
      <c r="D66" t="s">
        <v>154</v>
      </c>
      <c r="L66" s="1">
        <v>4</v>
      </c>
      <c r="M66" s="1" t="s">
        <v>60</v>
      </c>
      <c r="N66" s="1" t="s">
        <v>152</v>
      </c>
    </row>
    <row r="67" spans="1:20" x14ac:dyDescent="0.25">
      <c r="B67" s="1" t="s">
        <v>164</v>
      </c>
      <c r="C67">
        <v>4</v>
      </c>
      <c r="D67" t="s">
        <v>154</v>
      </c>
      <c r="E67" t="s">
        <v>581</v>
      </c>
      <c r="F67" s="6">
        <v>43935</v>
      </c>
      <c r="G67" s="6" t="s">
        <v>150</v>
      </c>
      <c r="H67" s="6">
        <v>43938</v>
      </c>
      <c r="M67" s="1" t="s">
        <v>153</v>
      </c>
      <c r="N67">
        <v>25.394375</v>
      </c>
      <c r="O67" t="s">
        <v>154</v>
      </c>
    </row>
    <row r="68" spans="1:20" x14ac:dyDescent="0.25">
      <c r="B68" s="1" t="s">
        <v>165</v>
      </c>
      <c r="C68">
        <v>4</v>
      </c>
      <c r="D68" t="s">
        <v>154</v>
      </c>
      <c r="E68" t="s">
        <v>245</v>
      </c>
      <c r="F68" s="6">
        <v>43935</v>
      </c>
      <c r="G68" s="6" t="s">
        <v>150</v>
      </c>
      <c r="H68" s="6">
        <v>43938</v>
      </c>
      <c r="M68" s="1" t="s">
        <v>164</v>
      </c>
      <c r="N68">
        <v>7</v>
      </c>
      <c r="O68" t="s">
        <v>154</v>
      </c>
      <c r="P68" t="s">
        <v>231</v>
      </c>
      <c r="Q68" s="6">
        <v>43910</v>
      </c>
      <c r="R68" s="6" t="s">
        <v>150</v>
      </c>
      <c r="S68" s="6">
        <v>43920</v>
      </c>
    </row>
    <row r="69" spans="1:20" x14ac:dyDescent="0.25">
      <c r="B69" s="1" t="s">
        <v>17</v>
      </c>
      <c r="F69" s="6"/>
      <c r="G69" s="6"/>
      <c r="H69" s="6"/>
      <c r="M69" s="1" t="s">
        <v>165</v>
      </c>
      <c r="N69">
        <v>9</v>
      </c>
      <c r="O69" t="s">
        <v>154</v>
      </c>
      <c r="P69" t="s">
        <v>251</v>
      </c>
      <c r="Q69" s="6">
        <v>43910</v>
      </c>
      <c r="R69" s="6" t="s">
        <v>150</v>
      </c>
      <c r="S69" s="6">
        <v>43922</v>
      </c>
    </row>
    <row r="70" spans="1:20" x14ac:dyDescent="0.25">
      <c r="M70" s="1" t="s">
        <v>17</v>
      </c>
      <c r="N70" t="s">
        <v>168</v>
      </c>
    </row>
    <row r="71" spans="1:20" ht="75" x14ac:dyDescent="0.25">
      <c r="C71" s="95" t="s">
        <v>25</v>
      </c>
      <c r="D71" s="95" t="s">
        <v>26</v>
      </c>
      <c r="E71" s="9" t="s">
        <v>155</v>
      </c>
      <c r="F71" s="9" t="s">
        <v>156</v>
      </c>
      <c r="G71" s="9" t="s">
        <v>157</v>
      </c>
      <c r="H71" s="9" t="s">
        <v>158</v>
      </c>
      <c r="I71" s="9" t="s">
        <v>29</v>
      </c>
    </row>
    <row r="72" spans="1:20" ht="75" x14ac:dyDescent="0.25">
      <c r="C72" s="67">
        <v>1</v>
      </c>
      <c r="D72" s="48" t="s">
        <v>3</v>
      </c>
      <c r="E72" s="48">
        <v>74</v>
      </c>
      <c r="F72" s="48">
        <v>74</v>
      </c>
      <c r="G72" s="48">
        <v>0.16375000000000001</v>
      </c>
      <c r="H72" s="48">
        <v>9.375E-2</v>
      </c>
      <c r="I72" s="49">
        <v>1</v>
      </c>
      <c r="N72" s="95" t="s">
        <v>25</v>
      </c>
      <c r="O72" s="95" t="s">
        <v>26</v>
      </c>
      <c r="P72" s="9" t="s">
        <v>155</v>
      </c>
      <c r="Q72" s="9" t="s">
        <v>156</v>
      </c>
      <c r="R72" s="9" t="s">
        <v>157</v>
      </c>
      <c r="S72" s="9" t="s">
        <v>158</v>
      </c>
      <c r="T72" s="9" t="s">
        <v>29</v>
      </c>
    </row>
    <row r="73" spans="1:20" x14ac:dyDescent="0.25">
      <c r="C73" s="67">
        <v>2</v>
      </c>
      <c r="D73" s="48" t="s">
        <v>2</v>
      </c>
      <c r="E73" s="48">
        <v>0</v>
      </c>
      <c r="F73" s="48">
        <v>0</v>
      </c>
      <c r="G73" s="48">
        <v>0</v>
      </c>
      <c r="H73" s="48">
        <v>0</v>
      </c>
      <c r="I73" s="49" t="s">
        <v>20</v>
      </c>
      <c r="N73" s="67">
        <v>1</v>
      </c>
      <c r="O73" s="48" t="s">
        <v>3</v>
      </c>
      <c r="P73" s="48">
        <v>0</v>
      </c>
      <c r="Q73" s="48">
        <v>0</v>
      </c>
      <c r="R73" s="48">
        <v>0</v>
      </c>
      <c r="S73" s="48">
        <v>0</v>
      </c>
      <c r="T73" s="49" t="s">
        <v>20</v>
      </c>
    </row>
    <row r="74" spans="1:20" x14ac:dyDescent="0.25">
      <c r="N74" s="67">
        <v>2</v>
      </c>
      <c r="O74" s="48" t="s">
        <v>2</v>
      </c>
      <c r="P74" s="48">
        <v>3301.2859999999996</v>
      </c>
      <c r="Q74" s="48">
        <v>3301.2859999999996</v>
      </c>
      <c r="R74" s="48">
        <v>25.394375</v>
      </c>
      <c r="S74" s="48">
        <v>22.625</v>
      </c>
      <c r="T74" s="49">
        <v>1</v>
      </c>
    </row>
    <row r="75" spans="1:20" x14ac:dyDescent="0.25">
      <c r="C75" t="s">
        <v>160</v>
      </c>
    </row>
    <row r="76" spans="1:20" x14ac:dyDescent="0.25">
      <c r="D76" t="s">
        <v>167</v>
      </c>
      <c r="N76" t="s">
        <v>160</v>
      </c>
    </row>
    <row r="77" spans="1:20" x14ac:dyDescent="0.25">
      <c r="A77" s="1">
        <v>3</v>
      </c>
      <c r="B77" s="1" t="s">
        <v>60</v>
      </c>
      <c r="C77" s="1">
        <v>20200416</v>
      </c>
      <c r="O77" s="44" t="s">
        <v>230</v>
      </c>
    </row>
    <row r="78" spans="1:20" x14ac:dyDescent="0.25">
      <c r="B78" s="1" t="s">
        <v>153</v>
      </c>
      <c r="C78">
        <v>2.3450000000000002</v>
      </c>
      <c r="D78" t="s">
        <v>154</v>
      </c>
      <c r="O78" s="44" t="s">
        <v>228</v>
      </c>
    </row>
    <row r="79" spans="1:20" x14ac:dyDescent="0.25">
      <c r="B79" s="1" t="s">
        <v>164</v>
      </c>
      <c r="C79">
        <v>4</v>
      </c>
      <c r="D79" t="s">
        <v>154</v>
      </c>
      <c r="E79" t="s">
        <v>581</v>
      </c>
      <c r="F79" s="6">
        <v>43935</v>
      </c>
      <c r="G79" s="6" t="s">
        <v>150</v>
      </c>
      <c r="H79" s="6">
        <v>43938</v>
      </c>
      <c r="O79" s="44" t="s">
        <v>229</v>
      </c>
    </row>
    <row r="80" spans="1:20" x14ac:dyDescent="0.25">
      <c r="B80" s="1" t="s">
        <v>165</v>
      </c>
      <c r="C80">
        <v>4</v>
      </c>
      <c r="D80" t="s">
        <v>154</v>
      </c>
      <c r="E80" t="s">
        <v>245</v>
      </c>
      <c r="F80" s="6">
        <v>43935</v>
      </c>
      <c r="G80" s="6" t="s">
        <v>150</v>
      </c>
      <c r="H80" s="6">
        <v>43938</v>
      </c>
    </row>
    <row r="81" spans="2:20" x14ac:dyDescent="0.25">
      <c r="B81" s="1" t="s">
        <v>17</v>
      </c>
      <c r="F81" s="6"/>
      <c r="G81" s="6"/>
      <c r="H81" s="6"/>
      <c r="L81" s="1">
        <v>5</v>
      </c>
      <c r="M81" s="1" t="s">
        <v>60</v>
      </c>
      <c r="N81" s="1" t="s">
        <v>190</v>
      </c>
    </row>
    <row r="82" spans="2:20" x14ac:dyDescent="0.25">
      <c r="M82" s="1" t="s">
        <v>153</v>
      </c>
      <c r="N82">
        <v>11.399999999999999</v>
      </c>
      <c r="O82" t="s">
        <v>154</v>
      </c>
    </row>
    <row r="83" spans="2:20" ht="75" x14ac:dyDescent="0.25">
      <c r="C83" s="95" t="s">
        <v>25</v>
      </c>
      <c r="D83" s="95" t="s">
        <v>26</v>
      </c>
      <c r="E83" s="9" t="s">
        <v>155</v>
      </c>
      <c r="F83" s="9" t="s">
        <v>156</v>
      </c>
      <c r="G83" s="9" t="s">
        <v>157</v>
      </c>
      <c r="H83" s="9" t="s">
        <v>158</v>
      </c>
      <c r="I83" s="9" t="s">
        <v>29</v>
      </c>
      <c r="M83" s="1" t="s">
        <v>164</v>
      </c>
      <c r="N83">
        <v>2.75</v>
      </c>
      <c r="O83" t="s">
        <v>154</v>
      </c>
      <c r="P83" t="s">
        <v>231</v>
      </c>
      <c r="Q83" s="6">
        <v>43920</v>
      </c>
      <c r="R83" s="6" t="s">
        <v>150</v>
      </c>
      <c r="S83" s="6">
        <v>43924</v>
      </c>
    </row>
    <row r="84" spans="2:20" x14ac:dyDescent="0.25">
      <c r="C84" s="67">
        <v>1</v>
      </c>
      <c r="D84" s="48" t="s">
        <v>3</v>
      </c>
      <c r="E84" s="48">
        <v>1059</v>
      </c>
      <c r="F84" s="48">
        <v>1059</v>
      </c>
      <c r="G84" s="48">
        <v>2.3450000000000002</v>
      </c>
      <c r="H84" s="48">
        <v>1.7637499999999999</v>
      </c>
      <c r="I84" s="49">
        <v>1</v>
      </c>
      <c r="M84" s="1" t="s">
        <v>165</v>
      </c>
      <c r="N84">
        <v>3</v>
      </c>
      <c r="O84" t="s">
        <v>154</v>
      </c>
      <c r="P84" t="s">
        <v>245</v>
      </c>
      <c r="Q84" s="6">
        <v>43920</v>
      </c>
      <c r="R84" s="6" t="s">
        <v>163</v>
      </c>
      <c r="S84" s="6">
        <v>43924</v>
      </c>
    </row>
    <row r="85" spans="2:20" x14ac:dyDescent="0.25">
      <c r="C85" s="67">
        <v>2</v>
      </c>
      <c r="D85" s="48" t="s">
        <v>2</v>
      </c>
      <c r="E85" s="48">
        <v>0</v>
      </c>
      <c r="F85" s="48">
        <v>0</v>
      </c>
      <c r="G85" s="48">
        <v>0</v>
      </c>
      <c r="H85" s="48">
        <v>0</v>
      </c>
      <c r="I85" s="49" t="s">
        <v>20</v>
      </c>
      <c r="M85" s="1" t="s">
        <v>17</v>
      </c>
      <c r="N85" t="s">
        <v>760</v>
      </c>
      <c r="Q85" s="6"/>
      <c r="R85" s="6"/>
      <c r="S85" s="6"/>
    </row>
    <row r="87" spans="2:20" ht="75" x14ac:dyDescent="0.25">
      <c r="C87" t="s">
        <v>160</v>
      </c>
      <c r="N87" s="95" t="s">
        <v>25</v>
      </c>
      <c r="O87" s="95" t="s">
        <v>26</v>
      </c>
      <c r="P87" s="9" t="s">
        <v>155</v>
      </c>
      <c r="Q87" s="9" t="s">
        <v>156</v>
      </c>
      <c r="R87" s="9" t="s">
        <v>157</v>
      </c>
      <c r="S87" s="9" t="s">
        <v>158</v>
      </c>
      <c r="T87" s="9" t="s">
        <v>29</v>
      </c>
    </row>
    <row r="88" spans="2:20" x14ac:dyDescent="0.25">
      <c r="D88" t="s">
        <v>167</v>
      </c>
      <c r="N88" s="67">
        <v>1</v>
      </c>
      <c r="O88" s="48" t="s">
        <v>3</v>
      </c>
      <c r="P88" s="48">
        <v>5130</v>
      </c>
      <c r="Q88" s="48">
        <v>5130</v>
      </c>
      <c r="R88" s="48">
        <v>11.399999999999999</v>
      </c>
      <c r="S88" s="48">
        <v>9</v>
      </c>
      <c r="T88" s="49">
        <v>1</v>
      </c>
    </row>
    <row r="89" spans="2:20" x14ac:dyDescent="0.25">
      <c r="N89" s="67">
        <v>2</v>
      </c>
      <c r="O89" s="48" t="s">
        <v>2</v>
      </c>
      <c r="P89" s="48">
        <v>0</v>
      </c>
      <c r="Q89" s="48">
        <v>0</v>
      </c>
      <c r="R89" s="48">
        <v>0</v>
      </c>
      <c r="S89" s="48">
        <v>0</v>
      </c>
      <c r="T89" s="49" t="s">
        <v>20</v>
      </c>
    </row>
    <row r="91" spans="2:20" x14ac:dyDescent="0.25">
      <c r="N91" t="s">
        <v>160</v>
      </c>
    </row>
    <row r="92" spans="2:20" x14ac:dyDescent="0.25">
      <c r="O92" t="s">
        <v>167</v>
      </c>
    </row>
    <row r="94" spans="2:20" x14ac:dyDescent="0.25">
      <c r="L94" s="1">
        <v>6</v>
      </c>
      <c r="M94" s="1" t="s">
        <v>60</v>
      </c>
      <c r="N94" s="1" t="s">
        <v>232</v>
      </c>
    </row>
    <row r="95" spans="2:20" x14ac:dyDescent="0.25">
      <c r="M95" s="1" t="s">
        <v>153</v>
      </c>
      <c r="N95">
        <v>1.2</v>
      </c>
      <c r="O95" t="s">
        <v>154</v>
      </c>
    </row>
    <row r="96" spans="2:20" x14ac:dyDescent="0.25">
      <c r="M96" s="1" t="s">
        <v>164</v>
      </c>
      <c r="N96">
        <v>0.75</v>
      </c>
      <c r="O96" t="s">
        <v>154</v>
      </c>
      <c r="P96" t="s">
        <v>246</v>
      </c>
      <c r="Q96" s="6">
        <v>43922</v>
      </c>
      <c r="R96" s="6" t="s">
        <v>163</v>
      </c>
      <c r="S96" s="6">
        <v>43924</v>
      </c>
    </row>
    <row r="97" spans="12:20" x14ac:dyDescent="0.25">
      <c r="M97" s="1" t="s">
        <v>165</v>
      </c>
      <c r="N97">
        <v>1.5</v>
      </c>
      <c r="O97" t="s">
        <v>154</v>
      </c>
      <c r="P97" t="s">
        <v>245</v>
      </c>
      <c r="Q97" s="6">
        <v>43922</v>
      </c>
      <c r="R97" s="6" t="s">
        <v>163</v>
      </c>
      <c r="S97" s="6">
        <v>43924</v>
      </c>
    </row>
    <row r="98" spans="12:20" x14ac:dyDescent="0.25">
      <c r="M98" s="1" t="s">
        <v>17</v>
      </c>
      <c r="N98" t="s">
        <v>162</v>
      </c>
      <c r="Q98" s="6"/>
      <c r="R98" s="6"/>
      <c r="S98" s="6"/>
    </row>
    <row r="100" spans="12:20" ht="75" x14ac:dyDescent="0.25">
      <c r="N100" s="95" t="s">
        <v>25</v>
      </c>
      <c r="O100" s="95" t="s">
        <v>26</v>
      </c>
      <c r="P100" s="9" t="s">
        <v>155</v>
      </c>
      <c r="Q100" s="9" t="s">
        <v>156</v>
      </c>
      <c r="R100" s="9" t="s">
        <v>157</v>
      </c>
      <c r="S100" s="9" t="s">
        <v>158</v>
      </c>
      <c r="T100" s="9" t="s">
        <v>29</v>
      </c>
    </row>
    <row r="101" spans="12:20" x14ac:dyDescent="0.25">
      <c r="N101" s="67">
        <v>1</v>
      </c>
      <c r="O101" s="48" t="s">
        <v>3</v>
      </c>
      <c r="P101" s="48">
        <v>135</v>
      </c>
      <c r="Q101" s="48">
        <v>135</v>
      </c>
      <c r="R101" s="48">
        <v>0.3</v>
      </c>
      <c r="S101" s="48">
        <v>1</v>
      </c>
      <c r="T101" s="49">
        <v>1</v>
      </c>
    </row>
    <row r="102" spans="12:20" x14ac:dyDescent="0.25">
      <c r="N102" s="67">
        <v>2</v>
      </c>
      <c r="O102" s="48" t="s">
        <v>2</v>
      </c>
      <c r="P102" s="48">
        <v>117</v>
      </c>
      <c r="Q102" s="48">
        <v>117</v>
      </c>
      <c r="R102" s="48">
        <v>0.89999999999999991</v>
      </c>
      <c r="S102" s="48">
        <v>0.55000000000000004</v>
      </c>
      <c r="T102" s="49">
        <v>1</v>
      </c>
    </row>
    <row r="104" spans="12:20" x14ac:dyDescent="0.25">
      <c r="N104" t="s">
        <v>160</v>
      </c>
    </row>
    <row r="105" spans="12:20" x14ac:dyDescent="0.25">
      <c r="O105" s="44" t="s">
        <v>329</v>
      </c>
    </row>
    <row r="107" spans="12:20" x14ac:dyDescent="0.25">
      <c r="L107" s="1">
        <v>7</v>
      </c>
      <c r="M107" s="1" t="s">
        <v>60</v>
      </c>
      <c r="N107" s="1" t="s">
        <v>256</v>
      </c>
    </row>
    <row r="108" spans="12:20" x14ac:dyDescent="0.25">
      <c r="M108" s="1" t="s">
        <v>153</v>
      </c>
      <c r="N108">
        <v>1.125</v>
      </c>
      <c r="O108" t="s">
        <v>154</v>
      </c>
    </row>
    <row r="109" spans="12:20" x14ac:dyDescent="0.25">
      <c r="M109" s="1" t="s">
        <v>164</v>
      </c>
      <c r="N109">
        <v>1</v>
      </c>
      <c r="O109" t="s">
        <v>154</v>
      </c>
      <c r="P109" t="s">
        <v>150</v>
      </c>
      <c r="Q109" s="6">
        <v>43927</v>
      </c>
      <c r="R109" s="6" t="s">
        <v>150</v>
      </c>
      <c r="S109" s="6">
        <v>43927</v>
      </c>
    </row>
    <row r="110" spans="12:20" x14ac:dyDescent="0.25">
      <c r="M110" s="1" t="s">
        <v>165</v>
      </c>
      <c r="N110">
        <v>1</v>
      </c>
      <c r="O110" t="s">
        <v>154</v>
      </c>
      <c r="P110" t="s">
        <v>150</v>
      </c>
      <c r="Q110" s="6">
        <v>43927</v>
      </c>
      <c r="R110" s="6" t="s">
        <v>150</v>
      </c>
      <c r="S110" s="6">
        <v>43927</v>
      </c>
    </row>
    <row r="111" spans="12:20" x14ac:dyDescent="0.25">
      <c r="M111" s="1" t="s">
        <v>17</v>
      </c>
      <c r="N111" t="s">
        <v>162</v>
      </c>
      <c r="Q111" s="6"/>
      <c r="R111" s="6"/>
      <c r="S111" s="6"/>
    </row>
    <row r="113" spans="12:20" ht="75" x14ac:dyDescent="0.25">
      <c r="N113" s="95" t="s">
        <v>25</v>
      </c>
      <c r="O113" s="95" t="s">
        <v>26</v>
      </c>
      <c r="P113" s="9" t="s">
        <v>155</v>
      </c>
      <c r="Q113" s="9" t="s">
        <v>156</v>
      </c>
      <c r="R113" s="9" t="s">
        <v>157</v>
      </c>
      <c r="S113" s="9" t="s">
        <v>158</v>
      </c>
      <c r="T113" s="9" t="s">
        <v>29</v>
      </c>
    </row>
    <row r="114" spans="12:20" x14ac:dyDescent="0.25">
      <c r="N114" s="67">
        <v>1</v>
      </c>
      <c r="O114" s="48" t="s">
        <v>3</v>
      </c>
      <c r="P114" s="48">
        <v>0</v>
      </c>
      <c r="Q114" s="48">
        <v>0</v>
      </c>
      <c r="R114" s="48">
        <v>0</v>
      </c>
      <c r="S114" s="48">
        <v>0</v>
      </c>
      <c r="T114" s="49" t="s">
        <v>20</v>
      </c>
    </row>
    <row r="115" spans="12:20" x14ac:dyDescent="0.25">
      <c r="N115" s="67">
        <v>2</v>
      </c>
      <c r="O115" s="48" t="s">
        <v>2</v>
      </c>
      <c r="P115" s="48">
        <v>146.25</v>
      </c>
      <c r="Q115" s="48">
        <v>146.25</v>
      </c>
      <c r="R115" s="48">
        <v>1.125</v>
      </c>
      <c r="S115" s="48">
        <v>1.125</v>
      </c>
      <c r="T115" s="49">
        <v>1</v>
      </c>
    </row>
    <row r="117" spans="12:20" x14ac:dyDescent="0.25">
      <c r="N117" t="s">
        <v>160</v>
      </c>
    </row>
    <row r="118" spans="12:20" x14ac:dyDescent="0.25">
      <c r="O118" t="s">
        <v>329</v>
      </c>
    </row>
    <row r="120" spans="12:20" x14ac:dyDescent="0.25">
      <c r="L120" s="1">
        <v>8</v>
      </c>
      <c r="M120" s="1" t="s">
        <v>60</v>
      </c>
      <c r="N120" s="1" t="s">
        <v>271</v>
      </c>
    </row>
    <row r="121" spans="12:20" x14ac:dyDescent="0.25">
      <c r="M121" s="1" t="s">
        <v>153</v>
      </c>
      <c r="N121">
        <v>1.5</v>
      </c>
      <c r="O121" t="s">
        <v>154</v>
      </c>
    </row>
    <row r="122" spans="12:20" x14ac:dyDescent="0.25">
      <c r="M122" s="1" t="s">
        <v>164</v>
      </c>
      <c r="N122">
        <v>1</v>
      </c>
      <c r="O122" t="s">
        <v>154</v>
      </c>
      <c r="P122" t="s">
        <v>150</v>
      </c>
      <c r="Q122" s="6">
        <v>43928</v>
      </c>
      <c r="R122" s="6" t="s">
        <v>150</v>
      </c>
      <c r="S122" s="6">
        <v>43928</v>
      </c>
    </row>
    <row r="123" spans="12:20" x14ac:dyDescent="0.25">
      <c r="M123" s="1" t="s">
        <v>165</v>
      </c>
      <c r="N123">
        <v>2</v>
      </c>
      <c r="O123" t="s">
        <v>154</v>
      </c>
      <c r="P123" t="s">
        <v>150</v>
      </c>
      <c r="Q123" s="6">
        <v>43928</v>
      </c>
      <c r="R123" s="6" t="s">
        <v>163</v>
      </c>
      <c r="S123" s="6">
        <v>43929</v>
      </c>
    </row>
    <row r="124" spans="12:20" x14ac:dyDescent="0.25">
      <c r="M124" s="1" t="s">
        <v>17</v>
      </c>
      <c r="N124" t="s">
        <v>168</v>
      </c>
      <c r="Q124" s="6"/>
      <c r="R124" s="6"/>
      <c r="S124" s="6"/>
    </row>
    <row r="126" spans="12:20" ht="75" x14ac:dyDescent="0.25">
      <c r="N126" s="95" t="s">
        <v>25</v>
      </c>
      <c r="O126" s="95" t="s">
        <v>26</v>
      </c>
      <c r="P126" s="9" t="s">
        <v>155</v>
      </c>
      <c r="Q126" s="9" t="s">
        <v>156</v>
      </c>
      <c r="R126" s="9" t="s">
        <v>157</v>
      </c>
      <c r="S126" s="9" t="s">
        <v>158</v>
      </c>
      <c r="T126" s="9" t="s">
        <v>29</v>
      </c>
    </row>
    <row r="127" spans="12:20" x14ac:dyDescent="0.25">
      <c r="N127" s="67">
        <v>1</v>
      </c>
      <c r="O127" s="48" t="s">
        <v>3</v>
      </c>
      <c r="P127" s="48">
        <v>0</v>
      </c>
      <c r="Q127" s="48">
        <v>0</v>
      </c>
      <c r="R127" s="48">
        <v>0</v>
      </c>
      <c r="S127" s="48">
        <v>0</v>
      </c>
      <c r="T127" s="49" t="s">
        <v>20</v>
      </c>
    </row>
    <row r="128" spans="12:20" x14ac:dyDescent="0.25">
      <c r="N128" s="67">
        <v>2</v>
      </c>
      <c r="O128" s="48" t="s">
        <v>2</v>
      </c>
      <c r="P128" s="48">
        <v>195</v>
      </c>
      <c r="Q128" s="48">
        <v>195</v>
      </c>
      <c r="R128" s="48">
        <v>1.5</v>
      </c>
      <c r="S128" s="48">
        <v>2</v>
      </c>
      <c r="T128" s="49">
        <v>1</v>
      </c>
    </row>
    <row r="130" spans="12:20" x14ac:dyDescent="0.25">
      <c r="N130" t="s">
        <v>160</v>
      </c>
    </row>
    <row r="131" spans="12:20" x14ac:dyDescent="0.25">
      <c r="O131" s="44" t="s">
        <v>326</v>
      </c>
    </row>
    <row r="132" spans="12:20" x14ac:dyDescent="0.25">
      <c r="O132" s="44" t="s">
        <v>327</v>
      </c>
    </row>
    <row r="133" spans="12:20" x14ac:dyDescent="0.25">
      <c r="O133" s="44" t="s">
        <v>328</v>
      </c>
    </row>
    <row r="134" spans="12:20" x14ac:dyDescent="0.25">
      <c r="O134" s="44" t="s">
        <v>329</v>
      </c>
    </row>
    <row r="136" spans="12:20" x14ac:dyDescent="0.25">
      <c r="L136" s="1">
        <v>9</v>
      </c>
      <c r="M136" s="1" t="s">
        <v>60</v>
      </c>
      <c r="N136" s="1" t="s">
        <v>315</v>
      </c>
    </row>
    <row r="137" spans="12:20" x14ac:dyDescent="0.25">
      <c r="M137" s="1" t="s">
        <v>153</v>
      </c>
      <c r="N137">
        <v>4.6550000000000002</v>
      </c>
      <c r="O137" t="s">
        <v>154</v>
      </c>
    </row>
    <row r="138" spans="12:20" x14ac:dyDescent="0.25">
      <c r="M138" s="1" t="s">
        <v>164</v>
      </c>
      <c r="N138">
        <v>2.5</v>
      </c>
      <c r="O138" t="s">
        <v>154</v>
      </c>
      <c r="P138" t="s">
        <v>325</v>
      </c>
      <c r="Q138" s="6">
        <v>43928</v>
      </c>
      <c r="R138" s="6" t="s">
        <v>163</v>
      </c>
      <c r="S138" s="6">
        <v>43931</v>
      </c>
    </row>
    <row r="139" spans="12:20" x14ac:dyDescent="0.25">
      <c r="M139" s="1" t="s">
        <v>165</v>
      </c>
      <c r="N139">
        <v>3</v>
      </c>
      <c r="O139" t="s">
        <v>154</v>
      </c>
      <c r="P139" t="s">
        <v>245</v>
      </c>
      <c r="Q139" s="6">
        <v>43929</v>
      </c>
      <c r="R139" s="6" t="s">
        <v>163</v>
      </c>
      <c r="S139" s="6">
        <v>43931</v>
      </c>
    </row>
    <row r="140" spans="12:20" x14ac:dyDescent="0.25">
      <c r="M140" s="1" t="s">
        <v>17</v>
      </c>
      <c r="N140" t="s">
        <v>162</v>
      </c>
      <c r="Q140" s="6"/>
      <c r="R140" s="6"/>
      <c r="S140" s="6"/>
    </row>
    <row r="142" spans="12:20" ht="75" x14ac:dyDescent="0.25">
      <c r="N142" s="95" t="s">
        <v>25</v>
      </c>
      <c r="O142" s="95" t="s">
        <v>26</v>
      </c>
      <c r="P142" s="9" t="s">
        <v>155</v>
      </c>
      <c r="Q142" s="9" t="s">
        <v>156</v>
      </c>
      <c r="R142" s="9" t="s">
        <v>157</v>
      </c>
      <c r="S142" s="9" t="s">
        <v>158</v>
      </c>
      <c r="T142" s="9" t="s">
        <v>29</v>
      </c>
    </row>
    <row r="143" spans="12:20" x14ac:dyDescent="0.25">
      <c r="N143" s="67">
        <v>1</v>
      </c>
      <c r="O143" s="48" t="s">
        <v>3</v>
      </c>
      <c r="P143" s="48">
        <v>1707.75</v>
      </c>
      <c r="Q143" s="48">
        <v>1707.75</v>
      </c>
      <c r="R143" s="48">
        <v>3.7949999999999999</v>
      </c>
      <c r="S143" s="48">
        <v>5</v>
      </c>
      <c r="T143" s="49">
        <v>1</v>
      </c>
    </row>
    <row r="144" spans="12:20" x14ac:dyDescent="0.25">
      <c r="N144" s="67">
        <v>2</v>
      </c>
      <c r="O144" s="48" t="s">
        <v>2</v>
      </c>
      <c r="P144" s="48">
        <v>111.8</v>
      </c>
      <c r="Q144" s="48">
        <v>111.8</v>
      </c>
      <c r="R144" s="48">
        <v>0.86</v>
      </c>
      <c r="S144" s="48">
        <v>0.75</v>
      </c>
      <c r="T144" s="49">
        <v>1</v>
      </c>
    </row>
    <row r="146" spans="12:20" x14ac:dyDescent="0.25">
      <c r="N146" t="s">
        <v>160</v>
      </c>
    </row>
    <row r="147" spans="12:20" x14ac:dyDescent="0.25">
      <c r="O147" t="s">
        <v>167</v>
      </c>
    </row>
    <row r="150" spans="12:20" x14ac:dyDescent="0.25">
      <c r="L150" s="1">
        <v>10</v>
      </c>
      <c r="M150" s="1" t="s">
        <v>60</v>
      </c>
      <c r="N150" s="1" t="s">
        <v>432</v>
      </c>
    </row>
    <row r="151" spans="12:20" x14ac:dyDescent="0.25">
      <c r="M151" s="1" t="s">
        <v>153</v>
      </c>
      <c r="N151">
        <v>3.75</v>
      </c>
      <c r="O151" t="s">
        <v>154</v>
      </c>
    </row>
    <row r="152" spans="12:20" x14ac:dyDescent="0.25">
      <c r="M152" s="1" t="s">
        <v>164</v>
      </c>
      <c r="N152">
        <v>1</v>
      </c>
      <c r="O152" t="s">
        <v>154</v>
      </c>
      <c r="P152" t="s">
        <v>149</v>
      </c>
      <c r="Q152" s="6">
        <v>43930</v>
      </c>
      <c r="R152" s="6" t="s">
        <v>150</v>
      </c>
      <c r="S152" s="6">
        <v>43930</v>
      </c>
    </row>
    <row r="153" spans="12:20" x14ac:dyDescent="0.25">
      <c r="M153" s="1" t="s">
        <v>165</v>
      </c>
      <c r="N153">
        <v>1</v>
      </c>
      <c r="O153" t="s">
        <v>154</v>
      </c>
      <c r="P153" t="s">
        <v>149</v>
      </c>
      <c r="Q153" s="6">
        <v>43930</v>
      </c>
      <c r="R153" s="6" t="s">
        <v>150</v>
      </c>
      <c r="S153" s="6">
        <v>43930</v>
      </c>
    </row>
    <row r="154" spans="12:20" x14ac:dyDescent="0.25">
      <c r="M154" s="1" t="s">
        <v>17</v>
      </c>
      <c r="N154" t="s">
        <v>760</v>
      </c>
      <c r="Q154" s="6"/>
      <c r="R154" s="6"/>
      <c r="S154" s="6"/>
    </row>
    <row r="156" spans="12:20" ht="75" x14ac:dyDescent="0.25">
      <c r="N156" s="95" t="s">
        <v>25</v>
      </c>
      <c r="O156" s="95" t="s">
        <v>26</v>
      </c>
      <c r="P156" s="9" t="s">
        <v>155</v>
      </c>
      <c r="Q156" s="9" t="s">
        <v>156</v>
      </c>
      <c r="R156" s="9" t="s">
        <v>157</v>
      </c>
      <c r="S156" s="9" t="s">
        <v>158</v>
      </c>
      <c r="T156" s="9" t="s">
        <v>29</v>
      </c>
    </row>
    <row r="157" spans="12:20" x14ac:dyDescent="0.25">
      <c r="N157" s="67">
        <v>1</v>
      </c>
      <c r="O157" s="48" t="s">
        <v>3</v>
      </c>
      <c r="P157" s="48">
        <v>0</v>
      </c>
      <c r="Q157" s="48">
        <v>0</v>
      </c>
      <c r="R157" s="48">
        <v>0</v>
      </c>
      <c r="S157" s="48">
        <v>0</v>
      </c>
      <c r="T157" s="49" t="s">
        <v>20</v>
      </c>
    </row>
    <row r="158" spans="12:20" x14ac:dyDescent="0.25">
      <c r="N158" s="67">
        <v>2</v>
      </c>
      <c r="O158" s="48" t="s">
        <v>2</v>
      </c>
      <c r="P158" s="48">
        <v>487.5</v>
      </c>
      <c r="Q158" s="48">
        <v>487.5</v>
      </c>
      <c r="R158" s="48">
        <v>3.75</v>
      </c>
      <c r="S158" s="48">
        <v>1.625</v>
      </c>
      <c r="T158" s="49">
        <v>1</v>
      </c>
    </row>
    <row r="160" spans="12:20" x14ac:dyDescent="0.25">
      <c r="N160" t="s">
        <v>160</v>
      </c>
    </row>
    <row r="161" spans="12:20" x14ac:dyDescent="0.25">
      <c r="O161" t="s">
        <v>329</v>
      </c>
    </row>
    <row r="162" spans="12:20" x14ac:dyDescent="0.25">
      <c r="O162" s="85" t="s">
        <v>582</v>
      </c>
    </row>
    <row r="164" spans="12:20" x14ac:dyDescent="0.25">
      <c r="L164" s="1">
        <v>11</v>
      </c>
      <c r="M164" s="1" t="s">
        <v>60</v>
      </c>
      <c r="N164" s="1" t="s">
        <v>347</v>
      </c>
    </row>
    <row r="165" spans="12:20" x14ac:dyDescent="0.25">
      <c r="M165" s="1" t="s">
        <v>153</v>
      </c>
      <c r="N165">
        <v>0.4</v>
      </c>
      <c r="O165" t="s">
        <v>154</v>
      </c>
    </row>
    <row r="166" spans="12:20" x14ac:dyDescent="0.25">
      <c r="M166" s="1" t="s">
        <v>164</v>
      </c>
      <c r="N166">
        <v>1</v>
      </c>
      <c r="O166" t="s">
        <v>154</v>
      </c>
      <c r="P166" t="s">
        <v>149</v>
      </c>
      <c r="Q166" s="6">
        <v>43930</v>
      </c>
      <c r="R166" s="6" t="s">
        <v>150</v>
      </c>
      <c r="S166" s="6">
        <v>43930</v>
      </c>
    </row>
    <row r="167" spans="12:20" x14ac:dyDescent="0.25">
      <c r="M167" s="1" t="s">
        <v>165</v>
      </c>
      <c r="N167">
        <v>1</v>
      </c>
      <c r="O167" t="s">
        <v>154</v>
      </c>
      <c r="P167" t="s">
        <v>149</v>
      </c>
      <c r="Q167" s="6">
        <v>43930</v>
      </c>
      <c r="R167" s="6" t="s">
        <v>150</v>
      </c>
      <c r="S167" s="6">
        <v>43930</v>
      </c>
    </row>
    <row r="168" spans="12:20" x14ac:dyDescent="0.25">
      <c r="M168" s="1" t="s">
        <v>17</v>
      </c>
      <c r="N168" t="s">
        <v>162</v>
      </c>
      <c r="Q168" s="6"/>
      <c r="R168" s="6"/>
      <c r="S168" s="6"/>
    </row>
    <row r="170" spans="12:20" ht="75" x14ac:dyDescent="0.25">
      <c r="N170" s="95" t="s">
        <v>25</v>
      </c>
      <c r="O170" s="95" t="s">
        <v>26</v>
      </c>
      <c r="P170" s="9" t="s">
        <v>155</v>
      </c>
      <c r="Q170" s="9" t="s">
        <v>156</v>
      </c>
      <c r="R170" s="9" t="s">
        <v>157</v>
      </c>
      <c r="S170" s="9" t="s">
        <v>158</v>
      </c>
      <c r="T170" s="9" t="s">
        <v>29</v>
      </c>
    </row>
    <row r="171" spans="12:20" x14ac:dyDescent="0.25">
      <c r="N171" s="67">
        <v>1</v>
      </c>
      <c r="O171" s="48" t="s">
        <v>3</v>
      </c>
      <c r="P171" s="48">
        <v>0</v>
      </c>
      <c r="Q171" s="48">
        <v>0</v>
      </c>
      <c r="R171" s="48">
        <v>0</v>
      </c>
      <c r="S171" s="48">
        <v>0</v>
      </c>
      <c r="T171" s="49" t="s">
        <v>20</v>
      </c>
    </row>
    <row r="172" spans="12:20" x14ac:dyDescent="0.25">
      <c r="N172" s="67">
        <v>2</v>
      </c>
      <c r="O172" s="48" t="s">
        <v>2</v>
      </c>
      <c r="P172" s="48">
        <v>52</v>
      </c>
      <c r="Q172" s="48">
        <v>52</v>
      </c>
      <c r="R172" s="48">
        <v>0.4</v>
      </c>
      <c r="S172" s="48">
        <v>0.4</v>
      </c>
      <c r="T172" s="49">
        <v>1</v>
      </c>
    </row>
    <row r="174" spans="12:20" x14ac:dyDescent="0.25">
      <c r="N174" t="s">
        <v>160</v>
      </c>
    </row>
    <row r="175" spans="12:20" x14ac:dyDescent="0.25">
      <c r="O175" t="s">
        <v>329</v>
      </c>
    </row>
    <row r="177" spans="12:20" x14ac:dyDescent="0.25">
      <c r="L177" s="1">
        <v>12</v>
      </c>
      <c r="M177" s="1" t="s">
        <v>60</v>
      </c>
      <c r="N177" s="1" t="s">
        <v>359</v>
      </c>
    </row>
    <row r="178" spans="12:20" x14ac:dyDescent="0.25">
      <c r="M178" s="1" t="s">
        <v>153</v>
      </c>
      <c r="N178">
        <v>1.2999999999999998</v>
      </c>
      <c r="O178" t="s">
        <v>154</v>
      </c>
    </row>
    <row r="179" spans="12:20" x14ac:dyDescent="0.25">
      <c r="M179" s="1" t="s">
        <v>164</v>
      </c>
      <c r="N179">
        <v>1</v>
      </c>
      <c r="O179" t="s">
        <v>154</v>
      </c>
      <c r="P179" t="s">
        <v>149</v>
      </c>
      <c r="Q179" s="6">
        <v>43934</v>
      </c>
      <c r="R179" s="6" t="s">
        <v>150</v>
      </c>
      <c r="S179" s="6">
        <v>43934</v>
      </c>
    </row>
    <row r="180" spans="12:20" x14ac:dyDescent="0.25">
      <c r="M180" s="1" t="s">
        <v>165</v>
      </c>
      <c r="N180">
        <v>1</v>
      </c>
      <c r="O180" t="s">
        <v>154</v>
      </c>
      <c r="P180" t="s">
        <v>149</v>
      </c>
      <c r="Q180" s="6">
        <v>43934</v>
      </c>
      <c r="R180" s="6" t="s">
        <v>150</v>
      </c>
      <c r="S180" s="6">
        <v>43934</v>
      </c>
    </row>
    <row r="181" spans="12:20" x14ac:dyDescent="0.25">
      <c r="M181" s="1" t="s">
        <v>17</v>
      </c>
      <c r="N181" t="s">
        <v>760</v>
      </c>
      <c r="Q181" s="6"/>
      <c r="R181" s="6"/>
      <c r="S181" s="6"/>
    </row>
    <row r="183" spans="12:20" ht="75" x14ac:dyDescent="0.25">
      <c r="N183" s="95" t="s">
        <v>25</v>
      </c>
      <c r="O183" s="95" t="s">
        <v>26</v>
      </c>
      <c r="P183" s="9" t="s">
        <v>155</v>
      </c>
      <c r="Q183" s="9" t="s">
        <v>156</v>
      </c>
      <c r="R183" s="9" t="s">
        <v>157</v>
      </c>
      <c r="S183" s="9" t="s">
        <v>158</v>
      </c>
      <c r="T183" s="9" t="s">
        <v>29</v>
      </c>
    </row>
    <row r="184" spans="12:20" x14ac:dyDescent="0.25">
      <c r="N184" s="67">
        <v>1</v>
      </c>
      <c r="O184" s="48" t="s">
        <v>3</v>
      </c>
      <c r="P184" s="48">
        <v>0</v>
      </c>
      <c r="Q184" s="48">
        <v>0</v>
      </c>
      <c r="R184" s="48">
        <v>0</v>
      </c>
      <c r="S184" s="48">
        <v>0</v>
      </c>
      <c r="T184" s="49" t="s">
        <v>20</v>
      </c>
    </row>
    <row r="185" spans="12:20" x14ac:dyDescent="0.25">
      <c r="N185" s="67">
        <v>2</v>
      </c>
      <c r="O185" s="48" t="s">
        <v>2</v>
      </c>
      <c r="P185" s="48">
        <v>169</v>
      </c>
      <c r="Q185" s="48">
        <v>169</v>
      </c>
      <c r="R185" s="48">
        <v>1.2999999999999998</v>
      </c>
      <c r="S185" s="48">
        <v>1</v>
      </c>
      <c r="T185" s="49">
        <v>1</v>
      </c>
    </row>
    <row r="187" spans="12:20" x14ac:dyDescent="0.25">
      <c r="N187" t="s">
        <v>160</v>
      </c>
    </row>
    <row r="188" spans="12:20" x14ac:dyDescent="0.25">
      <c r="O188" t="s">
        <v>329</v>
      </c>
    </row>
    <row r="190" spans="12:20" x14ac:dyDescent="0.25">
      <c r="L190" s="1">
        <v>13</v>
      </c>
      <c r="M190" s="1" t="s">
        <v>60</v>
      </c>
      <c r="N190" s="1" t="s">
        <v>427</v>
      </c>
    </row>
    <row r="191" spans="12:20" x14ac:dyDescent="0.25">
      <c r="M191" s="1" t="s">
        <v>153</v>
      </c>
      <c r="N191">
        <v>4.2</v>
      </c>
      <c r="O191" t="s">
        <v>154</v>
      </c>
    </row>
    <row r="192" spans="12:20" x14ac:dyDescent="0.25">
      <c r="M192" s="1" t="s">
        <v>164</v>
      </c>
      <c r="N192">
        <v>4</v>
      </c>
      <c r="O192" t="s">
        <v>154</v>
      </c>
      <c r="P192" t="s">
        <v>231</v>
      </c>
      <c r="Q192" s="6">
        <v>43934</v>
      </c>
      <c r="R192" s="6" t="s">
        <v>150</v>
      </c>
      <c r="S192" s="6">
        <v>43937</v>
      </c>
    </row>
    <row r="193" spans="13:20" x14ac:dyDescent="0.25">
      <c r="M193" s="1" t="s">
        <v>165</v>
      </c>
      <c r="N193">
        <v>4</v>
      </c>
      <c r="O193" t="s">
        <v>154</v>
      </c>
      <c r="P193" t="s">
        <v>231</v>
      </c>
      <c r="Q193" s="6">
        <v>43934</v>
      </c>
      <c r="R193" s="6" t="s">
        <v>150</v>
      </c>
      <c r="S193" s="6">
        <v>43937</v>
      </c>
    </row>
    <row r="194" spans="13:20" x14ac:dyDescent="0.25">
      <c r="M194" s="1" t="s">
        <v>17</v>
      </c>
      <c r="Q194" s="6"/>
      <c r="R194" s="6"/>
      <c r="S194" s="6"/>
    </row>
    <row r="196" spans="13:20" ht="75" x14ac:dyDescent="0.25">
      <c r="N196" s="95" t="s">
        <v>25</v>
      </c>
      <c r="O196" s="95" t="s">
        <v>26</v>
      </c>
      <c r="P196" s="9" t="s">
        <v>155</v>
      </c>
      <c r="Q196" s="9" t="s">
        <v>156</v>
      </c>
      <c r="R196" s="9" t="s">
        <v>157</v>
      </c>
      <c r="S196" s="9" t="s">
        <v>158</v>
      </c>
      <c r="T196" s="9" t="s">
        <v>29</v>
      </c>
    </row>
    <row r="197" spans="13:20" x14ac:dyDescent="0.25">
      <c r="N197" s="67">
        <v>1</v>
      </c>
      <c r="O197" s="48" t="s">
        <v>3</v>
      </c>
      <c r="P197" s="48">
        <v>1890</v>
      </c>
      <c r="Q197" s="48">
        <v>1890</v>
      </c>
      <c r="R197" s="48">
        <v>4.2</v>
      </c>
      <c r="S197" s="48">
        <v>4.9249999999999998</v>
      </c>
      <c r="T197" s="49">
        <v>1</v>
      </c>
    </row>
    <row r="198" spans="13:20" x14ac:dyDescent="0.25">
      <c r="N198" s="67">
        <v>2</v>
      </c>
      <c r="O198" s="48" t="s">
        <v>2</v>
      </c>
      <c r="P198" s="48">
        <v>0</v>
      </c>
      <c r="Q198" s="48">
        <v>0</v>
      </c>
      <c r="R198" s="48">
        <v>0</v>
      </c>
      <c r="S198" s="48">
        <v>0</v>
      </c>
      <c r="T198" s="49" t="s">
        <v>20</v>
      </c>
    </row>
    <row r="200" spans="13:20" x14ac:dyDescent="0.25">
      <c r="N200" t="s">
        <v>160</v>
      </c>
    </row>
    <row r="201" spans="13:20" x14ac:dyDescent="0.25">
      <c r="O201" t="s">
        <v>329</v>
      </c>
    </row>
  </sheetData>
  <customSheetViews>
    <customSheetView guid="{250915DF-0B97-45D7-B29D-7EED4C89C1C1}" topLeftCell="A106">
      <selection activeCell="D4" sqref="D4"/>
      <pageMargins left="0.7" right="0.7" top="0.75" bottom="0.75" header="0.3" footer="0.3"/>
      <pageSetup orientation="portrait" horizontalDpi="300" verticalDpi="0" r:id="rId1"/>
    </customSheetView>
    <customSheetView guid="{A2C66332-A809-458E-971B-FDB6D62C74C3}">
      <selection activeCell="A31" sqref="A31"/>
      <pageMargins left="0.7" right="0.7" top="0.75" bottom="0.75" header="0.3" footer="0.3"/>
      <pageSetup orientation="portrait" horizontalDpi="300" verticalDpi="0" r:id="rId2"/>
    </customSheetView>
    <customSheetView guid="{72A6EB0A-84D5-4B8A-AC51-54CCD061630B}">
      <selection activeCell="E27" sqref="E27"/>
      <pageMargins left="0.7" right="0.7" top="0.75" bottom="0.75" header="0.3" footer="0.3"/>
      <pageSetup orientation="portrait" horizontalDpi="300" verticalDpi="0" r:id="rId3"/>
    </customSheetView>
    <customSheetView guid="{7ECC2B8E-6A82-42F5-8AB0-4A51C54EA5EC}">
      <selection activeCell="A44" sqref="A44:XFD44"/>
      <pageMargins left="0.7" right="0.7" top="0.75" bottom="0.75" header="0.3" footer="0.3"/>
      <pageSetup orientation="portrait" horizontalDpi="300" verticalDpi="0" r:id="rId4"/>
    </customSheetView>
    <customSheetView guid="{336B6883-2145-4B58-921E-CEC7185A847E}">
      <selection activeCell="A31" sqref="A31"/>
      <pageMargins left="0.7" right="0.7" top="0.75" bottom="0.75" header="0.3" footer="0.3"/>
      <pageSetup orientation="portrait" horizontalDpi="300" verticalDpi="0" r:id="rId5"/>
    </customSheetView>
    <customSheetView guid="{D33AC7AF-C8AB-4CE9-94C7-9237011A5FC3}">
      <selection activeCell="A31" sqref="A31"/>
      <pageMargins left="0.7" right="0.7" top="0.75" bottom="0.75" header="0.3" footer="0.3"/>
      <pageSetup orientation="portrait" horizontalDpi="300" verticalDpi="0" r:id="rId6"/>
    </customSheetView>
    <customSheetView guid="{3B3E6719-EACB-4D2C-89C1-05FFAB6020FD}">
      <selection activeCell="A44" sqref="A44:XFD44"/>
      <pageMargins left="0.7" right="0.7" top="0.75" bottom="0.75" header="0.3" footer="0.3"/>
      <pageSetup orientation="portrait" horizontalDpi="300" verticalDpi="0" r:id="rId7"/>
    </customSheetView>
  </customSheetViews>
  <pageMargins left="0.7" right="0.7" top="0.75" bottom="0.75" header="0.3" footer="0.3"/>
  <pageSetup orientation="portrait" horizontalDpi="300" verticalDpi="0" r:id="rId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Merged</vt:lpstr>
      <vt:lpstr>|-&gt;</vt:lpstr>
      <vt:lpstr>Report_For_Each_Project</vt:lpstr>
      <vt:lpstr>Template_Total_Report</vt:lpstr>
      <vt:lpstr>Table</vt:lpstr>
      <vt:lpstr>Check_List</vt:lpstr>
      <vt:lpstr>|--&gt;</vt:lpstr>
      <vt:lpstr>Monthly_20200420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2020-04-29T08:59:38Z</dcterms:modified>
</cp:coreProperties>
</file>