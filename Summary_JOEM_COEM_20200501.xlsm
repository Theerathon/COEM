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342.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17.xml" ContentType="application/vnd.openxmlformats-officedocument.spreadsheetml.revisionLog+xml"/>
  <Override PartName="/xl/revisions/revisionLog299.xml" ContentType="application/vnd.openxmlformats-officedocument.spreadsheetml.revisionLog+xml"/>
  <Override PartName="/xl/revisions/revisionLog303.xml" ContentType="application/vnd.openxmlformats-officedocument.spreadsheetml.revisionLog+xml"/>
  <Override PartName="/xl/revisions/revisionLog21.xml" ContentType="application/vnd.openxmlformats-officedocument.spreadsheetml.revisionLog+xml"/>
  <Override PartName="/xl/revisions/revisionLog42.xml" ContentType="application/vnd.openxmlformats-officedocument.spreadsheetml.revisionLog+xml"/>
  <Override PartName="/xl/revisions/revisionLog63.xml" ContentType="application/vnd.openxmlformats-officedocument.spreadsheetml.revisionLog+xml"/>
  <Override PartName="/xl/revisions/revisionLog84.xml" ContentType="application/vnd.openxmlformats-officedocument.spreadsheetml.revisionLog+xml"/>
  <Override PartName="/xl/revisions/revisionLog138.xml" ContentType="application/vnd.openxmlformats-officedocument.spreadsheetml.revisionLog+xml"/>
  <Override PartName="/xl/revisions/revisionLog159.xml" ContentType="application/vnd.openxmlformats-officedocument.spreadsheetml.revisionLog+xml"/>
  <Override PartName="/xl/revisions/revisionLog324.xml" ContentType="application/vnd.openxmlformats-officedocument.spreadsheetml.revisionLog+xml"/>
  <Override PartName="/xl/revisions/revisionLog170.xml" ContentType="application/vnd.openxmlformats-officedocument.spreadsheetml.revisionLog+xml"/>
  <Override PartName="/xl/revisions/revisionLog191.xml" ContentType="application/vnd.openxmlformats-officedocument.spreadsheetml.revisionLog+xml"/>
  <Override PartName="/xl/revisions/revisionLog205.xml" ContentType="application/vnd.openxmlformats-officedocument.spreadsheetml.revisionLog+xml"/>
  <Override PartName="/xl/revisions/revisionLog226.xml" ContentType="application/vnd.openxmlformats-officedocument.spreadsheetml.revisionLog+xml"/>
  <Override PartName="/xl/revisions/revisionLog247.xml" ContentType="application/vnd.openxmlformats-officedocument.spreadsheetml.revisionLog+xml"/>
  <Override PartName="/xl/revisions/revisionLog107.xml" ContentType="application/vnd.openxmlformats-officedocument.spreadsheetml.revisionLog+xml"/>
  <Override PartName="/xl/revisions/revisionLog268.xml" ContentType="application/vnd.openxmlformats-officedocument.spreadsheetml.revisionLog+xml"/>
  <Override PartName="/xl/revisions/revisionLog289.xml" ContentType="application/vnd.openxmlformats-officedocument.spreadsheetml.revisionLog+xml"/>
  <Override PartName="/xl/revisions/revisionLog11.xml" ContentType="application/vnd.openxmlformats-officedocument.spreadsheetml.revisionLog+xml"/>
  <Override PartName="/xl/revisions/revisionLog32.xml" ContentType="application/vnd.openxmlformats-officedocument.spreadsheetml.revisionLog+xml"/>
  <Override PartName="/xl/revisions/revisionLog53.xml" ContentType="application/vnd.openxmlformats-officedocument.spreadsheetml.revisionLog+xml"/>
  <Override PartName="/xl/revisions/revisionLog74.xml" ContentType="application/vnd.openxmlformats-officedocument.spreadsheetml.revisionLog+xml"/>
  <Override PartName="/xl/revisions/revisionLog128.xml" ContentType="application/vnd.openxmlformats-officedocument.spreadsheetml.revisionLog+xml"/>
  <Override PartName="/xl/revisions/revisionLog149.xml" ContentType="application/vnd.openxmlformats-officedocument.spreadsheetml.revisionLog+xml"/>
  <Override PartName="/xl/revisions/revisionLog314.xml" ContentType="application/vnd.openxmlformats-officedocument.spreadsheetml.revisionLog+xml"/>
  <Override PartName="/xl/revisions/revisionLog335.xml" ContentType="application/vnd.openxmlformats-officedocument.spreadsheetml.revisionLog+xml"/>
  <Override PartName="/xl/revisions/revisionLog5.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181.xml" ContentType="application/vnd.openxmlformats-officedocument.spreadsheetml.revisionLog+xml"/>
  <Override PartName="/xl/revisions/revisionLog216.xml" ContentType="application/vnd.openxmlformats-officedocument.spreadsheetml.revisionLog+xml"/>
  <Override PartName="/xl/revisions/revisionLog237.xml" ContentType="application/vnd.openxmlformats-officedocument.spreadsheetml.revisionLog+xml"/>
  <Override PartName="/xl/revisions/revisionLog258.xml" ContentType="application/vnd.openxmlformats-officedocument.spreadsheetml.revisionLog+xml"/>
  <Override PartName="/xl/revisions/revisionLog279.xml" ContentType="application/vnd.openxmlformats-officedocument.spreadsheetml.revisionLog+xml"/>
  <Override PartName="/xl/revisions/revisionLog22.xml" ContentType="application/vnd.openxmlformats-officedocument.spreadsheetml.revisionLog+xml"/>
  <Override PartName="/xl/revisions/revisionLog43.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139.xml" ContentType="application/vnd.openxmlformats-officedocument.spreadsheetml.revisionLog+xml"/>
  <Override PartName="/xl/revisions/revisionLog290.xml" ContentType="application/vnd.openxmlformats-officedocument.spreadsheetml.revisionLog+xml"/>
  <Override PartName="/xl/revisions/revisionLog304.xml" ContentType="application/vnd.openxmlformats-officedocument.spreadsheetml.revisionLog+xml"/>
  <Override PartName="/xl/revisions/revisionLog325.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171.xml" ContentType="application/vnd.openxmlformats-officedocument.spreadsheetml.revisionLog+xml"/>
  <Override PartName="/xl/revisions/revisionLog192.xml" ContentType="application/vnd.openxmlformats-officedocument.spreadsheetml.revisionLog+xml"/>
  <Override PartName="/xl/revisions/revisionLog206.xml" ContentType="application/vnd.openxmlformats-officedocument.spreadsheetml.revisionLog+xml"/>
  <Override PartName="/xl/revisions/revisionLog227.xml" ContentType="application/vnd.openxmlformats-officedocument.spreadsheetml.revisionLog+xml"/>
  <Override PartName="/xl/revisions/revisionLog248.xml" ContentType="application/vnd.openxmlformats-officedocument.spreadsheetml.revisionLog+xml"/>
  <Override PartName="/xl/revisions/revisionLog269.xml" ContentType="application/vnd.openxmlformats-officedocument.spreadsheetml.revisionLog+xml"/>
  <Override PartName="/xl/revisions/revisionLog12.xml" ContentType="application/vnd.openxmlformats-officedocument.spreadsheetml.revisionLog+xml"/>
  <Override PartName="/xl/revisions/revisionLog33.xml" ContentType="application/vnd.openxmlformats-officedocument.spreadsheetml.revisionLog+xml"/>
  <Override PartName="/xl/revisions/revisionLog108.xml" ContentType="application/vnd.openxmlformats-officedocument.spreadsheetml.revisionLog+xml"/>
  <Override PartName="/xl/revisions/revisionLog129.xml" ContentType="application/vnd.openxmlformats-officedocument.spreadsheetml.revisionLog+xml"/>
  <Override PartName="/xl/revisions/revisionLog280.xml" ContentType="application/vnd.openxmlformats-officedocument.spreadsheetml.revisionLog+xml"/>
  <Override PartName="/xl/revisions/revisionLog315.xml" ContentType="application/vnd.openxmlformats-officedocument.spreadsheetml.revisionLog+xml"/>
  <Override PartName="/xl/revisions/revisionLog336.xml" ContentType="application/vnd.openxmlformats-officedocument.spreadsheetml.revisionLog+xml"/>
  <Override PartName="/xl/revisions/revisionLog54.xml" ContentType="application/vnd.openxmlformats-officedocument.spreadsheetml.revisionLog+xml"/>
  <Override PartName="/xl/revisions/revisionLog75.xml" ContentType="application/vnd.openxmlformats-officedocument.spreadsheetml.revisionLog+xml"/>
  <Override PartName="/xl/revisions/revisionLog96.xml" ContentType="application/vnd.openxmlformats-officedocument.spreadsheetml.revisionLog+xml"/>
  <Override PartName="/xl/revisions/revisionLog140.xml" ContentType="application/vnd.openxmlformats-officedocument.spreadsheetml.revisionLog+xml"/>
  <Override PartName="/xl/revisions/revisionLog161.xml" ContentType="application/vnd.openxmlformats-officedocument.spreadsheetml.revisionLog+xml"/>
  <Override PartName="/xl/revisions/revisionLog182.xml" ContentType="application/vnd.openxmlformats-officedocument.spreadsheetml.revisionLog+xml"/>
  <Override PartName="/xl/revisions/revisionLog217.xml" ContentType="application/vnd.openxmlformats-officedocument.spreadsheetml.revisionLog+xml"/>
  <Override PartName="/xl/revisions/revisionLog6.xml" ContentType="application/vnd.openxmlformats-officedocument.spreadsheetml.revisionLog+xml"/>
  <Override PartName="/xl/revisions/revisionLog238.xml" ContentType="application/vnd.openxmlformats-officedocument.spreadsheetml.revisionLog+xml"/>
  <Override PartName="/xl/revisions/revisionLog259.xml" ContentType="application/vnd.openxmlformats-officedocument.spreadsheetml.revisionLog+xml"/>
  <Override PartName="/xl/revisions/revisionLog23.xml" ContentType="application/vnd.openxmlformats-officedocument.spreadsheetml.revisionLog+xml"/>
  <Override PartName="/xl/revisions/revisionLog119.xml" ContentType="application/vnd.openxmlformats-officedocument.spreadsheetml.revisionLog+xml"/>
  <Override PartName="/xl/revisions/revisionLog270.xml" ContentType="application/vnd.openxmlformats-officedocument.spreadsheetml.revisionLog+xml"/>
  <Override PartName="/xl/revisions/revisionLog291.xml" ContentType="application/vnd.openxmlformats-officedocument.spreadsheetml.revisionLog+xml"/>
  <Override PartName="/xl/revisions/revisionLog305.xml" ContentType="application/vnd.openxmlformats-officedocument.spreadsheetml.revisionLog+xml"/>
  <Override PartName="/xl/revisions/revisionLog326.xml" ContentType="application/vnd.openxmlformats-officedocument.spreadsheetml.revisionLog+xml"/>
  <Override PartName="/xl/revisions/revisionLog44.xml" ContentType="application/vnd.openxmlformats-officedocument.spreadsheetml.revisionLog+xml"/>
  <Override PartName="/xl/revisions/revisionLog65.xml" ContentType="application/vnd.openxmlformats-officedocument.spreadsheetml.revisionLog+xml"/>
  <Override PartName="/xl/revisions/revisionLog86.xml" ContentType="application/vnd.openxmlformats-officedocument.spreadsheetml.revisionLog+xml"/>
  <Override PartName="/xl/revisions/revisionLog130.xml" ContentType="application/vnd.openxmlformats-officedocument.spreadsheetml.revisionLog+xml"/>
  <Override PartName="/xl/revisions/revisionLog151.xml" ContentType="application/vnd.openxmlformats-officedocument.spreadsheetml.revisionLog+xml"/>
  <Override PartName="/xl/revisions/revisionLog172.xml" ContentType="application/vnd.openxmlformats-officedocument.spreadsheetml.revisionLog+xml"/>
  <Override PartName="/xl/revisions/revisionLog193.xml" ContentType="application/vnd.openxmlformats-officedocument.spreadsheetml.revisionLog+xml"/>
  <Override PartName="/xl/revisions/revisionLog207.xml" ContentType="application/vnd.openxmlformats-officedocument.spreadsheetml.revisionLog+xml"/>
  <Override PartName="/xl/revisions/revisionLog228.xml" ContentType="application/vnd.openxmlformats-officedocument.spreadsheetml.revisionLog+xml"/>
  <Override PartName="/xl/revisions/revisionLog249.xml" ContentType="application/vnd.openxmlformats-officedocument.spreadsheetml.revisionLog+xml"/>
  <Override PartName="/xl/revisions/revisionLog13.xml" ContentType="application/vnd.openxmlformats-officedocument.spreadsheetml.revisionLog+xml"/>
  <Override PartName="/xl/revisions/revisionLog109.xml" ContentType="application/vnd.openxmlformats-officedocument.spreadsheetml.revisionLog+xml"/>
  <Override PartName="/xl/revisions/revisionLog260.xml" ContentType="application/vnd.openxmlformats-officedocument.spreadsheetml.revisionLog+xml"/>
  <Override PartName="/xl/revisions/revisionLog281.xml" ContentType="application/vnd.openxmlformats-officedocument.spreadsheetml.revisionLog+xml"/>
  <Override PartName="/xl/revisions/revisionLog316.xml" ContentType="application/vnd.openxmlformats-officedocument.spreadsheetml.revisionLog+xml"/>
  <Override PartName="/xl/revisions/revisionLog337.xml" ContentType="application/vnd.openxmlformats-officedocument.spreadsheetml.revisionLog+xml"/>
  <Override PartName="/xl/revisions/revisionLog34.xml" ContentType="application/vnd.openxmlformats-officedocument.spreadsheetml.revisionLog+xml"/>
  <Override PartName="/xl/revisions/revisionLog55.xml" ContentType="application/vnd.openxmlformats-officedocument.spreadsheetml.revisionLog+xml"/>
  <Override PartName="/xl/revisions/revisionLog76.xml" ContentType="application/vnd.openxmlformats-officedocument.spreadsheetml.revisionLog+xml"/>
  <Override PartName="/xl/revisions/revisionLog97.xml" ContentType="application/vnd.openxmlformats-officedocument.spreadsheetml.revisionLog+xml"/>
  <Override PartName="/xl/revisions/revisionLog120.xml" ContentType="application/vnd.openxmlformats-officedocument.spreadsheetml.revisionLog+xml"/>
  <Override PartName="/xl/revisions/revisionLog141.xml" ContentType="application/vnd.openxmlformats-officedocument.spreadsheetml.revisionLog+xml"/>
  <Override PartName="/xl/revisions/revisionLog7.xml" ContentType="application/vnd.openxmlformats-officedocument.spreadsheetml.revisionLog+xml"/>
  <Override PartName="/xl/revisions/revisionLog162.xml" ContentType="application/vnd.openxmlformats-officedocument.spreadsheetml.revisionLog+xml"/>
  <Override PartName="/xl/revisions/revisionLog183.xml" ContentType="application/vnd.openxmlformats-officedocument.spreadsheetml.revisionLog+xml"/>
  <Override PartName="/xl/revisions/revisionLog218.xml" ContentType="application/vnd.openxmlformats-officedocument.spreadsheetml.revisionLog+xml"/>
  <Override PartName="/xl/revisions/revisionLog239.xml" ContentType="application/vnd.openxmlformats-officedocument.spreadsheetml.revisionLog+xml"/>
  <Override PartName="/xl/revisions/revisionLog250.xml" ContentType="application/vnd.openxmlformats-officedocument.spreadsheetml.revisionLog+xml"/>
  <Override PartName="/xl/revisions/revisionLog271.xml" ContentType="application/vnd.openxmlformats-officedocument.spreadsheetml.revisionLog+xml"/>
  <Override PartName="/xl/revisions/revisionLog292.xml" ContentType="application/vnd.openxmlformats-officedocument.spreadsheetml.revisionLog+xml"/>
  <Override PartName="/xl/revisions/revisionLog306.xml" ContentType="application/vnd.openxmlformats-officedocument.spreadsheetml.revisionLog+xml"/>
  <Override PartName="/xl/revisions/revisionLog24.xml" ContentType="application/vnd.openxmlformats-officedocument.spreadsheetml.revisionLog+xml"/>
  <Override PartName="/xl/revisions/revisionLog45.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10.xml" ContentType="application/vnd.openxmlformats-officedocument.spreadsheetml.revisionLog+xml"/>
  <Override PartName="/xl/revisions/revisionLog131.xml" ContentType="application/vnd.openxmlformats-officedocument.spreadsheetml.revisionLog+xml"/>
  <Override PartName="/xl/revisions/revisionLog327.xml" ContentType="application/vnd.openxmlformats-officedocument.spreadsheetml.revisionLog+xml"/>
  <Override PartName="/xl/revisions/revisionLog152.xml" ContentType="application/vnd.openxmlformats-officedocument.spreadsheetml.revisionLog+xml"/>
  <Override PartName="/xl/revisions/revisionLog173.xml" ContentType="application/vnd.openxmlformats-officedocument.spreadsheetml.revisionLog+xml"/>
  <Override PartName="/xl/revisions/revisionLog194.xml" ContentType="application/vnd.openxmlformats-officedocument.spreadsheetml.revisionLog+xml"/>
  <Override PartName="/xl/revisions/revisionLog208.xml" ContentType="application/vnd.openxmlformats-officedocument.spreadsheetml.revisionLog+xml"/>
  <Override PartName="/xl/revisions/revisionLog229.xml" ContentType="application/vnd.openxmlformats-officedocument.spreadsheetml.revisionLog+xml"/>
  <Override PartName="/xl/revisions/revisionLog240.xml" ContentType="application/vnd.openxmlformats-officedocument.spreadsheetml.revisionLog+xml"/>
  <Override PartName="/xl/revisions/revisionLog261.xml" ContentType="application/vnd.openxmlformats-officedocument.spreadsheetml.revisionLog+xml"/>
  <Override PartName="/xl/revisions/revisionLog14.xml" ContentType="application/vnd.openxmlformats-officedocument.spreadsheetml.revisionLog+xml"/>
  <Override PartName="/xl/revisions/revisionLog35.xml" ContentType="application/vnd.openxmlformats-officedocument.spreadsheetml.revisionLog+xml"/>
  <Override PartName="/xl/revisions/revisionLog56.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282.xml" ContentType="application/vnd.openxmlformats-officedocument.spreadsheetml.revisionLog+xml"/>
  <Override PartName="/xl/revisions/revisionLog317.xml" ContentType="application/vnd.openxmlformats-officedocument.spreadsheetml.revisionLog+xml"/>
  <Override PartName="/xl/revisions/revisionLog338.xml" ContentType="application/vnd.openxmlformats-officedocument.spreadsheetml.revisionLog+xml"/>
  <Override PartName="/xl/revisions/revisionLog8.xml" ContentType="application/vnd.openxmlformats-officedocument.spreadsheetml.revisionLog+xml"/>
  <Override PartName="/xl/revisions/revisionLog98.xml" ContentType="application/vnd.openxmlformats-officedocument.spreadsheetml.revisionLog+xml"/>
  <Override PartName="/xl/revisions/revisionLog121.xml" ContentType="application/vnd.openxmlformats-officedocument.spreadsheetml.revisionLog+xml"/>
  <Override PartName="/xl/revisions/revisionLog142.xml" ContentType="application/vnd.openxmlformats-officedocument.spreadsheetml.revisionLog+xml"/>
  <Override PartName="/xl/revisions/revisionLog163.xml" ContentType="application/vnd.openxmlformats-officedocument.spreadsheetml.revisionLog+xml"/>
  <Override PartName="/xl/revisions/revisionLog184.xml" ContentType="application/vnd.openxmlformats-officedocument.spreadsheetml.revisionLog+xml"/>
  <Override PartName="/xl/revisions/revisionLog219.xml" ContentType="application/vnd.openxmlformats-officedocument.spreadsheetml.revisionLog+xml"/>
  <Override PartName="/xl/revisions/revisionLog3.xml" ContentType="application/vnd.openxmlformats-officedocument.spreadsheetml.revisionLog+xml"/>
  <Override PartName="/xl/revisions/revisionLog214.xml" ContentType="application/vnd.openxmlformats-officedocument.spreadsheetml.revisionLog+xml"/>
  <Override PartName="/xl/revisions/revisionLog230.xml" ContentType="application/vnd.openxmlformats-officedocument.spreadsheetml.revisionLog+xml"/>
  <Override PartName="/xl/revisions/revisionLog235.xml" ContentType="application/vnd.openxmlformats-officedocument.spreadsheetml.revisionLog+xml"/>
  <Override PartName="/xl/revisions/revisionLog251.xml" ContentType="application/vnd.openxmlformats-officedocument.spreadsheetml.revisionLog+xml"/>
  <Override PartName="/xl/revisions/revisionLog256.xml" ContentType="application/vnd.openxmlformats-officedocument.spreadsheetml.revisionLog+xml"/>
  <Override PartName="/xl/revisions/revisionLog277.xml" ContentType="application/vnd.openxmlformats-officedocument.spreadsheetml.revisionLog+xml"/>
  <Override PartName="/xl/revisions/revisionLog298.xml" ContentType="application/vnd.openxmlformats-officedocument.spreadsheetml.revisionLog+xml"/>
  <Override PartName="/xl/revisions/revisionLog25.xml" ContentType="application/vnd.openxmlformats-officedocument.spreadsheetml.revisionLog+xml"/>
  <Override PartName="/xl/revisions/revisionLog46.xml" ContentType="application/vnd.openxmlformats-officedocument.spreadsheetml.revisionLog+xml"/>
  <Override PartName="/xl/revisions/revisionLog67.xml" ContentType="application/vnd.openxmlformats-officedocument.spreadsheetml.revisionLog+xml"/>
  <Override PartName="/xl/revisions/revisionLog116.xml" ContentType="application/vnd.openxmlformats-officedocument.spreadsheetml.revisionLog+xml"/>
  <Override PartName="/xl/revisions/revisionLog137.xml" ContentType="application/vnd.openxmlformats-officedocument.spreadsheetml.revisionLog+xml"/>
  <Override PartName="/xl/revisions/revisionLog158.xml" ContentType="application/vnd.openxmlformats-officedocument.spreadsheetml.revisionLog+xml"/>
  <Override PartName="/xl/revisions/revisionLog272.xml" ContentType="application/vnd.openxmlformats-officedocument.spreadsheetml.revisionLog+xml"/>
  <Override PartName="/xl/revisions/revisionLog293.xml" ContentType="application/vnd.openxmlformats-officedocument.spreadsheetml.revisionLog+xml"/>
  <Override PartName="/xl/revisions/revisionLog302.xml" ContentType="application/vnd.openxmlformats-officedocument.spreadsheetml.revisionLog+xml"/>
  <Override PartName="/xl/revisions/revisionLog307.xml" ContentType="application/vnd.openxmlformats-officedocument.spreadsheetml.revisionLog+xml"/>
  <Override PartName="/xl/revisions/revisionLog323.xml" ContentType="application/vnd.openxmlformats-officedocument.spreadsheetml.revisionLog+xml"/>
  <Override PartName="/xl/revisions/revisionLog328.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32.xml" ContentType="application/vnd.openxmlformats-officedocument.spreadsheetml.revisionLog+xml"/>
  <Override PartName="/xl/revisions/revisionLog153.xml" ContentType="application/vnd.openxmlformats-officedocument.spreadsheetml.revisionLog+xml"/>
  <Override PartName="/xl/revisions/revisionLog174.xml" ContentType="application/vnd.openxmlformats-officedocument.spreadsheetml.revisionLog+xml"/>
  <Override PartName="/xl/revisions/revisionLog179.xml" ContentType="application/vnd.openxmlformats-officedocument.spreadsheetml.revisionLog+xml"/>
  <Override PartName="/xl/revisions/revisionLog195.xml" ContentType="application/vnd.openxmlformats-officedocument.spreadsheetml.revisionLog+xml"/>
  <Override PartName="/xl/revisions/revisionLog209.xml" ContentType="application/vnd.openxmlformats-officedocument.spreadsheetml.revisionLog+xml"/>
  <Override PartName="/xl/revisions/revisionLog190.xml" ContentType="application/vnd.openxmlformats-officedocument.spreadsheetml.revisionLog+xml"/>
  <Override PartName="/xl/revisions/revisionLog204.xml" ContentType="application/vnd.openxmlformats-officedocument.spreadsheetml.revisionLog+xml"/>
  <Override PartName="/xl/revisions/revisionLog220.xml" ContentType="application/vnd.openxmlformats-officedocument.spreadsheetml.revisionLog+xml"/>
  <Override PartName="/xl/revisions/revisionLog225.xml" ContentType="application/vnd.openxmlformats-officedocument.spreadsheetml.revisionLog+xml"/>
  <Override PartName="/xl/revisions/revisionLog241.xml" ContentType="application/vnd.openxmlformats-officedocument.spreadsheetml.revisionLog+xml"/>
  <Override PartName="/xl/revisions/revisionLog246.xml" ContentType="application/vnd.openxmlformats-officedocument.spreadsheetml.revisionLog+xml"/>
  <Override PartName="/xl/revisions/revisionLog267.xml" ContentType="application/vnd.openxmlformats-officedocument.spreadsheetml.revisionLog+xml"/>
  <Override PartName="/xl/revisions/revisionLog288.xml" ContentType="application/vnd.openxmlformats-officedocument.spreadsheetml.revisionLog+xml"/>
  <Override PartName="/xl/revisions/revisionLog15.xml" ContentType="application/vnd.openxmlformats-officedocument.spreadsheetml.revisionLog+xml"/>
  <Override PartName="/xl/revisions/revisionLog36.xml" ContentType="application/vnd.openxmlformats-officedocument.spreadsheetml.revisionLog+xml"/>
  <Override PartName="/xl/revisions/revisionLog57.xml" ContentType="application/vnd.openxmlformats-officedocument.spreadsheetml.revisionLog+xml"/>
  <Override PartName="/xl/revisions/revisionLog106.xml" ContentType="application/vnd.openxmlformats-officedocument.spreadsheetml.revisionLog+xml"/>
  <Override PartName="/xl/revisions/revisionLog127.xml" ContentType="application/vnd.openxmlformats-officedocument.spreadsheetml.revisionLog+xml"/>
  <Override PartName="/xl/revisions/revisionLog262.xml" ContentType="application/vnd.openxmlformats-officedocument.spreadsheetml.revisionLog+xml"/>
  <Override PartName="/xl/revisions/revisionLog283.xml" ContentType="application/vnd.openxmlformats-officedocument.spreadsheetml.revisionLog+xml"/>
  <Override PartName="/xl/revisions/revisionLog313.xml" ContentType="application/vnd.openxmlformats-officedocument.spreadsheetml.revisionLog+xml"/>
  <Override PartName="/xl/revisions/revisionLog318.xml" ContentType="application/vnd.openxmlformats-officedocument.spreadsheetml.revisionLog+xml"/>
  <Override PartName="/xl/revisions/revisionLog339.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52.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143.xml" ContentType="application/vnd.openxmlformats-officedocument.spreadsheetml.revisionLog+xml"/>
  <Override PartName="/xl/revisions/revisionLog148.xml" ContentType="application/vnd.openxmlformats-officedocument.spreadsheetml.revisionLog+xml"/>
  <Override PartName="/xl/revisions/revisionLog164.xml" ContentType="application/vnd.openxmlformats-officedocument.spreadsheetml.revisionLog+xml"/>
  <Override PartName="/xl/revisions/revisionLog169.xml" ContentType="application/vnd.openxmlformats-officedocument.spreadsheetml.revisionLog+xml"/>
  <Override PartName="/xl/revisions/revisionLog185.xml" ContentType="application/vnd.openxmlformats-officedocument.spreadsheetml.revisionLog+xml"/>
  <Override PartName="/xl/revisions/revisionLog334.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80.xml" ContentType="application/vnd.openxmlformats-officedocument.spreadsheetml.revisionLog+xml"/>
  <Override PartName="/xl/revisions/revisionLog210.xml" ContentType="application/vnd.openxmlformats-officedocument.spreadsheetml.revisionLog+xml"/>
  <Override PartName="/xl/revisions/revisionLog215.xml" ContentType="application/vnd.openxmlformats-officedocument.spreadsheetml.revisionLog+xml"/>
  <Override PartName="/xl/revisions/revisionLog236.xml" ContentType="application/vnd.openxmlformats-officedocument.spreadsheetml.revisionLog+xml"/>
  <Override PartName="/xl/revisions/revisionLog257.xml" ContentType="application/vnd.openxmlformats-officedocument.spreadsheetml.revisionLog+xml"/>
  <Override PartName="/xl/revisions/revisionLog278.xml" ContentType="application/vnd.openxmlformats-officedocument.spreadsheetml.revisionLog+xml"/>
  <Override PartName="/xl/revisions/revisionLog26.xml" ContentType="application/vnd.openxmlformats-officedocument.spreadsheetml.revisionLog+xml"/>
  <Override PartName="/xl/revisions/revisionLog231.xml" ContentType="application/vnd.openxmlformats-officedocument.spreadsheetml.revisionLog+xml"/>
  <Override PartName="/xl/revisions/revisionLog252.xml" ContentType="application/vnd.openxmlformats-officedocument.spreadsheetml.revisionLog+xml"/>
  <Override PartName="/xl/revisions/revisionLog273.xml" ContentType="application/vnd.openxmlformats-officedocument.spreadsheetml.revisionLog+xml"/>
  <Override PartName="/xl/revisions/revisionLog294.xml" ContentType="application/vnd.openxmlformats-officedocument.spreadsheetml.revisionLog+xml"/>
  <Override PartName="/xl/revisions/revisionLog308.xml" ContentType="application/vnd.openxmlformats-officedocument.spreadsheetml.revisionLog+xml"/>
  <Override PartName="/xl/revisions/revisionLog329.xml" ContentType="application/vnd.openxmlformats-officedocument.spreadsheetml.revisionLog+xml"/>
  <Override PartName="/xl/revisions/revisionLog47.xml" ContentType="application/vnd.openxmlformats-officedocument.spreadsheetml.revisionLog+xml"/>
  <Override PartName="/xl/revisions/revisionLog68.xml" ContentType="application/vnd.openxmlformats-officedocument.spreadsheetml.revisionLog+xml"/>
  <Override PartName="/xl/revisions/revisionLog89.xml" ContentType="application/vnd.openxmlformats-officedocument.spreadsheetml.revisionLog+xml"/>
  <Override PartName="/xl/revisions/revisionLog112.xml" ContentType="application/vnd.openxmlformats-officedocument.spreadsheetml.revisionLog+xml"/>
  <Override PartName="/xl/revisions/revisionLog133.xml" ContentType="application/vnd.openxmlformats-officedocument.spreadsheetml.revisionLog+xml"/>
  <Override PartName="/xl/revisions/revisionLog154.xml" ContentType="application/vnd.openxmlformats-officedocument.spreadsheetml.revisionLog+xml"/>
  <Override PartName="/xl/revisions/revisionLog175.xml" ContentType="application/vnd.openxmlformats-officedocument.spreadsheetml.revisionLog+xml"/>
  <Override PartName="/xl/revisions/revisionLog340.xml" ContentType="application/vnd.openxmlformats-officedocument.spreadsheetml.revisionLog+xml"/>
  <Override PartName="/xl/revisions/revisionLog196.xml" ContentType="application/vnd.openxmlformats-officedocument.spreadsheetml.revisionLog+xml"/>
  <Override PartName="/xl/revisions/revisionLog200.xml" ContentType="application/vnd.openxmlformats-officedocument.spreadsheetml.revisionLog+xml"/>
  <Override PartName="/xl/revisions/revisionLog16.xml" ContentType="application/vnd.openxmlformats-officedocument.spreadsheetml.revisionLog+xml"/>
  <Override PartName="/xl/revisions/revisionLog221.xml" ContentType="application/vnd.openxmlformats-officedocument.spreadsheetml.revisionLog+xml"/>
  <Override PartName="/xl/revisions/revisionLog242.xml" ContentType="application/vnd.openxmlformats-officedocument.spreadsheetml.revisionLog+xml"/>
  <Override PartName="/xl/revisions/revisionLog263.xml" ContentType="application/vnd.openxmlformats-officedocument.spreadsheetml.revisionLog+xml"/>
  <Override PartName="/xl/revisions/revisionLog284.xml" ContentType="application/vnd.openxmlformats-officedocument.spreadsheetml.revisionLog+xml"/>
  <Override PartName="/xl/revisions/revisionLog319.xml" ContentType="application/vnd.openxmlformats-officedocument.spreadsheetml.revisionLog+xml"/>
  <Override PartName="/xl/revisions/revisionLog37.xml" ContentType="application/vnd.openxmlformats-officedocument.spreadsheetml.revisionLog+xml"/>
  <Override PartName="/xl/revisions/revisionLog58.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44.xml" ContentType="application/vnd.openxmlformats-officedocument.spreadsheetml.revisionLog+xml"/>
  <Override PartName="/xl/revisions/revisionLog330.xml" ContentType="application/vnd.openxmlformats-officedocument.spreadsheetml.revisionLog+xml"/>
  <Override PartName="/xl/revisions/revisionLog90.xml" ContentType="application/vnd.openxmlformats-officedocument.spreadsheetml.revisionLog+xml"/>
  <Override PartName="/xl/revisions/revisionLog165.xml" ContentType="application/vnd.openxmlformats-officedocument.spreadsheetml.revisionLog+xml"/>
  <Override PartName="/xl/revisions/revisionLog186.xml" ContentType="application/vnd.openxmlformats-officedocument.spreadsheetml.revisionLog+xml"/>
  <Override PartName="/xl/revisions/revisionLog211.xml" ContentType="application/vnd.openxmlformats-officedocument.spreadsheetml.revisionLog+xml"/>
  <Override PartName="/xl/revisions/revisionLog232.xml" ContentType="application/vnd.openxmlformats-officedocument.spreadsheetml.revisionLog+xml"/>
  <Override PartName="/xl/revisions/revisionLog253.xml" ContentType="application/vnd.openxmlformats-officedocument.spreadsheetml.revisionLog+xml"/>
  <Override PartName="/xl/revisions/revisionLog274.xml" ContentType="application/vnd.openxmlformats-officedocument.spreadsheetml.revisionLog+xml"/>
  <Override PartName="/xl/revisions/revisionLog295.xml" ContentType="application/vnd.openxmlformats-officedocument.spreadsheetml.revisionLog+xml"/>
  <Override PartName="/xl/revisions/revisionLog309.xml" ContentType="application/vnd.openxmlformats-officedocument.spreadsheetml.revisionLog+xml"/>
  <Override PartName="/xl/revisions/revisionLog27.xml" ContentType="application/vnd.openxmlformats-officedocument.spreadsheetml.revisionLog+xml"/>
  <Override PartName="/xl/revisions/revisionLog48.xml" ContentType="application/vnd.openxmlformats-officedocument.spreadsheetml.revisionLog+xml"/>
  <Override PartName="/xl/revisions/revisionLog69.xml" ContentType="application/vnd.openxmlformats-officedocument.spreadsheetml.revisionLog+xml"/>
  <Override PartName="/xl/revisions/revisionLog113.xml" ContentType="application/vnd.openxmlformats-officedocument.spreadsheetml.revisionLog+xml"/>
  <Override PartName="/xl/revisions/revisionLog134.xml" ContentType="application/vnd.openxmlformats-officedocument.spreadsheetml.revisionLog+xml"/>
  <Override PartName="/xl/revisions/revisionLog320.xml" ContentType="application/vnd.openxmlformats-officedocument.spreadsheetml.revisionLog+xml"/>
  <Override PartName="/xl/revisions/revisionLog80.xml" ContentType="application/vnd.openxmlformats-officedocument.spreadsheetml.revisionLog+xml"/>
  <Override PartName="/xl/revisions/revisionLog155.xml" ContentType="application/vnd.openxmlformats-officedocument.spreadsheetml.revisionLog+xml"/>
  <Override PartName="/xl/revisions/revisionLog176.xml" ContentType="application/vnd.openxmlformats-officedocument.spreadsheetml.revisionLog+xml"/>
  <Override PartName="/xl/revisions/revisionLog197.xml" ContentType="application/vnd.openxmlformats-officedocument.spreadsheetml.revisionLog+xml"/>
  <Override PartName="/xl/revisions/revisionLog341.xml" ContentType="application/vnd.openxmlformats-officedocument.spreadsheetml.revisionLog+xml"/>
  <Override PartName="/xl/revisions/revisionLog201.xml" ContentType="application/vnd.openxmlformats-officedocument.spreadsheetml.revisionLog+xml"/>
  <Override PartName="/xl/revisions/revisionLog222.xml" ContentType="application/vnd.openxmlformats-officedocument.spreadsheetml.revisionLog+xml"/>
  <Override PartName="/xl/revisions/revisionLog243.xml" ContentType="application/vnd.openxmlformats-officedocument.spreadsheetml.revisionLog+xml"/>
  <Override PartName="/xl/revisions/revisionLog264.xml" ContentType="application/vnd.openxmlformats-officedocument.spreadsheetml.revisionLog+xml"/>
  <Override PartName="/xl/revisions/revisionLog285.xml" ContentType="application/vnd.openxmlformats-officedocument.spreadsheetml.revisionLog+xml"/>
  <Override PartName="/xl/revisions/revisionLog17.xml" ContentType="application/vnd.openxmlformats-officedocument.spreadsheetml.revisionLog+xml"/>
  <Override PartName="/xl/revisions/revisionLog38.xml" ContentType="application/vnd.openxmlformats-officedocument.spreadsheetml.revisionLog+xml"/>
  <Override PartName="/xl/revisions/revisionLog59.xml" ContentType="application/vnd.openxmlformats-officedocument.spreadsheetml.revisionLog+xml"/>
  <Override PartName="/xl/revisions/revisionLog103.xml" ContentType="application/vnd.openxmlformats-officedocument.spreadsheetml.revisionLog+xml"/>
  <Override PartName="/xl/revisions/revisionLog124.xml" ContentType="application/vnd.openxmlformats-officedocument.spreadsheetml.revisionLog+xml"/>
  <Override PartName="/xl/revisions/revisionLog310.xml" ContentType="application/vnd.openxmlformats-officedocument.spreadsheetml.revisionLog+xml"/>
  <Override PartName="/xl/revisions/revisionLog70.xml" ContentType="application/vnd.openxmlformats-officedocument.spreadsheetml.revisionLog+xml"/>
  <Override PartName="/xl/revisions/revisionLog91.xml" ContentType="application/vnd.openxmlformats-officedocument.spreadsheetml.revisionLog+xml"/>
  <Override PartName="/xl/revisions/revisionLog145.xml" ContentType="application/vnd.openxmlformats-officedocument.spreadsheetml.revisionLog+xml"/>
  <Override PartName="/xl/revisions/revisionLog166.xml" ContentType="application/vnd.openxmlformats-officedocument.spreadsheetml.revisionLog+xml"/>
  <Override PartName="/xl/revisions/revisionLog187.xml" ContentType="application/vnd.openxmlformats-officedocument.spreadsheetml.revisionLog+xml"/>
  <Override PartName="/xl/revisions/revisionLog331.xml" ContentType="application/vnd.openxmlformats-officedocument.spreadsheetml.revisionLog+xml"/>
  <Override PartName="/xl/revisions/revisionLog1.xml" ContentType="application/vnd.openxmlformats-officedocument.spreadsheetml.revisionLog+xml"/>
  <Override PartName="/xl/revisions/revisionLog212.xml" ContentType="application/vnd.openxmlformats-officedocument.spreadsheetml.revisionLog+xml"/>
  <Override PartName="/xl/revisions/revisionLog233.xml" ContentType="application/vnd.openxmlformats-officedocument.spreadsheetml.revisionLog+xml"/>
  <Override PartName="/xl/revisions/revisionLog254.xml" ContentType="application/vnd.openxmlformats-officedocument.spreadsheetml.revisionLog+xml"/>
  <Override PartName="/xl/revisions/revisionLog28.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275.xml" ContentType="application/vnd.openxmlformats-officedocument.spreadsheetml.revisionLog+xml"/>
  <Override PartName="/xl/revisions/revisionLog296.xml" ContentType="application/vnd.openxmlformats-officedocument.spreadsheetml.revisionLog+xml"/>
  <Override PartName="/xl/revisions/revisionLog300.xml" ContentType="application/vnd.openxmlformats-officedocument.spreadsheetml.revisionLog+xml"/>
  <Override PartName="/xl/revisions/revisionLog60.xml" ContentType="application/vnd.openxmlformats-officedocument.spreadsheetml.revisionLog+xml"/>
  <Override PartName="/xl/revisions/revisionLog81.xml" ContentType="application/vnd.openxmlformats-officedocument.spreadsheetml.revisionLog+xml"/>
  <Override PartName="/xl/revisions/revisionLog135.xml" ContentType="application/vnd.openxmlformats-officedocument.spreadsheetml.revisionLog+xml"/>
  <Override PartName="/xl/revisions/revisionLog156.xml" ContentType="application/vnd.openxmlformats-officedocument.spreadsheetml.revisionLog+xml"/>
  <Override PartName="/xl/revisions/revisionLog177.xml" ContentType="application/vnd.openxmlformats-officedocument.spreadsheetml.revisionLog+xml"/>
  <Override PartName="/xl/revisions/revisionLog198.xml" ContentType="application/vnd.openxmlformats-officedocument.spreadsheetml.revisionLog+xml"/>
  <Override PartName="/xl/revisions/revisionLog321.xml" ContentType="application/vnd.openxmlformats-officedocument.spreadsheetml.revisionLog+xml"/>
  <Override PartName="/xl/revisions/revisionLog202.xml" ContentType="application/vnd.openxmlformats-officedocument.spreadsheetml.revisionLog+xml"/>
  <Override PartName="/xl/revisions/revisionLog223.xml" ContentType="application/vnd.openxmlformats-officedocument.spreadsheetml.revisionLog+xml"/>
  <Override PartName="/xl/revisions/revisionLog244.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Override PartName="/xl/revisions/revisionLog265.xml" ContentType="application/vnd.openxmlformats-officedocument.spreadsheetml.revisionLog+xml"/>
  <Override PartName="/xl/revisions/revisionLog286.xml" ContentType="application/vnd.openxmlformats-officedocument.spreadsheetml.revisionLog+xml"/>
  <Override PartName="/xl/revisions/revisionLog50.xml" ContentType="application/vnd.openxmlformats-officedocument.spreadsheetml.revisionLog+xml"/>
  <Override PartName="/xl/revisions/revisionLog104.xml" ContentType="application/vnd.openxmlformats-officedocument.spreadsheetml.revisionLog+xml"/>
  <Override PartName="/xl/revisions/revisionLog125.xml" ContentType="application/vnd.openxmlformats-officedocument.spreadsheetml.revisionLog+xml"/>
  <Override PartName="/xl/revisions/revisionLog146.xml" ContentType="application/vnd.openxmlformats-officedocument.spreadsheetml.revisionLog+xml"/>
  <Override PartName="/xl/revisions/revisionLog167.xml" ContentType="application/vnd.openxmlformats-officedocument.spreadsheetml.revisionLog+xml"/>
  <Override PartName="/xl/revisions/revisionLog188.xml" ContentType="application/vnd.openxmlformats-officedocument.spreadsheetml.revisionLog+xml"/>
  <Override PartName="/xl/revisions/revisionLog311.xml" ContentType="application/vnd.openxmlformats-officedocument.spreadsheetml.revisionLog+xml"/>
  <Override PartName="/xl/revisions/revisionLog332.xml" ContentType="application/vnd.openxmlformats-officedocument.spreadsheetml.revisionLog+xml"/>
  <Override PartName="/xl/revisions/revisionLog71.xml" ContentType="application/vnd.openxmlformats-officedocument.spreadsheetml.revisionLog+xml"/>
  <Override PartName="/xl/revisions/revisionLog92.xml" ContentType="application/vnd.openxmlformats-officedocument.spreadsheetml.revisionLog+xml"/>
  <Override PartName="/xl/revisions/revisionLog213.xml" ContentType="application/vnd.openxmlformats-officedocument.spreadsheetml.revisionLog+xml"/>
  <Override PartName="/xl/revisions/revisionLog234.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55.xml" ContentType="application/vnd.openxmlformats-officedocument.spreadsheetml.revisionLog+xml"/>
  <Override PartName="/xl/revisions/revisionLog276.xml" ContentType="application/vnd.openxmlformats-officedocument.spreadsheetml.revisionLog+xml"/>
  <Override PartName="/xl/revisions/revisionLog297.xml" ContentType="application/vnd.openxmlformats-officedocument.spreadsheetml.revisionLog+xml"/>
  <Override PartName="/xl/revisions/revisionLog40.xml" ContentType="application/vnd.openxmlformats-officedocument.spreadsheetml.revisionLog+xml"/>
  <Override PartName="/xl/revisions/revisionLog115.xml" ContentType="application/vnd.openxmlformats-officedocument.spreadsheetml.revisionLog+xml"/>
  <Override PartName="/xl/revisions/revisionLog136.xml" ContentType="application/vnd.openxmlformats-officedocument.spreadsheetml.revisionLog+xml"/>
  <Override PartName="/xl/revisions/revisionLog157.xml" ContentType="application/vnd.openxmlformats-officedocument.spreadsheetml.revisionLog+xml"/>
  <Override PartName="/xl/revisions/revisionLog178.xml" ContentType="application/vnd.openxmlformats-officedocument.spreadsheetml.revisionLog+xml"/>
  <Override PartName="/xl/revisions/revisionLog301.xml" ContentType="application/vnd.openxmlformats-officedocument.spreadsheetml.revisionLog+xml"/>
  <Override PartName="/xl/revisions/revisionLog322.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99.xml" ContentType="application/vnd.openxmlformats-officedocument.spreadsheetml.revisionLog+xml"/>
  <Override PartName="/xl/revisions/revisionLog203.xml" ContentType="application/vnd.openxmlformats-officedocument.spreadsheetml.revisionLog+xml"/>
  <Override PartName="/xl/revisions/revisionLog19.xml" ContentType="application/vnd.openxmlformats-officedocument.spreadsheetml.revisionLog+xml"/>
  <Override PartName="/xl/revisions/revisionLog224.xml" ContentType="application/vnd.openxmlformats-officedocument.spreadsheetml.revisionLog+xml"/>
  <Override PartName="/xl/revisions/revisionLog245.xml" ContentType="application/vnd.openxmlformats-officedocument.spreadsheetml.revisionLog+xml"/>
  <Override PartName="/xl/revisions/revisionLog266.xml" ContentType="application/vnd.openxmlformats-officedocument.spreadsheetml.revisionLog+xml"/>
  <Override PartName="/xl/revisions/revisionLog287.xml" ContentType="application/vnd.openxmlformats-officedocument.spreadsheetml.revisionLog+xml"/>
  <Override PartName="/xl/revisions/revisionLog30.xml" ContentType="application/vnd.openxmlformats-officedocument.spreadsheetml.revisionLog+xml"/>
  <Override PartName="/xl/revisions/revisionLog105.xml" ContentType="application/vnd.openxmlformats-officedocument.spreadsheetml.revisionLog+xml"/>
  <Override PartName="/xl/revisions/revisionLog126.xml" ContentType="application/vnd.openxmlformats-officedocument.spreadsheetml.revisionLog+xml"/>
  <Override PartName="/xl/revisions/revisionLog147.xml" ContentType="application/vnd.openxmlformats-officedocument.spreadsheetml.revisionLog+xml"/>
  <Override PartName="/xl/revisions/revisionLog168.xml" ContentType="application/vnd.openxmlformats-officedocument.spreadsheetml.revisionLog+xml"/>
  <Override PartName="/xl/revisions/revisionLog312.xml" ContentType="application/vnd.openxmlformats-officedocument.spreadsheetml.revisionLog+xml"/>
  <Override PartName="/xl/revisions/revisionLog333.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189.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120" windowWidth="15480" windowHeight="658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Merged_COEM!$B$47:$AN$172</definedName>
    <definedName name="_xlnm._FilterDatabase" localSheetId="1" hidden="1">Merged_JOEM!$B$47:$AN$145</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D1BA331_ECC5_4B76_BF88_3D8E1D7061B4_.wvu.FilterData" localSheetId="0" hidden="1">Merged_COEM!$B$47:$AN$111</definedName>
    <definedName name="Z_0D1BA331_ECC5_4B76_BF88_3D8E1D7061B4_.wvu.FilterData" localSheetId="1" hidden="1">Merged_JOEM!$B$47:$AN$108</definedName>
    <definedName name="Z_0EF03E06_FF78_44D3_8575_221339472074_.wvu.FilterData" localSheetId="0" hidden="1">Merged_COEM!$B$47:$AN$152</definedName>
    <definedName name="Z_0F860EF4_5649_4931_8506_A849C414452A_.wvu.FilterData" localSheetId="0" hidden="1">Merged_COEM!$B$47:$AN$142</definedName>
    <definedName name="Z_116C406F_56EF_4929_AB69_7B88A04CBA56_.wvu.FilterData" localSheetId="0" hidden="1">Merged_COEM!$B$47:$AN$47</definedName>
    <definedName name="Z_14DB054A_F265_4A13_8880_D76AC6D51A89_.wvu.FilterData" localSheetId="1" hidden="1">Merged_JOEM!$B$47:$AN$145</definedName>
    <definedName name="Z_1A40DE1E_71BB_4C99_BB8D_F9966378505E_.wvu.FilterData" localSheetId="0" hidden="1">Merged_COEM!$B$47:$AN$113</definedName>
    <definedName name="Z_1BFCAE6D_00EB_4CA0_9800_157E5C060610_.wvu.FilterData" localSheetId="0" hidden="1">Merged_COEM!$B$47:$AN$152</definedName>
    <definedName name="Z_250915DF_0B97_45D7_B29D_7EED4C89C1C1_.wvu.FilterData" localSheetId="0" hidden="1">Merged_COEM!$B$47:$AN$172</definedName>
    <definedName name="Z_250915DF_0B97_45D7_B29D_7EED4C89C1C1_.wvu.FilterData" localSheetId="1" hidden="1">Merged_JOEM!$B$47:$AN$145</definedName>
    <definedName name="Z_28129A8E_4F11_454E_8B08_01465DFCCE16_.wvu.FilterData" localSheetId="0" hidden="1">Merged_COEM!$B$47:$AN$142</definedName>
    <definedName name="Z_28129A8E_4F11_454E_8B08_01465DFCCE16_.wvu.FilterData" localSheetId="1" hidden="1">Merged_JOEM!$B$47:$AN$108</definedName>
    <definedName name="Z_336B6883_2145_4B58_921E_CEC7185A847E_.wvu.FilterData" localSheetId="0" hidden="1">Merged_COEM!$P$47:$P$194</definedName>
    <definedName name="Z_336B6883_2145_4B58_921E_CEC7185A847E_.wvu.FilterData" localSheetId="1" hidden="1">Merged_JOEM!$B$47:$AN$145</definedName>
    <definedName name="Z_3B3E6719_EACB_4D2C_89C1_05FFAB6020FD_.wvu.FilterData" localSheetId="0" hidden="1">Merged_COEM!$B$47:$AN$172</definedName>
    <definedName name="Z_3B3E6719_EACB_4D2C_89C1_05FFAB6020FD_.wvu.FilterData" localSheetId="1" hidden="1">Merged_JOEM!$B$47:$AN$145</definedName>
    <definedName name="Z_4E06BDBF_2CED_473B_850B_2A6C7311FF41_.wvu.FilterData" localSheetId="0" hidden="1">Merged_COEM!$A$47:$AN$152</definedName>
    <definedName name="Z_4E06BDBF_2CED_473B_850B_2A6C7311FF41_.wvu.FilterData" localSheetId="1" hidden="1">Merged_JOEM!$B$47:$AN$108</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Merged_COEM!$B$47:$AN$152</definedName>
    <definedName name="Z_55DD069B_3978_4FE9_9C83_8FBEED3226A1_.wvu.FilterData" localSheetId="1" hidden="1">Merged_JOEM!$B$47:$AN$108</definedName>
    <definedName name="Z_56EF2257_F8BF_4AD9_8AEB_55C432255099_.wvu.FilterData" localSheetId="0" hidden="1">Merged_COEM!$B$47:$AN$152</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Merged_COEM!$P$47:$P$194</definedName>
    <definedName name="Z_5C3799C0_C642_426B_89BE_BE1EE5249DB4_.wvu.FilterData" localSheetId="1" hidden="1">Merged_JOEM!$B$47:$AN$108</definedName>
    <definedName name="Z_5CFC70B4_1A78_4D4E_9FE4_E799626D57F8_.wvu.FilterData" localSheetId="0" hidden="1">Merged_COEM!$B$47:$AN$142</definedName>
    <definedName name="Z_5CFC70B4_1A78_4D4E_9FE4_E799626D57F8_.wvu.FilterData" localSheetId="1" hidden="1">Merged_JOEM!$B$47:$AN$108</definedName>
    <definedName name="Z_5EDC2EFF_5E79_4466_BF9D_79C6A5B40ED9_.wvu.FilterData" localSheetId="0" hidden="1">Merged_COEM!$B$47:$AN$193</definedName>
    <definedName name="Z_60D2C030_4E31_4E07_8E1C_44D2EE84B177_.wvu.FilterData" localSheetId="0" hidden="1">Merged_COEM!$B$47:$AN$152</definedName>
    <definedName name="Z_60D2C030_4E31_4E07_8E1C_44D2EE84B177_.wvu.FilterData" localSheetId="1" hidden="1">Merged_JOEM!$B$47:$AN$116</definedName>
    <definedName name="Z_656025FA_CC5B_4D55_9B87_DB7CD14FDC3E_.wvu.FilterData" localSheetId="0" hidden="1">Merged_COEM!$B$47:$AN$152</definedName>
    <definedName name="Z_686C29B7_8607_4292_9041_CB1F6097339C_.wvu.FilterData" localSheetId="0" hidden="1">Merged_COEM!$B$47:$AN$47</definedName>
    <definedName name="Z_6B638F14_A9F5_4448_A254_1C4B412009F0_.wvu.FilterData" localSheetId="0" hidden="1">Merged_COEM!$B$47:$AN$142</definedName>
    <definedName name="Z_6B638F14_A9F5_4448_A254_1C4B412009F0_.wvu.FilterData" localSheetId="1" hidden="1">Merged_JOEM!$B$47:$AN$108</definedName>
    <definedName name="Z_6CABF124_200E_4AC7_9AB1_549B637A0FFC_.wvu.FilterData" localSheetId="0" hidden="1">Merged_COEM!$B$47:$AN$152</definedName>
    <definedName name="Z_72A6EB0A_84D5_4B8A_AC51_54CCD061630B_.wvu.FilterData" localSheetId="0" hidden="1">Merged_COEM!$B$47:$AN$152</definedName>
    <definedName name="Z_72A6EB0A_84D5_4B8A_AC51_54CCD061630B_.wvu.FilterData" localSheetId="1" hidden="1">Merged_JOEM!$B$47:$AN$116</definedName>
    <definedName name="Z_7E0EA425_A420_4443_B9E0_CDF0AA9E5D09_.wvu.FilterData" localSheetId="0" hidden="1">Merged_COEM!$B$47:$AN$152</definedName>
    <definedName name="Z_7E0EA425_A420_4443_B9E0_CDF0AA9E5D09_.wvu.FilterData" localSheetId="1" hidden="1">Merged_JOEM!$B$47:$AN$116</definedName>
    <definedName name="Z_7ECC2B8E_6A82_42F5_8AB0_4A51C54EA5EC_.wvu.FilterData" localSheetId="0" hidden="1">Merged_COEM!$B$47:$AN$172</definedName>
    <definedName name="Z_7ECC2B8E_6A82_42F5_8AB0_4A51C54EA5EC_.wvu.FilterData" localSheetId="1" hidden="1">Merged_JOEM!$B$47:$AN$145</definedName>
    <definedName name="Z_90215879_D202_47D7_95B0_308EB9360CBB_.wvu.FilterData" localSheetId="0" hidden="1">Merged_COEM!$B$47:$AN$152</definedName>
    <definedName name="Z_99E5354C_71C6_436F_9EE1_C848EB01C814_.wvu.FilterData" localSheetId="0" hidden="1">Merged_COEM!$B$47:$AN$113</definedName>
    <definedName name="Z_99E5354C_71C6_436F_9EE1_C848EB01C814_.wvu.FilterData" localSheetId="1" hidden="1">Merged_JOEM!$B$47:$AN$108</definedName>
    <definedName name="Z_9E145E8C_2B31_4DB8_B4B0_C616F5D01119_.wvu.FilterData" localSheetId="0" hidden="1">Merged_COEM!$B$47:$AN$111</definedName>
    <definedName name="Z_A2A917F4_F661_4683_88C9_57D64E10A4C2_.wvu.FilterData" localSheetId="0" hidden="1">Merged_COEM!$B$47:$AN$193</definedName>
    <definedName name="Z_A2C66332_A809_458E_971B_FDB6D62C74C3_.wvu.FilterData" localSheetId="0" hidden="1">Merged_COEM!$B$47:$AN$152</definedName>
    <definedName name="Z_A2C66332_A809_458E_971B_FDB6D62C74C3_.wvu.FilterData" localSheetId="1" hidden="1">Merged_JOEM!$B$47:$AN$116</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744FF6C_D2CD_4F7F_AB46_8716E1600217_.wvu.FilterData" localSheetId="0" hidden="1">Merged_COEM!$B$47:$AN$142</definedName>
    <definedName name="Z_AA3A2856_F934_43FD_A71B_100B2ECD9F4A_.wvu.FilterData" localSheetId="0" hidden="1">Merged_COEM!$B$47:$AN$172</definedName>
    <definedName name="Z_AA85FADB_94FF_41A1_80F2_8EF99C6BD443_.wvu.FilterData" localSheetId="0" hidden="1">Merged_COEM!$B$47:$AN$129</definedName>
    <definedName name="Z_B28746A6_3784_4E4C_9E3E_05917653FE5F_.wvu.FilterData" localSheetId="0" hidden="1">Merged_COEM!$B$47:$AN$193</definedName>
    <definedName name="Z_B63DD65C_9EF8_4E01_9252_9D7B6691A477_.wvu.FilterData" localSheetId="0" hidden="1">Merged_COEM!$B$47:$AN$152</definedName>
    <definedName name="Z_B6B30A94_A4FB_42AF_BB3D_564C0E1E2210_.wvu.FilterData" localSheetId="0" hidden="1">Merged_COEM!$B$47:$AN$129</definedName>
    <definedName name="Z_B6B30A94_A4FB_42AF_BB3D_564C0E1E2210_.wvu.FilterData" localSheetId="1" hidden="1">Merged_JOEM!$B$47:$AN$108</definedName>
    <definedName name="Z_BC173873_A7A3_429A_A2F2_06B8E17D4E2D_.wvu.FilterData" localSheetId="0" hidden="1">Merged_COEM!$P$47:$P$194</definedName>
    <definedName name="Z_BC173873_A7A3_429A_A2F2_06B8E17D4E2D_.wvu.FilterData" localSheetId="1" hidden="1">Merged_JOEM!$B$47:$AN$108</definedName>
    <definedName name="Z_BFE28FD3_FC05_47D2_B394_F3516A4D0AB3_.wvu.FilterData" localSheetId="0" hidden="1">Merged_COEM!$B$47:$AN$47</definedName>
    <definedName name="Z_CDA0C6D7_3A34_4603_A386_6EC3B3F2C1A3_.wvu.FilterData" localSheetId="0" hidden="1">Merged_COEM!$B$47:$AN$152</definedName>
    <definedName name="Z_CEBE8AC3_188B_4F97_A24F_371A11C4421A_.wvu.FilterData" localSheetId="0" hidden="1">Merged_COEM!$B$47:$AN$152</definedName>
    <definedName name="Z_D27A9719_CA1F_4F10_B026_6793A25D97CF_.wvu.FilterData" localSheetId="0" hidden="1">Merged_COEM!$B$47:$AN$152</definedName>
    <definedName name="Z_D27A9719_CA1F_4F10_B026_6793A25D97CF_.wvu.FilterData" localSheetId="1" hidden="1">Merged_JOEM!$B$47:$AN$116</definedName>
    <definedName name="Z_D33AC7AF_C8AB_4CE9_94C7_9237011A5FC3_.wvu.FilterData" localSheetId="0" hidden="1">Merged_COEM!$B$47:$AN$152</definedName>
    <definedName name="Z_D33AC7AF_C8AB_4CE9_94C7_9237011A5FC3_.wvu.FilterData" localSheetId="1" hidden="1">Merged_JOEM!$B$47:$AN$116</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DA781726_B906_42BF_9F10_92770707708D_.wvu.FilterData" localSheetId="0" hidden="1">Merged_COEM!$B$47:$AN$152</definedName>
    <definedName name="Z_E6180E73_1E02_47C0_826F_065429E1DBB3_.wvu.FilterData" localSheetId="0" hidden="1">Merged_COEM!$B$47:$AN$172</definedName>
    <definedName name="Z_EB30279F_71BB_4BBD_A7EE_691D83FBCC50_.wvu.FilterData" localSheetId="0" hidden="1">Merged_COEM!$B$47:$AN$47</definedName>
    <definedName name="Z_F3C62E6E_7BB8_439B_825E_263944F8EEFB_.wvu.FilterData" localSheetId="0" hidden="1">Merged_COEM!$B$47:$AN$193</definedName>
    <definedName name="Z_F42B3598_EC4C_4CA4_96A7_EB7E4FD7B31F_.wvu.FilterData" localSheetId="0" hidden="1">Merged_COEM!$B$47:$AN$152</definedName>
    <definedName name="Z_F687CD9E_1B76_4957_9426_4ECD58D5D7D3_.wvu.FilterData" localSheetId="0" hidden="1">Merged_COEM!$B$47:$AN$152</definedName>
  </definedNames>
  <calcPr calcId="162913"/>
  <customWorkbookViews>
    <customWorkbookView name="EXTERNAL Nguyen Tai Hau (Ban Vien, RBVH/EPS45) - Personal View" guid="{7ECC2B8E-6A82-42F5-8AB0-4A51C54EA5EC}"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 name="EXTERNAL Luu Cong Dac (Ban Vien, RBVH/EPS45) - Personal View" guid="{336B6883-2145-4B58-921E-CEC7185A847E}" mergeInterval="0" personalView="1" maximized="1" xWindow="-8" yWindow="-8" windowWidth="1936" windowHeight="1176" tabRatio="428" activeSheetId="2"/>
    <customWorkbookView name="EXTERNAL Nguyen Duy Bang (Ban Vien, RBVH/EPS45) - Personal View" guid="{A2C66332-A809-458E-971B-FDB6D62C74C3}" mergeInterval="0" personalView="1" maximized="1" xWindow="-8" yWindow="-8" windowWidth="1936" windowHeight="1176" activeSheetId="1"/>
    <customWorkbookView name="EXTERNAL Do Phu Loc (Ban Vien, RBVH/EPS45) - Personal View" guid="{72A6EB0A-84D5-4B8A-AC51-54CCD061630B}" mergeInterval="0" personalView="1" maximized="1" xWindow="-8" yWindow="-8" windowWidth="1936" windowHeight="1176" tabRatio="462" activeSheetId="2"/>
    <customWorkbookView name="EXTERNAL Nguyen Kim Thanh (Ban Vien, RBVH/EPS45) - Personal View" guid="{4E06BDBF-2CED-473B-850B-2A6C7311FF41}" mergeInterval="0" personalView="1" maximized="1" xWindow="-8" yWindow="-8" windowWidth="1936" windowHeight="1176" activeSheetId="1"/>
    <customWorkbookView name="EXTERNAL Do Anh Huy (Ban Vien Company, RBVH/EPS45) - Personal View" guid="{D33AC7AF-C8AB-4CE9-94C7-9237011A5FC3}" mergeInterval="0" personalView="1" maximized="1" xWindow="-8" yWindow="-8" windowWidth="1936" windowHeight="1176" activeSheetId="2"/>
    <customWorkbookView name="EXTERNAL Nguyen Tuan Duong (Ban Vien, RBVH/EPS45) - Personal View" guid="{7E0EA425-A420-4443-B9E0-CDF0AA9E5D09}"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495" activeSheetId="1"/>
    <customWorkbookView name="EXTERNAL Nguyen Trung Hieu (Ban Vien, RBVH/EPS45) - Personal View" guid="{250915DF-0B97-45D7-B29D-7EED4C89C1C1}" mergeInterval="0" personalView="1" maximized="1" xWindow="-8" yWindow="-8" windowWidth="1936" windowHeight="117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55" i="1" l="1"/>
  <c r="Y156" i="1"/>
  <c r="Y157" i="1"/>
  <c r="Y158" i="1"/>
  <c r="Y159" i="1"/>
  <c r="Y154" i="1"/>
  <c r="H36" i="5" l="1"/>
  <c r="G36" i="5"/>
  <c r="F36" i="5"/>
  <c r="H35" i="5"/>
  <c r="G35" i="5"/>
  <c r="C29" i="5" s="1"/>
  <c r="C31" i="5"/>
  <c r="C30" i="5"/>
  <c r="W145" i="2"/>
  <c r="W144" i="2"/>
  <c r="W143" i="2"/>
  <c r="W142" i="2"/>
  <c r="W141" i="2"/>
  <c r="W140" i="2"/>
  <c r="W139" i="2"/>
  <c r="W138" i="2"/>
  <c r="W137" i="2"/>
  <c r="W136" i="2"/>
  <c r="W135" i="2"/>
  <c r="W134" i="2"/>
  <c r="W133" i="2"/>
  <c r="W132" i="2"/>
  <c r="X132" i="2" s="1"/>
  <c r="W131" i="2"/>
  <c r="X131" i="2" s="1"/>
  <c r="W130" i="2"/>
  <c r="X130" i="2" s="1"/>
  <c r="W129" i="2"/>
  <c r="X129" i="2" s="1"/>
  <c r="W128" i="2"/>
  <c r="X128" i="2" s="1"/>
  <c r="W127" i="2"/>
  <c r="X127" i="2" s="1"/>
  <c r="F35" i="5" s="1"/>
  <c r="W126" i="2"/>
  <c r="W125" i="2"/>
  <c r="W124" i="2"/>
  <c r="W123" i="2"/>
  <c r="W122" i="2"/>
  <c r="W121" i="2"/>
  <c r="W120" i="2"/>
  <c r="W119" i="2"/>
  <c r="W118" i="2"/>
  <c r="W117" i="2"/>
  <c r="E35" i="5" l="1"/>
  <c r="I35" i="5" s="1"/>
  <c r="E36" i="5"/>
  <c r="I36" i="5" s="1"/>
  <c r="C32" i="5"/>
  <c r="W118" i="1" l="1"/>
  <c r="Y118" i="1" s="1"/>
  <c r="X118" i="1" l="1"/>
  <c r="H62" i="4"/>
  <c r="G62" i="4"/>
  <c r="F62" i="4"/>
  <c r="E62" i="4"/>
  <c r="H61" i="4"/>
  <c r="C57" i="4"/>
  <c r="C56" i="4"/>
  <c r="I62" i="4" l="1"/>
  <c r="W152" i="1" l="1"/>
  <c r="W151" i="1"/>
  <c r="W150" i="1"/>
  <c r="X150" i="1" s="1"/>
  <c r="W149" i="1"/>
  <c r="X149" i="1" s="1"/>
  <c r="W148" i="1"/>
  <c r="W147" i="1"/>
  <c r="W146" i="1"/>
  <c r="W145" i="1"/>
  <c r="X145" i="1" s="1"/>
  <c r="W144" i="1"/>
  <c r="W143" i="1"/>
  <c r="Y149" i="1" l="1"/>
  <c r="Y150" i="1"/>
  <c r="Y151" i="1"/>
  <c r="X151" i="1"/>
  <c r="Y148" i="1"/>
  <c r="X148" i="1"/>
  <c r="Y145" i="1"/>
  <c r="E61" i="4"/>
  <c r="Y147" i="1"/>
  <c r="X147" i="1"/>
  <c r="Y146" i="1"/>
  <c r="X146" i="1"/>
  <c r="Y143" i="1"/>
  <c r="X143" i="1"/>
  <c r="Y144" i="1"/>
  <c r="X144" i="1"/>
  <c r="Y152" i="1"/>
  <c r="X152" i="1"/>
  <c r="W133" i="1"/>
  <c r="X133" i="1" s="1"/>
  <c r="G61" i="4" l="1"/>
  <c r="F61" i="4"/>
  <c r="I61" i="4" s="1"/>
  <c r="Y133" i="1"/>
  <c r="W131" i="1"/>
  <c r="W132" i="1"/>
  <c r="W134" i="1"/>
  <c r="W135" i="1"/>
  <c r="W136" i="1"/>
  <c r="W137" i="1"/>
  <c r="W138" i="1"/>
  <c r="W139" i="1"/>
  <c r="W140" i="1"/>
  <c r="W141" i="1"/>
  <c r="W142" i="1"/>
  <c r="W130" i="1"/>
  <c r="C18" i="5"/>
  <c r="C17" i="5"/>
  <c r="H23" i="5"/>
  <c r="G23" i="5"/>
  <c r="H22" i="5"/>
  <c r="G22" i="5"/>
  <c r="W116" i="2"/>
  <c r="X116" i="2" s="1"/>
  <c r="W115" i="2"/>
  <c r="X115" i="2" s="1"/>
  <c r="W114" i="2"/>
  <c r="X114" i="2" s="1"/>
  <c r="W113" i="2"/>
  <c r="X113" i="2" s="1"/>
  <c r="W112" i="2"/>
  <c r="X112" i="2" s="1"/>
  <c r="W111" i="2"/>
  <c r="X111" i="2" s="1"/>
  <c r="W110" i="2"/>
  <c r="X110" i="2" s="1"/>
  <c r="W109" i="2"/>
  <c r="X109" i="2" s="1"/>
  <c r="X73" i="1"/>
  <c r="W73" i="1"/>
  <c r="F22" i="5" l="1"/>
  <c r="F23" i="5"/>
  <c r="Y137" i="1"/>
  <c r="X137" i="1"/>
  <c r="C55" i="4"/>
  <c r="C58" i="4"/>
  <c r="Y136" i="1"/>
  <c r="X136" i="1"/>
  <c r="Y130" i="1"/>
  <c r="X130" i="1"/>
  <c r="E23" i="5"/>
  <c r="E22" i="5"/>
  <c r="C16" i="5"/>
  <c r="C19" i="5"/>
  <c r="Y142" i="1"/>
  <c r="X142" i="1"/>
  <c r="Y138" i="1"/>
  <c r="X138" i="1"/>
  <c r="Y134" i="1"/>
  <c r="X134" i="1"/>
  <c r="Y141" i="1"/>
  <c r="X141" i="1"/>
  <c r="Y132" i="1"/>
  <c r="X132" i="1"/>
  <c r="Y140" i="1"/>
  <c r="X140" i="1"/>
  <c r="Y139" i="1"/>
  <c r="X139" i="1"/>
  <c r="Y131" i="1"/>
  <c r="X131" i="1"/>
  <c r="Y135" i="1"/>
  <c r="X135" i="1"/>
  <c r="H49" i="4"/>
  <c r="G49" i="4"/>
  <c r="F49" i="4"/>
  <c r="E49" i="4"/>
  <c r="H48" i="4"/>
  <c r="C44" i="4"/>
  <c r="C43" i="4"/>
  <c r="H36" i="4"/>
  <c r="F36" i="4"/>
  <c r="H35" i="4"/>
  <c r="C31" i="4"/>
  <c r="C30" i="4"/>
  <c r="W129" i="1"/>
  <c r="W128" i="1"/>
  <c r="W127" i="1"/>
  <c r="W126" i="1"/>
  <c r="W125" i="1"/>
  <c r="W124" i="1"/>
  <c r="W123" i="1"/>
  <c r="W122" i="1"/>
  <c r="W121" i="1"/>
  <c r="W120" i="1"/>
  <c r="W119" i="1"/>
  <c r="W117" i="1"/>
  <c r="W116" i="1"/>
  <c r="W115" i="1"/>
  <c r="W114" i="1"/>
  <c r="X114" i="1" s="1"/>
  <c r="I22" i="5" l="1"/>
  <c r="I23" i="5"/>
  <c r="E4" i="1"/>
  <c r="Y115" i="1"/>
  <c r="X115" i="1"/>
  <c r="Y116" i="1"/>
  <c r="X116" i="1"/>
  <c r="Y117" i="1"/>
  <c r="X117" i="1"/>
  <c r="Y129" i="1"/>
  <c r="X129" i="1"/>
  <c r="Y128" i="1"/>
  <c r="X128" i="1"/>
  <c r="Y119" i="1"/>
  <c r="X119" i="1"/>
  <c r="Y123" i="1"/>
  <c r="X123" i="1"/>
  <c r="Y127" i="1"/>
  <c r="X127" i="1"/>
  <c r="Y126" i="1"/>
  <c r="X126" i="1"/>
  <c r="Y120" i="1"/>
  <c r="X120" i="1"/>
  <c r="Y121" i="1"/>
  <c r="X121" i="1"/>
  <c r="Y122" i="1"/>
  <c r="X122" i="1"/>
  <c r="Y124" i="1"/>
  <c r="X124" i="1"/>
  <c r="Y125" i="1"/>
  <c r="X125" i="1"/>
  <c r="E48" i="4"/>
  <c r="Y114" i="1"/>
  <c r="I49" i="4"/>
  <c r="Y66" i="1"/>
  <c r="X66" i="1"/>
  <c r="W112" i="1"/>
  <c r="G48" i="4" l="1"/>
  <c r="C42" i="4" s="1"/>
  <c r="F48" i="4"/>
  <c r="I48" i="4" s="1"/>
  <c r="X112" i="1"/>
  <c r="F35" i="4" s="1"/>
  <c r="E35" i="4"/>
  <c r="Z89" i="1"/>
  <c r="X61" i="1"/>
  <c r="C45" i="4" l="1"/>
  <c r="I35" i="4"/>
  <c r="Y112" i="1"/>
  <c r="G35" i="4" s="1"/>
  <c r="W113" i="1"/>
  <c r="V74" i="1"/>
  <c r="V72" i="1"/>
  <c r="V71" i="1"/>
  <c r="V68" i="1"/>
  <c r="Y113" i="1" l="1"/>
  <c r="G36" i="4" s="1"/>
  <c r="C29" i="4" s="1"/>
  <c r="E36" i="4"/>
  <c r="I36" i="4" s="1"/>
  <c r="H23" i="4"/>
  <c r="H22" i="4"/>
  <c r="G10" i="4"/>
  <c r="F10" i="4"/>
  <c r="H10" i="4"/>
  <c r="E10" i="4"/>
  <c r="H9" i="4"/>
  <c r="D4" i="1"/>
  <c r="C32" i="4" l="1"/>
  <c r="Z107" i="2"/>
  <c r="Z106" i="2"/>
  <c r="Z104" i="2"/>
  <c r="Z103" i="2"/>
  <c r="Z71" i="2"/>
  <c r="Z67" i="2"/>
  <c r="Z66" i="2"/>
  <c r="Z65" i="2"/>
  <c r="Z64" i="2"/>
  <c r="Z63" i="2"/>
  <c r="Z62" i="2"/>
  <c r="Z61" i="2"/>
  <c r="Z60" i="2"/>
  <c r="Z59" i="2"/>
  <c r="Z58" i="2"/>
  <c r="Z57" i="2"/>
  <c r="Z56" i="2"/>
  <c r="Z55" i="2"/>
  <c r="Z54" i="2"/>
  <c r="V70" i="1"/>
  <c r="V69" i="1"/>
  <c r="W108" i="2" l="1"/>
  <c r="X108" i="2" s="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X68" i="1" s="1"/>
  <c r="W69" i="1"/>
  <c r="W70" i="1"/>
  <c r="W71" i="1"/>
  <c r="W72" i="1"/>
  <c r="Y73" i="1"/>
  <c r="W74" i="1"/>
  <c r="Y74" i="1" s="1"/>
  <c r="Y72" i="1" l="1"/>
  <c r="X72" i="1"/>
  <c r="Y69" i="1"/>
  <c r="X69" i="1"/>
  <c r="Y68" i="1"/>
  <c r="E23" i="4"/>
  <c r="Y70" i="1"/>
  <c r="X70" i="1"/>
  <c r="Y71" i="1"/>
  <c r="X71" i="1"/>
  <c r="F23" i="4" s="1"/>
  <c r="W67" i="1"/>
  <c r="W65" i="1"/>
  <c r="W64" i="1"/>
  <c r="X64" i="1" s="1"/>
  <c r="Y67" i="1" l="1"/>
  <c r="X67" i="1"/>
  <c r="Y65" i="1"/>
  <c r="X65" i="1"/>
  <c r="I23" i="4"/>
  <c r="E22" i="4"/>
  <c r="G23" i="4"/>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H10" i="5"/>
  <c r="H9" i="5"/>
  <c r="G10" i="5"/>
  <c r="G9" i="5"/>
  <c r="E5" i="2"/>
  <c r="O32" i="6" s="1"/>
  <c r="Q32" i="6" s="1"/>
  <c r="E13" i="2"/>
  <c r="O40" i="6" s="1"/>
  <c r="Q40" i="6" s="1"/>
  <c r="W107" i="2"/>
  <c r="X107" i="2" s="1"/>
  <c r="W106" i="2"/>
  <c r="X106" i="2" s="1"/>
  <c r="W105" i="2"/>
  <c r="X105" i="2" s="1"/>
  <c r="W104" i="2"/>
  <c r="X104" i="2" s="1"/>
  <c r="W103" i="2"/>
  <c r="X103" i="2" s="1"/>
  <c r="W102" i="2"/>
  <c r="X102" i="2" s="1"/>
  <c r="W101" i="2"/>
  <c r="X101" i="2" s="1"/>
  <c r="W100" i="2"/>
  <c r="X100" i="2" s="1"/>
  <c r="W99" i="2"/>
  <c r="X99" i="2" s="1"/>
  <c r="W98" i="2"/>
  <c r="X98" i="2" s="1"/>
  <c r="W97" i="2"/>
  <c r="X97" i="2" s="1"/>
  <c r="W96" i="2"/>
  <c r="X96" i="2" s="1"/>
  <c r="W95" i="2"/>
  <c r="X95" i="2" s="1"/>
  <c r="W94" i="2"/>
  <c r="X94" i="2" s="1"/>
  <c r="W93" i="2"/>
  <c r="X93" i="2" s="1"/>
  <c r="W92" i="2"/>
  <c r="X92" i="2" s="1"/>
  <c r="W91" i="2"/>
  <c r="X91" i="2" s="1"/>
  <c r="W90" i="2"/>
  <c r="X90" i="2" s="1"/>
  <c r="W89" i="2"/>
  <c r="X89" i="2" s="1"/>
  <c r="W88" i="2"/>
  <c r="X88" i="2" s="1"/>
  <c r="W87" i="2"/>
  <c r="X87" i="2" s="1"/>
  <c r="W86" i="2"/>
  <c r="X86" i="2" s="1"/>
  <c r="W85" i="2"/>
  <c r="X85" i="2" s="1"/>
  <c r="W84" i="2"/>
  <c r="X84" i="2" s="1"/>
  <c r="W83" i="2"/>
  <c r="X83" i="2" s="1"/>
  <c r="W82" i="2"/>
  <c r="X82" i="2" s="1"/>
  <c r="W81" i="2"/>
  <c r="X81" i="2" s="1"/>
  <c r="W80" i="2"/>
  <c r="X80" i="2" s="1"/>
  <c r="W79" i="2"/>
  <c r="X79" i="2" s="1"/>
  <c r="W78" i="2"/>
  <c r="X78" i="2" s="1"/>
  <c r="W77" i="2"/>
  <c r="X77" i="2" s="1"/>
  <c r="W76" i="2"/>
  <c r="X76" i="2" s="1"/>
  <c r="W75" i="2"/>
  <c r="X75" i="2" s="1"/>
  <c r="W74" i="2"/>
  <c r="X74" i="2" s="1"/>
  <c r="W73" i="2"/>
  <c r="X73" i="2" s="1"/>
  <c r="W72" i="2"/>
  <c r="X72" i="2" s="1"/>
  <c r="W71" i="2"/>
  <c r="X71" i="2" s="1"/>
  <c r="W70" i="2"/>
  <c r="X70" i="2" s="1"/>
  <c r="W69" i="2"/>
  <c r="X69" i="2" s="1"/>
  <c r="W68" i="2"/>
  <c r="X68" i="2" s="1"/>
  <c r="W67" i="2"/>
  <c r="X67" i="2" s="1"/>
  <c r="W66" i="2"/>
  <c r="X66" i="2" s="1"/>
  <c r="W65" i="2"/>
  <c r="X65" i="2" s="1"/>
  <c r="W64" i="2"/>
  <c r="X64" i="2" s="1"/>
  <c r="W63" i="2"/>
  <c r="X63" i="2" s="1"/>
  <c r="W62" i="2"/>
  <c r="X62" i="2" s="1"/>
  <c r="W61" i="2"/>
  <c r="X61" i="2" s="1"/>
  <c r="W60" i="2"/>
  <c r="X60" i="2" s="1"/>
  <c r="W59" i="2"/>
  <c r="X59" i="2" s="1"/>
  <c r="W58" i="2"/>
  <c r="X58" i="2" s="1"/>
  <c r="W57" i="2"/>
  <c r="X57" i="2" s="1"/>
  <c r="W56" i="2"/>
  <c r="X56" i="2" s="1"/>
  <c r="W55" i="2"/>
  <c r="X55" i="2" s="1"/>
  <c r="W54" i="2"/>
  <c r="X54" i="2" s="1"/>
  <c r="W53" i="2"/>
  <c r="X53" i="2" s="1"/>
  <c r="W52" i="2"/>
  <c r="X52" i="2" s="1"/>
  <c r="W51" i="2"/>
  <c r="X51" i="2" s="1"/>
  <c r="W50" i="2"/>
  <c r="X50" i="2" s="1"/>
  <c r="W49" i="2"/>
  <c r="X49" i="2" s="1"/>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M13" i="2"/>
  <c r="K14" i="2" s="1"/>
  <c r="F13" i="2"/>
  <c r="D13" i="2"/>
  <c r="F12" i="2"/>
  <c r="F11" i="2"/>
  <c r="E11" i="2"/>
  <c r="O38" i="6" s="1"/>
  <c r="Q38" i="6" s="1"/>
  <c r="D11" i="2"/>
  <c r="F10" i="2"/>
  <c r="E10" i="2"/>
  <c r="O37" i="6" s="1"/>
  <c r="Q37" i="6" s="1"/>
  <c r="D10" i="2"/>
  <c r="F9" i="2"/>
  <c r="E9" i="2"/>
  <c r="O36" i="6" s="1"/>
  <c r="Q36" i="6" s="1"/>
  <c r="D9" i="2"/>
  <c r="F8" i="2"/>
  <c r="E8" i="2"/>
  <c r="O35" i="6" s="1"/>
  <c r="Q35" i="6" s="1"/>
  <c r="D8" i="2"/>
  <c r="F7" i="2"/>
  <c r="F6" i="2"/>
  <c r="E6" i="2"/>
  <c r="O33" i="6" s="1"/>
  <c r="Q33" i="6" s="1"/>
  <c r="D6" i="2"/>
  <c r="F5" i="2"/>
  <c r="D5" i="2"/>
  <c r="F4" i="2"/>
  <c r="A2" i="5"/>
  <c r="C4" i="5"/>
  <c r="C5" i="5"/>
  <c r="E4" i="2" l="1"/>
  <c r="O31" i="6" s="1"/>
  <c r="Q31" i="6" s="1"/>
  <c r="C16" i="4"/>
  <c r="D4" i="2"/>
  <c r="F9" i="5"/>
  <c r="X48" i="2"/>
  <c r="E22" i="2" s="1"/>
  <c r="E10" i="5"/>
  <c r="E12" i="2"/>
  <c r="O39" i="6" s="1"/>
  <c r="Q39" i="6" s="1"/>
  <c r="D12" i="2"/>
  <c r="D42" i="2" s="1"/>
  <c r="F10" i="5"/>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E9" i="5"/>
  <c r="J44" i="1"/>
  <c r="F51" i="6"/>
  <c r="I44" i="1"/>
  <c r="J44" i="2"/>
  <c r="I44" i="2"/>
  <c r="E43" i="2"/>
  <c r="H27" i="2"/>
  <c r="E7" i="2"/>
  <c r="O34" i="6" s="1"/>
  <c r="Q34" i="6" s="1"/>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34" i="2"/>
  <c r="D7" i="2"/>
  <c r="H23" i="2"/>
  <c r="G28" i="2"/>
  <c r="E41" i="2"/>
  <c r="D43" i="2"/>
  <c r="H10" i="2"/>
  <c r="G20" i="2"/>
  <c r="D22" i="2"/>
  <c r="E39" i="2"/>
  <c r="H26" i="2"/>
  <c r="E29" i="2"/>
  <c r="D38" i="2"/>
  <c r="E14" i="2"/>
  <c r="G5" i="2"/>
  <c r="K16" i="2"/>
  <c r="F44" i="2" s="1"/>
  <c r="E40" i="2"/>
  <c r="H25" i="2"/>
  <c r="G25" i="2"/>
  <c r="H8" i="2"/>
  <c r="G8" i="2"/>
  <c r="E38" i="2"/>
  <c r="H9" i="2"/>
  <c r="H13" i="2"/>
  <c r="E36" i="2"/>
  <c r="H21" i="2"/>
  <c r="G21" i="2"/>
  <c r="H5" i="2"/>
  <c r="D14" i="2"/>
  <c r="O26" i="6" s="1"/>
  <c r="Q26" i="6" s="1"/>
  <c r="H20" i="2"/>
  <c r="H24" i="2"/>
  <c r="H28" i="2"/>
  <c r="E34" i="2" l="1"/>
  <c r="G4" i="2"/>
  <c r="H4" i="2"/>
  <c r="H12" i="2"/>
  <c r="E42" i="2"/>
  <c r="H42" i="2" s="1"/>
  <c r="G12" i="2"/>
  <c r="P34" i="6"/>
  <c r="R34" i="6" s="1"/>
  <c r="G22" i="2"/>
  <c r="J14" i="6"/>
  <c r="I14" i="6"/>
  <c r="H43" i="2"/>
  <c r="H39" i="2"/>
  <c r="H41" i="2"/>
  <c r="H29" i="2"/>
  <c r="H35" i="2"/>
  <c r="D37" i="2"/>
  <c r="D44" i="2" s="1"/>
  <c r="E37" i="2"/>
  <c r="G14" i="2"/>
  <c r="P26" i="6"/>
  <c r="R26" i="6" s="1"/>
  <c r="G29" i="2"/>
  <c r="P27" i="6"/>
  <c r="R27" i="6" s="1"/>
  <c r="G7" i="2"/>
  <c r="H7" i="2"/>
  <c r="H22" i="2"/>
  <c r="H14" i="2"/>
  <c r="F37" i="2"/>
  <c r="F40" i="2"/>
  <c r="G40" i="2" s="1"/>
  <c r="F42" i="2"/>
  <c r="F35" i="2"/>
  <c r="G35" i="2" s="1"/>
  <c r="F39" i="2"/>
  <c r="G39" i="2" s="1"/>
  <c r="F36" i="2"/>
  <c r="G36" i="2" s="1"/>
  <c r="F41" i="2"/>
  <c r="G41" i="2" s="1"/>
  <c r="F34" i="2"/>
  <c r="G34" i="2" s="1"/>
  <c r="F38" i="2"/>
  <c r="G38" i="2" s="1"/>
  <c r="F43" i="2"/>
  <c r="G43" i="2" s="1"/>
  <c r="H36" i="2"/>
  <c r="H34" i="2"/>
  <c r="H38" i="2"/>
  <c r="H40" i="2"/>
  <c r="C5" i="4"/>
  <c r="C4" i="4"/>
  <c r="G42" i="2" l="1"/>
  <c r="H37" i="2"/>
  <c r="G37" i="2"/>
  <c r="E44" i="2"/>
  <c r="G44" i="2" s="1"/>
  <c r="W49" i="1"/>
  <c r="W50" i="1"/>
  <c r="W51" i="1"/>
  <c r="W52" i="1"/>
  <c r="W53" i="1"/>
  <c r="W54" i="1"/>
  <c r="W55" i="1"/>
  <c r="W56" i="1"/>
  <c r="W57" i="1"/>
  <c r="W58" i="1"/>
  <c r="W59" i="1"/>
  <c r="W60" i="1"/>
  <c r="W62" i="1"/>
  <c r="W63" i="1"/>
  <c r="W48" i="1"/>
  <c r="X48" i="1" s="1"/>
  <c r="Y59" i="1" l="1"/>
  <c r="X59" i="1"/>
  <c r="Y58" i="1"/>
  <c r="X58" i="1"/>
  <c r="Y49" i="1"/>
  <c r="X49" i="1"/>
  <c r="Y60" i="1"/>
  <c r="X60" i="1"/>
  <c r="Y61" i="1"/>
  <c r="Y62" i="1"/>
  <c r="X62" i="1"/>
  <c r="Y50" i="1"/>
  <c r="X50" i="1"/>
  <c r="Y52" i="1"/>
  <c r="X52" i="1"/>
  <c r="Y54" i="1"/>
  <c r="X54" i="1"/>
  <c r="Y53" i="1"/>
  <c r="X53" i="1"/>
  <c r="Y63" i="1"/>
  <c r="X63" i="1"/>
  <c r="Y55" i="1"/>
  <c r="X55" i="1"/>
  <c r="Y51" i="1"/>
  <c r="X51" i="1"/>
  <c r="Y57" i="1"/>
  <c r="X57" i="1"/>
  <c r="Y48" i="1"/>
  <c r="E9" i="4"/>
  <c r="Y56" i="1"/>
  <c r="X56" i="1"/>
  <c r="H44" i="2"/>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F9" i="4" l="1"/>
  <c r="I9" i="4" s="1"/>
  <c r="G9" i="4"/>
  <c r="C6" i="4" s="1"/>
  <c r="U10" i="4"/>
  <c r="T10" i="4"/>
  <c r="S10" i="4"/>
  <c r="R10" i="4"/>
  <c r="U9" i="4"/>
  <c r="M13" i="1" l="1"/>
  <c r="K16" i="1" s="1"/>
  <c r="F44" i="1" s="1"/>
  <c r="P4" i="4"/>
  <c r="P5" i="4"/>
  <c r="F37" i="1" l="1"/>
  <c r="F41" i="1"/>
  <c r="F38" i="1"/>
  <c r="F42" i="1"/>
  <c r="F35" i="1"/>
  <c r="F39" i="1"/>
  <c r="F43" i="1"/>
  <c r="F36" i="1"/>
  <c r="F40" i="1"/>
  <c r="F34" i="1"/>
  <c r="S9" i="4"/>
  <c r="R9" i="4"/>
  <c r="T9" i="4"/>
  <c r="P3" i="4" s="1"/>
  <c r="V10" i="4"/>
  <c r="V9" i="4" l="1"/>
  <c r="C3" i="4"/>
  <c r="I10" i="4" l="1"/>
  <c r="F28" i="1" l="1"/>
  <c r="E28" i="1"/>
  <c r="D28" i="1"/>
  <c r="F27" i="1"/>
  <c r="E27" i="1"/>
  <c r="D27" i="1"/>
  <c r="F26" i="1"/>
  <c r="E26" i="1"/>
  <c r="D26" i="1"/>
  <c r="F25" i="1"/>
  <c r="E25" i="1"/>
  <c r="D25" i="1"/>
  <c r="F24" i="1"/>
  <c r="E24" i="1"/>
  <c r="D24" i="1"/>
  <c r="F23" i="1"/>
  <c r="E23" i="1"/>
  <c r="D23" i="1"/>
  <c r="F22" i="1"/>
  <c r="F21" i="1"/>
  <c r="F13" i="1"/>
  <c r="F12" i="1"/>
  <c r="F11" i="1"/>
  <c r="E11" i="1"/>
  <c r="D11" i="1"/>
  <c r="F10" i="1"/>
  <c r="E10" i="1"/>
  <c r="D10" i="1"/>
  <c r="F9" i="1"/>
  <c r="E9" i="1"/>
  <c r="D9" i="1"/>
  <c r="F8" i="1"/>
  <c r="E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D41" i="1"/>
  <c r="D11" i="6" s="1"/>
  <c r="H27" i="1"/>
  <c r="H10" i="1"/>
  <c r="G11" i="1"/>
  <c r="H26" i="1"/>
  <c r="H25" i="1"/>
  <c r="D40" i="1"/>
  <c r="D10" i="6" s="1"/>
  <c r="E40" i="1"/>
  <c r="E10" i="6" s="1"/>
  <c r="H11" i="1"/>
  <c r="H24" i="1"/>
  <c r="H9" i="1"/>
  <c r="H23" i="1"/>
  <c r="G26" i="1"/>
  <c r="E39" i="1"/>
  <c r="E9" i="6" s="1"/>
  <c r="E41" i="1"/>
  <c r="E11" i="6" s="1"/>
  <c r="G23" i="1"/>
  <c r="G27" i="1"/>
  <c r="G24" i="1"/>
  <c r="G28" i="1"/>
  <c r="G8" i="1"/>
  <c r="G9" i="1"/>
  <c r="H9" i="6" l="1"/>
  <c r="E8" i="6"/>
  <c r="H8" i="6" s="1"/>
  <c r="H38" i="1"/>
  <c r="H11" i="6"/>
  <c r="H10" i="6"/>
  <c r="H41" i="1"/>
  <c r="H39" i="1"/>
  <c r="H40" i="1"/>
  <c r="E13" i="1" l="1"/>
  <c r="D13" i="1"/>
  <c r="D43" i="1" s="1"/>
  <c r="D13" i="6" s="1"/>
  <c r="E12" i="1"/>
  <c r="D12" i="1"/>
  <c r="D42" i="1" s="1"/>
  <c r="D12" i="6" s="1"/>
  <c r="E39" i="6" l="1"/>
  <c r="G39" i="6" s="1"/>
  <c r="E40" i="6"/>
  <c r="G40" i="6" s="1"/>
  <c r="H12" i="1"/>
  <c r="G12" i="1"/>
  <c r="E42" i="1"/>
  <c r="H13" i="1"/>
  <c r="E43" i="1"/>
  <c r="G13" i="1"/>
  <c r="D19" i="6"/>
  <c r="B22" i="6" s="1"/>
  <c r="F4" i="6" l="1"/>
  <c r="F13" i="6"/>
  <c r="F9" i="6"/>
  <c r="G9" i="6" s="1"/>
  <c r="F5" i="6"/>
  <c r="F10" i="6"/>
  <c r="G10" i="6" s="1"/>
  <c r="F12" i="6"/>
  <c r="F8" i="6"/>
  <c r="G8" i="6" s="1"/>
  <c r="F11" i="6"/>
  <c r="G11" i="6" s="1"/>
  <c r="F7" i="6"/>
  <c r="F6" i="6"/>
  <c r="F14" i="6"/>
  <c r="K14" i="6" s="1"/>
  <c r="H43" i="1"/>
  <c r="E13" i="6"/>
  <c r="H42" i="1"/>
  <c r="E12" i="6"/>
  <c r="N19" i="6"/>
  <c r="B20" i="6"/>
  <c r="L20" i="6" s="1"/>
  <c r="H12" i="6" l="1"/>
  <c r="G12" i="6"/>
  <c r="G13" i="6"/>
  <c r="H13" i="6"/>
  <c r="L22" i="6"/>
  <c r="K14" i="1"/>
  <c r="G40" i="1" l="1"/>
  <c r="G43" i="1"/>
  <c r="G39" i="1"/>
  <c r="G42" i="1"/>
  <c r="G38" i="1"/>
  <c r="G41" i="1"/>
  <c r="F14" i="1" l="1"/>
  <c r="F6" i="1"/>
  <c r="F5" i="1"/>
  <c r="F4" i="1"/>
  <c r="F19" i="1"/>
  <c r="D7" i="1" l="1"/>
  <c r="E7" i="1"/>
  <c r="E21" i="1"/>
  <c r="D21" i="1"/>
  <c r="D22" i="1"/>
  <c r="D5" i="1"/>
  <c r="D6" i="1"/>
  <c r="E26" i="6"/>
  <c r="E5" i="1"/>
  <c r="E29" i="1"/>
  <c r="F27" i="6" s="1"/>
  <c r="D20" i="1"/>
  <c r="F20" i="1"/>
  <c r="F29" i="1"/>
  <c r="E6" i="1"/>
  <c r="E14" i="1"/>
  <c r="F26" i="6" s="1"/>
  <c r="D19" i="1"/>
  <c r="D29" i="1"/>
  <c r="E27" i="6" s="1"/>
  <c r="E33" i="6" l="1"/>
  <c r="G33" i="6" s="1"/>
  <c r="F33" i="6"/>
  <c r="H33" i="6" s="1"/>
  <c r="E34" i="6"/>
  <c r="G34" i="6" s="1"/>
  <c r="E32" i="6"/>
  <c r="G32" i="6" s="1"/>
  <c r="E31" i="6"/>
  <c r="G31" i="6" s="1"/>
  <c r="G27" i="6"/>
  <c r="G26" i="6"/>
  <c r="D37" i="1"/>
  <c r="D7" i="6" s="1"/>
  <c r="E36" i="1"/>
  <c r="G21" i="1"/>
  <c r="E22" i="1"/>
  <c r="H7" i="1"/>
  <c r="G7" i="1"/>
  <c r="H21" i="1"/>
  <c r="D36" i="1"/>
  <c r="D6" i="6" s="1"/>
  <c r="G5" i="1"/>
  <c r="E19" i="1"/>
  <c r="D35" i="1"/>
  <c r="D5" i="6" s="1"/>
  <c r="D34" i="1"/>
  <c r="D4" i="6" s="1"/>
  <c r="H29" i="1"/>
  <c r="G29" i="1"/>
  <c r="E20" i="1"/>
  <c r="G4" i="1"/>
  <c r="H4" i="1"/>
  <c r="H5" i="1"/>
  <c r="G14" i="1"/>
  <c r="H14" i="1"/>
  <c r="G6" i="1"/>
  <c r="H6" i="1"/>
  <c r="E34" i="1" l="1"/>
  <c r="E4" i="6" s="1"/>
  <c r="D14" i="6"/>
  <c r="G36" i="1"/>
  <c r="E6" i="6"/>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H4" i="6"/>
  <c r="E14" i="6"/>
  <c r="G4" i="6"/>
  <c r="G35" i="1"/>
  <c r="G44" i="1"/>
  <c r="G34" i="1"/>
  <c r="C6" i="5"/>
  <c r="C3" i="5"/>
  <c r="I10" i="5" s="1"/>
  <c r="K5" i="6" l="1"/>
  <c r="K4" i="6"/>
  <c r="K6" i="6"/>
  <c r="K11" i="6"/>
  <c r="K9" i="6"/>
  <c r="K8" i="6"/>
  <c r="K10" i="6"/>
  <c r="K13" i="6"/>
  <c r="K12" i="6"/>
  <c r="K7" i="6"/>
  <c r="G14" i="6"/>
  <c r="H14" i="6"/>
</calcChain>
</file>

<file path=xl/comments1.xml><?xml version="1.0" encoding="utf-8"?>
<comments xmlns="http://schemas.openxmlformats.org/spreadsheetml/2006/main">
  <authors>
    <author>EXTERNAL Nguyen Tuan Duong (Ban Vien, RBVH/EPS45)</author>
    <author>EXTERNAL Nguyen Trung Hieu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58E6F418-71FC-4B3B-A631-9031A0B5D56B}" shapeId="0">
      <text>
        <r>
          <rPr>
            <b/>
            <sz val="9"/>
            <color indexed="81"/>
            <rFont val="Tahoma"/>
            <family val="2"/>
          </rPr>
          <t>EXTERNAL Nguyen Tuan Duong (Ban Vien, RBVH/EPS45):</t>
        </r>
        <r>
          <rPr>
            <sz val="9"/>
            <color indexed="81"/>
            <rFont val="Tahoma"/>
            <family val="2"/>
          </rPr>
          <t xml:space="preserve">
Prj China mainstream -&gt; double effort
</t>
        </r>
      </text>
    </comment>
    <comment ref="I118" authorId="1" guid="{7F04830A-AE52-42BE-A33F-0337C69FA1AC}" shapeId="0">
      <text>
        <r>
          <rPr>
            <b/>
            <sz val="9"/>
            <color indexed="81"/>
            <rFont val="Tahoma"/>
            <family val="2"/>
          </rPr>
          <t>EXTERNAL Nguyen Trung Hieu (Ban Vien, RBVH/EPS45):</t>
        </r>
        <r>
          <rPr>
            <sz val="9"/>
            <color indexed="81"/>
            <rFont val="Tahoma"/>
            <family val="2"/>
          </rPr>
          <t xml:space="preserve">
Support for Mr Hai 20200511
</t>
        </r>
      </text>
    </comment>
  </commentList>
</comments>
</file>

<file path=xl/sharedStrings.xml><?xml version="1.0" encoding="utf-8"?>
<sst xmlns="http://schemas.openxmlformats.org/spreadsheetml/2006/main" count="5002" uniqueCount="743">
  <si>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</si>
  <si>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</si>
  <si>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</si>
  <si>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</si>
  <si>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</si>
  <si>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</si>
  <si>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</si>
  <si>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</si>
  <si>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</si>
  <si>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</si>
  <si>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</si>
  <si>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</si>
  <si>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</si>
  <si>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</si>
  <si>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</si>
  <si>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</si>
  <si>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</si>
  <si>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</si>
  <si>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</si>
  <si>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</si>
  <si>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</si>
  <si>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</si>
  <si>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</si>
  <si>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</si>
  <si>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</si>
  <si>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</si>
  <si>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</si>
  <si>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</si>
  <si>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</si>
  <si>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</si>
  <si>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</si>
  <si>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</si>
  <si>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</si>
  <si>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</si>
  <si>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</si>
  <si>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</si>
  <si>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</si>
  <si>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</si>
  <si>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</si>
  <si>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</si>
  <si>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</si>
  <si>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</si>
  <si>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</si>
  <si>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</si>
  <si>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</si>
  <si>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</si>
  <si>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</si>
  <si>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</si>
  <si>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</si>
  <si>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</si>
  <si>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</si>
  <si>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</si>
  <si>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</si>
  <si>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</si>
  <si>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</si>
  <si>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</si>
  <si>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</si>
  <si>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</si>
  <si>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</si>
  <si>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</si>
  <si>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</si>
  <si>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</si>
  <si>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</si>
  <si>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</si>
  <si>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</si>
  <si>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</si>
  <si>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</si>
  <si>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</si>
  <si>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</si>
  <si>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</si>
  <si>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</si>
  <si>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</si>
  <si>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</si>
  <si>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</si>
  <si>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</si>
  <si>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</si>
  <si>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</si>
  <si>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</si>
  <si>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</si>
  <si>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</si>
  <si>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</si>
  <si>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</si>
  <si>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</si>
  <si>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</si>
  <si>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</si>
  <si>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</si>
  <si>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</si>
  <si>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</si>
  <si>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</si>
  <si>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</si>
  <si>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</si>
  <si>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</si>
  <si>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</si>
  <si>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</si>
  <si>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</si>
  <si>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</si>
  <si>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</si>
  <si>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</si>
  <si>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</si>
  <si>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</si>
  <si>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</si>
  <si>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</si>
  <si>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</si>
  <si>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</si>
  <si>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</si>
  <si>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</si>
  <si>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</si>
  <si>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</si>
  <si>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</si>
  <si>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</si>
  <si>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</si>
  <si>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</si>
  <si>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</si>
  <si>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</si>
  <si>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</si>
  <si>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</si>
  <si>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</si>
  <si>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</si>
  <si>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</si>
  <si>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</si>
  <si>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</si>
  <si>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</si>
  <si>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</si>
  <si>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</si>
  <si>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</si>
  <si>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</si>
  <si>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</si>
  <si>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</si>
  <si>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</si>
  <si>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</si>
  <si>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</si>
  <si>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</si>
  <si>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</si>
  <si>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</si>
  <si>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</si>
  <si>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</si>
  <si>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</si>
  <si>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</si>
  <si>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</si>
  <si>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</si>
  <si>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</si>
  <si>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</si>
  <si>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</si>
  <si>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</si>
  <si>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</si>
  <si>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</si>
  <si>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</si>
  <si>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</si>
  <si>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</si>
  <si>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</si>
  <si>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</si>
  <si>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</si>
  <si>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</si>
  <si>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</si>
  <si>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</si>
  <si>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</si>
  <si>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</si>
  <si>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</si>
  <si>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</si>
  <si>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</si>
  <si>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</si>
  <si>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</si>
  <si>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</si>
  <si>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</si>
  <si>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</si>
  <si>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</si>
  <si>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</si>
  <si>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</si>
  <si>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</si>
  <si>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</si>
  <si>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</si>
  <si>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</si>
  <si>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</si>
  <si>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</si>
  <si>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</si>
  <si>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</si>
  <si>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</si>
  <si>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</si>
  <si>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</si>
  <si>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</si>
  <si>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</si>
  <si>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</si>
  <si>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</si>
  <si>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</si>
  <si>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</si>
  <si>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</si>
  <si>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</si>
  <si>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</si>
  <si>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</si>
  <si>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</si>
  <si>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</si>
  <si>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</si>
  <si>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</si>
  <si>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</si>
  <si>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</si>
  <si>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</si>
  <si>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</si>
  <si>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</si>
  <si>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</si>
  <si>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</si>
  <si>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</si>
  <si>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</si>
  <si>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</si>
  <si>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</si>
  <si>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</si>
  <si>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</si>
  <si>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</si>
  <si>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</si>
  <si>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</si>
  <si>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</si>
  <si>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</si>
  <si>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</si>
  <si>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</si>
  <si>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</si>
  <si>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</si>
  <si>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</si>
  <si>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</si>
  <si>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</si>
  <si>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</si>
  <si>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</si>
  <si>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</si>
  <si>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</si>
  <si>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</si>
  <si>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</si>
  <si>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</si>
  <si>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</si>
  <si>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</si>
  <si>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</si>
  <si>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</si>
  <si>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</si>
  <si>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</si>
  <si>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</si>
  <si>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</si>
  <si>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</si>
  <si>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</si>
  <si>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</si>
  <si>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</si>
  <si>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</si>
  <si>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</si>
  <si>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</si>
  <si>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</si>
  <si>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</si>
  <si>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</si>
  <si>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</si>
  <si>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</si>
  <si>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</si>
  <si>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</si>
  <si>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</si>
  <si>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</si>
  <si>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</si>
  <si>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</si>
  <si>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</si>
  <si>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</si>
  <si>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</si>
  <si>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</si>
  <si>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</si>
  <si>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 xml:space="preserve">TOY_847B_MPT_Release1 </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</si>
  <si>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</si>
  <si>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</si>
  <si>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</si>
  <si>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</si>
  <si>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</si>
  <si>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</si>
  <si>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</si>
  <si>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</si>
  <si>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</si>
  <si>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</si>
  <si>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</si>
  <si>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</si>
  <si>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</si>
  <si>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</si>
  <si>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</si>
  <si>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</si>
  <si>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</si>
  <si>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</si>
  <si>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</si>
  <si>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</si>
  <si>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</si>
  <si>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</si>
  <si>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</si>
  <si>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</si>
  <si>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</si>
  <si>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</si>
  <si>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</si>
  <si>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</si>
  <si>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</si>
  <si>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</si>
  <si>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</si>
  <si>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</si>
  <si>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</si>
  <si>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</si>
  <si>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</si>
  <si>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</si>
  <si>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</si>
  <si>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</si>
  <si>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</si>
  <si>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</si>
  <si>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</si>
  <si>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</si>
  <si>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</si>
  <si>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</si>
  <si>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</si>
  <si>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</si>
  <si>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</si>
  <si>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</si>
  <si>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</si>
  <si>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</si>
  <si>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</si>
  <si>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</si>
  <si>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</si>
  <si>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</si>
  <si>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</si>
  <si>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</si>
  <si>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</si>
  <si>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</si>
  <si>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</si>
  <si>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</si>
  <si>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</si>
  <si>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</si>
  <si>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</si>
  <si>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</si>
  <si>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</si>
  <si>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</si>
  <si>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</si>
  <si>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</si>
  <si>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</si>
  <si>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</si>
  <si>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</si>
  <si>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</si>
  <si>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</si>
  <si>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</si>
  <si>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</si>
  <si>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</si>
  <si>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</si>
  <si>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</si>
  <si>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</si>
  <si>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</si>
  <si>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</si>
  <si>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</si>
  <si>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</si>
  <si>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</si>
  <si>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</si>
  <si>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</si>
  <si>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</si>
  <si>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</si>
  <si>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</si>
  <si>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</si>
  <si>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</si>
  <si>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</si>
  <si>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</si>
  <si>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</si>
  <si>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</si>
  <si>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</si>
  <si>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</si>
  <si>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</si>
  <si>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</si>
  <si>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</si>
  <si>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</si>
  <si>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</si>
  <si>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</si>
  <si>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</si>
  <si>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</si>
  <si>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</si>
  <si>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</si>
  <si>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</si>
  <si>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</si>
  <si>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</si>
  <si>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</si>
  <si>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</si>
  <si>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</si>
  <si>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</si>
  <si>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</si>
  <si>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</si>
  <si>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</si>
  <si>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</si>
  <si>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</si>
  <si>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</si>
  <si>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</si>
  <si>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</si>
  <si>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</si>
  <si>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</si>
  <si>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</si>
  <si>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</si>
  <si>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</si>
  <si>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</si>
  <si>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</si>
  <si>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</si>
  <si>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</si>
  <si>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</si>
  <si>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</si>
  <si>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</si>
  <si>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</si>
  <si>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</si>
  <si>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</si>
  <si>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</si>
  <si>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</si>
  <si>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</si>
  <si>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</si>
  <si>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</si>
  <si>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</si>
  <si>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</si>
  <si>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</si>
  <si>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</si>
  <si>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</si>
  <si>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</si>
  <si>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</si>
  <si>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</si>
  <si>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</si>
  <si>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</si>
  <si>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</si>
  <si>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</si>
  <si>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</si>
  <si>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</si>
  <si>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</si>
  <si>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</si>
  <si>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</si>
  <si>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</si>
  <si>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</si>
  <si>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</si>
  <si>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</si>
  <si>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</si>
  <si>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</si>
  <si>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</si>
  <si>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MCDC for case TRUE of condition at line#112, because it always FALSE</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</si>
  <si>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</si>
  <si>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</si>
  <si>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</si>
  <si>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</si>
  <si>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</si>
  <si>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</si>
  <si>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</si>
  <si>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</si>
  <si>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</si>
  <si>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</si>
  <si>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</si>
  <si>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</si>
  <si>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</si>
  <si>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</si>
  <si>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</si>
  <si>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</si>
  <si>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</si>
  <si>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</si>
  <si>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</si>
  <si>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</si>
  <si>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</si>
  <si>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</si>
  <si>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</si>
  <si>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</si>
  <si>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</si>
  <si>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</si>
  <si>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</si>
  <si>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</si>
  <si>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</si>
  <si>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</si>
  <si>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</si>
  <si>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</si>
  <si>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</si>
  <si>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</si>
  <si>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</si>
  <si>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</si>
  <si>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</si>
  <si>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</si>
  <si>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</si>
  <si>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</si>
  <si>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</si>
  <si>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</si>
  <si>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</si>
  <si>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</si>
  <si>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</si>
  <si>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</si>
  <si>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</si>
  <si>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</si>
  <si>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</si>
  <si>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</si>
  <si>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</si>
  <si>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</si>
  <si>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</si>
  <si>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</si>
  <si>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</si>
  <si>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</si>
  <si>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</si>
  <si>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</si>
  <si>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 Can't cover for function rba_BldrSVM_state_tst rba_BldrSVM_GetValidity(void) because address of (uint8 *)RBA_BLDRSVM_CFG_BLOCKADDRESS is fixed.</t>
  </si>
  <si>
    <t>Can’t cover MCDC for case FALSE of condition at line#357, because it always TRUE when variable Direction_u8 pass through if statement at line #272</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</si>
  <si>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</si>
  <si>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</si>
  <si>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</si>
  <si>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</si>
  <si>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</si>
  <si>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</si>
  <si>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</si>
  <si>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</si>
  <si>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</si>
  <si>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</si>
  <si>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</si>
  <si>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</si>
  <si>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</si>
  <si>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</si>
  <si>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</si>
  <si>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</si>
  <si>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</si>
  <si>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</si>
  <si>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</si>
  <si>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</si>
  <si>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</si>
  <si>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</si>
  <si>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</si>
  <si>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</si>
  <si>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</si>
  <si>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</si>
  <si>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</si>
  <si>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</si>
  <si>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</si>
  <si>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</si>
  <si>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</si>
  <si>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</si>
  <si>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</si>
  <si>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</si>
  <si>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</si>
  <si>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</si>
  <si>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GWM_CP_RBVH_Stream_Int\rb\as\gwm\core\app\net\scl\LDMFunctions\SCM\src\</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</si>
  <si>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</si>
  <si>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</si>
  <si>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</si>
  <si>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</si>
  <si>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</si>
  <si>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</si>
  <si>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</si>
  <si>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</si>
  <si>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</si>
  <si>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</si>
  <si>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</si>
  <si>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</si>
  <si>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</si>
  <si>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</si>
  <si>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</si>
  <si>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</si>
  <si>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</si>
  <si>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</si>
  <si>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</si>
  <si>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</si>
  <si>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</si>
  <si>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</si>
  <si>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</si>
  <si>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</si>
  <si>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</si>
  <si>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</si>
  <si>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</si>
  <si>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</si>
  <si>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</si>
  <si>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</si>
  <si>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</si>
  <si>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</si>
  <si>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</si>
  <si>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</si>
  <si>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</si>
  <si>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</si>
  <si>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</si>
  <si>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</si>
  <si>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</si>
  <si>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</si>
  <si>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</si>
  <si>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</si>
  <si>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</si>
  <si>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</si>
  <si>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</si>
  <si>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</si>
  <si>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</si>
  <si>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</si>
  <si>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</si>
  <si>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</si>
  <si>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</si>
  <si>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</si>
  <si>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</si>
  <si>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</si>
  <si>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</si>
  <si>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</si>
  <si>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</si>
  <si>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</si>
  <si>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</si>
  <si>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</si>
  <si>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</si>
  <si>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</si>
  <si>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</si>
  <si>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</si>
  <si>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</si>
  <si>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</si>
  <si>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</si>
  <si>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</si>
  <si>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</si>
  <si>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</si>
  <si>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</si>
  <si>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</si>
  <si>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</si>
  <si>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T200</t>
  </si>
  <si>
    <t>T201</t>
  </si>
  <si>
    <t>EC_245950_NIO_ESX_ESPHevX_DTC_</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</si>
  <si>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</si>
  <si>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</si>
  <si>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</si>
  <si>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</si>
  <si>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</si>
  <si>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</si>
  <si>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</si>
  <si>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</si>
  <si>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</si>
  <si>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</si>
  <si>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</si>
  <si>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</si>
  <si>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</si>
  <si>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</si>
  <si>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</si>
  <si>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</si>
  <si>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</si>
  <si>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</si>
  <si>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</si>
  <si>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</si>
  <si>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</si>
  <si>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 xml:space="preserve">Owner confirm it's could be ignore </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</si>
  <si>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</si>
  <si>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</si>
  <si>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</si>
  <si>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</si>
  <si>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</si>
  <si>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NextEV_ESPHevX_Int\CNMSESPHevX\rb\as\nio\prj\dsmpr\tst\Sim\STMComponents\RBDSM_SWT_DTC.c</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</si>
  <si>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</si>
  <si>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</si>
  <si>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</si>
  <si>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</si>
  <si>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</si>
  <si>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</si>
  <si>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</si>
  <si>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</si>
  <si>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</si>
  <si>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</si>
  <si>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</si>
  <si>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</si>
  <si>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</si>
  <si>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</si>
  <si>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</si>
  <si>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</si>
  <si>
    <t>Owner confirm it not affect.
- dSD not update.</t>
  </si>
  <si>
    <t>- dSD not update.</t>
  </si>
  <si>
    <t>KPI\days</t>
  </si>
  <si>
    <t>FAW_MainPath_Int\MainstreamFAW\rb\as\fawMP\fawcore\app\dcom\RBAPLCust\src\RBAPLCUST_RBDI_NVMData.c</t>
  </si>
  <si>
    <t>Support testing on 20200511</t>
  </si>
  <si>
    <t>-Tool issue at line #4015, #4031, #4063, #3632 and #3633</t>
  </si>
  <si>
    <t xml:space="preserve">At line #485 cannot cover MCDC because l_LoopCnt &lt; g_EOLParamBuffer_PUB[4] at line 485 &amp; line 489 have been conflict.
At line #486cannot cover MCDC because l_LoopCnt &lt; 10] at line 486 &amp; line 490 have been conflict.
</t>
  </si>
  <si>
    <t>e</t>
  </si>
  <si>
    <t>RC_242264_SOKON_S513EVR_ESP9.3</t>
  </si>
  <si>
    <t>NET_SCL_InitPrc_CNMS.c</t>
  </si>
  <si>
    <t>DFSK_ESP93_EV_Mainstream_Int</t>
  </si>
  <si>
    <t>Nguyen Hiep Thanh (RBVH/EAS11)</t>
  </si>
  <si>
    <t>Ventil_Strategie_Wheel</t>
  </si>
  <si>
    <t>Honda_ENG_IS_RESTART_INHIBIT</t>
  </si>
  <si>
    <t>Honda_FA_iB_JOEM_PressureLimiter_2_V1_2</t>
  </si>
  <si>
    <t>Honda_FA_iB_JOEM_PressureLimiter_PreCalc_V1_1</t>
  </si>
  <si>
    <t>Honda_FA_iB_LFC_cal_nRfpMin_V4_0</t>
  </si>
  <si>
    <t>Honda_FA_iB_LFC_Exe_V4_10</t>
  </si>
  <si>
    <t>Honda_FA_iB_pVehLimitationByNMax_V4_0</t>
  </si>
  <si>
    <t>Honda_FA_iB_SSM_VehSecured_ReqAPB_V4_3</t>
  </si>
  <si>
    <t>Honda_LFC5ms_LFC20msV4_8</t>
  </si>
  <si>
    <t>Honda_TargetStateLFC_Decision</t>
  </si>
  <si>
    <t>cubas_ComStack_Proc</t>
  </si>
  <si>
    <t>RBAPLPLANT_DiagnosticSessionControl</t>
  </si>
  <si>
    <t>RBTSI_RbDiagInit</t>
  </si>
  <si>
    <t>rba_ComScl_Scl_EPS_14A_CH1_Rx</t>
  </si>
  <si>
    <t>RBNET_TimeoutStandStill</t>
  </si>
  <si>
    <t>RBAplCust_RDBI_4004_ReadABSVSABasicDiagnosticParameters_Project</t>
  </si>
  <si>
    <t>RBAplCust_RDBI_4007_ReadDiagnosticParameterForAdditionalFunctions1_Project</t>
  </si>
  <si>
    <t>RBAplCust_RDBI_4030_Read1stFreezeFrameDataBasicParameters1_Project</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</si>
  <si>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</si>
  <si>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</si>
  <si>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</si>
  <si>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</si>
  <si>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</si>
  <si>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RBAplCust_RDBI_4071_Read1stOperatioRecordDataSensorParameters1_Project</t>
  </si>
  <si>
    <t>RBAplCust_RDBI_4072_Read2ndOperatioRecordDataBasicParameters1_Project</t>
  </si>
  <si>
    <t>RBAplCust_RDBI_4074_Read1stOperatioRecordDataEBB_Project</t>
  </si>
  <si>
    <t>RBFMHC_FreezeFrameHandling</t>
  </si>
  <si>
    <t>RBFMHC_OperationDataHandling_Project</t>
  </si>
  <si>
    <t>RBNET_ChecksumLib_HONDA</t>
  </si>
  <si>
    <t>7.1.131.0</t>
  </si>
  <si>
    <t>1.4</t>
  </si>
  <si>
    <t>HONDA_CMP_BL11sp02_snapshot05</t>
  </si>
  <si>
    <t>rb.as.core.app.asw.alc.alc5ms20ms</t>
  </si>
  <si>
    <t>rb.as.core.hwp.cubas.ComServices</t>
  </si>
  <si>
    <t>rb.as.core.hwp.hsw.rbaplplant</t>
  </si>
  <si>
    <t>rb.as.honda.cmp.app.net</t>
  </si>
  <si>
    <t>rb.as.honda.core.app.net</t>
  </si>
  <si>
    <t>rb.as.honda.esp.tgva.app.dcom</t>
  </si>
  <si>
    <t>MT_223</t>
  </si>
  <si>
    <t>MT_225</t>
  </si>
  <si>
    <t>MT_200</t>
  </si>
  <si>
    <t>MT_201</t>
  </si>
  <si>
    <t>MT_202</t>
  </si>
  <si>
    <t>MT_203</t>
  </si>
  <si>
    <t>MT_204</t>
  </si>
  <si>
    <t>MT_205</t>
  </si>
  <si>
    <t>MT_206</t>
  </si>
  <si>
    <t>MT_207</t>
  </si>
  <si>
    <t>MT_009</t>
  </si>
  <si>
    <t>MT_012</t>
  </si>
  <si>
    <t>MT_028</t>
  </si>
  <si>
    <t>Delta &gt; New</t>
  </si>
  <si>
    <t>Contact point: Iwase Megumi (CC-AS/ESJ2-JP) ; EXTERNAL Motoyoshi Kazuyuki (VSN, CC-AS/ESJ2-JP)</t>
  </si>
  <si>
    <t>T5xx</t>
  </si>
  <si>
    <t>RB_HONDA_ESP</t>
  </si>
  <si>
    <t>WAITING</t>
  </si>
  <si>
    <t>11h00</t>
  </si>
  <si>
    <t>DFSK_ESP93_EV_Mainstream_Int\MainstreamF30\rb\as\dfsk\CpiwAPB\app\net\RbNetPrj\RBNet_Can\src\NET_SCL_InitPrc_CNMS.c</t>
  </si>
  <si>
    <t>cannot cover MCDC at line 232 because RBNet_Variant_EPS_14A_CH1_Rx_b() always equal to 1.</t>
  </si>
  <si>
    <t>MC_237270_GAC_A55CP_Carbon_ESP_BL02</t>
  </si>
  <si>
    <t>GAC_220680_Carbon_A18_ESPHevx_FPA/RPA_BL05</t>
  </si>
  <si>
    <t>BL02</t>
  </si>
  <si>
    <t xml:space="preserve">rb\as\dfsk\core\app\dcom\RBAPLCust\src\                </t>
  </si>
  <si>
    <t xml:space="preserve">rb\as\dfsk\CpiwAPB\app\net\RbNetPrj\RBNet_Can\src\     </t>
  </si>
  <si>
    <t xml:space="preserve">rb\as\dfsk\CpiwAPB\app\net\RBScl_BB99581\src\          </t>
  </si>
  <si>
    <t xml:space="preserve">rb\as\dfsk\CpiwAPB\app\net\RBSTSP_Crank\RBCN\SRC\      </t>
  </si>
  <si>
    <t xml:space="preserve">rb\as\dfsk\CpiwAPB\hswpr\tst\hswsim\src\               </t>
  </si>
  <si>
    <t xml:space="preserve">rba\Bldr_dfsk\config\ApplicationLayer\rba_BldrCmp\src\ </t>
  </si>
  <si>
    <t>rba\Bldr_dfsk\config\ApplicationLayer\rba_BldrCmp\src\</t>
  </si>
  <si>
    <t>rb\as\gaig\prj\dsmpr\src\RBHMI\src\RBHMI_ESPiB_WarningLamp_GAC.c</t>
  </si>
  <si>
    <t>RBAPLCUST_DFSK_RoutineControl_CheckProgrammingPrecondition.c</t>
  </si>
  <si>
    <t>RBAPLCUST_DiagnosticSessionControl.c</t>
  </si>
  <si>
    <t>RBAPLCUST_RBDI_CustomerHardwareVersion.c</t>
  </si>
  <si>
    <t>RBAPLCUST_RBDI_CustomerSoftwareVersion.c</t>
  </si>
  <si>
    <t>RBAPLCUST_RBDI_VariandCode.c</t>
  </si>
  <si>
    <t>RBAPLCUST_SecurityAccess.c</t>
  </si>
  <si>
    <t>NET_SCL_Rx_VAM_SOKON.c</t>
  </si>
  <si>
    <t>rba_StartStopAndCranking.c</t>
  </si>
  <si>
    <t>TestEnvironment_Fee_S513.c</t>
  </si>
  <si>
    <t>RBA_NDS_YAWRATE_Callout.c</t>
  </si>
  <si>
    <t>RBNetSAS_Functions.c</t>
  </si>
  <si>
    <t>RBHMI_ESPiB_WarningLamp_GAC.c</t>
  </si>
  <si>
    <t>BB81449</t>
  </si>
  <si>
    <t>rb\as\core\app\net\RBNetSAS\src\RBNetSAS_Functions.c</t>
  </si>
  <si>
    <t>rb\as\cnms_core\app\net\scl\Sensors\Steering\src\SAS_LWS_Standard.c</t>
  </si>
  <si>
    <t>GAC_ESPHevX_HADHAP_Int/CNMSHevXHADHAP/rb/as/gaig/core/app/net/RBScl/src/NET_SCL_GAC_Complex_function.c</t>
  </si>
  <si>
    <t>Lack component</t>
  </si>
  <si>
    <t>GAC_ESPHevX_HADHAP_Int\CNMSHevXHADHAP\rb\as\cnms_core\app\net\scl_callout\src</t>
  </si>
  <si>
    <r>
      <t xml:space="preserve">Can’t cover FALSE case at line #301. Because of the macro </t>
    </r>
    <r>
      <rPr>
        <sz val="10"/>
        <color rgb="FF000000"/>
        <rFont val="Courier New"/>
        <family val="3"/>
      </rPr>
      <t xml:space="preserve">DCM_CFG_DSP_NUMSECURITY </t>
    </r>
    <r>
      <rPr>
        <sz val="10"/>
        <color rgb="FF000000"/>
        <rFont val="Arial"/>
        <family val="2"/>
      </rPr>
      <t>is defined as 1.</t>
    </r>
  </si>
  <si>
    <t>cannot cover false case MCDC at line 1414, 1415 because litmited at 2 condition at line 1397, 1405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</si>
</sst>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26" x14ac:knownFonts="1">
    <font>
      <sz val="11"/>
      <color theme="1"/>
      <name val="Calibri"/>
      <family val="2"/>
      <scheme val="minor"/>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0"/>
      <color rgb="FF000000"/>
      <name val="Segoe UI"/>
    </font>
    <font>
      <sz val="11"/>
      <color theme="1"/>
      <name val="Calibri"/>
      <scheme val="minor"/>
    </font>
    <font>
      <b/>
      <sz val="10"/>
      <color rgb="FF9C6500"/>
      <name val="Calibri"/>
      <family val="2"/>
      <scheme val="minor"/>
    </font>
    <font>
      <sz val="10"/>
      <color rgb="FF9C6500"/>
      <name val="Calibri"/>
      <family val="2"/>
      <scheme val="minor"/>
    </font>
    <font>
      <b/>
      <sz val="11"/>
      <color theme="1"/>
      <name val="Calibri"/>
      <scheme val="minor"/>
    </font>
    <font>
      <sz val="10"/>
      <color rgb="FF000000"/>
      <name val="Courier New"/>
      <family val="3"/>
    </font>
    <font>
      <sz val="10"/>
      <color rgb="FF000000"/>
      <name val="Arial"/>
      <family val="2"/>
    </font>
  </fonts>
  <fills count="20">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
      <patternFill patternType="solid">
        <fgColor rgb="FF92D050"/>
        <bgColor indexed="64"/>
      </patternFill>
    </fill>
    <fill>
      <patternFill patternType="solid">
        <fgColor rgb="FFFFC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6" fillId="0" borderId="0"/>
    <xf numFmtId="0" fontId="8" fillId="7" borderId="0" applyNumberFormat="0" applyBorder="0" applyAlignment="0" applyProtection="0"/>
  </cellStyleXfs>
  <cellXfs count="142">
    <xf numFmtId="0" fontId="0" fillId="0" borderId="0" xfId="0"/>
    <xf numFmtId="0" fontId="3" fillId="0" borderId="0" xfId="0" applyFont="1"/>
    <xf numFmtId="0" fontId="3" fillId="0" borderId="1" xfId="0" applyFont="1" applyBorder="1"/>
    <xf numFmtId="0" fontId="0" fillId="0" borderId="1" xfId="0" applyBorder="1"/>
    <xf numFmtId="0" fontId="3"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3" fillId="2" borderId="1" xfId="0" applyFont="1" applyFill="1" applyBorder="1" applyAlignment="1">
      <alignment horizontal="center" vertical="center" wrapText="1"/>
    </xf>
    <xf numFmtId="0" fontId="4" fillId="0" borderId="0" xfId="0" applyFont="1"/>
    <xf numFmtId="0" fontId="3"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5" fillId="0" borderId="1" xfId="0" applyNumberFormat="1" applyFont="1" applyFill="1" applyBorder="1" applyAlignment="1" applyProtection="1">
      <alignment horizontal="left" vertical="top"/>
    </xf>
    <xf numFmtId="0" fontId="2" fillId="0" borderId="0" xfId="0" applyFont="1" applyAlignment="1">
      <alignment vertical="center"/>
    </xf>
    <xf numFmtId="0" fontId="2" fillId="0" borderId="0" xfId="0" quotePrefix="1" applyFont="1" applyAlignment="1">
      <alignment vertical="center"/>
    </xf>
    <xf numFmtId="0" fontId="0" fillId="0" borderId="0" xfId="0" applyAlignment="1">
      <alignment vertical="top"/>
    </xf>
    <xf numFmtId="0" fontId="7" fillId="2" borderId="1" xfId="0" applyFont="1" applyFill="1" applyBorder="1" applyAlignment="1">
      <alignment horizontal="center"/>
    </xf>
    <xf numFmtId="0" fontId="7" fillId="5" borderId="2" xfId="0" applyFont="1" applyFill="1" applyBorder="1" applyAlignment="1">
      <alignment horizontal="center" vertical="center"/>
    </xf>
    <xf numFmtId="0" fontId="7" fillId="5" borderId="3" xfId="0" applyFont="1" applyFill="1" applyBorder="1" applyAlignment="1">
      <alignment horizontal="center" vertical="center"/>
    </xf>
    <xf numFmtId="0" fontId="7"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3"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5"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9" fillId="0" borderId="0" xfId="0" applyFont="1"/>
    <xf numFmtId="0" fontId="9" fillId="2" borderId="1" xfId="0" applyFont="1" applyFill="1" applyBorder="1" applyAlignment="1">
      <alignment horizontal="center" vertical="center"/>
    </xf>
    <xf numFmtId="0" fontId="9" fillId="2" borderId="1" xfId="0" applyFont="1" applyFill="1" applyBorder="1" applyAlignment="1">
      <alignment horizontal="center" vertical="center" wrapText="1"/>
    </xf>
    <xf numFmtId="0" fontId="0" fillId="0" borderId="1" xfId="0" applyBorder="1" applyAlignment="1">
      <alignment horizontal="right" vertical="center"/>
    </xf>
    <xf numFmtId="0" fontId="3"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0" fillId="8" borderId="1" xfId="0" quotePrefix="1" applyFont="1" applyFill="1" applyBorder="1" applyAlignment="1">
      <alignment horizontal="left" vertical="top"/>
    </xf>
    <xf numFmtId="0" fontId="3" fillId="2" borderId="1" xfId="0" applyFont="1" applyFill="1" applyBorder="1" applyAlignment="1">
      <alignment horizontal="left" vertical="top"/>
    </xf>
    <xf numFmtId="0" fontId="3" fillId="2" borderId="1" xfId="0" applyFont="1" applyFill="1" applyBorder="1" applyAlignment="1">
      <alignment horizontal="center" vertical="center"/>
    </xf>
    <xf numFmtId="0" fontId="0" fillId="0" borderId="1" xfId="0" applyFill="1" applyBorder="1" applyAlignment="1">
      <alignment horizontal="center" vertical="center"/>
    </xf>
    <xf numFmtId="0" fontId="3" fillId="0" borderId="1" xfId="0" applyFont="1" applyBorder="1" applyAlignment="1">
      <alignment horizontal="left" vertical="top"/>
    </xf>
    <xf numFmtId="0" fontId="3"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3" fillId="0" borderId="1" xfId="0" applyFont="1" applyBorder="1" applyAlignment="1">
      <alignment vertical="top"/>
    </xf>
    <xf numFmtId="0" fontId="3"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3" fillId="0" borderId="0" xfId="0" applyFont="1" applyAlignment="1">
      <alignment vertical="top"/>
    </xf>
    <xf numFmtId="0" fontId="8"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5" fillId="9" borderId="1" xfId="0" applyNumberFormat="1" applyFont="1" applyFill="1" applyBorder="1" applyAlignment="1" applyProtection="1">
      <alignment horizontal="left" vertical="top"/>
    </xf>
    <xf numFmtId="0" fontId="3" fillId="4" borderId="1" xfId="0" applyFont="1" applyFill="1" applyBorder="1" applyAlignment="1">
      <alignment vertical="top"/>
    </xf>
    <xf numFmtId="0" fontId="3" fillId="0" borderId="1" xfId="0" quotePrefix="1" applyFont="1" applyBorder="1" applyAlignment="1">
      <alignment horizontal="left" vertical="top"/>
    </xf>
    <xf numFmtId="0" fontId="10" fillId="2" borderId="0" xfId="0" applyFont="1" applyFill="1"/>
    <xf numFmtId="0" fontId="0" fillId="9" borderId="0" xfId="0" applyFill="1"/>
    <xf numFmtId="0" fontId="0" fillId="4" borderId="1" xfId="0" applyFont="1" applyFill="1" applyBorder="1" applyAlignment="1">
      <alignment vertical="top"/>
    </xf>
    <xf numFmtId="0" fontId="5" fillId="10" borderId="1" xfId="0" applyNumberFormat="1" applyFont="1" applyFill="1" applyBorder="1" applyAlignment="1" applyProtection="1">
      <alignment horizontal="left" vertical="top"/>
    </xf>
    <xf numFmtId="0" fontId="5"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1" fillId="0" borderId="0" xfId="0" applyFont="1" applyAlignment="1">
      <alignment vertical="top"/>
    </xf>
    <xf numFmtId="0" fontId="12" fillId="0" borderId="1" xfId="0" applyFont="1" applyFill="1" applyBorder="1" applyAlignment="1" applyProtection="1"/>
    <xf numFmtId="0" fontId="13"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6" fillId="0" borderId="1" xfId="0" applyFont="1" applyBorder="1" applyAlignment="1">
      <alignment horizontal="left" vertical="top"/>
    </xf>
    <xf numFmtId="0" fontId="16" fillId="0" borderId="1" xfId="0" quotePrefix="1" applyFont="1" applyBorder="1" applyAlignment="1">
      <alignment horizontal="left" vertical="top"/>
    </xf>
    <xf numFmtId="0" fontId="3" fillId="2" borderId="1" xfId="0" applyFont="1" applyFill="1" applyBorder="1" applyAlignment="1">
      <alignment vertical="top"/>
    </xf>
    <xf numFmtId="0" fontId="3" fillId="5" borderId="1" xfId="0" applyFont="1" applyFill="1" applyBorder="1" applyAlignment="1">
      <alignment vertical="top"/>
    </xf>
    <xf numFmtId="0" fontId="17" fillId="0" borderId="1" xfId="0" applyFont="1" applyBorder="1"/>
    <xf numFmtId="0" fontId="0" fillId="5" borderId="1" xfId="0" applyFont="1" applyFill="1" applyBorder="1" applyAlignment="1">
      <alignment horizontal="left" vertical="top"/>
    </xf>
    <xf numFmtId="0" fontId="0" fillId="0" borderId="1" xfId="0" applyNumberFormat="1" applyFont="1" applyBorder="1" applyAlignment="1">
      <alignment horizontal="left" vertical="top"/>
    </xf>
    <xf numFmtId="10" fontId="16" fillId="0" borderId="1" xfId="0" applyNumberFormat="1" applyFont="1" applyBorder="1" applyAlignment="1">
      <alignment horizontal="left" vertical="top"/>
    </xf>
    <xf numFmtId="0" fontId="18"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6" fillId="0" borderId="1" xfId="0" applyNumberFormat="1" applyFont="1" applyBorder="1" applyAlignment="1">
      <alignment horizontal="left"/>
    </xf>
    <xf numFmtId="10" fontId="0" fillId="0" borderId="1" xfId="0" applyNumberFormat="1" applyFont="1" applyBorder="1" applyAlignment="1">
      <alignment horizontal="left"/>
    </xf>
    <xf numFmtId="164" fontId="0" fillId="0" borderId="1" xfId="0" applyNumberFormat="1" applyFont="1" applyBorder="1" applyAlignment="1">
      <alignment horizontal="left"/>
    </xf>
    <xf numFmtId="0" fontId="5" fillId="12" borderId="1" xfId="0" applyNumberFormat="1" applyFont="1" applyFill="1" applyBorder="1" applyAlignment="1" applyProtection="1">
      <alignment horizontal="left" vertical="top"/>
    </xf>
    <xf numFmtId="0" fontId="5" fillId="13" borderId="1" xfId="0" applyNumberFormat="1" applyFont="1" applyFill="1" applyBorder="1" applyAlignment="1" applyProtection="1">
      <alignment horizontal="left" vertical="top"/>
    </xf>
    <xf numFmtId="0" fontId="0" fillId="0" borderId="1" xfId="0" applyNumberFormat="1" applyFont="1" applyFill="1" applyBorder="1" applyAlignment="1" applyProtection="1">
      <alignment horizontal="left"/>
    </xf>
    <xf numFmtId="0" fontId="5" fillId="14" borderId="1" xfId="0" applyNumberFormat="1" applyFont="1" applyFill="1" applyBorder="1" applyAlignment="1" applyProtection="1">
      <alignment horizontal="left" vertical="top"/>
    </xf>
    <xf numFmtId="0" fontId="11" fillId="0" borderId="1" xfId="0" quotePrefix="1" applyFont="1" applyFill="1" applyBorder="1" applyAlignment="1">
      <alignment horizontal="left" vertical="top"/>
    </xf>
    <xf numFmtId="0" fontId="16" fillId="0" borderId="1" xfId="0" applyFont="1" applyFill="1" applyBorder="1" applyAlignment="1">
      <alignment horizontal="left" vertical="top"/>
    </xf>
    <xf numFmtId="0" fontId="5"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9" fillId="0" borderId="0" xfId="0" applyFont="1" applyAlignment="1">
      <alignment vertical="center"/>
    </xf>
    <xf numFmtId="0" fontId="20" fillId="16" borderId="1" xfId="0" quotePrefix="1" applyFont="1" applyFill="1" applyBorder="1" applyAlignment="1">
      <alignment horizontal="left" vertical="top"/>
    </xf>
    <xf numFmtId="0" fontId="20" fillId="0" borderId="1" xfId="0" applyFont="1" applyFill="1" applyBorder="1" applyAlignment="1">
      <alignment horizontal="left" vertical="top"/>
    </xf>
    <xf numFmtId="0" fontId="20" fillId="0" borderId="1" xfId="0" quotePrefix="1" applyFont="1" applyFill="1" applyBorder="1" applyAlignment="1">
      <alignment horizontal="left" vertical="top"/>
    </xf>
    <xf numFmtId="0" fontId="20" fillId="17" borderId="1" xfId="0" applyFont="1" applyFill="1" applyBorder="1" applyAlignment="1">
      <alignment horizontal="left" vertical="top"/>
    </xf>
    <xf numFmtId="164" fontId="20" fillId="0" borderId="1" xfId="0" applyNumberFormat="1" applyFont="1" applyBorder="1" applyAlignment="1">
      <alignment horizontal="left" vertical="top"/>
    </xf>
    <xf numFmtId="0" fontId="0" fillId="2" borderId="0" xfId="0" applyFill="1"/>
    <xf numFmtId="0" fontId="21" fillId="0" borderId="1" xfId="0" quotePrefix="1" applyFont="1" applyBorder="1" applyAlignment="1">
      <alignment horizontal="left" vertical="top"/>
    </xf>
    <xf numFmtId="0" fontId="22" fillId="0" borderId="1" xfId="0" applyFont="1" applyFill="1" applyBorder="1" applyAlignment="1">
      <alignment horizontal="left" vertical="top"/>
    </xf>
    <xf numFmtId="0" fontId="0" fillId="2" borderId="1" xfId="0" applyFont="1" applyFill="1" applyBorder="1" applyAlignment="1">
      <alignment horizontal="left" vertical="top" wrapText="1"/>
    </xf>
    <xf numFmtId="0" fontId="0" fillId="2" borderId="1" xfId="0" quotePrefix="1" applyFont="1" applyFill="1" applyBorder="1" applyAlignment="1">
      <alignment horizontal="left" vertical="top"/>
    </xf>
    <xf numFmtId="0" fontId="0" fillId="5" borderId="1" xfId="0" quotePrefix="1" applyFont="1" applyFill="1" applyBorder="1" applyAlignment="1">
      <alignment horizontal="left" vertical="top"/>
    </xf>
    <xf numFmtId="0" fontId="23" fillId="5" borderId="1" xfId="0" quotePrefix="1" applyFont="1" applyFill="1" applyBorder="1" applyAlignment="1">
      <alignment horizontal="left" vertical="top"/>
    </xf>
    <xf numFmtId="0" fontId="20"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5" fillId="18" borderId="1" xfId="0" applyNumberFormat="1" applyFont="1" applyFill="1" applyBorder="1" applyAlignment="1" applyProtection="1">
      <alignment horizontal="left" vertical="top"/>
    </xf>
    <xf numFmtId="0" fontId="0" fillId="18" borderId="1" xfId="0" applyFont="1" applyFill="1" applyBorder="1" applyAlignment="1">
      <alignment horizontal="left" vertical="top"/>
    </xf>
    <xf numFmtId="0" fontId="13" fillId="0" borderId="0" xfId="0" quotePrefix="1" applyFont="1"/>
    <xf numFmtId="0" fontId="0" fillId="8" borderId="1" xfId="0" applyFont="1" applyFill="1" applyBorder="1" applyAlignment="1">
      <alignment horizontal="left" vertical="top"/>
    </xf>
    <xf numFmtId="0" fontId="5" fillId="19" borderId="1" xfId="0" applyNumberFormat="1" applyFont="1" applyFill="1" applyBorder="1" applyAlignment="1" applyProtection="1">
      <alignment horizontal="left" vertical="top"/>
    </xf>
    <xf numFmtId="164" fontId="0" fillId="19" borderId="1" xfId="0" applyNumberFormat="1" applyFont="1" applyFill="1" applyBorder="1" applyAlignment="1">
      <alignment horizontal="left" vertical="top"/>
    </xf>
    <xf numFmtId="0" fontId="3" fillId="19" borderId="1" xfId="0" quotePrefix="1" applyFont="1" applyFill="1" applyBorder="1" applyAlignment="1">
      <alignment horizontal="left" vertical="top"/>
    </xf>
    <xf numFmtId="0" fontId="1" fillId="0" borderId="0" xfId="0" applyFont="1"/>
  </cellXfs>
  <cellStyles count="3">
    <cellStyle name="Bad" xfId="2" builtinId="27"/>
    <cellStyle name="Normal" xfId="0" builtinId="0"/>
    <cellStyle name="Normal 3" xfId="1"/>
  </cellStyles>
  <dxfs count="9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C00000"/>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299" Type="http://schemas.openxmlformats.org/officeDocument/2006/relationships/revisionLog" Target="revisionLog299.xml"/><Relationship Id="rId303" Type="http://schemas.openxmlformats.org/officeDocument/2006/relationships/revisionLog" Target="revisionLog303.xml"/><Relationship Id="rId21" Type="http://schemas.openxmlformats.org/officeDocument/2006/relationships/revisionLog" Target="revisionLog21.xml"/><Relationship Id="rId42" Type="http://schemas.openxmlformats.org/officeDocument/2006/relationships/revisionLog" Target="revisionLog42.xml"/><Relationship Id="rId63" Type="http://schemas.openxmlformats.org/officeDocument/2006/relationships/revisionLog" Target="revisionLog63.xml"/><Relationship Id="rId84" Type="http://schemas.openxmlformats.org/officeDocument/2006/relationships/revisionLog" Target="revisionLog84.xml"/><Relationship Id="rId138" Type="http://schemas.openxmlformats.org/officeDocument/2006/relationships/revisionLog" Target="revisionLog138.xml"/><Relationship Id="rId159" Type="http://schemas.openxmlformats.org/officeDocument/2006/relationships/revisionLog" Target="revisionLog159.xml"/><Relationship Id="rId324" Type="http://schemas.openxmlformats.org/officeDocument/2006/relationships/revisionLog" Target="revisionLog324.xml"/><Relationship Id="rId170" Type="http://schemas.openxmlformats.org/officeDocument/2006/relationships/revisionLog" Target="revisionLog170.xml"/><Relationship Id="rId191" Type="http://schemas.openxmlformats.org/officeDocument/2006/relationships/revisionLog" Target="revisionLog191.xml"/><Relationship Id="rId205" Type="http://schemas.openxmlformats.org/officeDocument/2006/relationships/revisionLog" Target="revisionLog205.xml"/><Relationship Id="rId226" Type="http://schemas.openxmlformats.org/officeDocument/2006/relationships/revisionLog" Target="revisionLog226.xml"/><Relationship Id="rId247" Type="http://schemas.openxmlformats.org/officeDocument/2006/relationships/revisionLog" Target="revisionLog247.xml"/><Relationship Id="rId107" Type="http://schemas.openxmlformats.org/officeDocument/2006/relationships/revisionLog" Target="revisionLog107.xml"/><Relationship Id="rId268" Type="http://schemas.openxmlformats.org/officeDocument/2006/relationships/revisionLog" Target="revisionLog268.xml"/><Relationship Id="rId289" Type="http://schemas.openxmlformats.org/officeDocument/2006/relationships/revisionLog" Target="revisionLog289.xml"/><Relationship Id="rId11" Type="http://schemas.openxmlformats.org/officeDocument/2006/relationships/revisionLog" Target="revisionLog11.xml"/><Relationship Id="rId32" Type="http://schemas.openxmlformats.org/officeDocument/2006/relationships/revisionLog" Target="revisionLog32.xml"/><Relationship Id="rId53" Type="http://schemas.openxmlformats.org/officeDocument/2006/relationships/revisionLog" Target="revisionLog53.xml"/><Relationship Id="rId74" Type="http://schemas.openxmlformats.org/officeDocument/2006/relationships/revisionLog" Target="revisionLog74.xml"/><Relationship Id="rId128" Type="http://schemas.openxmlformats.org/officeDocument/2006/relationships/revisionLog" Target="revisionLog128.xml"/><Relationship Id="rId149" Type="http://schemas.openxmlformats.org/officeDocument/2006/relationships/revisionLog" Target="revisionLog149.xml"/><Relationship Id="rId314" Type="http://schemas.openxmlformats.org/officeDocument/2006/relationships/revisionLog" Target="revisionLog314.xml"/><Relationship Id="rId335" Type="http://schemas.openxmlformats.org/officeDocument/2006/relationships/revisionLog" Target="revisionLog335.xml"/><Relationship Id="rId5" Type="http://schemas.openxmlformats.org/officeDocument/2006/relationships/revisionLog" Target="revisionLog5.xml"/><Relationship Id="rId95" Type="http://schemas.openxmlformats.org/officeDocument/2006/relationships/revisionLog" Target="revisionLog95.xml"/><Relationship Id="rId160" Type="http://schemas.openxmlformats.org/officeDocument/2006/relationships/revisionLog" Target="revisionLog160.xml"/><Relationship Id="rId181" Type="http://schemas.openxmlformats.org/officeDocument/2006/relationships/revisionLog" Target="revisionLog181.xml"/><Relationship Id="rId216" Type="http://schemas.openxmlformats.org/officeDocument/2006/relationships/revisionLog" Target="revisionLog216.xml"/><Relationship Id="rId237" Type="http://schemas.openxmlformats.org/officeDocument/2006/relationships/revisionLog" Target="revisionLog237.xml"/><Relationship Id="rId258" Type="http://schemas.openxmlformats.org/officeDocument/2006/relationships/revisionLog" Target="revisionLog258.xml"/><Relationship Id="rId279" Type="http://schemas.openxmlformats.org/officeDocument/2006/relationships/revisionLog" Target="revisionLog279.xml"/><Relationship Id="rId22" Type="http://schemas.openxmlformats.org/officeDocument/2006/relationships/revisionLog" Target="revisionLog22.xml"/><Relationship Id="rId43" Type="http://schemas.openxmlformats.org/officeDocument/2006/relationships/revisionLog" Target="revisionLog43.xml"/><Relationship Id="rId64" Type="http://schemas.openxmlformats.org/officeDocument/2006/relationships/revisionLog" Target="revisionLog64.xml"/><Relationship Id="rId118" Type="http://schemas.openxmlformats.org/officeDocument/2006/relationships/revisionLog" Target="revisionLog118.xml"/><Relationship Id="rId139" Type="http://schemas.openxmlformats.org/officeDocument/2006/relationships/revisionLog" Target="revisionLog139.xml"/><Relationship Id="rId290" Type="http://schemas.openxmlformats.org/officeDocument/2006/relationships/revisionLog" Target="revisionLog290.xml"/><Relationship Id="rId304" Type="http://schemas.openxmlformats.org/officeDocument/2006/relationships/revisionLog" Target="revisionLog304.xml"/><Relationship Id="rId325" Type="http://schemas.openxmlformats.org/officeDocument/2006/relationships/revisionLog" Target="revisionLog325.xml"/><Relationship Id="rId85" Type="http://schemas.openxmlformats.org/officeDocument/2006/relationships/revisionLog" Target="revisionLog85.xml"/><Relationship Id="rId150" Type="http://schemas.openxmlformats.org/officeDocument/2006/relationships/revisionLog" Target="revisionLog150.xml"/><Relationship Id="rId171" Type="http://schemas.openxmlformats.org/officeDocument/2006/relationships/revisionLog" Target="revisionLog171.xml"/><Relationship Id="rId192" Type="http://schemas.openxmlformats.org/officeDocument/2006/relationships/revisionLog" Target="revisionLog192.xml"/><Relationship Id="rId206" Type="http://schemas.openxmlformats.org/officeDocument/2006/relationships/revisionLog" Target="revisionLog206.xml"/><Relationship Id="rId227" Type="http://schemas.openxmlformats.org/officeDocument/2006/relationships/revisionLog" Target="revisionLog227.xml"/><Relationship Id="rId248" Type="http://schemas.openxmlformats.org/officeDocument/2006/relationships/revisionLog" Target="revisionLog248.xml"/><Relationship Id="rId269" Type="http://schemas.openxmlformats.org/officeDocument/2006/relationships/revisionLog" Target="revisionLog269.xml"/><Relationship Id="rId12" Type="http://schemas.openxmlformats.org/officeDocument/2006/relationships/revisionLog" Target="revisionLog12.xml"/><Relationship Id="rId33" Type="http://schemas.openxmlformats.org/officeDocument/2006/relationships/revisionLog" Target="revisionLog33.xml"/><Relationship Id="rId108" Type="http://schemas.openxmlformats.org/officeDocument/2006/relationships/revisionLog" Target="revisionLog108.xml"/><Relationship Id="rId129" Type="http://schemas.openxmlformats.org/officeDocument/2006/relationships/revisionLog" Target="revisionLog129.xml"/><Relationship Id="rId280" Type="http://schemas.openxmlformats.org/officeDocument/2006/relationships/revisionLog" Target="revisionLog280.xml"/><Relationship Id="rId315" Type="http://schemas.openxmlformats.org/officeDocument/2006/relationships/revisionLog" Target="revisionLog315.xml"/><Relationship Id="rId336" Type="http://schemas.openxmlformats.org/officeDocument/2006/relationships/revisionLog" Target="revisionLog336.xml"/><Relationship Id="rId54" Type="http://schemas.openxmlformats.org/officeDocument/2006/relationships/revisionLog" Target="revisionLog54.xml"/><Relationship Id="rId75" Type="http://schemas.openxmlformats.org/officeDocument/2006/relationships/revisionLog" Target="revisionLog75.xml"/><Relationship Id="rId96" Type="http://schemas.openxmlformats.org/officeDocument/2006/relationships/revisionLog" Target="revisionLog96.xml"/><Relationship Id="rId140" Type="http://schemas.openxmlformats.org/officeDocument/2006/relationships/revisionLog" Target="revisionLog140.xml"/><Relationship Id="rId161" Type="http://schemas.openxmlformats.org/officeDocument/2006/relationships/revisionLog" Target="revisionLog161.xml"/><Relationship Id="rId182" Type="http://schemas.openxmlformats.org/officeDocument/2006/relationships/revisionLog" Target="revisionLog182.xml"/><Relationship Id="rId217" Type="http://schemas.openxmlformats.org/officeDocument/2006/relationships/revisionLog" Target="revisionLog217.xml"/><Relationship Id="rId6" Type="http://schemas.openxmlformats.org/officeDocument/2006/relationships/revisionLog" Target="revisionLog6.xml"/><Relationship Id="rId238" Type="http://schemas.openxmlformats.org/officeDocument/2006/relationships/revisionLog" Target="revisionLog238.xml"/><Relationship Id="rId259" Type="http://schemas.openxmlformats.org/officeDocument/2006/relationships/revisionLog" Target="revisionLog259.xml"/><Relationship Id="rId23" Type="http://schemas.openxmlformats.org/officeDocument/2006/relationships/revisionLog" Target="revisionLog23.xml"/><Relationship Id="rId119" Type="http://schemas.openxmlformats.org/officeDocument/2006/relationships/revisionLog" Target="revisionLog119.xml"/><Relationship Id="rId270" Type="http://schemas.openxmlformats.org/officeDocument/2006/relationships/revisionLog" Target="revisionLog270.xml"/><Relationship Id="rId291" Type="http://schemas.openxmlformats.org/officeDocument/2006/relationships/revisionLog" Target="revisionLog291.xml"/><Relationship Id="rId305" Type="http://schemas.openxmlformats.org/officeDocument/2006/relationships/revisionLog" Target="revisionLog305.xml"/><Relationship Id="rId326" Type="http://schemas.openxmlformats.org/officeDocument/2006/relationships/revisionLog" Target="revisionLog326.xml"/><Relationship Id="rId44" Type="http://schemas.openxmlformats.org/officeDocument/2006/relationships/revisionLog" Target="revisionLog44.xml"/><Relationship Id="rId65" Type="http://schemas.openxmlformats.org/officeDocument/2006/relationships/revisionLog" Target="revisionLog65.xml"/><Relationship Id="rId86" Type="http://schemas.openxmlformats.org/officeDocument/2006/relationships/revisionLog" Target="revisionLog86.xml"/><Relationship Id="rId130" Type="http://schemas.openxmlformats.org/officeDocument/2006/relationships/revisionLog" Target="revisionLog130.xml"/><Relationship Id="rId151" Type="http://schemas.openxmlformats.org/officeDocument/2006/relationships/revisionLog" Target="revisionLog151.xml"/><Relationship Id="rId172" Type="http://schemas.openxmlformats.org/officeDocument/2006/relationships/revisionLog" Target="revisionLog172.xml"/><Relationship Id="rId193" Type="http://schemas.openxmlformats.org/officeDocument/2006/relationships/revisionLog" Target="revisionLog193.xml"/><Relationship Id="rId207" Type="http://schemas.openxmlformats.org/officeDocument/2006/relationships/revisionLog" Target="revisionLog207.xml"/><Relationship Id="rId228" Type="http://schemas.openxmlformats.org/officeDocument/2006/relationships/revisionLog" Target="revisionLog228.xml"/><Relationship Id="rId249" Type="http://schemas.openxmlformats.org/officeDocument/2006/relationships/revisionLog" Target="revisionLog249.xml"/><Relationship Id="rId13" Type="http://schemas.openxmlformats.org/officeDocument/2006/relationships/revisionLog" Target="revisionLog13.xml"/><Relationship Id="rId109" Type="http://schemas.openxmlformats.org/officeDocument/2006/relationships/revisionLog" Target="revisionLog109.xml"/><Relationship Id="rId260" Type="http://schemas.openxmlformats.org/officeDocument/2006/relationships/revisionLog" Target="revisionLog260.xml"/><Relationship Id="rId281" Type="http://schemas.openxmlformats.org/officeDocument/2006/relationships/revisionLog" Target="revisionLog281.xml"/><Relationship Id="rId316" Type="http://schemas.openxmlformats.org/officeDocument/2006/relationships/revisionLog" Target="revisionLog316.xml"/><Relationship Id="rId337" Type="http://schemas.openxmlformats.org/officeDocument/2006/relationships/revisionLog" Target="revisionLog337.xml"/><Relationship Id="rId34" Type="http://schemas.openxmlformats.org/officeDocument/2006/relationships/revisionLog" Target="revisionLog34.xml"/><Relationship Id="rId55" Type="http://schemas.openxmlformats.org/officeDocument/2006/relationships/revisionLog" Target="revisionLog55.xml"/><Relationship Id="rId76" Type="http://schemas.openxmlformats.org/officeDocument/2006/relationships/revisionLog" Target="revisionLog76.xml"/><Relationship Id="rId97" Type="http://schemas.openxmlformats.org/officeDocument/2006/relationships/revisionLog" Target="revisionLog97.xml"/><Relationship Id="rId120" Type="http://schemas.openxmlformats.org/officeDocument/2006/relationships/revisionLog" Target="revisionLog120.xml"/><Relationship Id="rId141" Type="http://schemas.openxmlformats.org/officeDocument/2006/relationships/revisionLog" Target="revisionLog141.xml"/><Relationship Id="rId7" Type="http://schemas.openxmlformats.org/officeDocument/2006/relationships/revisionLog" Target="revisionLog7.xml"/><Relationship Id="rId162" Type="http://schemas.openxmlformats.org/officeDocument/2006/relationships/revisionLog" Target="revisionLog162.xml"/><Relationship Id="rId183" Type="http://schemas.openxmlformats.org/officeDocument/2006/relationships/revisionLog" Target="revisionLog183.xml"/><Relationship Id="rId218" Type="http://schemas.openxmlformats.org/officeDocument/2006/relationships/revisionLog" Target="revisionLog218.xml"/><Relationship Id="rId239" Type="http://schemas.openxmlformats.org/officeDocument/2006/relationships/revisionLog" Target="revisionLog239.xml"/><Relationship Id="rId250" Type="http://schemas.openxmlformats.org/officeDocument/2006/relationships/revisionLog" Target="revisionLog250.xml"/><Relationship Id="rId271" Type="http://schemas.openxmlformats.org/officeDocument/2006/relationships/revisionLog" Target="revisionLog271.xml"/><Relationship Id="rId292" Type="http://schemas.openxmlformats.org/officeDocument/2006/relationships/revisionLog" Target="revisionLog292.xml"/><Relationship Id="rId306" Type="http://schemas.openxmlformats.org/officeDocument/2006/relationships/revisionLog" Target="revisionLog306.xml"/><Relationship Id="rId24" Type="http://schemas.openxmlformats.org/officeDocument/2006/relationships/revisionLog" Target="revisionLog24.xml"/><Relationship Id="rId45" Type="http://schemas.openxmlformats.org/officeDocument/2006/relationships/revisionLog" Target="revisionLog45.xml"/><Relationship Id="rId66" Type="http://schemas.openxmlformats.org/officeDocument/2006/relationships/revisionLog" Target="revisionLog66.xml"/><Relationship Id="rId87" Type="http://schemas.openxmlformats.org/officeDocument/2006/relationships/revisionLog" Target="revisionLog87.xml"/><Relationship Id="rId110" Type="http://schemas.openxmlformats.org/officeDocument/2006/relationships/revisionLog" Target="revisionLog110.xml"/><Relationship Id="rId131" Type="http://schemas.openxmlformats.org/officeDocument/2006/relationships/revisionLog" Target="revisionLog131.xml"/><Relationship Id="rId327" Type="http://schemas.openxmlformats.org/officeDocument/2006/relationships/revisionLog" Target="revisionLog327.xml"/><Relationship Id="rId152" Type="http://schemas.openxmlformats.org/officeDocument/2006/relationships/revisionLog" Target="revisionLog152.xml"/><Relationship Id="rId173" Type="http://schemas.openxmlformats.org/officeDocument/2006/relationships/revisionLog" Target="revisionLog173.xml"/><Relationship Id="rId194" Type="http://schemas.openxmlformats.org/officeDocument/2006/relationships/revisionLog" Target="revisionLog194.xml"/><Relationship Id="rId208" Type="http://schemas.openxmlformats.org/officeDocument/2006/relationships/revisionLog" Target="revisionLog208.xml"/><Relationship Id="rId229" Type="http://schemas.openxmlformats.org/officeDocument/2006/relationships/revisionLog" Target="revisionLog229.xml"/><Relationship Id="rId240" Type="http://schemas.openxmlformats.org/officeDocument/2006/relationships/revisionLog" Target="revisionLog240.xml"/><Relationship Id="rId261" Type="http://schemas.openxmlformats.org/officeDocument/2006/relationships/revisionLog" Target="revisionLog261.xml"/><Relationship Id="rId14" Type="http://schemas.openxmlformats.org/officeDocument/2006/relationships/revisionLog" Target="revisionLog14.xml"/><Relationship Id="rId35" Type="http://schemas.openxmlformats.org/officeDocument/2006/relationships/revisionLog" Target="revisionLog35.xml"/><Relationship Id="rId56" Type="http://schemas.openxmlformats.org/officeDocument/2006/relationships/revisionLog" Target="revisionLog56.xml"/><Relationship Id="rId77" Type="http://schemas.openxmlformats.org/officeDocument/2006/relationships/revisionLog" Target="revisionLog77.xml"/><Relationship Id="rId100" Type="http://schemas.openxmlformats.org/officeDocument/2006/relationships/revisionLog" Target="revisionLog100.xml"/><Relationship Id="rId282" Type="http://schemas.openxmlformats.org/officeDocument/2006/relationships/revisionLog" Target="revisionLog282.xml"/><Relationship Id="rId317" Type="http://schemas.openxmlformats.org/officeDocument/2006/relationships/revisionLog" Target="revisionLog317.xml"/><Relationship Id="rId338" Type="http://schemas.openxmlformats.org/officeDocument/2006/relationships/revisionLog" Target="revisionLog338.xml"/><Relationship Id="rId8" Type="http://schemas.openxmlformats.org/officeDocument/2006/relationships/revisionLog" Target="revisionLog8.xml"/><Relationship Id="rId98" Type="http://schemas.openxmlformats.org/officeDocument/2006/relationships/revisionLog" Target="revisionLog98.xml"/><Relationship Id="rId121" Type="http://schemas.openxmlformats.org/officeDocument/2006/relationships/revisionLog" Target="revisionLog121.xml"/><Relationship Id="rId142" Type="http://schemas.openxmlformats.org/officeDocument/2006/relationships/revisionLog" Target="revisionLog142.xml"/><Relationship Id="rId163" Type="http://schemas.openxmlformats.org/officeDocument/2006/relationships/revisionLog" Target="revisionLog163.xml"/><Relationship Id="rId184" Type="http://schemas.openxmlformats.org/officeDocument/2006/relationships/revisionLog" Target="revisionLog184.xml"/><Relationship Id="rId219" Type="http://schemas.openxmlformats.org/officeDocument/2006/relationships/revisionLog" Target="revisionLog219.xml"/><Relationship Id="rId3" Type="http://schemas.openxmlformats.org/officeDocument/2006/relationships/revisionLog" Target="revisionLog3.xml"/><Relationship Id="rId214" Type="http://schemas.openxmlformats.org/officeDocument/2006/relationships/revisionLog" Target="revisionLog214.xml"/><Relationship Id="rId230" Type="http://schemas.openxmlformats.org/officeDocument/2006/relationships/revisionLog" Target="revisionLog230.xml"/><Relationship Id="rId235" Type="http://schemas.openxmlformats.org/officeDocument/2006/relationships/revisionLog" Target="revisionLog235.xml"/><Relationship Id="rId251" Type="http://schemas.openxmlformats.org/officeDocument/2006/relationships/revisionLog" Target="revisionLog251.xml"/><Relationship Id="rId256" Type="http://schemas.openxmlformats.org/officeDocument/2006/relationships/revisionLog" Target="revisionLog256.xml"/><Relationship Id="rId277" Type="http://schemas.openxmlformats.org/officeDocument/2006/relationships/revisionLog" Target="revisionLog277.xml"/><Relationship Id="rId298" Type="http://schemas.openxmlformats.org/officeDocument/2006/relationships/revisionLog" Target="revisionLog298.xml"/><Relationship Id="rId25" Type="http://schemas.openxmlformats.org/officeDocument/2006/relationships/revisionLog" Target="revisionLog25.xml"/><Relationship Id="rId46" Type="http://schemas.openxmlformats.org/officeDocument/2006/relationships/revisionLog" Target="revisionLog46.xml"/><Relationship Id="rId67" Type="http://schemas.openxmlformats.org/officeDocument/2006/relationships/revisionLog" Target="revisionLog67.xml"/><Relationship Id="rId116" Type="http://schemas.openxmlformats.org/officeDocument/2006/relationships/revisionLog" Target="revisionLog116.xml"/><Relationship Id="rId137" Type="http://schemas.openxmlformats.org/officeDocument/2006/relationships/revisionLog" Target="revisionLog137.xml"/><Relationship Id="rId158" Type="http://schemas.openxmlformats.org/officeDocument/2006/relationships/revisionLog" Target="revisionLog158.xml"/><Relationship Id="rId272" Type="http://schemas.openxmlformats.org/officeDocument/2006/relationships/revisionLog" Target="revisionLog272.xml"/><Relationship Id="rId293" Type="http://schemas.openxmlformats.org/officeDocument/2006/relationships/revisionLog" Target="revisionLog293.xml"/><Relationship Id="rId302" Type="http://schemas.openxmlformats.org/officeDocument/2006/relationships/revisionLog" Target="revisionLog302.xml"/><Relationship Id="rId307" Type="http://schemas.openxmlformats.org/officeDocument/2006/relationships/revisionLog" Target="revisionLog307.xml"/><Relationship Id="rId323" Type="http://schemas.openxmlformats.org/officeDocument/2006/relationships/revisionLog" Target="revisionLog323.xml"/><Relationship Id="rId328" Type="http://schemas.openxmlformats.org/officeDocument/2006/relationships/revisionLog" Target="revisionLog328.xml"/><Relationship Id="rId20" Type="http://schemas.openxmlformats.org/officeDocument/2006/relationships/revisionLog" Target="revisionLog20.xml"/><Relationship Id="rId41" Type="http://schemas.openxmlformats.org/officeDocument/2006/relationships/revisionLog" Target="revisionLog41.xml"/><Relationship Id="rId62" Type="http://schemas.openxmlformats.org/officeDocument/2006/relationships/revisionLog" Target="revisionLog62.xml"/><Relationship Id="rId83" Type="http://schemas.openxmlformats.org/officeDocument/2006/relationships/revisionLog" Target="revisionLog83.xml"/><Relationship Id="rId88" Type="http://schemas.openxmlformats.org/officeDocument/2006/relationships/revisionLog" Target="revisionLog88.xml"/><Relationship Id="rId111" Type="http://schemas.openxmlformats.org/officeDocument/2006/relationships/revisionLog" Target="revisionLog111.xml"/><Relationship Id="rId132" Type="http://schemas.openxmlformats.org/officeDocument/2006/relationships/revisionLog" Target="revisionLog132.xml"/><Relationship Id="rId153" Type="http://schemas.openxmlformats.org/officeDocument/2006/relationships/revisionLog" Target="revisionLog153.xml"/><Relationship Id="rId174" Type="http://schemas.openxmlformats.org/officeDocument/2006/relationships/revisionLog" Target="revisionLog174.xml"/><Relationship Id="rId179" Type="http://schemas.openxmlformats.org/officeDocument/2006/relationships/revisionLog" Target="revisionLog179.xml"/><Relationship Id="rId195" Type="http://schemas.openxmlformats.org/officeDocument/2006/relationships/revisionLog" Target="revisionLog195.xml"/><Relationship Id="rId209" Type="http://schemas.openxmlformats.org/officeDocument/2006/relationships/revisionLog" Target="revisionLog209.xml"/><Relationship Id="rId190" Type="http://schemas.openxmlformats.org/officeDocument/2006/relationships/revisionLog" Target="revisionLog190.xml"/><Relationship Id="rId204" Type="http://schemas.openxmlformats.org/officeDocument/2006/relationships/revisionLog" Target="revisionLog204.xml"/><Relationship Id="rId220" Type="http://schemas.openxmlformats.org/officeDocument/2006/relationships/revisionLog" Target="revisionLog220.xml"/><Relationship Id="rId225" Type="http://schemas.openxmlformats.org/officeDocument/2006/relationships/revisionLog" Target="revisionLog225.xml"/><Relationship Id="rId241" Type="http://schemas.openxmlformats.org/officeDocument/2006/relationships/revisionLog" Target="revisionLog241.xml"/><Relationship Id="rId246" Type="http://schemas.openxmlformats.org/officeDocument/2006/relationships/revisionLog" Target="revisionLog246.xml"/><Relationship Id="rId267" Type="http://schemas.openxmlformats.org/officeDocument/2006/relationships/revisionLog" Target="revisionLog267.xml"/><Relationship Id="rId288" Type="http://schemas.openxmlformats.org/officeDocument/2006/relationships/revisionLog" Target="revisionLog288.xml"/><Relationship Id="rId15" Type="http://schemas.openxmlformats.org/officeDocument/2006/relationships/revisionLog" Target="revisionLog15.xml"/><Relationship Id="rId36" Type="http://schemas.openxmlformats.org/officeDocument/2006/relationships/revisionLog" Target="revisionLog36.xml"/><Relationship Id="rId57" Type="http://schemas.openxmlformats.org/officeDocument/2006/relationships/revisionLog" Target="revisionLog57.xml"/><Relationship Id="rId106" Type="http://schemas.openxmlformats.org/officeDocument/2006/relationships/revisionLog" Target="revisionLog106.xml"/><Relationship Id="rId127" Type="http://schemas.openxmlformats.org/officeDocument/2006/relationships/revisionLog" Target="revisionLog127.xml"/><Relationship Id="rId262" Type="http://schemas.openxmlformats.org/officeDocument/2006/relationships/revisionLog" Target="revisionLog262.xml"/><Relationship Id="rId283" Type="http://schemas.openxmlformats.org/officeDocument/2006/relationships/revisionLog" Target="revisionLog283.xml"/><Relationship Id="rId313" Type="http://schemas.openxmlformats.org/officeDocument/2006/relationships/revisionLog" Target="revisionLog313.xml"/><Relationship Id="rId318" Type="http://schemas.openxmlformats.org/officeDocument/2006/relationships/revisionLog" Target="revisionLog318.xml"/><Relationship Id="rId339" Type="http://schemas.openxmlformats.org/officeDocument/2006/relationships/revisionLog" Target="revisionLog339.xml"/><Relationship Id="rId10" Type="http://schemas.openxmlformats.org/officeDocument/2006/relationships/revisionLog" Target="revisionLog10.xml"/><Relationship Id="rId31" Type="http://schemas.openxmlformats.org/officeDocument/2006/relationships/revisionLog" Target="revisionLog31.xml"/><Relationship Id="rId52" Type="http://schemas.openxmlformats.org/officeDocument/2006/relationships/revisionLog" Target="revisionLog52.xml"/><Relationship Id="rId73" Type="http://schemas.openxmlformats.org/officeDocument/2006/relationships/revisionLog" Target="revisionLog73.xml"/><Relationship Id="rId78" Type="http://schemas.openxmlformats.org/officeDocument/2006/relationships/revisionLog" Target="revisionLog78.xml"/><Relationship Id="rId94" Type="http://schemas.openxmlformats.org/officeDocument/2006/relationships/revisionLog" Target="revisionLog94.xml"/><Relationship Id="rId99" Type="http://schemas.openxmlformats.org/officeDocument/2006/relationships/revisionLog" Target="revisionLog99.xml"/><Relationship Id="rId101" Type="http://schemas.openxmlformats.org/officeDocument/2006/relationships/revisionLog" Target="revisionLog101.xml"/><Relationship Id="rId122" Type="http://schemas.openxmlformats.org/officeDocument/2006/relationships/revisionLog" Target="revisionLog122.xml"/><Relationship Id="rId143" Type="http://schemas.openxmlformats.org/officeDocument/2006/relationships/revisionLog" Target="revisionLog143.xml"/><Relationship Id="rId148" Type="http://schemas.openxmlformats.org/officeDocument/2006/relationships/revisionLog" Target="revisionLog148.xml"/><Relationship Id="rId164" Type="http://schemas.openxmlformats.org/officeDocument/2006/relationships/revisionLog" Target="revisionLog164.xml"/><Relationship Id="rId169" Type="http://schemas.openxmlformats.org/officeDocument/2006/relationships/revisionLog" Target="revisionLog169.xml"/><Relationship Id="rId185" Type="http://schemas.openxmlformats.org/officeDocument/2006/relationships/revisionLog" Target="revisionLog185.xml"/><Relationship Id="rId334" Type="http://schemas.openxmlformats.org/officeDocument/2006/relationships/revisionLog" Target="revisionLog334.xml"/><Relationship Id="rId4" Type="http://schemas.openxmlformats.org/officeDocument/2006/relationships/revisionLog" Target="revisionLog4.xml"/><Relationship Id="rId9" Type="http://schemas.openxmlformats.org/officeDocument/2006/relationships/revisionLog" Target="revisionLog9.xml"/><Relationship Id="rId180" Type="http://schemas.openxmlformats.org/officeDocument/2006/relationships/revisionLog" Target="revisionLog180.xml"/><Relationship Id="rId210" Type="http://schemas.openxmlformats.org/officeDocument/2006/relationships/revisionLog" Target="revisionLog210.xml"/><Relationship Id="rId215" Type="http://schemas.openxmlformats.org/officeDocument/2006/relationships/revisionLog" Target="revisionLog215.xml"/><Relationship Id="rId236" Type="http://schemas.openxmlformats.org/officeDocument/2006/relationships/revisionLog" Target="revisionLog236.xml"/><Relationship Id="rId257" Type="http://schemas.openxmlformats.org/officeDocument/2006/relationships/revisionLog" Target="revisionLog257.xml"/><Relationship Id="rId278" Type="http://schemas.openxmlformats.org/officeDocument/2006/relationships/revisionLog" Target="revisionLog278.xml"/><Relationship Id="rId26" Type="http://schemas.openxmlformats.org/officeDocument/2006/relationships/revisionLog" Target="revisionLog26.xml"/><Relationship Id="rId231" Type="http://schemas.openxmlformats.org/officeDocument/2006/relationships/revisionLog" Target="revisionLog231.xml"/><Relationship Id="rId252" Type="http://schemas.openxmlformats.org/officeDocument/2006/relationships/revisionLog" Target="revisionLog252.xml"/><Relationship Id="rId273" Type="http://schemas.openxmlformats.org/officeDocument/2006/relationships/revisionLog" Target="revisionLog273.xml"/><Relationship Id="rId294" Type="http://schemas.openxmlformats.org/officeDocument/2006/relationships/revisionLog" Target="revisionLog294.xml"/><Relationship Id="rId308" Type="http://schemas.openxmlformats.org/officeDocument/2006/relationships/revisionLog" Target="revisionLog308.xml"/><Relationship Id="rId329" Type="http://schemas.openxmlformats.org/officeDocument/2006/relationships/revisionLog" Target="revisionLog329.xml"/><Relationship Id="rId47" Type="http://schemas.openxmlformats.org/officeDocument/2006/relationships/revisionLog" Target="revisionLog47.xml"/><Relationship Id="rId68" Type="http://schemas.openxmlformats.org/officeDocument/2006/relationships/revisionLog" Target="revisionLog68.xml"/><Relationship Id="rId89" Type="http://schemas.openxmlformats.org/officeDocument/2006/relationships/revisionLog" Target="revisionLog89.xml"/><Relationship Id="rId112" Type="http://schemas.openxmlformats.org/officeDocument/2006/relationships/revisionLog" Target="revisionLog112.xml"/><Relationship Id="rId133" Type="http://schemas.openxmlformats.org/officeDocument/2006/relationships/revisionLog" Target="revisionLog133.xml"/><Relationship Id="rId154" Type="http://schemas.openxmlformats.org/officeDocument/2006/relationships/revisionLog" Target="revisionLog154.xml"/><Relationship Id="rId175" Type="http://schemas.openxmlformats.org/officeDocument/2006/relationships/revisionLog" Target="revisionLog175.xml"/><Relationship Id="rId340" Type="http://schemas.openxmlformats.org/officeDocument/2006/relationships/revisionLog" Target="revisionLog340.xml"/><Relationship Id="rId196" Type="http://schemas.openxmlformats.org/officeDocument/2006/relationships/revisionLog" Target="revisionLog196.xml"/><Relationship Id="rId200" Type="http://schemas.openxmlformats.org/officeDocument/2006/relationships/revisionLog" Target="revisionLog200.xml"/><Relationship Id="rId16" Type="http://schemas.openxmlformats.org/officeDocument/2006/relationships/revisionLog" Target="revisionLog16.xml"/><Relationship Id="rId221" Type="http://schemas.openxmlformats.org/officeDocument/2006/relationships/revisionLog" Target="revisionLog221.xml"/><Relationship Id="rId242" Type="http://schemas.openxmlformats.org/officeDocument/2006/relationships/revisionLog" Target="revisionLog242.xml"/><Relationship Id="rId263" Type="http://schemas.openxmlformats.org/officeDocument/2006/relationships/revisionLog" Target="revisionLog263.xml"/><Relationship Id="rId284" Type="http://schemas.openxmlformats.org/officeDocument/2006/relationships/revisionLog" Target="revisionLog284.xml"/><Relationship Id="rId319" Type="http://schemas.openxmlformats.org/officeDocument/2006/relationships/revisionLog" Target="revisionLog319.xml"/><Relationship Id="rId37" Type="http://schemas.openxmlformats.org/officeDocument/2006/relationships/revisionLog" Target="revisionLog37.xml"/><Relationship Id="rId58" Type="http://schemas.openxmlformats.org/officeDocument/2006/relationships/revisionLog" Target="revisionLog58.xml"/><Relationship Id="rId79" Type="http://schemas.openxmlformats.org/officeDocument/2006/relationships/revisionLog" Target="revisionLog79.xml"/><Relationship Id="rId102" Type="http://schemas.openxmlformats.org/officeDocument/2006/relationships/revisionLog" Target="revisionLog102.xml"/><Relationship Id="rId123" Type="http://schemas.openxmlformats.org/officeDocument/2006/relationships/revisionLog" Target="revisionLog123.xml"/><Relationship Id="rId144" Type="http://schemas.openxmlformats.org/officeDocument/2006/relationships/revisionLog" Target="revisionLog144.xml"/><Relationship Id="rId330" Type="http://schemas.openxmlformats.org/officeDocument/2006/relationships/revisionLog" Target="revisionLog330.xml"/><Relationship Id="rId90" Type="http://schemas.openxmlformats.org/officeDocument/2006/relationships/revisionLog" Target="revisionLog90.xml"/><Relationship Id="rId165" Type="http://schemas.openxmlformats.org/officeDocument/2006/relationships/revisionLog" Target="revisionLog165.xml"/><Relationship Id="rId186" Type="http://schemas.openxmlformats.org/officeDocument/2006/relationships/revisionLog" Target="revisionLog186.xml"/><Relationship Id="rId211" Type="http://schemas.openxmlformats.org/officeDocument/2006/relationships/revisionLog" Target="revisionLog211.xml"/><Relationship Id="rId232" Type="http://schemas.openxmlformats.org/officeDocument/2006/relationships/revisionLog" Target="revisionLog232.xml"/><Relationship Id="rId253" Type="http://schemas.openxmlformats.org/officeDocument/2006/relationships/revisionLog" Target="revisionLog253.xml"/><Relationship Id="rId274" Type="http://schemas.openxmlformats.org/officeDocument/2006/relationships/revisionLog" Target="revisionLog274.xml"/><Relationship Id="rId295" Type="http://schemas.openxmlformats.org/officeDocument/2006/relationships/revisionLog" Target="revisionLog295.xml"/><Relationship Id="rId309" Type="http://schemas.openxmlformats.org/officeDocument/2006/relationships/revisionLog" Target="revisionLog309.xml"/><Relationship Id="rId27" Type="http://schemas.openxmlformats.org/officeDocument/2006/relationships/revisionLog" Target="revisionLog27.xml"/><Relationship Id="rId48" Type="http://schemas.openxmlformats.org/officeDocument/2006/relationships/revisionLog" Target="revisionLog48.xml"/><Relationship Id="rId69" Type="http://schemas.openxmlformats.org/officeDocument/2006/relationships/revisionLog" Target="revisionLog69.xml"/><Relationship Id="rId113" Type="http://schemas.openxmlformats.org/officeDocument/2006/relationships/revisionLog" Target="revisionLog113.xml"/><Relationship Id="rId134" Type="http://schemas.openxmlformats.org/officeDocument/2006/relationships/revisionLog" Target="revisionLog134.xml"/><Relationship Id="rId320" Type="http://schemas.openxmlformats.org/officeDocument/2006/relationships/revisionLog" Target="revisionLog320.xml"/><Relationship Id="rId80" Type="http://schemas.openxmlformats.org/officeDocument/2006/relationships/revisionLog" Target="revisionLog80.xml"/><Relationship Id="rId155" Type="http://schemas.openxmlformats.org/officeDocument/2006/relationships/revisionLog" Target="revisionLog155.xml"/><Relationship Id="rId176" Type="http://schemas.openxmlformats.org/officeDocument/2006/relationships/revisionLog" Target="revisionLog176.xml"/><Relationship Id="rId197" Type="http://schemas.openxmlformats.org/officeDocument/2006/relationships/revisionLog" Target="revisionLog197.xml"/><Relationship Id="rId341" Type="http://schemas.openxmlformats.org/officeDocument/2006/relationships/revisionLog" Target="revisionLog341.xml"/><Relationship Id="rId201" Type="http://schemas.openxmlformats.org/officeDocument/2006/relationships/revisionLog" Target="revisionLog201.xml"/><Relationship Id="rId222" Type="http://schemas.openxmlformats.org/officeDocument/2006/relationships/revisionLog" Target="revisionLog222.xml"/><Relationship Id="rId243" Type="http://schemas.openxmlformats.org/officeDocument/2006/relationships/revisionLog" Target="revisionLog243.xml"/><Relationship Id="rId264" Type="http://schemas.openxmlformats.org/officeDocument/2006/relationships/revisionLog" Target="revisionLog264.xml"/><Relationship Id="rId285" Type="http://schemas.openxmlformats.org/officeDocument/2006/relationships/revisionLog" Target="revisionLog285.xml"/><Relationship Id="rId17" Type="http://schemas.openxmlformats.org/officeDocument/2006/relationships/revisionLog" Target="revisionLog17.xml"/><Relationship Id="rId38" Type="http://schemas.openxmlformats.org/officeDocument/2006/relationships/revisionLog" Target="revisionLog38.xml"/><Relationship Id="rId59" Type="http://schemas.openxmlformats.org/officeDocument/2006/relationships/revisionLog" Target="revisionLog59.xml"/><Relationship Id="rId103" Type="http://schemas.openxmlformats.org/officeDocument/2006/relationships/revisionLog" Target="revisionLog103.xml"/><Relationship Id="rId124" Type="http://schemas.openxmlformats.org/officeDocument/2006/relationships/revisionLog" Target="revisionLog124.xml"/><Relationship Id="rId310" Type="http://schemas.openxmlformats.org/officeDocument/2006/relationships/revisionLog" Target="revisionLog310.xml"/><Relationship Id="rId70" Type="http://schemas.openxmlformats.org/officeDocument/2006/relationships/revisionLog" Target="revisionLog70.xml"/><Relationship Id="rId91" Type="http://schemas.openxmlformats.org/officeDocument/2006/relationships/revisionLog" Target="revisionLog91.xml"/><Relationship Id="rId145" Type="http://schemas.openxmlformats.org/officeDocument/2006/relationships/revisionLog" Target="revisionLog145.xml"/><Relationship Id="rId166" Type="http://schemas.openxmlformats.org/officeDocument/2006/relationships/revisionLog" Target="revisionLog166.xml"/><Relationship Id="rId187" Type="http://schemas.openxmlformats.org/officeDocument/2006/relationships/revisionLog" Target="revisionLog187.xml"/><Relationship Id="rId331" Type="http://schemas.openxmlformats.org/officeDocument/2006/relationships/revisionLog" Target="revisionLog331.xml"/><Relationship Id="rId1" Type="http://schemas.openxmlformats.org/officeDocument/2006/relationships/revisionLog" Target="revisionLog1.xml"/><Relationship Id="rId212" Type="http://schemas.openxmlformats.org/officeDocument/2006/relationships/revisionLog" Target="revisionLog212.xml"/><Relationship Id="rId233" Type="http://schemas.openxmlformats.org/officeDocument/2006/relationships/revisionLog" Target="revisionLog233.xml"/><Relationship Id="rId254" Type="http://schemas.openxmlformats.org/officeDocument/2006/relationships/revisionLog" Target="revisionLog254.xml"/><Relationship Id="rId28" Type="http://schemas.openxmlformats.org/officeDocument/2006/relationships/revisionLog" Target="revisionLog28.xml"/><Relationship Id="rId49" Type="http://schemas.openxmlformats.org/officeDocument/2006/relationships/revisionLog" Target="revisionLog49.xml"/><Relationship Id="rId114" Type="http://schemas.openxmlformats.org/officeDocument/2006/relationships/revisionLog" Target="revisionLog114.xml"/><Relationship Id="rId275" Type="http://schemas.openxmlformats.org/officeDocument/2006/relationships/revisionLog" Target="revisionLog275.xml"/><Relationship Id="rId296" Type="http://schemas.openxmlformats.org/officeDocument/2006/relationships/revisionLog" Target="revisionLog296.xml"/><Relationship Id="rId300" Type="http://schemas.openxmlformats.org/officeDocument/2006/relationships/revisionLog" Target="revisionLog300.xml"/><Relationship Id="rId60" Type="http://schemas.openxmlformats.org/officeDocument/2006/relationships/revisionLog" Target="revisionLog60.xml"/><Relationship Id="rId81" Type="http://schemas.openxmlformats.org/officeDocument/2006/relationships/revisionLog" Target="revisionLog81.xml"/><Relationship Id="rId135" Type="http://schemas.openxmlformats.org/officeDocument/2006/relationships/revisionLog" Target="revisionLog135.xml"/><Relationship Id="rId156" Type="http://schemas.openxmlformats.org/officeDocument/2006/relationships/revisionLog" Target="revisionLog156.xml"/><Relationship Id="rId177" Type="http://schemas.openxmlformats.org/officeDocument/2006/relationships/revisionLog" Target="revisionLog177.xml"/><Relationship Id="rId198" Type="http://schemas.openxmlformats.org/officeDocument/2006/relationships/revisionLog" Target="revisionLog198.xml"/><Relationship Id="rId321" Type="http://schemas.openxmlformats.org/officeDocument/2006/relationships/revisionLog" Target="revisionLog321.xml"/><Relationship Id="rId342" Type="http://schemas.openxmlformats.org/officeDocument/2006/relationships/revisionLog" Target="revisionLog342.xml"/><Relationship Id="rId202" Type="http://schemas.openxmlformats.org/officeDocument/2006/relationships/revisionLog" Target="revisionLog202.xml"/><Relationship Id="rId223" Type="http://schemas.openxmlformats.org/officeDocument/2006/relationships/revisionLog" Target="revisionLog223.xml"/><Relationship Id="rId244" Type="http://schemas.openxmlformats.org/officeDocument/2006/relationships/revisionLog" Target="revisionLog244.xml"/><Relationship Id="rId18" Type="http://schemas.openxmlformats.org/officeDocument/2006/relationships/revisionLog" Target="revisionLog18.xml"/><Relationship Id="rId39" Type="http://schemas.openxmlformats.org/officeDocument/2006/relationships/revisionLog" Target="revisionLog39.xml"/><Relationship Id="rId265" Type="http://schemas.openxmlformats.org/officeDocument/2006/relationships/revisionLog" Target="revisionLog265.xml"/><Relationship Id="rId286" Type="http://schemas.openxmlformats.org/officeDocument/2006/relationships/revisionLog" Target="revisionLog286.xml"/><Relationship Id="rId50" Type="http://schemas.openxmlformats.org/officeDocument/2006/relationships/revisionLog" Target="revisionLog50.xml"/><Relationship Id="rId104" Type="http://schemas.openxmlformats.org/officeDocument/2006/relationships/revisionLog" Target="revisionLog104.xml"/><Relationship Id="rId125" Type="http://schemas.openxmlformats.org/officeDocument/2006/relationships/revisionLog" Target="revisionLog125.xml"/><Relationship Id="rId146" Type="http://schemas.openxmlformats.org/officeDocument/2006/relationships/revisionLog" Target="revisionLog146.xml"/><Relationship Id="rId167" Type="http://schemas.openxmlformats.org/officeDocument/2006/relationships/revisionLog" Target="revisionLog167.xml"/><Relationship Id="rId188" Type="http://schemas.openxmlformats.org/officeDocument/2006/relationships/revisionLog" Target="revisionLog188.xml"/><Relationship Id="rId311" Type="http://schemas.openxmlformats.org/officeDocument/2006/relationships/revisionLog" Target="revisionLog311.xml"/><Relationship Id="rId332" Type="http://schemas.openxmlformats.org/officeDocument/2006/relationships/revisionLog" Target="revisionLog332.xml"/><Relationship Id="rId71" Type="http://schemas.openxmlformats.org/officeDocument/2006/relationships/revisionLog" Target="revisionLog71.xml"/><Relationship Id="rId92" Type="http://schemas.openxmlformats.org/officeDocument/2006/relationships/revisionLog" Target="revisionLog92.xml"/><Relationship Id="rId213" Type="http://schemas.openxmlformats.org/officeDocument/2006/relationships/revisionLog" Target="revisionLog213.xml"/><Relationship Id="rId234" Type="http://schemas.openxmlformats.org/officeDocument/2006/relationships/revisionLog" Target="revisionLog234.xml"/><Relationship Id="rId2" Type="http://schemas.openxmlformats.org/officeDocument/2006/relationships/revisionLog" Target="revisionLog2.xml"/><Relationship Id="rId29" Type="http://schemas.openxmlformats.org/officeDocument/2006/relationships/revisionLog" Target="revisionLog29.xml"/><Relationship Id="rId255" Type="http://schemas.openxmlformats.org/officeDocument/2006/relationships/revisionLog" Target="revisionLog255.xml"/><Relationship Id="rId276" Type="http://schemas.openxmlformats.org/officeDocument/2006/relationships/revisionLog" Target="revisionLog276.xml"/><Relationship Id="rId297" Type="http://schemas.openxmlformats.org/officeDocument/2006/relationships/revisionLog" Target="revisionLog297.xml"/><Relationship Id="rId40" Type="http://schemas.openxmlformats.org/officeDocument/2006/relationships/revisionLog" Target="revisionLog40.xml"/><Relationship Id="rId115" Type="http://schemas.openxmlformats.org/officeDocument/2006/relationships/revisionLog" Target="revisionLog115.xml"/><Relationship Id="rId136" Type="http://schemas.openxmlformats.org/officeDocument/2006/relationships/revisionLog" Target="revisionLog136.xml"/><Relationship Id="rId157" Type="http://schemas.openxmlformats.org/officeDocument/2006/relationships/revisionLog" Target="revisionLog157.xml"/><Relationship Id="rId178" Type="http://schemas.openxmlformats.org/officeDocument/2006/relationships/revisionLog" Target="revisionLog178.xml"/><Relationship Id="rId301" Type="http://schemas.openxmlformats.org/officeDocument/2006/relationships/revisionLog" Target="revisionLog301.xml"/><Relationship Id="rId322" Type="http://schemas.openxmlformats.org/officeDocument/2006/relationships/revisionLog" Target="revisionLog322.xml"/><Relationship Id="rId61" Type="http://schemas.openxmlformats.org/officeDocument/2006/relationships/revisionLog" Target="revisionLog61.xml"/><Relationship Id="rId82" Type="http://schemas.openxmlformats.org/officeDocument/2006/relationships/revisionLog" Target="revisionLog82.xml"/><Relationship Id="rId199" Type="http://schemas.openxmlformats.org/officeDocument/2006/relationships/revisionLog" Target="revisionLog199.xml"/><Relationship Id="rId203" Type="http://schemas.openxmlformats.org/officeDocument/2006/relationships/revisionLog" Target="revisionLog203.xml"/><Relationship Id="rId19" Type="http://schemas.openxmlformats.org/officeDocument/2006/relationships/revisionLog" Target="revisionLog19.xml"/><Relationship Id="rId224" Type="http://schemas.openxmlformats.org/officeDocument/2006/relationships/revisionLog" Target="revisionLog224.xml"/><Relationship Id="rId245" Type="http://schemas.openxmlformats.org/officeDocument/2006/relationships/revisionLog" Target="revisionLog245.xml"/><Relationship Id="rId266" Type="http://schemas.openxmlformats.org/officeDocument/2006/relationships/revisionLog" Target="revisionLog266.xml"/><Relationship Id="rId287" Type="http://schemas.openxmlformats.org/officeDocument/2006/relationships/revisionLog" Target="revisionLog287.xml"/><Relationship Id="rId30" Type="http://schemas.openxmlformats.org/officeDocument/2006/relationships/revisionLog" Target="revisionLog30.xml"/><Relationship Id="rId105" Type="http://schemas.openxmlformats.org/officeDocument/2006/relationships/revisionLog" Target="revisionLog105.xml"/><Relationship Id="rId126" Type="http://schemas.openxmlformats.org/officeDocument/2006/relationships/revisionLog" Target="revisionLog126.xml"/><Relationship Id="rId147" Type="http://schemas.openxmlformats.org/officeDocument/2006/relationships/revisionLog" Target="revisionLog147.xml"/><Relationship Id="rId168" Type="http://schemas.openxmlformats.org/officeDocument/2006/relationships/revisionLog" Target="revisionLog168.xml"/><Relationship Id="rId312" Type="http://schemas.openxmlformats.org/officeDocument/2006/relationships/revisionLog" Target="revisionLog312.xml"/><Relationship Id="rId333" Type="http://schemas.openxmlformats.org/officeDocument/2006/relationships/revisionLog" Target="revisionLog333.xml"/><Relationship Id="rId51" Type="http://schemas.openxmlformats.org/officeDocument/2006/relationships/revisionLog" Target="revisionLog51.xml"/><Relationship Id="rId72" Type="http://schemas.openxmlformats.org/officeDocument/2006/relationships/revisionLog" Target="revisionLog72.xml"/><Relationship Id="rId93" Type="http://schemas.openxmlformats.org/officeDocument/2006/relationships/revisionLog" Target="revisionLog93.xml"/><Relationship Id="rId189" Type="http://schemas.openxmlformats.org/officeDocument/2006/relationships/revisionLog" Target="revisionLog18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895E97F6-7612-497F-8245-82F97D0D62BD}" diskRevisions="1" revisionId="4094" version="342">
  <header guid="{3B999C4E-FD80-444B-A774-45555F379C4D}" dateTime="2020-05-06T11:51:27" maxSheetId="11" userName="EXTERNAL Nguyen Trung Hieu (Ban Vien, RBVH/EPS45)" r:id="rId1">
    <sheetIdMap count="10">
      <sheetId val="1"/>
      <sheetId val="2"/>
      <sheetId val="3"/>
      <sheetId val="4"/>
      <sheetId val="5"/>
      <sheetId val="6"/>
      <sheetId val="7"/>
      <sheetId val="8"/>
      <sheetId val="9"/>
      <sheetId val="10"/>
    </sheetIdMap>
  </header>
  <header guid="{C337A09F-CB2E-4CE3-9DF7-D4743CE5691A}" dateTime="2020-05-06T11:51:32" maxSheetId="11" userName="EXTERNAL Nguyen Trung Hieu (Ban Vien, RBVH/EPS45)" r:id="rId2">
    <sheetIdMap count="10">
      <sheetId val="1"/>
      <sheetId val="2"/>
      <sheetId val="3"/>
      <sheetId val="4"/>
      <sheetId val="5"/>
      <sheetId val="6"/>
      <sheetId val="7"/>
      <sheetId val="8"/>
      <sheetId val="9"/>
      <sheetId val="10"/>
    </sheetIdMap>
  </header>
  <header guid="{C83DD20B-B585-4F19-9D56-8822910B162B}" dateTime="2020-05-06T11:52:09" maxSheetId="11" userName="EXTERNAL Nguyen Trung Hieu (Ban Vien, RBVH/EPS45)" r:id="rId3" minRId="3" maxRId="4">
    <sheetIdMap count="10">
      <sheetId val="1"/>
      <sheetId val="2"/>
      <sheetId val="3"/>
      <sheetId val="4"/>
      <sheetId val="5"/>
      <sheetId val="6"/>
      <sheetId val="7"/>
      <sheetId val="8"/>
      <sheetId val="9"/>
      <sheetId val="10"/>
    </sheetIdMap>
  </header>
  <header guid="{F0AF521E-BEFB-42CC-94A0-8FF8FA8F6052}" dateTime="2020-05-06T11:52:54" maxSheetId="11" userName="EXTERNAL Nguyen Trung Hieu (Ban Vien, RBVH/EPS45)" r:id="rId4">
    <sheetIdMap count="10">
      <sheetId val="1"/>
      <sheetId val="2"/>
      <sheetId val="3"/>
      <sheetId val="4"/>
      <sheetId val="5"/>
      <sheetId val="6"/>
      <sheetId val="7"/>
      <sheetId val="8"/>
      <sheetId val="9"/>
      <sheetId val="10"/>
    </sheetIdMap>
  </header>
  <header guid="{E6E1A49C-E07C-4825-8651-393AEB73A869}" dateTime="2020-05-06T11:54:09" maxSheetId="11" userName="EXTERNAL Nguyen Trung Hieu (Ban Vien, RBVH/EPS45)" r:id="rId5" minRId="9" maxRId="53">
    <sheetIdMap count="10">
      <sheetId val="1"/>
      <sheetId val="2"/>
      <sheetId val="3"/>
      <sheetId val="4"/>
      <sheetId val="5"/>
      <sheetId val="6"/>
      <sheetId val="7"/>
      <sheetId val="8"/>
      <sheetId val="9"/>
      <sheetId val="10"/>
    </sheetIdMap>
  </header>
  <header guid="{6AB2D2DB-30A0-48CE-B61C-F2183E0A2793}" dateTime="2020-05-06T11:54:18" maxSheetId="11" userName="EXTERNAL Nguyen Trung Hieu (Ban Vien, RBVH/EPS45)" r:id="rId6" minRId="54" maxRId="98">
    <sheetIdMap count="10">
      <sheetId val="1"/>
      <sheetId val="2"/>
      <sheetId val="3"/>
      <sheetId val="4"/>
      <sheetId val="5"/>
      <sheetId val="6"/>
      <sheetId val="7"/>
      <sheetId val="8"/>
      <sheetId val="9"/>
      <sheetId val="10"/>
    </sheetIdMap>
  </header>
  <header guid="{B68D7398-4ADF-4293-965F-E5473925BCF4}" dateTime="2020-05-06T11:54:48" maxSheetId="11" userName="EXTERNAL Nguyen Trung Hieu (Ban Vien, RBVH/EPS45)" r:id="rId7">
    <sheetIdMap count="10">
      <sheetId val="1"/>
      <sheetId val="2"/>
      <sheetId val="3"/>
      <sheetId val="4"/>
      <sheetId val="5"/>
      <sheetId val="6"/>
      <sheetId val="7"/>
      <sheetId val="8"/>
      <sheetId val="9"/>
      <sheetId val="10"/>
    </sheetIdMap>
  </header>
  <header guid="{3C00BDE4-0CE3-469F-A035-FB470D1FC02D}" dateTime="2020-05-06T13:20:55" maxSheetId="11" userName="EXTERNAL Nguyen Tuan Duong (Ban Vien, RBVH/EPS45)" r:id="rId8" minRId="99" maxRId="105">
    <sheetIdMap count="10">
      <sheetId val="1"/>
      <sheetId val="2"/>
      <sheetId val="3"/>
      <sheetId val="4"/>
      <sheetId val="5"/>
      <sheetId val="6"/>
      <sheetId val="7"/>
      <sheetId val="8"/>
      <sheetId val="9"/>
      <sheetId val="10"/>
    </sheetIdMap>
  </header>
  <header guid="{17033E23-EC97-4668-9FE2-1583D075A271}" dateTime="2020-05-06T13:21:13" maxSheetId="11" userName="EXTERNAL Nguyen Tuan Duong (Ban Vien, RBVH/EPS45)" r:id="rId9" minRId="108" maxRId="117">
    <sheetIdMap count="10">
      <sheetId val="1"/>
      <sheetId val="2"/>
      <sheetId val="3"/>
      <sheetId val="4"/>
      <sheetId val="5"/>
      <sheetId val="6"/>
      <sheetId val="7"/>
      <sheetId val="8"/>
      <sheetId val="9"/>
      <sheetId val="10"/>
    </sheetIdMap>
  </header>
  <header guid="{A776ABF0-20F6-4755-B0EF-A4AEA44AE628}" dateTime="2020-05-06T13:31:38" maxSheetId="11" userName="EXTERNAL Nguyen Trung Hieu (Ban Vien, RBVH/EPS45)" r:id="rId10">
    <sheetIdMap count="10">
      <sheetId val="1"/>
      <sheetId val="2"/>
      <sheetId val="3"/>
      <sheetId val="4"/>
      <sheetId val="5"/>
      <sheetId val="6"/>
      <sheetId val="7"/>
      <sheetId val="8"/>
      <sheetId val="9"/>
      <sheetId val="10"/>
    </sheetIdMap>
  </header>
  <header guid="{D37DD3E1-BD2E-4943-9B17-2CB4FD041312}" dateTime="2020-05-06T13:34:16" maxSheetId="11" userName="GUP7HC" r:id="rId11" minRId="122" maxRId="125">
    <sheetIdMap count="10">
      <sheetId val="1"/>
      <sheetId val="2"/>
      <sheetId val="3"/>
      <sheetId val="4"/>
      <sheetId val="5"/>
      <sheetId val="6"/>
      <sheetId val="7"/>
      <sheetId val="8"/>
      <sheetId val="9"/>
      <sheetId val="10"/>
    </sheetIdMap>
  </header>
  <header guid="{4381B808-D11B-4770-AE26-50CE835BD5D1}" dateTime="2020-05-06T13:34:17" maxSheetId="11" userName="GUP7HC" r:id="rId12">
    <sheetIdMap count="10">
      <sheetId val="1"/>
      <sheetId val="2"/>
      <sheetId val="3"/>
      <sheetId val="4"/>
      <sheetId val="5"/>
      <sheetId val="6"/>
      <sheetId val="7"/>
      <sheetId val="8"/>
      <sheetId val="9"/>
      <sheetId val="10"/>
    </sheetIdMap>
  </header>
  <header guid="{2A0D982D-226A-410D-A1B5-C2C57A437625}" dateTime="2020-05-06T13:34:45" maxSheetId="11" userName="GUP7HC" r:id="rId13">
    <sheetIdMap count="10">
      <sheetId val="1"/>
      <sheetId val="2"/>
      <sheetId val="3"/>
      <sheetId val="4"/>
      <sheetId val="5"/>
      <sheetId val="6"/>
      <sheetId val="7"/>
      <sheetId val="8"/>
      <sheetId val="9"/>
      <sheetId val="10"/>
    </sheetIdMap>
  </header>
  <header guid="{06A84C0F-4A3D-47EF-B1B2-4C85B5FEA6B4}" dateTime="2020-05-06T13:34:54" maxSheetId="11" userName="EXTERNAL Nguyen Trung Hieu (Ban Vien, RBVH/EPS45)" r:id="rId14">
    <sheetIdMap count="10">
      <sheetId val="1"/>
      <sheetId val="2"/>
      <sheetId val="3"/>
      <sheetId val="4"/>
      <sheetId val="5"/>
      <sheetId val="6"/>
      <sheetId val="7"/>
      <sheetId val="8"/>
      <sheetId val="9"/>
      <sheetId val="10"/>
    </sheetIdMap>
  </header>
  <header guid="{74A4791C-DD9C-4DDA-9D95-B8E0A55071B3}" dateTime="2020-05-06T13:36:19" maxSheetId="11" userName="GUP7HC" r:id="rId15" minRId="134" maxRId="136">
    <sheetIdMap count="10">
      <sheetId val="1"/>
      <sheetId val="2"/>
      <sheetId val="3"/>
      <sheetId val="4"/>
      <sheetId val="5"/>
      <sheetId val="6"/>
      <sheetId val="7"/>
      <sheetId val="8"/>
      <sheetId val="9"/>
      <sheetId val="10"/>
    </sheetIdMap>
  </header>
  <header guid="{40CDAE96-E163-4F33-9C17-C3D1193D8F9E}" dateTime="2020-05-06T13:38:01" maxSheetId="11" userName="GUP7HC" r:id="rId16">
    <sheetIdMap count="10">
      <sheetId val="1"/>
      <sheetId val="2"/>
      <sheetId val="3"/>
      <sheetId val="4"/>
      <sheetId val="5"/>
      <sheetId val="6"/>
      <sheetId val="7"/>
      <sheetId val="8"/>
      <sheetId val="9"/>
      <sheetId val="10"/>
    </sheetIdMap>
  </header>
  <header guid="{E16C21EF-3509-47D8-B623-818AB826050A}" dateTime="2020-05-06T13:40:29" maxSheetId="11" userName="EXTERNAL Nguyen Tai Hau (Ban Vien, RBVH/EPS45)" r:id="rId17" minRId="141">
    <sheetIdMap count="10">
      <sheetId val="1"/>
      <sheetId val="2"/>
      <sheetId val="3"/>
      <sheetId val="4"/>
      <sheetId val="5"/>
      <sheetId val="6"/>
      <sheetId val="7"/>
      <sheetId val="8"/>
      <sheetId val="9"/>
      <sheetId val="10"/>
    </sheetIdMap>
  </header>
  <header guid="{6328FC69-DC50-47C0-8EDE-5D8DD917B03F}" dateTime="2020-05-06T13:44:15" maxSheetId="11" userName="EXTERNAL Nguyen Trung Hieu (Ban Vien, RBVH/EPS45)" r:id="rId18" minRId="144" maxRId="147">
    <sheetIdMap count="10">
      <sheetId val="1"/>
      <sheetId val="2"/>
      <sheetId val="3"/>
      <sheetId val="4"/>
      <sheetId val="5"/>
      <sheetId val="6"/>
      <sheetId val="7"/>
      <sheetId val="8"/>
      <sheetId val="9"/>
      <sheetId val="10"/>
    </sheetIdMap>
  </header>
  <header guid="{F898CB51-1363-4A55-966B-9A8C70E3699F}" dateTime="2020-05-06T13:46:22" maxSheetId="11" userName="EXTERNAL Nguyen Trung Hieu (Ban Vien, RBVH/EPS45)" r:id="rId19" minRId="150" maxRId="153">
    <sheetIdMap count="10">
      <sheetId val="1"/>
      <sheetId val="2"/>
      <sheetId val="3"/>
      <sheetId val="4"/>
      <sheetId val="5"/>
      <sheetId val="6"/>
      <sheetId val="7"/>
      <sheetId val="8"/>
      <sheetId val="9"/>
      <sheetId val="10"/>
    </sheetIdMap>
  </header>
  <header guid="{F9E1F712-CAD9-48DE-8944-8F81A9537693}" dateTime="2020-05-06T13:48:02" maxSheetId="11" userName="EXTERNAL Nguyen Trung Hieu (Ban Vien, RBVH/EPS45)" r:id="rId20">
    <sheetIdMap count="10">
      <sheetId val="1"/>
      <sheetId val="2"/>
      <sheetId val="3"/>
      <sheetId val="4"/>
      <sheetId val="5"/>
      <sheetId val="6"/>
      <sheetId val="7"/>
      <sheetId val="8"/>
      <sheetId val="9"/>
      <sheetId val="10"/>
    </sheetIdMap>
  </header>
  <header guid="{747C0853-D234-406C-B992-5CB7A3C059AD}" dateTime="2020-05-06T13:54:57" maxSheetId="11" userName="EXTERNAL Nguyen Trung Hieu (Ban Vien, RBVH/EPS45)" r:id="rId21">
    <sheetIdMap count="10">
      <sheetId val="1"/>
      <sheetId val="2"/>
      <sheetId val="3"/>
      <sheetId val="4"/>
      <sheetId val="5"/>
      <sheetId val="6"/>
      <sheetId val="7"/>
      <sheetId val="8"/>
      <sheetId val="9"/>
      <sheetId val="10"/>
    </sheetIdMap>
  </header>
  <header guid="{632D0DD4-B5A4-4A40-820E-83518EA68E0D}" dateTime="2020-05-06T13:57:07" maxSheetId="11" userName="EXTERNAL Nguyen Trung Hieu (Ban Vien, RBVH/EPS45)" r:id="rId22">
    <sheetIdMap count="10">
      <sheetId val="1"/>
      <sheetId val="2"/>
      <sheetId val="3"/>
      <sheetId val="4"/>
      <sheetId val="5"/>
      <sheetId val="6"/>
      <sheetId val="7"/>
      <sheetId val="8"/>
      <sheetId val="9"/>
      <sheetId val="10"/>
    </sheetIdMap>
  </header>
  <header guid="{1EB77885-79D4-4C59-9194-3E74B6B95ACA}" dateTime="2020-05-06T14:03:49" maxSheetId="11" userName="EXTERNAL Nguyen Trung Hieu (Ban Vien, RBVH/EPS45)" r:id="rId23" minRId="162">
    <sheetIdMap count="10">
      <sheetId val="1"/>
      <sheetId val="2"/>
      <sheetId val="3"/>
      <sheetId val="4"/>
      <sheetId val="5"/>
      <sheetId val="6"/>
      <sheetId val="7"/>
      <sheetId val="8"/>
      <sheetId val="9"/>
      <sheetId val="10"/>
    </sheetIdMap>
  </header>
  <header guid="{672AFFE7-3D32-4A8D-BB45-34B5A5251BF5}" dateTime="2020-05-06T14:05:43" maxSheetId="11" userName="EXTERNAL Nguyen Trung Hieu (Ban Vien, RBVH/EPS45)" r:id="rId24">
    <sheetIdMap count="10">
      <sheetId val="1"/>
      <sheetId val="2"/>
      <sheetId val="3"/>
      <sheetId val="4"/>
      <sheetId val="5"/>
      <sheetId val="6"/>
      <sheetId val="7"/>
      <sheetId val="8"/>
      <sheetId val="9"/>
      <sheetId val="10"/>
    </sheetIdMap>
  </header>
  <header guid="{77BE4B50-9FBC-419F-BC98-4B636E989530}" dateTime="2020-05-06T14:06:09" maxSheetId="11" userName="EXTERNAL Nguyen Tuan Duong (Ban Vien, RBVH/EPS45)" r:id="rId25">
    <sheetIdMap count="10">
      <sheetId val="1"/>
      <sheetId val="2"/>
      <sheetId val="3"/>
      <sheetId val="4"/>
      <sheetId val="5"/>
      <sheetId val="6"/>
      <sheetId val="7"/>
      <sheetId val="8"/>
      <sheetId val="9"/>
      <sheetId val="10"/>
    </sheetIdMap>
  </header>
  <header guid="{30C610F9-84D3-4635-9474-896D4EB94DA8}" dateTime="2020-05-06T14:10:28" maxSheetId="11" userName="EXTERNAL Nguyen Kim Thanh (Ban Vien, RBVH/EPS45)" r:id="rId26" minRId="169" maxRId="178">
    <sheetIdMap count="10">
      <sheetId val="1"/>
      <sheetId val="2"/>
      <sheetId val="3"/>
      <sheetId val="4"/>
      <sheetId val="5"/>
      <sheetId val="6"/>
      <sheetId val="7"/>
      <sheetId val="8"/>
      <sheetId val="9"/>
      <sheetId val="10"/>
    </sheetIdMap>
  </header>
  <header guid="{58044888-ABD5-4728-83D8-5ACD33C631B7}" dateTime="2020-05-06T14:26:39" maxSheetId="11" userName="EXTERNAL Nguyen Duy Bang (Ban Vien, RBVH/EPS45)" r:id="rId27" minRId="181" maxRId="210">
    <sheetIdMap count="10">
      <sheetId val="1"/>
      <sheetId val="2"/>
      <sheetId val="3"/>
      <sheetId val="4"/>
      <sheetId val="5"/>
      <sheetId val="6"/>
      <sheetId val="7"/>
      <sheetId val="8"/>
      <sheetId val="9"/>
      <sheetId val="10"/>
    </sheetIdMap>
  </header>
  <header guid="{BB0D9DA2-7D17-467E-A142-E685ECDDD733}" dateTime="2020-05-06T14:53:37" maxSheetId="11" userName="GUP7HC" r:id="rId28">
    <sheetIdMap count="10">
      <sheetId val="1"/>
      <sheetId val="2"/>
      <sheetId val="3"/>
      <sheetId val="4"/>
      <sheetId val="5"/>
      <sheetId val="6"/>
      <sheetId val="7"/>
      <sheetId val="8"/>
      <sheetId val="9"/>
      <sheetId val="10"/>
    </sheetIdMap>
  </header>
  <header guid="{AFB35C3C-336C-4753-80E5-7AD7971332B4}" dateTime="2020-05-06T14:53:44" maxSheetId="11" userName="EXTERNAL Nguyen Trung Hieu (Ban Vien, RBVH/EPS45)" r:id="rId29" minRId="215" maxRId="224">
    <sheetIdMap count="10">
      <sheetId val="1"/>
      <sheetId val="2"/>
      <sheetId val="3"/>
      <sheetId val="4"/>
      <sheetId val="5"/>
      <sheetId val="6"/>
      <sheetId val="7"/>
      <sheetId val="8"/>
      <sheetId val="9"/>
      <sheetId val="10"/>
    </sheetIdMap>
  </header>
  <header guid="{F053D909-BEC7-4E48-9175-758EFE7742CF}" dateTime="2020-05-06T14:53:47" maxSheetId="11" userName="EXTERNAL Nguyen Trung Hieu (Ban Vien, RBVH/EPS45)" r:id="rId30">
    <sheetIdMap count="10">
      <sheetId val="1"/>
      <sheetId val="2"/>
      <sheetId val="3"/>
      <sheetId val="4"/>
      <sheetId val="5"/>
      <sheetId val="6"/>
      <sheetId val="7"/>
      <sheetId val="8"/>
      <sheetId val="9"/>
      <sheetId val="10"/>
    </sheetIdMap>
  </header>
  <header guid="{1FF26538-69C0-41C7-B551-03CB7251595F}" dateTime="2020-05-06T14:58:44" maxSheetId="11" userName="EXTERNAL Nguyen Trung Hieu (Ban Vien, RBVH/EPS45)" r:id="rId31" minRId="229">
    <sheetIdMap count="10">
      <sheetId val="1"/>
      <sheetId val="2"/>
      <sheetId val="3"/>
      <sheetId val="4"/>
      <sheetId val="5"/>
      <sheetId val="6"/>
      <sheetId val="7"/>
      <sheetId val="8"/>
      <sheetId val="9"/>
      <sheetId val="10"/>
    </sheetIdMap>
  </header>
  <header guid="{EF974007-F3AC-42D0-B8C4-A9DDF456D814}" dateTime="2020-05-06T14:58:49" maxSheetId="11" userName="EXTERNAL Nguyen Trung Hieu (Ban Vien, RBVH/EPS45)" r:id="rId32">
    <sheetIdMap count="10">
      <sheetId val="1"/>
      <sheetId val="2"/>
      <sheetId val="3"/>
      <sheetId val="4"/>
      <sheetId val="5"/>
      <sheetId val="6"/>
      <sheetId val="7"/>
      <sheetId val="8"/>
      <sheetId val="9"/>
      <sheetId val="10"/>
    </sheetIdMap>
  </header>
  <header guid="{EB4BCA44-A419-4B80-901B-B22B46E3C715}" dateTime="2020-05-06T15:08:10" maxSheetId="11" userName="EXTERNAL Do Phu Loc (Ban Vien, RBVH/EPS45)" r:id="rId33" minRId="230" maxRId="241">
    <sheetIdMap count="10">
      <sheetId val="1"/>
      <sheetId val="2"/>
      <sheetId val="3"/>
      <sheetId val="4"/>
      <sheetId val="5"/>
      <sheetId val="6"/>
      <sheetId val="7"/>
      <sheetId val="8"/>
      <sheetId val="9"/>
      <sheetId val="10"/>
    </sheetIdMap>
  </header>
  <header guid="{0CE7D88C-CE95-4197-93D7-2EC3236DB4BA}" dateTime="2020-05-06T15:09:25" maxSheetId="11" userName="EXTERNAL Do Phu Loc (Ban Vien, RBVH/EPS45)" r:id="rId34">
    <sheetIdMap count="10">
      <sheetId val="1"/>
      <sheetId val="2"/>
      <sheetId val="3"/>
      <sheetId val="4"/>
      <sheetId val="5"/>
      <sheetId val="6"/>
      <sheetId val="7"/>
      <sheetId val="8"/>
      <sheetId val="9"/>
      <sheetId val="10"/>
    </sheetIdMap>
  </header>
  <header guid="{06B3EB01-DAA6-4ECE-8212-D44BF4D9E698}" dateTime="2020-05-06T15:13:16" maxSheetId="11" userName="EXTERNAL Nguyen Trung Hieu (Ban Vien, RBVH/EPS45)" r:id="rId35" minRId="246">
    <sheetIdMap count="10">
      <sheetId val="1"/>
      <sheetId val="2"/>
      <sheetId val="3"/>
      <sheetId val="4"/>
      <sheetId val="5"/>
      <sheetId val="6"/>
      <sheetId val="7"/>
      <sheetId val="8"/>
      <sheetId val="9"/>
      <sheetId val="10"/>
    </sheetIdMap>
  </header>
  <header guid="{31A984B1-852F-47AD-A754-96AAC8DF486F}" dateTime="2020-05-06T15:17:20" maxSheetId="11" userName="EXTERNAL Nguyen Trung Hieu (Ban Vien, RBVH/EPS45)" r:id="rId36">
    <sheetIdMap count="10">
      <sheetId val="1"/>
      <sheetId val="2"/>
      <sheetId val="3"/>
      <sheetId val="4"/>
      <sheetId val="5"/>
      <sheetId val="6"/>
      <sheetId val="7"/>
      <sheetId val="8"/>
      <sheetId val="9"/>
      <sheetId val="10"/>
    </sheetIdMap>
  </header>
  <header guid="{567EA011-A738-4F24-A667-E3550685AAF8}" dateTime="2020-05-06T15:18:38" maxSheetId="11" userName="EXTERNAL Do Phu Loc (Ban Vien, RBVH/EPS45)" r:id="rId37">
    <sheetIdMap count="10">
      <sheetId val="1"/>
      <sheetId val="2"/>
      <sheetId val="3"/>
      <sheetId val="4"/>
      <sheetId val="5"/>
      <sheetId val="6"/>
      <sheetId val="7"/>
      <sheetId val="8"/>
      <sheetId val="9"/>
      <sheetId val="10"/>
    </sheetIdMap>
  </header>
  <header guid="{FE2ABBE8-02A5-4178-8A7B-5A76562C44D5}" dateTime="2020-05-06T15:40:08" maxSheetId="11" userName="EXTERNAL Nguyen Tai Hau (Ban Vien, RBVH/EPS45)" r:id="rId38" minRId="251" maxRId="254">
    <sheetIdMap count="10">
      <sheetId val="1"/>
      <sheetId val="2"/>
      <sheetId val="3"/>
      <sheetId val="4"/>
      <sheetId val="5"/>
      <sheetId val="6"/>
      <sheetId val="7"/>
      <sheetId val="8"/>
      <sheetId val="9"/>
      <sheetId val="10"/>
    </sheetIdMap>
  </header>
  <header guid="{01AA1CC4-6083-4E69-BC29-6F62EDAB0108}" dateTime="2020-05-06T15:50:01" maxSheetId="11" userName="EXTERNAL Do Phu Loc (Ban Vien, RBVH/EPS45)" r:id="rId39" minRId="257" maxRId="258">
    <sheetIdMap count="10">
      <sheetId val="1"/>
      <sheetId val="2"/>
      <sheetId val="3"/>
      <sheetId val="4"/>
      <sheetId val="5"/>
      <sheetId val="6"/>
      <sheetId val="7"/>
      <sheetId val="8"/>
      <sheetId val="9"/>
      <sheetId val="10"/>
    </sheetIdMap>
  </header>
  <header guid="{0093C586-B160-4D95-8300-309FAAFB4F85}" dateTime="2020-05-06T15:51:33" maxSheetId="11" userName="EXTERNAL Do Phu Loc (Ban Vien, RBVH/EPS45)" r:id="rId40">
    <sheetIdMap count="10">
      <sheetId val="1"/>
      <sheetId val="2"/>
      <sheetId val="3"/>
      <sheetId val="4"/>
      <sheetId val="5"/>
      <sheetId val="6"/>
      <sheetId val="7"/>
      <sheetId val="8"/>
      <sheetId val="9"/>
      <sheetId val="10"/>
    </sheetIdMap>
  </header>
  <header guid="{2371FF9B-B353-4B8E-8D82-5020785FA5B4}" dateTime="2020-05-06T15:54:53" maxSheetId="11" userName="EXTERNAL Nguyen Tai Hau (Ban Vien, RBVH/EPS45)" r:id="rId41" minRId="263" maxRId="266">
    <sheetIdMap count="10">
      <sheetId val="1"/>
      <sheetId val="2"/>
      <sheetId val="3"/>
      <sheetId val="4"/>
      <sheetId val="5"/>
      <sheetId val="6"/>
      <sheetId val="7"/>
      <sheetId val="8"/>
      <sheetId val="9"/>
      <sheetId val="10"/>
    </sheetIdMap>
  </header>
  <header guid="{477C40DC-B46D-4645-92D4-8AFBEB6C5235}" dateTime="2020-05-06T15:56:01" maxSheetId="11" userName="EXTERNAL Nguyen Trung Hieu (Ban Vien, RBVH/EPS45)" r:id="rId42" minRId="269" maxRId="380">
    <sheetIdMap count="10">
      <sheetId val="1"/>
      <sheetId val="2"/>
      <sheetId val="3"/>
      <sheetId val="4"/>
      <sheetId val="5"/>
      <sheetId val="6"/>
      <sheetId val="7"/>
      <sheetId val="8"/>
      <sheetId val="9"/>
      <sheetId val="10"/>
    </sheetIdMap>
  </header>
  <header guid="{79609728-2826-4002-B669-4AC50DBC2371}" dateTime="2020-05-06T15:56:15" maxSheetId="11" userName="EXTERNAL Nguyen Tai Hau (Ban Vien, RBVH/EPS45)" r:id="rId43" minRId="383" maxRId="390">
    <sheetIdMap count="10">
      <sheetId val="1"/>
      <sheetId val="2"/>
      <sheetId val="3"/>
      <sheetId val="4"/>
      <sheetId val="5"/>
      <sheetId val="6"/>
      <sheetId val="7"/>
      <sheetId val="8"/>
      <sheetId val="9"/>
      <sheetId val="10"/>
    </sheetIdMap>
  </header>
  <header guid="{F44E1E7D-67CD-487A-B5B1-81D61285B031}" dateTime="2020-05-06T15:56:26" maxSheetId="11" userName="EXTERNAL Nguyen Tai Hau (Ban Vien, RBVH/EPS45)" r:id="rId44" minRId="393" maxRId="394">
    <sheetIdMap count="10">
      <sheetId val="1"/>
      <sheetId val="2"/>
      <sheetId val="3"/>
      <sheetId val="4"/>
      <sheetId val="5"/>
      <sheetId val="6"/>
      <sheetId val="7"/>
      <sheetId val="8"/>
      <sheetId val="9"/>
      <sheetId val="10"/>
    </sheetIdMap>
  </header>
  <header guid="{8DF3A766-7726-4FA6-93DE-5908EADD5DCA}" dateTime="2020-05-06T15:57:08" maxSheetId="11" userName="EXTERNAL Nguyen Trung Hieu (Ban Vien, RBVH/EPS45)" r:id="rId45" minRId="397" maxRId="444">
    <sheetIdMap count="10">
      <sheetId val="1"/>
      <sheetId val="2"/>
      <sheetId val="3"/>
      <sheetId val="4"/>
      <sheetId val="5"/>
      <sheetId val="6"/>
      <sheetId val="7"/>
      <sheetId val="8"/>
      <sheetId val="9"/>
      <sheetId val="10"/>
    </sheetIdMap>
  </header>
  <header guid="{2B3C9899-8F6B-4B08-9A8C-BA1026067D75}" dateTime="2020-05-06T15:58:08" maxSheetId="11" userName="EXTERNAL Nguyen Trung Hieu (Ban Vien, RBVH/EPS45)" r:id="rId46" minRId="447" maxRId="451">
    <sheetIdMap count="10">
      <sheetId val="1"/>
      <sheetId val="2"/>
      <sheetId val="3"/>
      <sheetId val="4"/>
      <sheetId val="5"/>
      <sheetId val="6"/>
      <sheetId val="7"/>
      <sheetId val="8"/>
      <sheetId val="9"/>
      <sheetId val="10"/>
    </sheetIdMap>
  </header>
  <header guid="{2A62EECE-5E5B-4E07-ACDC-52DDBBFA3469}" dateTime="2020-05-06T15:58:29" maxSheetId="11" userName="EXTERNAL Nguyen Trung Hieu (Ban Vien, RBVH/EPS45)" r:id="rId47" minRId="454" maxRId="469">
    <sheetIdMap count="10">
      <sheetId val="1"/>
      <sheetId val="2"/>
      <sheetId val="3"/>
      <sheetId val="4"/>
      <sheetId val="5"/>
      <sheetId val="6"/>
      <sheetId val="7"/>
      <sheetId val="8"/>
      <sheetId val="9"/>
      <sheetId val="10"/>
    </sheetIdMap>
  </header>
  <header guid="{4005744E-7B5E-4D32-A842-DE21C8BC65F2}" dateTime="2020-05-06T15:58:51" maxSheetId="11" userName="EXTERNAL Nguyen Trung Hieu (Ban Vien, RBVH/EPS45)" r:id="rId48" minRId="472" maxRId="516">
    <sheetIdMap count="10">
      <sheetId val="1"/>
      <sheetId val="2"/>
      <sheetId val="3"/>
      <sheetId val="4"/>
      <sheetId val="5"/>
      <sheetId val="6"/>
      <sheetId val="7"/>
      <sheetId val="8"/>
      <sheetId val="9"/>
      <sheetId val="10"/>
    </sheetIdMap>
  </header>
  <header guid="{35B4D6D1-111E-4C4B-8A09-55E09D8D9D51}" dateTime="2020-05-06T15:59:34" maxSheetId="11" userName="EXTERNAL Nguyen Trung Hieu (Ban Vien, RBVH/EPS45)" r:id="rId49" minRId="517" maxRId="522">
    <sheetIdMap count="10">
      <sheetId val="1"/>
      <sheetId val="2"/>
      <sheetId val="3"/>
      <sheetId val="4"/>
      <sheetId val="5"/>
      <sheetId val="6"/>
      <sheetId val="7"/>
      <sheetId val="8"/>
      <sheetId val="9"/>
      <sheetId val="10"/>
    </sheetIdMap>
  </header>
  <header guid="{60C2557A-4439-4380-AD16-C8A70FF94E5E}" dateTime="2020-05-06T15:59:41" maxSheetId="11" userName="EXTERNAL Nguyen Trung Hieu (Ban Vien, RBVH/EPS45)" r:id="rId50" minRId="523" maxRId="524">
    <sheetIdMap count="10">
      <sheetId val="1"/>
      <sheetId val="2"/>
      <sheetId val="3"/>
      <sheetId val="4"/>
      <sheetId val="5"/>
      <sheetId val="6"/>
      <sheetId val="7"/>
      <sheetId val="8"/>
      <sheetId val="9"/>
      <sheetId val="10"/>
    </sheetIdMap>
  </header>
  <header guid="{5C292406-5C55-4DEE-9C63-5D0E9380F26C}" dateTime="2020-05-06T16:00:03" maxSheetId="11" userName="GUP7HC" r:id="rId51" minRId="525" maxRId="544">
    <sheetIdMap count="10">
      <sheetId val="1"/>
      <sheetId val="2"/>
      <sheetId val="3"/>
      <sheetId val="4"/>
      <sheetId val="5"/>
      <sheetId val="6"/>
      <sheetId val="7"/>
      <sheetId val="8"/>
      <sheetId val="9"/>
      <sheetId val="10"/>
    </sheetIdMap>
  </header>
  <header guid="{7D61AAFE-59B1-49F9-8B7A-00D9FA385E42}" dateTime="2020-05-06T16:00:46" maxSheetId="11" userName="EXTERNAL Nguyen Trung Hieu (Ban Vien, RBVH/EPS45)" r:id="rId52" minRId="547" maxRId="549">
    <sheetIdMap count="10">
      <sheetId val="1"/>
      <sheetId val="2"/>
      <sheetId val="3"/>
      <sheetId val="4"/>
      <sheetId val="5"/>
      <sheetId val="6"/>
      <sheetId val="7"/>
      <sheetId val="8"/>
      <sheetId val="9"/>
      <sheetId val="10"/>
    </sheetIdMap>
  </header>
  <header guid="{7D03D399-7BB2-4D02-93FE-BD3AA584AA73}" dateTime="2020-05-06T16:08:20" maxSheetId="11" userName="EXTERNAL Nguyen Trung Hieu (Ban Vien, RBVH/EPS45)" r:id="rId53" minRId="550">
    <sheetIdMap count="10">
      <sheetId val="1"/>
      <sheetId val="2"/>
      <sheetId val="3"/>
      <sheetId val="4"/>
      <sheetId val="5"/>
      <sheetId val="6"/>
      <sheetId val="7"/>
      <sheetId val="8"/>
      <sheetId val="9"/>
      <sheetId val="10"/>
    </sheetIdMap>
  </header>
  <header guid="{8FF03639-11C0-41E0-A3B3-A8F6E7E62B05}" dateTime="2020-05-06T16:09:35" maxSheetId="11" userName="GUP7HC" r:id="rId54">
    <sheetIdMap count="10">
      <sheetId val="1"/>
      <sheetId val="2"/>
      <sheetId val="3"/>
      <sheetId val="4"/>
      <sheetId val="5"/>
      <sheetId val="6"/>
      <sheetId val="7"/>
      <sheetId val="8"/>
      <sheetId val="9"/>
      <sheetId val="10"/>
    </sheetIdMap>
  </header>
  <header guid="{809C9A65-06E9-402A-BA38-90E7F6183AC7}" dateTime="2020-05-06T16:14:14" maxSheetId="11" userName="EXTERNAL Nguyen Trung Hieu (Ban Vien, RBVH/EPS45)" r:id="rId55" minRId="555" maxRId="568">
    <sheetIdMap count="10">
      <sheetId val="1"/>
      <sheetId val="2"/>
      <sheetId val="3"/>
      <sheetId val="4"/>
      <sheetId val="5"/>
      <sheetId val="6"/>
      <sheetId val="7"/>
      <sheetId val="8"/>
      <sheetId val="9"/>
      <sheetId val="10"/>
    </sheetIdMap>
  </header>
  <header guid="{FB9ACA2C-A6FF-4A9C-9BFC-65C3D0806B2D}" dateTime="2020-05-06T16:14:20" maxSheetId="11" userName="EXTERNAL Do Phu Loc (Ban Vien, RBVH/EPS45)" r:id="rId56">
    <sheetIdMap count="10">
      <sheetId val="1"/>
      <sheetId val="2"/>
      <sheetId val="3"/>
      <sheetId val="4"/>
      <sheetId val="5"/>
      <sheetId val="6"/>
      <sheetId val="7"/>
      <sheetId val="8"/>
      <sheetId val="9"/>
      <sheetId val="10"/>
    </sheetIdMap>
  </header>
  <header guid="{AA9F2BBA-5DF0-4806-BAFC-F3D54D91D80F}" dateTime="2020-05-06T16:14:55" maxSheetId="11" userName="EXTERNAL Nguyen Trung Hieu (Ban Vien, RBVH/EPS45)" r:id="rId57" minRId="571" maxRId="572">
    <sheetIdMap count="10">
      <sheetId val="1"/>
      <sheetId val="2"/>
      <sheetId val="3"/>
      <sheetId val="4"/>
      <sheetId val="5"/>
      <sheetId val="6"/>
      <sheetId val="7"/>
      <sheetId val="8"/>
      <sheetId val="9"/>
      <sheetId val="10"/>
    </sheetIdMap>
  </header>
  <header guid="{A8132683-3208-4B80-8C67-5696314EC45F}" dateTime="2020-05-06T16:14:57" maxSheetId="11" userName="EXTERNAL Nguyen Trung Hieu (Ban Vien, RBVH/EPS45)" r:id="rId58">
    <sheetIdMap count="10">
      <sheetId val="1"/>
      <sheetId val="2"/>
      <sheetId val="3"/>
      <sheetId val="4"/>
      <sheetId val="5"/>
      <sheetId val="6"/>
      <sheetId val="7"/>
      <sheetId val="8"/>
      <sheetId val="9"/>
      <sheetId val="10"/>
    </sheetIdMap>
  </header>
  <header guid="{437CDC0F-DDDB-4256-A43E-D5EDEC0F935D}" dateTime="2020-05-07T08:18:56" maxSheetId="11" userName="EXTERNAL Nguyen Tuan Duong (Ban Vien, RBVH/EPS45)" r:id="rId59" minRId="577" maxRId="696">
    <sheetIdMap count="10">
      <sheetId val="1"/>
      <sheetId val="2"/>
      <sheetId val="3"/>
      <sheetId val="4"/>
      <sheetId val="5"/>
      <sheetId val="6"/>
      <sheetId val="7"/>
      <sheetId val="8"/>
      <sheetId val="9"/>
      <sheetId val="10"/>
    </sheetIdMap>
  </header>
  <header guid="{5D64B2BC-58C2-417F-9597-A203B4199B4F}" dateTime="2020-05-07T08:22:12" maxSheetId="11" userName="EXTERNAL Nguyen Tuan Duong (Ban Vien, RBVH/EPS45)" r:id="rId60" minRId="699" maxRId="841">
    <sheetIdMap count="10">
      <sheetId val="1"/>
      <sheetId val="2"/>
      <sheetId val="3"/>
      <sheetId val="4"/>
      <sheetId val="5"/>
      <sheetId val="6"/>
      <sheetId val="7"/>
      <sheetId val="8"/>
      <sheetId val="9"/>
      <sheetId val="10"/>
    </sheetIdMap>
  </header>
  <header guid="{E62F67B4-2819-43B9-8F86-FEBE8E91C5B9}" dateTime="2020-05-07T08:26:23" maxSheetId="11" userName="EXTERNAL Nguyen Tuan Duong (Ban Vien, RBVH/EPS45)" r:id="rId61" minRId="844" maxRId="854">
    <sheetIdMap count="10">
      <sheetId val="1"/>
      <sheetId val="2"/>
      <sheetId val="3"/>
      <sheetId val="4"/>
      <sheetId val="5"/>
      <sheetId val="6"/>
      <sheetId val="7"/>
      <sheetId val="8"/>
      <sheetId val="9"/>
      <sheetId val="10"/>
    </sheetIdMap>
  </header>
  <header guid="{77F9F652-6447-4448-AB18-D34C3FEBD395}" dateTime="2020-05-07T08:27:26" maxSheetId="11" userName="EXTERNAL Nguyen Tuan Duong (Ban Vien, RBVH/EPS45)" r:id="rId62">
    <sheetIdMap count="10">
      <sheetId val="1"/>
      <sheetId val="2"/>
      <sheetId val="3"/>
      <sheetId val="4"/>
      <sheetId val="5"/>
      <sheetId val="6"/>
      <sheetId val="7"/>
      <sheetId val="8"/>
      <sheetId val="9"/>
      <sheetId val="10"/>
    </sheetIdMap>
  </header>
  <header guid="{1AD1F25B-3CB4-4ADE-B14C-EA6B2FFA8876}" dateTime="2020-05-07T08:28:03" maxSheetId="11" userName="EXTERNAL Nguyen Tuan Duong (Ban Vien, RBVH/EPS45)" r:id="rId63" minRId="859">
    <sheetIdMap count="10">
      <sheetId val="1"/>
      <sheetId val="2"/>
      <sheetId val="3"/>
      <sheetId val="4"/>
      <sheetId val="5"/>
      <sheetId val="6"/>
      <sheetId val="7"/>
      <sheetId val="8"/>
      <sheetId val="9"/>
      <sheetId val="10"/>
    </sheetIdMap>
  </header>
  <header guid="{68D30434-2CE3-4D5A-9D05-FB6F6292CFC1}" dateTime="2020-05-07T08:33:02" maxSheetId="11" userName="EXTERNAL Nguyen Tuan Duong (Ban Vien, RBVH/EPS45)" r:id="rId64" minRId="860" maxRId="862">
    <sheetIdMap count="10">
      <sheetId val="1"/>
      <sheetId val="2"/>
      <sheetId val="3"/>
      <sheetId val="4"/>
      <sheetId val="5"/>
      <sheetId val="6"/>
      <sheetId val="7"/>
      <sheetId val="8"/>
      <sheetId val="9"/>
      <sheetId val="10"/>
    </sheetIdMap>
  </header>
  <header guid="{4A0920E8-1676-4A62-96C5-946AF457D44F}" dateTime="2020-05-07T08:44:00" maxSheetId="11" userName="EXTERNAL Nguyen Tuan Duong (Ban Vien, RBVH/EPS45)" r:id="rId65" minRId="865" maxRId="867">
    <sheetIdMap count="10">
      <sheetId val="1"/>
      <sheetId val="2"/>
      <sheetId val="3"/>
      <sheetId val="4"/>
      <sheetId val="5"/>
      <sheetId val="6"/>
      <sheetId val="7"/>
      <sheetId val="8"/>
      <sheetId val="9"/>
      <sheetId val="10"/>
    </sheetIdMap>
  </header>
  <header guid="{A8585A5A-0650-42DE-A150-4996CCC6887A}" dateTime="2020-05-07T08:45:55" maxSheetId="11" userName="EXTERNAL Nguyen Tuan Duong (Ban Vien, RBVH/EPS45)" r:id="rId66" minRId="868" maxRId="870">
    <sheetIdMap count="10">
      <sheetId val="1"/>
      <sheetId val="2"/>
      <sheetId val="3"/>
      <sheetId val="4"/>
      <sheetId val="5"/>
      <sheetId val="6"/>
      <sheetId val="7"/>
      <sheetId val="8"/>
      <sheetId val="9"/>
      <sheetId val="10"/>
    </sheetIdMap>
  </header>
  <header guid="{D46AFBA3-BAA0-47C0-9935-A1D4A53D2143}" dateTime="2020-05-07T08:49:41" maxSheetId="11" userName="EXTERNAL Nguyen Tuan Duong (Ban Vien, RBVH/EPS45)" r:id="rId67" minRId="873" maxRId="876">
    <sheetIdMap count="10">
      <sheetId val="1"/>
      <sheetId val="2"/>
      <sheetId val="3"/>
      <sheetId val="4"/>
      <sheetId val="5"/>
      <sheetId val="6"/>
      <sheetId val="7"/>
      <sheetId val="8"/>
      <sheetId val="9"/>
      <sheetId val="10"/>
    </sheetIdMap>
  </header>
  <header guid="{90C5BD39-00C7-4A27-9004-E162E7B28902}" dateTime="2020-05-07T08:57:48" maxSheetId="11" userName="EXTERNAL Nguyen Tuan Duong (Ban Vien, RBVH/EPS45)" r:id="rId68" minRId="879" maxRId="885">
    <sheetIdMap count="10">
      <sheetId val="1"/>
      <sheetId val="2"/>
      <sheetId val="3"/>
      <sheetId val="4"/>
      <sheetId val="5"/>
      <sheetId val="6"/>
      <sheetId val="7"/>
      <sheetId val="8"/>
      <sheetId val="9"/>
      <sheetId val="10"/>
    </sheetIdMap>
  </header>
  <header guid="{ED003B24-02A3-47BE-B577-01EF7C00EE3F}" dateTime="2020-05-07T09:00:11" maxSheetId="11" userName="EXTERNAL Nguyen Tuan Duong (Ban Vien, RBVH/EPS45)" r:id="rId69" minRId="888" maxRId="892">
    <sheetIdMap count="10">
      <sheetId val="1"/>
      <sheetId val="2"/>
      <sheetId val="3"/>
      <sheetId val="4"/>
      <sheetId val="5"/>
      <sheetId val="6"/>
      <sheetId val="7"/>
      <sheetId val="8"/>
      <sheetId val="9"/>
      <sheetId val="10"/>
    </sheetIdMap>
  </header>
  <header guid="{0582EE19-637F-45D9-8983-56D2CD2535D3}" dateTime="2020-05-07T09:00:29" maxSheetId="11" userName="EXTERNAL Nguyen Tuan Duong (Ban Vien, RBVH/EPS45)" r:id="rId70">
    <sheetIdMap count="10">
      <sheetId val="1"/>
      <sheetId val="2"/>
      <sheetId val="3"/>
      <sheetId val="4"/>
      <sheetId val="5"/>
      <sheetId val="6"/>
      <sheetId val="7"/>
      <sheetId val="8"/>
      <sheetId val="9"/>
      <sheetId val="10"/>
    </sheetIdMap>
  </header>
  <header guid="{D2D05B57-BC27-4428-84ED-5CFC5481D234}" dateTime="2020-05-07T09:08:23" maxSheetId="11" userName="EXTERNAL Nguyen Kim Thanh (Ban Vien, RBVH/EPS45)" r:id="rId71">
    <sheetIdMap count="10">
      <sheetId val="1"/>
      <sheetId val="2"/>
      <sheetId val="3"/>
      <sheetId val="4"/>
      <sheetId val="5"/>
      <sheetId val="6"/>
      <sheetId val="7"/>
      <sheetId val="8"/>
      <sheetId val="9"/>
      <sheetId val="10"/>
    </sheetIdMap>
  </header>
  <header guid="{A24E816A-1ED0-4648-A1CD-44FF89E100C5}" dateTime="2020-05-07T09:09:48" maxSheetId="11" userName="EXTERNAL Nguyen Tuan Duong (Ban Vien, RBVH/EPS45)" r:id="rId72">
    <sheetIdMap count="10">
      <sheetId val="1"/>
      <sheetId val="2"/>
      <sheetId val="3"/>
      <sheetId val="4"/>
      <sheetId val="5"/>
      <sheetId val="6"/>
      <sheetId val="7"/>
      <sheetId val="8"/>
      <sheetId val="9"/>
      <sheetId val="10"/>
    </sheetIdMap>
  </header>
  <header guid="{5F6F77A6-7EF6-43DB-8782-7B2DDEC0D7A6}" dateTime="2020-05-07T09:27:46" maxSheetId="11" userName="GUP7HC" r:id="rId73">
    <sheetIdMap count="10">
      <sheetId val="1"/>
      <sheetId val="2"/>
      <sheetId val="3"/>
      <sheetId val="4"/>
      <sheetId val="5"/>
      <sheetId val="6"/>
      <sheetId val="7"/>
      <sheetId val="8"/>
      <sheetId val="9"/>
      <sheetId val="10"/>
    </sheetIdMap>
  </header>
  <header guid="{06E2DCC0-6960-404A-8594-41432AF7A882}" dateTime="2020-05-07T09:33:40" maxSheetId="11" userName="GUP7HC" r:id="rId74" minRId="901">
    <sheetIdMap count="10">
      <sheetId val="1"/>
      <sheetId val="2"/>
      <sheetId val="3"/>
      <sheetId val="4"/>
      <sheetId val="5"/>
      <sheetId val="6"/>
      <sheetId val="7"/>
      <sheetId val="8"/>
      <sheetId val="9"/>
      <sheetId val="10"/>
    </sheetIdMap>
  </header>
  <header guid="{23BA3325-146B-4238-A29A-105B7996E910}" dateTime="2020-05-07T09:34:06" maxSheetId="11" userName="GUP7HC" r:id="rId75" minRId="904">
    <sheetIdMap count="10">
      <sheetId val="1"/>
      <sheetId val="2"/>
      <sheetId val="3"/>
      <sheetId val="4"/>
      <sheetId val="5"/>
      <sheetId val="6"/>
      <sheetId val="7"/>
      <sheetId val="8"/>
      <sheetId val="9"/>
      <sheetId val="10"/>
    </sheetIdMap>
  </header>
  <header guid="{89C25FD9-C779-41EE-9273-794640B0A761}" dateTime="2020-05-07T09:36:46" maxSheetId="11" userName="EXTERNAL Nguyen Trung Hieu (Ban Vien, RBVH/EPS45)" r:id="rId76" minRId="905" maxRId="931">
    <sheetIdMap count="10">
      <sheetId val="1"/>
      <sheetId val="2"/>
      <sheetId val="3"/>
      <sheetId val="4"/>
      <sheetId val="5"/>
      <sheetId val="6"/>
      <sheetId val="7"/>
      <sheetId val="8"/>
      <sheetId val="9"/>
      <sheetId val="10"/>
    </sheetIdMap>
  </header>
  <header guid="{B77E6C7B-6F28-4D93-91B6-B6C165BD3C07}" dateTime="2020-05-07T09:37:33" maxSheetId="11" userName="EXTERNAL Nguyen Trung Hieu (Ban Vien, RBVH/EPS45)" r:id="rId77">
    <sheetIdMap count="10">
      <sheetId val="1"/>
      <sheetId val="2"/>
      <sheetId val="3"/>
      <sheetId val="4"/>
      <sheetId val="5"/>
      <sheetId val="6"/>
      <sheetId val="7"/>
      <sheetId val="8"/>
      <sheetId val="9"/>
      <sheetId val="10"/>
    </sheetIdMap>
  </header>
  <header guid="{BCBF6522-5C0A-4A88-9A41-BD07C5EEE895}" dateTime="2020-05-07T09:37:54" maxSheetId="11" userName="EXTERNAL Nguyen Trung Hieu (Ban Vien, RBVH/EPS45)" r:id="rId78" minRId="936" maxRId="937">
    <sheetIdMap count="10">
      <sheetId val="1"/>
      <sheetId val="2"/>
      <sheetId val="3"/>
      <sheetId val="4"/>
      <sheetId val="5"/>
      <sheetId val="6"/>
      <sheetId val="7"/>
      <sheetId val="8"/>
      <sheetId val="9"/>
      <sheetId val="10"/>
    </sheetIdMap>
  </header>
  <header guid="{48C73F19-BA6D-4F82-9593-D8D9DA81238E}" dateTime="2020-05-07T09:38:32" maxSheetId="11" userName="EXTERNAL Nguyen Trung Hieu (Ban Vien, RBVH/EPS45)" r:id="rId79">
    <sheetIdMap count="10">
      <sheetId val="1"/>
      <sheetId val="2"/>
      <sheetId val="3"/>
      <sheetId val="4"/>
      <sheetId val="5"/>
      <sheetId val="6"/>
      <sheetId val="7"/>
      <sheetId val="8"/>
      <sheetId val="9"/>
      <sheetId val="10"/>
    </sheetIdMap>
  </header>
  <header guid="{C338CF04-7715-4E0D-BE30-1E2636892FC6}" dateTime="2020-05-07T09:39:22" maxSheetId="11" userName="EXTERNAL Nguyen Trung Hieu (Ban Vien, RBVH/EPS45)" r:id="rId80">
    <sheetIdMap count="10">
      <sheetId val="1"/>
      <sheetId val="2"/>
      <sheetId val="3"/>
      <sheetId val="4"/>
      <sheetId val="5"/>
      <sheetId val="6"/>
      <sheetId val="7"/>
      <sheetId val="8"/>
      <sheetId val="9"/>
      <sheetId val="10"/>
    </sheetIdMap>
  </header>
  <header guid="{0B8BCF4F-E471-4BB5-A539-265F43E5932F}" dateTime="2020-05-07T09:43:17" maxSheetId="11" userName="GUP7HC" r:id="rId81" minRId="942">
    <sheetIdMap count="10">
      <sheetId val="1"/>
      <sheetId val="2"/>
      <sheetId val="3"/>
      <sheetId val="4"/>
      <sheetId val="5"/>
      <sheetId val="6"/>
      <sheetId val="7"/>
      <sheetId val="8"/>
      <sheetId val="9"/>
      <sheetId val="10"/>
    </sheetIdMap>
  </header>
  <header guid="{E28A18A0-4C33-4069-8BA7-3A00DFDAD5D4}" dateTime="2020-05-07T09:44:11" maxSheetId="11" userName="GUP7HC" r:id="rId82">
    <sheetIdMap count="10">
      <sheetId val="1"/>
      <sheetId val="2"/>
      <sheetId val="3"/>
      <sheetId val="4"/>
      <sheetId val="5"/>
      <sheetId val="6"/>
      <sheetId val="7"/>
      <sheetId val="8"/>
      <sheetId val="9"/>
      <sheetId val="10"/>
    </sheetIdMap>
  </header>
  <header guid="{984D590E-428E-4EFE-98D7-FEF874F18322}" dateTime="2020-05-07T09:55:32" maxSheetId="11" userName="EXTERNAL Nguyen Trung Hieu (Ban Vien, RBVH/EPS45)" r:id="rId83">
    <sheetIdMap count="10">
      <sheetId val="1"/>
      <sheetId val="2"/>
      <sheetId val="3"/>
      <sheetId val="4"/>
      <sheetId val="5"/>
      <sheetId val="6"/>
      <sheetId val="7"/>
      <sheetId val="8"/>
      <sheetId val="9"/>
      <sheetId val="10"/>
    </sheetIdMap>
  </header>
  <header guid="{2E7808E0-5BFD-4CF9-9891-726142115FE9}" dateTime="2020-05-07T09:56:30" maxSheetId="11" userName="EXTERNAL Nguyen Trung Hieu (Ban Vien, RBVH/EPS45)" r:id="rId84">
    <sheetIdMap count="10">
      <sheetId val="1"/>
      <sheetId val="2"/>
      <sheetId val="3"/>
      <sheetId val="4"/>
      <sheetId val="5"/>
      <sheetId val="6"/>
      <sheetId val="7"/>
      <sheetId val="8"/>
      <sheetId val="9"/>
      <sheetId val="10"/>
    </sheetIdMap>
  </header>
  <header guid="{0E6B9EFC-03C6-40A8-BD4F-1EEC32B638A6}" dateTime="2020-05-07T10:14:48" maxSheetId="11" userName="EXTERNAL Do Phu Loc (Ban Vien, RBVH/EPS45)" r:id="rId85" minRId="949">
    <sheetIdMap count="10">
      <sheetId val="1"/>
      <sheetId val="2"/>
      <sheetId val="3"/>
      <sheetId val="4"/>
      <sheetId val="5"/>
      <sheetId val="6"/>
      <sheetId val="7"/>
      <sheetId val="8"/>
      <sheetId val="9"/>
      <sheetId val="10"/>
    </sheetIdMap>
  </header>
  <header guid="{6EEE7B49-336D-4579-9BAA-69DCF437CB4F}" dateTime="2020-05-07T10:17:43" maxSheetId="11" userName="EXTERNAL Nguyen Kim Thanh (Ban Vien, RBVH/EPS45)" r:id="rId86" minRId="952" maxRId="964">
    <sheetIdMap count="10">
      <sheetId val="1"/>
      <sheetId val="2"/>
      <sheetId val="3"/>
      <sheetId val="4"/>
      <sheetId val="5"/>
      <sheetId val="6"/>
      <sheetId val="7"/>
      <sheetId val="8"/>
      <sheetId val="9"/>
      <sheetId val="10"/>
    </sheetIdMap>
  </header>
  <header guid="{12AEF1A2-EA2B-4F12-B0C4-CF55F3A4D070}" dateTime="2020-05-07T10:17:50" maxSheetId="11" userName="EXTERNAL Nguyen Kim Thanh (Ban Vien, RBVH/EPS45)" r:id="rId87" minRId="967">
    <sheetIdMap count="10">
      <sheetId val="1"/>
      <sheetId val="2"/>
      <sheetId val="3"/>
      <sheetId val="4"/>
      <sheetId val="5"/>
      <sheetId val="6"/>
      <sheetId val="7"/>
      <sheetId val="8"/>
      <sheetId val="9"/>
      <sheetId val="10"/>
    </sheetIdMap>
  </header>
  <header guid="{FDE47654-73A0-4128-8C5B-8F3CA621BF3E}" dateTime="2020-05-07T10:19:05" maxSheetId="11" userName="GUP7HC" r:id="rId88" minRId="970" maxRId="979">
    <sheetIdMap count="10">
      <sheetId val="1"/>
      <sheetId val="2"/>
      <sheetId val="3"/>
      <sheetId val="4"/>
      <sheetId val="5"/>
      <sheetId val="6"/>
      <sheetId val="7"/>
      <sheetId val="8"/>
      <sheetId val="9"/>
      <sheetId val="10"/>
    </sheetIdMap>
  </header>
  <header guid="{5FF59991-7AB3-402C-9016-5387C240546B}" dateTime="2020-05-07T10:21:21" maxSheetId="11" userName="EXTERNAL Nguyen Tuan Duong (Ban Vien, RBVH/EPS45)" r:id="rId89" minRId="982" maxRId="1014">
    <sheetIdMap count="10">
      <sheetId val="1"/>
      <sheetId val="2"/>
      <sheetId val="3"/>
      <sheetId val="4"/>
      <sheetId val="5"/>
      <sheetId val="6"/>
      <sheetId val="7"/>
      <sheetId val="8"/>
      <sheetId val="9"/>
      <sheetId val="10"/>
    </sheetIdMap>
  </header>
  <header guid="{54E1BDCF-875E-40BA-BDCF-A7AB2AD75876}" dateTime="2020-05-07T10:22:40" maxSheetId="11" userName="EXTERNAL Nguyen Tuan Duong (Ban Vien, RBVH/EPS45)" r:id="rId90" minRId="1017">
    <sheetIdMap count="10">
      <sheetId val="1"/>
      <sheetId val="2"/>
      <sheetId val="3"/>
      <sheetId val="4"/>
      <sheetId val="5"/>
      <sheetId val="6"/>
      <sheetId val="7"/>
      <sheetId val="8"/>
      <sheetId val="9"/>
      <sheetId val="10"/>
    </sheetIdMap>
  </header>
  <header guid="{52E77064-7FAD-4704-988C-C9CF51D06414}" dateTime="2020-05-07T10:41:37" maxSheetId="11" userName="EXTERNAL Nguyen Kim Thanh (Ban Vien, RBVH/EPS45)" r:id="rId91" minRId="1020" maxRId="1032">
    <sheetIdMap count="10">
      <sheetId val="1"/>
      <sheetId val="2"/>
      <sheetId val="3"/>
      <sheetId val="4"/>
      <sheetId val="5"/>
      <sheetId val="6"/>
      <sheetId val="7"/>
      <sheetId val="8"/>
      <sheetId val="9"/>
      <sheetId val="10"/>
    </sheetIdMap>
  </header>
  <header guid="{1D93CC47-8FC8-4FBE-B203-7A390C31C8F9}" dateTime="2020-05-07T10:44:17" maxSheetId="11" userName="EXTERNAL Ly Chung (Ban Vien, RBVH/EPS45)" r:id="rId92">
    <sheetIdMap count="10">
      <sheetId val="1"/>
      <sheetId val="2"/>
      <sheetId val="3"/>
      <sheetId val="4"/>
      <sheetId val="5"/>
      <sheetId val="6"/>
      <sheetId val="7"/>
      <sheetId val="8"/>
      <sheetId val="9"/>
      <sheetId val="10"/>
    </sheetIdMap>
  </header>
  <header guid="{BF30E1BD-3994-477D-BD22-F1B0515704CA}" dateTime="2020-05-07T11:10:31" maxSheetId="11" userName="EXTERNAL Do Phu Loc (Ban Vien, RBVH/EPS45)" r:id="rId93" minRId="1037" maxRId="1049">
    <sheetIdMap count="10">
      <sheetId val="1"/>
      <sheetId val="2"/>
      <sheetId val="3"/>
      <sheetId val="4"/>
      <sheetId val="5"/>
      <sheetId val="6"/>
      <sheetId val="7"/>
      <sheetId val="8"/>
      <sheetId val="9"/>
      <sheetId val="10"/>
    </sheetIdMap>
  </header>
  <header guid="{1542A13F-0F0A-45C9-A76E-A960E6D8A88A}" dateTime="2020-05-07T11:12:16" maxSheetId="11" userName="EXTERNAL Nguyen Kim Thanh (Ban Vien, RBVH/EPS45)" r:id="rId94" minRId="1052" maxRId="1064">
    <sheetIdMap count="10">
      <sheetId val="1"/>
      <sheetId val="2"/>
      <sheetId val="3"/>
      <sheetId val="4"/>
      <sheetId val="5"/>
      <sheetId val="6"/>
      <sheetId val="7"/>
      <sheetId val="8"/>
      <sheetId val="9"/>
      <sheetId val="10"/>
    </sheetIdMap>
  </header>
  <header guid="{B816617C-72A8-454D-BA12-7E8B644FB172}" dateTime="2020-05-07T11:25:24" maxSheetId="11" userName="EXTERNAL Ly Chung (Ban Vien, RBVH/EPS45)" r:id="rId95" minRId="1067" maxRId="1090">
    <sheetIdMap count="10">
      <sheetId val="1"/>
      <sheetId val="2"/>
      <sheetId val="3"/>
      <sheetId val="4"/>
      <sheetId val="5"/>
      <sheetId val="6"/>
      <sheetId val="7"/>
      <sheetId val="8"/>
      <sheetId val="9"/>
      <sheetId val="10"/>
    </sheetIdMap>
  </header>
  <header guid="{3D19DFBE-2DB5-4DB3-8ED0-4D24D64AE6F5}" dateTime="2020-05-07T11:35:10" maxSheetId="11" userName="GUP7HC" r:id="rId96" minRId="1093" maxRId="1102">
    <sheetIdMap count="10">
      <sheetId val="1"/>
      <sheetId val="2"/>
      <sheetId val="3"/>
      <sheetId val="4"/>
      <sheetId val="5"/>
      <sheetId val="6"/>
      <sheetId val="7"/>
      <sheetId val="8"/>
      <sheetId val="9"/>
      <sheetId val="10"/>
    </sheetIdMap>
  </header>
  <header guid="{DDF6C75A-8E9D-4449-91E1-31B36C0CC473}" dateTime="2020-05-07T11:35:38" maxSheetId="11" userName="GUP7HC" r:id="rId97" minRId="1105">
    <sheetIdMap count="10">
      <sheetId val="1"/>
      <sheetId val="2"/>
      <sheetId val="3"/>
      <sheetId val="4"/>
      <sheetId val="5"/>
      <sheetId val="6"/>
      <sheetId val="7"/>
      <sheetId val="8"/>
      <sheetId val="9"/>
      <sheetId val="10"/>
    </sheetIdMap>
  </header>
  <header guid="{07804574-E157-4A4E-A5D9-A53A7DD36AD6}" dateTime="2020-05-07T11:35:42" maxSheetId="11" userName="EXTERNAL Ly Chung (Ban Vien, RBVH/EPS45)" r:id="rId98" minRId="1108" maxRId="1123">
    <sheetIdMap count="10">
      <sheetId val="1"/>
      <sheetId val="2"/>
      <sheetId val="3"/>
      <sheetId val="4"/>
      <sheetId val="5"/>
      <sheetId val="6"/>
      <sheetId val="7"/>
      <sheetId val="8"/>
      <sheetId val="9"/>
      <sheetId val="10"/>
    </sheetIdMap>
  </header>
  <header guid="{1DD23E48-4FB1-4307-8950-8A8215450227}" dateTime="2020-05-07T11:46:46" maxSheetId="11" userName="GUP7HC" r:id="rId99" minRId="1126">
    <sheetIdMap count="10">
      <sheetId val="1"/>
      <sheetId val="2"/>
      <sheetId val="3"/>
      <sheetId val="4"/>
      <sheetId val="5"/>
      <sheetId val="6"/>
      <sheetId val="7"/>
      <sheetId val="8"/>
      <sheetId val="9"/>
      <sheetId val="10"/>
    </sheetIdMap>
  </header>
  <header guid="{66CDCE39-9527-4F69-8E5E-BC8972D326FB}" dateTime="2020-05-07T12:02:22" maxSheetId="11" userName="EXTERNAL Nguyen Trung Hieu (Ban Vien, RBVH/EPS45)" r:id="rId100" minRId="1129" maxRId="1133">
    <sheetIdMap count="10">
      <sheetId val="1"/>
      <sheetId val="2"/>
      <sheetId val="3"/>
      <sheetId val="4"/>
      <sheetId val="5"/>
      <sheetId val="6"/>
      <sheetId val="7"/>
      <sheetId val="8"/>
      <sheetId val="9"/>
      <sheetId val="10"/>
    </sheetIdMap>
  </header>
  <header guid="{498D37A3-FF02-43B9-922A-F46F8F1A1DC5}" dateTime="2020-05-07T12:02:31" maxSheetId="11" userName="EXTERNAL Nguyen Trung Hieu (Ban Vien, RBVH/EPS45)" r:id="rId101" minRId="1136" maxRId="1139">
    <sheetIdMap count="10">
      <sheetId val="1"/>
      <sheetId val="2"/>
      <sheetId val="3"/>
      <sheetId val="4"/>
      <sheetId val="5"/>
      <sheetId val="6"/>
      <sheetId val="7"/>
      <sheetId val="8"/>
      <sheetId val="9"/>
      <sheetId val="10"/>
    </sheetIdMap>
  </header>
  <header guid="{E125EE36-12B9-46BD-8CC7-9AC69F10CD40}" dateTime="2020-05-07T12:02:47" maxSheetId="11" userName="EXTERNAL Nguyen Trung Hieu (Ban Vien, RBVH/EPS45)" r:id="rId102">
    <sheetIdMap count="10">
      <sheetId val="1"/>
      <sheetId val="2"/>
      <sheetId val="3"/>
      <sheetId val="4"/>
      <sheetId val="5"/>
      <sheetId val="6"/>
      <sheetId val="7"/>
      <sheetId val="8"/>
      <sheetId val="9"/>
      <sheetId val="10"/>
    </sheetIdMap>
  </header>
  <header guid="{C92C57D0-DE94-4EA1-9A0A-A7B8099290F1}" dateTime="2020-05-07T12:44:19" maxSheetId="11" userName="EXTERNAL Ly Chung (Ban Vien, RBVH/EPS45)" r:id="rId103" minRId="1144" maxRId="1155">
    <sheetIdMap count="10">
      <sheetId val="1"/>
      <sheetId val="2"/>
      <sheetId val="3"/>
      <sheetId val="4"/>
      <sheetId val="5"/>
      <sheetId val="6"/>
      <sheetId val="7"/>
      <sheetId val="8"/>
      <sheetId val="9"/>
      <sheetId val="10"/>
    </sheetIdMap>
  </header>
  <header guid="{F7F503AA-3D33-438D-894B-BB780AD39AC1}" dateTime="2020-05-07T12:45:49" maxSheetId="11" userName="EXTERNAL Ly Chung (Ban Vien, RBVH/EPS45)" r:id="rId104" minRId="1158">
    <sheetIdMap count="10">
      <sheetId val="1"/>
      <sheetId val="2"/>
      <sheetId val="3"/>
      <sheetId val="4"/>
      <sheetId val="5"/>
      <sheetId val="6"/>
      <sheetId val="7"/>
      <sheetId val="8"/>
      <sheetId val="9"/>
      <sheetId val="10"/>
    </sheetIdMap>
  </header>
  <header guid="{B16FA60C-5B07-40C4-9A64-C623B600A49B}" dateTime="2020-05-07T12:51:10" maxSheetId="11" userName="GUP7HC" r:id="rId105">
    <sheetIdMap count="10">
      <sheetId val="1"/>
      <sheetId val="2"/>
      <sheetId val="3"/>
      <sheetId val="4"/>
      <sheetId val="5"/>
      <sheetId val="6"/>
      <sheetId val="7"/>
      <sheetId val="8"/>
      <sheetId val="9"/>
      <sheetId val="10"/>
    </sheetIdMap>
  </header>
  <header guid="{29B0E7D4-1FC7-4AD5-A831-75B96CD9B776}" dateTime="2020-05-07T13:03:44" maxSheetId="11" userName="EXTERNAL Nguyen Trung Hieu (Ban Vien, RBVH/EPS45)" r:id="rId106" minRId="1163" maxRId="1172">
    <sheetIdMap count="10">
      <sheetId val="1"/>
      <sheetId val="2"/>
      <sheetId val="3"/>
      <sheetId val="4"/>
      <sheetId val="5"/>
      <sheetId val="6"/>
      <sheetId val="7"/>
      <sheetId val="8"/>
      <sheetId val="9"/>
      <sheetId val="10"/>
    </sheetIdMap>
  </header>
  <header guid="{C95F0C28-210D-424C-9FE9-6098AB6E5B24}" dateTime="2020-05-07T13:03:49" maxSheetId="11" userName="EXTERNAL Nguyen Trung Hieu (Ban Vien, RBVH/EPS45)" r:id="rId107">
    <sheetIdMap count="10">
      <sheetId val="1"/>
      <sheetId val="2"/>
      <sheetId val="3"/>
      <sheetId val="4"/>
      <sheetId val="5"/>
      <sheetId val="6"/>
      <sheetId val="7"/>
      <sheetId val="8"/>
      <sheetId val="9"/>
      <sheetId val="10"/>
    </sheetIdMap>
  </header>
  <header guid="{B63F8576-A699-481B-AA3A-6DE6716BFBD2}" dateTime="2020-05-07T13:17:51" maxSheetId="11" userName="EXTERNAL Nguyen Kim Thanh (Ban Vien, RBVH/EPS45)" r:id="rId108" minRId="1177">
    <sheetIdMap count="10">
      <sheetId val="1"/>
      <sheetId val="2"/>
      <sheetId val="3"/>
      <sheetId val="4"/>
      <sheetId val="5"/>
      <sheetId val="6"/>
      <sheetId val="7"/>
      <sheetId val="8"/>
      <sheetId val="9"/>
      <sheetId val="10"/>
    </sheetIdMap>
  </header>
  <header guid="{15FD91DF-996E-44A2-AD04-6267A8F43C6D}" dateTime="2020-05-07T13:44:06" maxSheetId="11" userName="GUP7HC" r:id="rId109">
    <sheetIdMap count="10">
      <sheetId val="1"/>
      <sheetId val="2"/>
      <sheetId val="3"/>
      <sheetId val="4"/>
      <sheetId val="5"/>
      <sheetId val="6"/>
      <sheetId val="7"/>
      <sheetId val="8"/>
      <sheetId val="9"/>
      <sheetId val="10"/>
    </sheetIdMap>
  </header>
  <header guid="{407667BD-501A-4C07-A09F-308E6155FC48}" dateTime="2020-05-07T13:55:20" maxSheetId="11" userName="EXTERNAL Nguyen Kim Thanh (Ban Vien, RBVH/EPS45)" r:id="rId110" minRId="1182" maxRId="1194">
    <sheetIdMap count="10">
      <sheetId val="1"/>
      <sheetId val="2"/>
      <sheetId val="3"/>
      <sheetId val="4"/>
      <sheetId val="5"/>
      <sheetId val="6"/>
      <sheetId val="7"/>
      <sheetId val="8"/>
      <sheetId val="9"/>
      <sheetId val="10"/>
    </sheetIdMap>
  </header>
  <header guid="{BDBB46EA-6A12-4E86-AF95-8F3C5CBEA43B}" dateTime="2020-05-07T14:08:44" maxSheetId="11" userName="EXTERNAL Nguyen Kim Thanh (Ban Vien, RBVH/EPS45)" r:id="rId111" minRId="1197" maxRId="1209">
    <sheetIdMap count="10">
      <sheetId val="1"/>
      <sheetId val="2"/>
      <sheetId val="3"/>
      <sheetId val="4"/>
      <sheetId val="5"/>
      <sheetId val="6"/>
      <sheetId val="7"/>
      <sheetId val="8"/>
      <sheetId val="9"/>
      <sheetId val="10"/>
    </sheetIdMap>
  </header>
  <header guid="{8776D5B8-A458-44CE-8152-397754E3AEEF}" dateTime="2020-05-07T14:13:24" maxSheetId="11" userName="GUP7HC" r:id="rId112">
    <sheetIdMap count="10">
      <sheetId val="1"/>
      <sheetId val="2"/>
      <sheetId val="3"/>
      <sheetId val="4"/>
      <sheetId val="5"/>
      <sheetId val="6"/>
      <sheetId val="7"/>
      <sheetId val="8"/>
      <sheetId val="9"/>
      <sheetId val="10"/>
    </sheetIdMap>
  </header>
  <header guid="{9F699E16-6362-46E7-8C54-2E45809F81DB}" dateTime="2020-05-07T14:18:40" maxSheetId="11" userName="EXTERNAL Ly Chung (Ban Vien, RBVH/EPS45)" r:id="rId113" minRId="1214" maxRId="1216">
    <sheetIdMap count="10">
      <sheetId val="1"/>
      <sheetId val="2"/>
      <sheetId val="3"/>
      <sheetId val="4"/>
      <sheetId val="5"/>
      <sheetId val="6"/>
      <sheetId val="7"/>
      <sheetId val="8"/>
      <sheetId val="9"/>
      <sheetId val="10"/>
    </sheetIdMap>
  </header>
  <header guid="{5AC4766B-2F86-4CA6-91D4-2BCDFD86CF77}" dateTime="2020-05-07T14:23:02" maxSheetId="11" userName="EXTERNAL Do Phu Loc (Ban Vien, RBVH/EPS45)" r:id="rId114" minRId="1219" maxRId="1231">
    <sheetIdMap count="10">
      <sheetId val="1"/>
      <sheetId val="2"/>
      <sheetId val="3"/>
      <sheetId val="4"/>
      <sheetId val="5"/>
      <sheetId val="6"/>
      <sheetId val="7"/>
      <sheetId val="8"/>
      <sheetId val="9"/>
      <sheetId val="10"/>
    </sheetIdMap>
  </header>
  <header guid="{52794D9E-402A-4D8C-AADF-B092479678D5}" dateTime="2020-05-07T14:30:15" maxSheetId="11" userName="EXTERNAL Nguyen Trung Hieu (Ban Vien, RBVH/EPS45)" r:id="rId115" minRId="1234" maxRId="1243">
    <sheetIdMap count="10">
      <sheetId val="1"/>
      <sheetId val="2"/>
      <sheetId val="3"/>
      <sheetId val="4"/>
      <sheetId val="5"/>
      <sheetId val="6"/>
      <sheetId val="7"/>
      <sheetId val="8"/>
      <sheetId val="9"/>
      <sheetId val="10"/>
    </sheetIdMap>
  </header>
  <header guid="{6B34D58B-5419-4A4D-BD04-2ACE6892D36E}" dateTime="2020-05-07T14:30:50" maxSheetId="11" userName="EXTERNAL Do Phu Loc (Ban Vien, RBVH/EPS45)" r:id="rId116" minRId="1246">
    <sheetIdMap count="10">
      <sheetId val="1"/>
      <sheetId val="2"/>
      <sheetId val="3"/>
      <sheetId val="4"/>
      <sheetId val="5"/>
      <sheetId val="6"/>
      <sheetId val="7"/>
      <sheetId val="8"/>
      <sheetId val="9"/>
      <sheetId val="10"/>
    </sheetIdMap>
  </header>
  <header guid="{D8FAEAFC-ED62-4318-B2A9-35D895FD5AAD}" dateTime="2020-05-07T14:30:56" maxSheetId="11" userName="GUP7HC" r:id="rId117">
    <sheetIdMap count="10">
      <sheetId val="1"/>
      <sheetId val="2"/>
      <sheetId val="3"/>
      <sheetId val="4"/>
      <sheetId val="5"/>
      <sheetId val="6"/>
      <sheetId val="7"/>
      <sheetId val="8"/>
      <sheetId val="9"/>
      <sheetId val="10"/>
    </sheetIdMap>
  </header>
  <header guid="{62769405-91F1-4644-9375-0DE6118D57C0}" dateTime="2020-05-07T14:45:12" maxSheetId="11" userName="EXTERNAL Nguyen Trung Hieu (Ban Vien, RBVH/EPS45)" r:id="rId118" minRId="1251" maxRId="1260">
    <sheetIdMap count="10">
      <sheetId val="1"/>
      <sheetId val="2"/>
      <sheetId val="3"/>
      <sheetId val="4"/>
      <sheetId val="5"/>
      <sheetId val="6"/>
      <sheetId val="7"/>
      <sheetId val="8"/>
      <sheetId val="9"/>
      <sheetId val="10"/>
    </sheetIdMap>
  </header>
  <header guid="{A9949836-79D6-4251-8EEB-E1F8AB3AF3E6}" dateTime="2020-05-07T14:45:55" maxSheetId="11" userName="EXTERNAL Do Phu Loc (Ban Vien, RBVH/EPS45)" r:id="rId119" minRId="1263" maxRId="1275">
    <sheetIdMap count="10">
      <sheetId val="1"/>
      <sheetId val="2"/>
      <sheetId val="3"/>
      <sheetId val="4"/>
      <sheetId val="5"/>
      <sheetId val="6"/>
      <sheetId val="7"/>
      <sheetId val="8"/>
      <sheetId val="9"/>
      <sheetId val="10"/>
    </sheetIdMap>
  </header>
  <header guid="{BBF12B12-C034-47ED-9C90-0CBAE4DE4805}" dateTime="2020-05-07T14:46:18" maxSheetId="11" userName="EXTERNAL Do Phu Loc (Ban Vien, RBVH/EPS45)" r:id="rId120">
    <sheetIdMap count="10">
      <sheetId val="1"/>
      <sheetId val="2"/>
      <sheetId val="3"/>
      <sheetId val="4"/>
      <sheetId val="5"/>
      <sheetId val="6"/>
      <sheetId val="7"/>
      <sheetId val="8"/>
      <sheetId val="9"/>
      <sheetId val="10"/>
    </sheetIdMap>
  </header>
  <header guid="{2A39866E-F7CC-4FAF-8041-AA342931CE53}" dateTime="2020-05-07T14:52:18" maxSheetId="11" userName="GUP7HC" r:id="rId121">
    <sheetIdMap count="10">
      <sheetId val="1"/>
      <sheetId val="2"/>
      <sheetId val="3"/>
      <sheetId val="4"/>
      <sheetId val="5"/>
      <sheetId val="6"/>
      <sheetId val="7"/>
      <sheetId val="8"/>
      <sheetId val="9"/>
      <sheetId val="10"/>
    </sheetIdMap>
  </header>
  <header guid="{E4D1906E-511F-40AF-AF2F-DC70B3693654}" dateTime="2020-05-07T15:01:06" maxSheetId="11" userName="EXTERNAL Nguyen Trung Hieu (Ban Vien, RBVH/EPS45)" r:id="rId122" minRId="1282" maxRId="1294">
    <sheetIdMap count="10">
      <sheetId val="1"/>
      <sheetId val="2"/>
      <sheetId val="3"/>
      <sheetId val="4"/>
      <sheetId val="5"/>
      <sheetId val="6"/>
      <sheetId val="7"/>
      <sheetId val="8"/>
      <sheetId val="9"/>
      <sheetId val="10"/>
    </sheetIdMap>
  </header>
  <header guid="{EA8A1EDD-3666-4E15-A99A-64AB59EA5EFD}" dateTime="2020-05-07T15:01:14" maxSheetId="11" userName="EXTERNAL Nguyen Trung Hieu (Ban Vien, RBVH/EPS45)" r:id="rId123" minRId="1297" maxRId="1299">
    <sheetIdMap count="10">
      <sheetId val="1"/>
      <sheetId val="2"/>
      <sheetId val="3"/>
      <sheetId val="4"/>
      <sheetId val="5"/>
      <sheetId val="6"/>
      <sheetId val="7"/>
      <sheetId val="8"/>
      <sheetId val="9"/>
      <sheetId val="10"/>
    </sheetIdMap>
  </header>
  <header guid="{41311541-D70A-46DA-A84F-EFF6BBAE0EC0}" dateTime="2020-05-07T15:01:21" maxSheetId="11" userName="EXTERNAL Nguyen Trung Hieu (Ban Vien, RBVH/EPS45)" r:id="rId124">
    <sheetIdMap count="10">
      <sheetId val="1"/>
      <sheetId val="2"/>
      <sheetId val="3"/>
      <sheetId val="4"/>
      <sheetId val="5"/>
      <sheetId val="6"/>
      <sheetId val="7"/>
      <sheetId val="8"/>
      <sheetId val="9"/>
      <sheetId val="10"/>
    </sheetIdMap>
  </header>
  <header guid="{584F862C-3138-42E0-A919-C1136992E693}" dateTime="2020-05-07T15:07:36" maxSheetId="11" userName="EXTERNAL Nguyen Trung Hieu (Ban Vien, RBVH/EPS45)" r:id="rId125" minRId="1304" maxRId="1324">
    <sheetIdMap count="10">
      <sheetId val="1"/>
      <sheetId val="2"/>
      <sheetId val="3"/>
      <sheetId val="4"/>
      <sheetId val="5"/>
      <sheetId val="6"/>
      <sheetId val="7"/>
      <sheetId val="8"/>
      <sheetId val="9"/>
      <sheetId val="10"/>
    </sheetIdMap>
  </header>
  <header guid="{20FE8E3B-CA76-451E-BBA9-0EA79DF045C5}" dateTime="2020-05-07T15:09:37" maxSheetId="11" userName="EXTERNAL Nguyen Trung Hieu (Ban Vien, RBVH/EPS45)" r:id="rId126" minRId="1327" maxRId="1476">
    <sheetIdMap count="10">
      <sheetId val="1"/>
      <sheetId val="2"/>
      <sheetId val="3"/>
      <sheetId val="4"/>
      <sheetId val="5"/>
      <sheetId val="6"/>
      <sheetId val="7"/>
      <sheetId val="8"/>
      <sheetId val="9"/>
      <sheetId val="10"/>
    </sheetIdMap>
  </header>
  <header guid="{8964BD5A-51E1-4C82-B9D8-29AEECACC81D}" dateTime="2020-05-07T15:09:54" maxSheetId="11" userName="EXTERNAL Nguyen Trung Hieu (Ban Vien, RBVH/EPS45)" r:id="rId127" minRId="1479" maxRId="1488">
    <sheetIdMap count="10">
      <sheetId val="1"/>
      <sheetId val="2"/>
      <sheetId val="3"/>
      <sheetId val="4"/>
      <sheetId val="5"/>
      <sheetId val="6"/>
      <sheetId val="7"/>
      <sheetId val="8"/>
      <sheetId val="9"/>
      <sheetId val="10"/>
    </sheetIdMap>
  </header>
  <header guid="{77FCD8F1-AB67-4C4E-9E95-04095F07B310}" dateTime="2020-05-07T15:10:05" maxSheetId="11" userName="EXTERNAL Nguyen Trung Hieu (Ban Vien, RBVH/EPS45)" r:id="rId128" minRId="1489" maxRId="1507">
    <sheetIdMap count="10">
      <sheetId val="1"/>
      <sheetId val="2"/>
      <sheetId val="3"/>
      <sheetId val="4"/>
      <sheetId val="5"/>
      <sheetId val="6"/>
      <sheetId val="7"/>
      <sheetId val="8"/>
      <sheetId val="9"/>
      <sheetId val="10"/>
    </sheetIdMap>
  </header>
  <header guid="{445A39A7-4033-4868-BDE7-2AC59D1B05F6}" dateTime="2020-05-07T15:11:07" maxSheetId="11" userName="EXTERNAL Nguyen Trung Hieu (Ban Vien, RBVH/EPS45)" r:id="rId129" minRId="1508" maxRId="1517">
    <sheetIdMap count="10">
      <sheetId val="1"/>
      <sheetId val="2"/>
      <sheetId val="3"/>
      <sheetId val="4"/>
      <sheetId val="5"/>
      <sheetId val="6"/>
      <sheetId val="7"/>
      <sheetId val="8"/>
      <sheetId val="9"/>
      <sheetId val="10"/>
    </sheetIdMap>
  </header>
  <header guid="{2C631B5C-A94C-4E6B-83B1-2AEAE3BF5833}" dateTime="2020-05-07T15:11:39" maxSheetId="11" userName="EXTERNAL Nguyen Trung Hieu (Ban Vien, RBVH/EPS45)" r:id="rId130" minRId="1520">
    <sheetIdMap count="10">
      <sheetId val="1"/>
      <sheetId val="2"/>
      <sheetId val="3"/>
      <sheetId val="4"/>
      <sheetId val="5"/>
      <sheetId val="6"/>
      <sheetId val="7"/>
      <sheetId val="8"/>
      <sheetId val="9"/>
      <sheetId val="10"/>
    </sheetIdMap>
  </header>
  <header guid="{5783D063-5F76-47DE-A6B9-C50F6F823D08}" dateTime="2020-05-07T15:11:46" maxSheetId="11" userName="EXTERNAL Nguyen Trung Hieu (Ban Vien, RBVH/EPS45)" r:id="rId131" minRId="1523" maxRId="1524">
    <sheetIdMap count="10">
      <sheetId val="1"/>
      <sheetId val="2"/>
      <sheetId val="3"/>
      <sheetId val="4"/>
      <sheetId val="5"/>
      <sheetId val="6"/>
      <sheetId val="7"/>
      <sheetId val="8"/>
      <sheetId val="9"/>
      <sheetId val="10"/>
    </sheetIdMap>
  </header>
  <header guid="{9E150AFA-C994-4621-8837-E17E3FBEA910}" dateTime="2020-05-07T15:11:57" maxSheetId="11" userName="EXTERNAL Nguyen Trung Hieu (Ban Vien, RBVH/EPS45)" r:id="rId132">
    <sheetIdMap count="10">
      <sheetId val="1"/>
      <sheetId val="2"/>
      <sheetId val="3"/>
      <sheetId val="4"/>
      <sheetId val="5"/>
      <sheetId val="6"/>
      <sheetId val="7"/>
      <sheetId val="8"/>
      <sheetId val="9"/>
      <sheetId val="10"/>
    </sheetIdMap>
  </header>
  <header guid="{EE972110-1C36-48F1-A207-8054109F4A3F}" dateTime="2020-05-07T15:22:17" maxSheetId="11" userName="EXTERNAL Nguyen Trung Hieu (Ban Vien, RBVH/EPS45)" r:id="rId133">
    <sheetIdMap count="10">
      <sheetId val="1"/>
      <sheetId val="2"/>
      <sheetId val="3"/>
      <sheetId val="4"/>
      <sheetId val="5"/>
      <sheetId val="6"/>
      <sheetId val="7"/>
      <sheetId val="8"/>
      <sheetId val="9"/>
      <sheetId val="10"/>
    </sheetIdMap>
  </header>
  <header guid="{65AF1960-ABE1-4EA9-94E9-C13D5F21FA23}" dateTime="2020-05-07T15:22:21" maxSheetId="11" userName="EXTERNAL Nguyen Trung Hieu (Ban Vien, RBVH/EPS45)" r:id="rId134">
    <sheetIdMap count="10">
      <sheetId val="1"/>
      <sheetId val="2"/>
      <sheetId val="3"/>
      <sheetId val="4"/>
      <sheetId val="5"/>
      <sheetId val="6"/>
      <sheetId val="7"/>
      <sheetId val="8"/>
      <sheetId val="9"/>
      <sheetId val="10"/>
    </sheetIdMap>
  </header>
  <header guid="{4D818D0D-F406-4EBF-9872-0C1BDA76985A}" dateTime="2020-05-07T15:22:41" maxSheetId="11" userName="EXTERNAL Nguyen Trung Hieu (Ban Vien, RBVH/EPS45)" r:id="rId135">
    <sheetIdMap count="10">
      <sheetId val="1"/>
      <sheetId val="2"/>
      <sheetId val="3"/>
      <sheetId val="4"/>
      <sheetId val="5"/>
      <sheetId val="6"/>
      <sheetId val="7"/>
      <sheetId val="8"/>
      <sheetId val="9"/>
      <sheetId val="10"/>
    </sheetIdMap>
  </header>
  <header guid="{A1C57A8D-1257-4CDE-AF5B-D324D334A47A}" dateTime="2020-05-07T15:23:25" maxSheetId="11" userName="EXTERNAL Nguyen Trung Hieu (Ban Vien, RBVH/EPS45)" r:id="rId136" minRId="1531" maxRId="1536">
    <sheetIdMap count="10">
      <sheetId val="1"/>
      <sheetId val="2"/>
      <sheetId val="3"/>
      <sheetId val="4"/>
      <sheetId val="5"/>
      <sheetId val="6"/>
      <sheetId val="7"/>
      <sheetId val="8"/>
      <sheetId val="9"/>
      <sheetId val="10"/>
    </sheetIdMap>
  </header>
  <header guid="{51F9BF2E-BC8B-41FB-AA79-9DE7110B87B7}" dateTime="2020-05-07T15:32:16" maxSheetId="11" userName="EXTERNAL Do Phu Loc (Ban Vien, RBVH/EPS45)" r:id="rId137" minRId="1537" maxRId="1545">
    <sheetIdMap count="10">
      <sheetId val="1"/>
      <sheetId val="2"/>
      <sheetId val="3"/>
      <sheetId val="4"/>
      <sheetId val="5"/>
      <sheetId val="6"/>
      <sheetId val="7"/>
      <sheetId val="8"/>
      <sheetId val="9"/>
      <sheetId val="10"/>
    </sheetIdMap>
  </header>
  <header guid="{BA96D53A-A283-40E3-94F8-3A3CC6845302}" dateTime="2020-05-07T15:32:30" maxSheetId="11" userName="EXTERNAL Do Phu Loc (Ban Vien, RBVH/EPS45)" r:id="rId138">
    <sheetIdMap count="10">
      <sheetId val="1"/>
      <sheetId val="2"/>
      <sheetId val="3"/>
      <sheetId val="4"/>
      <sheetId val="5"/>
      <sheetId val="6"/>
      <sheetId val="7"/>
      <sheetId val="8"/>
      <sheetId val="9"/>
      <sheetId val="10"/>
    </sheetIdMap>
  </header>
  <header guid="{CADE8DC9-93A7-4E96-A296-11786D0099F8}" dateTime="2020-05-07T15:34:31" maxSheetId="11" userName="GUP7HC" r:id="rId139">
    <sheetIdMap count="10">
      <sheetId val="1"/>
      <sheetId val="2"/>
      <sheetId val="3"/>
      <sheetId val="4"/>
      <sheetId val="5"/>
      <sheetId val="6"/>
      <sheetId val="7"/>
      <sheetId val="8"/>
      <sheetId val="9"/>
      <sheetId val="10"/>
    </sheetIdMap>
  </header>
  <header guid="{81D85F91-14CC-4324-A5CB-064B5675AC17}" dateTime="2020-05-07T16:42:02" maxSheetId="11" userName="EXTERNAL Do Anh Huy (Ban Vien Company, RBVH/EPS45)" r:id="rId140" minRId="1550" maxRId="1555">
    <sheetIdMap count="10">
      <sheetId val="1"/>
      <sheetId val="2"/>
      <sheetId val="3"/>
      <sheetId val="4"/>
      <sheetId val="5"/>
      <sheetId val="6"/>
      <sheetId val="7"/>
      <sheetId val="8"/>
      <sheetId val="9"/>
      <sheetId val="10"/>
    </sheetIdMap>
  </header>
  <header guid="{B63C852D-0666-4E51-8896-0BC49C650E14}" dateTime="2020-05-07T17:17:27" maxSheetId="11" userName="EXTERNAL Nguyen Tai Hau (Ban Vien, RBVH/EPS45)" r:id="rId141" minRId="1558" maxRId="1565">
    <sheetIdMap count="10">
      <sheetId val="1"/>
      <sheetId val="2"/>
      <sheetId val="3"/>
      <sheetId val="4"/>
      <sheetId val="5"/>
      <sheetId val="6"/>
      <sheetId val="7"/>
      <sheetId val="8"/>
      <sheetId val="9"/>
      <sheetId val="10"/>
    </sheetIdMap>
  </header>
  <header guid="{5748381A-2365-4AB9-926E-6504E6A036F0}" dateTime="2020-05-07T17:18:16" maxSheetId="11" userName="EXTERNAL Nguyen Tai Hau (Ban Vien, RBVH/EPS45)" r:id="rId142" minRId="1568">
    <sheetIdMap count="10">
      <sheetId val="1"/>
      <sheetId val="2"/>
      <sheetId val="3"/>
      <sheetId val="4"/>
      <sheetId val="5"/>
      <sheetId val="6"/>
      <sheetId val="7"/>
      <sheetId val="8"/>
      <sheetId val="9"/>
      <sheetId val="10"/>
    </sheetIdMap>
  </header>
  <header guid="{DCF8DACD-262E-4D55-BD3A-8AC821EBC55A}" dateTime="2020-05-07T17:25:44" maxSheetId="11" userName="EXTERNAL Nguyen Tuan Duong (Ban Vien, RBVH/EPS45)" r:id="rId143" minRId="1569" maxRId="1581">
    <sheetIdMap count="10">
      <sheetId val="1"/>
      <sheetId val="2"/>
      <sheetId val="3"/>
      <sheetId val="4"/>
      <sheetId val="5"/>
      <sheetId val="6"/>
      <sheetId val="7"/>
      <sheetId val="8"/>
      <sheetId val="9"/>
      <sheetId val="10"/>
    </sheetIdMap>
  </header>
  <header guid="{2691F6EE-8322-425A-9D58-E8A9956CEFC1}" dateTime="2020-05-07T17:26:15" maxSheetId="11" userName="EXTERNAL Nguyen Tuan Duong (Ban Vien, RBVH/EPS45)" r:id="rId144" minRId="1584">
    <sheetIdMap count="10">
      <sheetId val="1"/>
      <sheetId val="2"/>
      <sheetId val="3"/>
      <sheetId val="4"/>
      <sheetId val="5"/>
      <sheetId val="6"/>
      <sheetId val="7"/>
      <sheetId val="8"/>
      <sheetId val="9"/>
      <sheetId val="10"/>
    </sheetIdMap>
  </header>
  <header guid="{E8ABD029-494C-4EAE-81FB-D49CD78D859C}" dateTime="2020-05-07T17:35:36" maxSheetId="11" userName="EXTERNAL Nguyen Tuan Duong (Ban Vien, RBVH/EPS45)" r:id="rId145" minRId="1585">
    <sheetIdMap count="10">
      <sheetId val="1"/>
      <sheetId val="2"/>
      <sheetId val="3"/>
      <sheetId val="4"/>
      <sheetId val="5"/>
      <sheetId val="6"/>
      <sheetId val="7"/>
      <sheetId val="8"/>
      <sheetId val="9"/>
      <sheetId val="10"/>
    </sheetIdMap>
  </header>
  <header guid="{0921D4F4-BCE4-4BFA-8363-CA512E44E7E2}" dateTime="2020-05-07T17:36:03" maxSheetId="11" userName="EXTERNAL Nguyen Tuan Duong (Ban Vien, RBVH/EPS45)" r:id="rId146" minRId="1588">
    <sheetIdMap count="10">
      <sheetId val="1"/>
      <sheetId val="2"/>
      <sheetId val="3"/>
      <sheetId val="4"/>
      <sheetId val="5"/>
      <sheetId val="6"/>
      <sheetId val="7"/>
      <sheetId val="8"/>
      <sheetId val="9"/>
      <sheetId val="10"/>
    </sheetIdMap>
  </header>
  <header guid="{55FAEE59-ADDA-436C-A7DE-A8585B55758D}" dateTime="2020-05-07T17:39:59" maxSheetId="11" userName="EXTERNAL Nguyen Tuan Duong (Ban Vien, RBVH/EPS45)" r:id="rId147" minRId="1589">
    <sheetIdMap count="10">
      <sheetId val="1"/>
      <sheetId val="2"/>
      <sheetId val="3"/>
      <sheetId val="4"/>
      <sheetId val="5"/>
      <sheetId val="6"/>
      <sheetId val="7"/>
      <sheetId val="8"/>
      <sheetId val="9"/>
      <sheetId val="10"/>
    </sheetIdMap>
  </header>
  <header guid="{8958A80A-CB6F-4D85-9265-9F953987B66A}" dateTime="2020-05-07T19:22:34" maxSheetId="11" userName="EXTERNAL Nguyen Tai Hau (Ban Vien, RBVH/EPS45)" r:id="rId148" minRId="1590" maxRId="1597">
    <sheetIdMap count="10">
      <sheetId val="1"/>
      <sheetId val="2"/>
      <sheetId val="3"/>
      <sheetId val="4"/>
      <sheetId val="5"/>
      <sheetId val="6"/>
      <sheetId val="7"/>
      <sheetId val="8"/>
      <sheetId val="9"/>
      <sheetId val="10"/>
    </sheetIdMap>
  </header>
  <header guid="{11CF31DB-28BA-4ABF-A0AC-38FEB2248F7C}" dateTime="2020-05-07T19:22:55" maxSheetId="11" userName="EXTERNAL Nguyen Tai Hau (Ban Vien, RBVH/EPS45)" r:id="rId149" minRId="1600" maxRId="1601">
    <sheetIdMap count="10">
      <sheetId val="1"/>
      <sheetId val="2"/>
      <sheetId val="3"/>
      <sheetId val="4"/>
      <sheetId val="5"/>
      <sheetId val="6"/>
      <sheetId val="7"/>
      <sheetId val="8"/>
      <sheetId val="9"/>
      <sheetId val="10"/>
    </sheetIdMap>
  </header>
  <header guid="{A490C764-1B29-4540-9F95-3ADFAFF8EA6A}" dateTime="2020-05-07T19:23:06" maxSheetId="11" userName="EXTERNAL Nguyen Tai Hau (Ban Vien, RBVH/EPS45)" r:id="rId150" minRId="1604" maxRId="1605">
    <sheetIdMap count="10">
      <sheetId val="1"/>
      <sheetId val="2"/>
      <sheetId val="3"/>
      <sheetId val="4"/>
      <sheetId val="5"/>
      <sheetId val="6"/>
      <sheetId val="7"/>
      <sheetId val="8"/>
      <sheetId val="9"/>
      <sheetId val="10"/>
    </sheetIdMap>
  </header>
  <header guid="{FC740833-7249-4343-ABF4-CD3566D11184}" dateTime="2020-05-07T19:26:27" maxSheetId="11" userName="EXTERNAL Nguyen Tai Hau (Ban Vien, RBVH/EPS45)" r:id="rId151">
    <sheetIdMap count="10">
      <sheetId val="1"/>
      <sheetId val="2"/>
      <sheetId val="3"/>
      <sheetId val="4"/>
      <sheetId val="5"/>
      <sheetId val="6"/>
      <sheetId val="7"/>
      <sheetId val="8"/>
      <sheetId val="9"/>
      <sheetId val="10"/>
    </sheetIdMap>
  </header>
  <header guid="{64B71ED7-5C21-4184-8F47-E607D77EDBF7}" dateTime="2020-05-07T20:59:09" maxSheetId="11" userName="EXTERNAL Nguyen Tuan Duong (Ban Vien, RBVH/EPS45)" r:id="rId152" minRId="1608">
    <sheetIdMap count="10">
      <sheetId val="1"/>
      <sheetId val="2"/>
      <sheetId val="3"/>
      <sheetId val="4"/>
      <sheetId val="5"/>
      <sheetId val="6"/>
      <sheetId val="7"/>
      <sheetId val="8"/>
      <sheetId val="9"/>
      <sheetId val="10"/>
    </sheetIdMap>
  </header>
  <header guid="{37B6A8AF-8B90-49F4-AD94-BDAB39B89367}" dateTime="2020-05-08T09:05:33" maxSheetId="11" userName="EXTERNAL Ly Chung (Ban Vien, RBVH/EPS45)" r:id="rId153">
    <sheetIdMap count="10">
      <sheetId val="1"/>
      <sheetId val="2"/>
      <sheetId val="3"/>
      <sheetId val="4"/>
      <sheetId val="5"/>
      <sheetId val="6"/>
      <sheetId val="7"/>
      <sheetId val="8"/>
      <sheetId val="9"/>
      <sheetId val="10"/>
    </sheetIdMap>
  </header>
  <header guid="{D8344EE2-2F8F-4A92-A81A-A62B421EB5C5}" dateTime="2020-05-08T09:22:13" maxSheetId="11" userName="EXTERNAL Nguyen Trung Hieu (Ban Vien, RBVH/EPS45)" r:id="rId154">
    <sheetIdMap count="10">
      <sheetId val="1"/>
      <sheetId val="2"/>
      <sheetId val="3"/>
      <sheetId val="4"/>
      <sheetId val="5"/>
      <sheetId val="6"/>
      <sheetId val="7"/>
      <sheetId val="8"/>
      <sheetId val="9"/>
      <sheetId val="10"/>
    </sheetIdMap>
  </header>
  <header guid="{5D349686-01FA-4C70-813E-87744DE6C0A4}" dateTime="2020-05-08T09:23:03" maxSheetId="11" userName="EXTERNAL Nguyen Trung Hieu (Ban Vien, RBVH/EPS45)" r:id="rId155" minRId="1615">
    <sheetIdMap count="10">
      <sheetId val="1"/>
      <sheetId val="2"/>
      <sheetId val="3"/>
      <sheetId val="4"/>
      <sheetId val="5"/>
      <sheetId val="6"/>
      <sheetId val="7"/>
      <sheetId val="8"/>
      <sheetId val="9"/>
      <sheetId val="10"/>
    </sheetIdMap>
  </header>
  <header guid="{1ADE5616-B083-43C2-8E99-FB6885192DE2}" dateTime="2020-05-08T09:23:10" maxSheetId="11" userName="EXTERNAL Nguyen Tuan Duong (Ban Vien, RBVH/EPS45)" r:id="rId156" minRId="1616">
    <sheetIdMap count="10">
      <sheetId val="1"/>
      <sheetId val="2"/>
      <sheetId val="3"/>
      <sheetId val="4"/>
      <sheetId val="5"/>
      <sheetId val="6"/>
      <sheetId val="7"/>
      <sheetId val="8"/>
      <sheetId val="9"/>
      <sheetId val="10"/>
    </sheetIdMap>
  </header>
  <header guid="{9B9CDEB2-EC24-4B7E-83AF-7C8B82DFCDAC}" dateTime="2020-05-08T09:23:48" maxSheetId="11" userName="EXTERNAL Nguyen Trung Hieu (Ban Vien, RBVH/EPS45)" r:id="rId157" minRId="1617">
    <sheetIdMap count="10">
      <sheetId val="1"/>
      <sheetId val="2"/>
      <sheetId val="3"/>
      <sheetId val="4"/>
      <sheetId val="5"/>
      <sheetId val="6"/>
      <sheetId val="7"/>
      <sheetId val="8"/>
      <sheetId val="9"/>
      <sheetId val="10"/>
    </sheetIdMap>
  </header>
  <header guid="{26A03214-043A-4568-AEED-82C63B0897F0}" dateTime="2020-05-08T09:24:17" maxSheetId="11" userName="EXTERNAL Nguyen Tuan Duong (Ban Vien, RBVH/EPS45)" r:id="rId158" minRId="1618" maxRId="1640">
    <sheetIdMap count="10">
      <sheetId val="1"/>
      <sheetId val="2"/>
      <sheetId val="3"/>
      <sheetId val="4"/>
      <sheetId val="5"/>
      <sheetId val="6"/>
      <sheetId val="7"/>
      <sheetId val="8"/>
      <sheetId val="9"/>
      <sheetId val="10"/>
    </sheetIdMap>
  </header>
  <header guid="{DF4CA078-63E9-4F22-804E-0F1FF9426F83}" dateTime="2020-05-08T09:24:24" maxSheetId="11" userName="EXTERNAL Nguyen Tuan Duong (Ban Vien, RBVH/EPS45)" r:id="rId159">
    <sheetIdMap count="10">
      <sheetId val="1"/>
      <sheetId val="2"/>
      <sheetId val="3"/>
      <sheetId val="4"/>
      <sheetId val="5"/>
      <sheetId val="6"/>
      <sheetId val="7"/>
      <sheetId val="8"/>
      <sheetId val="9"/>
      <sheetId val="10"/>
    </sheetIdMap>
  </header>
  <header guid="{09F4905B-4B63-4A23-9091-A5FDD70A5DFD}" dateTime="2020-05-08T09:24:40" maxSheetId="11" userName="EXTERNAL Nguyen Tuan Duong (Ban Vien, RBVH/EPS45)" r:id="rId160" minRId="1645">
    <sheetIdMap count="10">
      <sheetId val="1"/>
      <sheetId val="2"/>
      <sheetId val="3"/>
      <sheetId val="4"/>
      <sheetId val="5"/>
      <sheetId val="6"/>
      <sheetId val="7"/>
      <sheetId val="8"/>
      <sheetId val="9"/>
      <sheetId val="10"/>
    </sheetIdMap>
  </header>
  <header guid="{538A0056-BD66-48AE-9417-4898F4FF0163}" dateTime="2020-05-08T09:46:13" maxSheetId="11" userName="EXTERNAL Do Phu Loc (Ban Vien, RBVH/EPS45)" r:id="rId161" minRId="1648" maxRId="1658">
    <sheetIdMap count="10">
      <sheetId val="1"/>
      <sheetId val="2"/>
      <sheetId val="3"/>
      <sheetId val="4"/>
      <sheetId val="5"/>
      <sheetId val="6"/>
      <sheetId val="7"/>
      <sheetId val="8"/>
      <sheetId val="9"/>
      <sheetId val="10"/>
    </sheetIdMap>
  </header>
  <header guid="{7776A254-7922-4D65-81A9-64701231E998}" dateTime="2020-05-08T09:46:43" maxSheetId="11" userName="EXTERNAL Do Phu Loc (Ban Vien, RBVH/EPS45)" r:id="rId162">
    <sheetIdMap count="10">
      <sheetId val="1"/>
      <sheetId val="2"/>
      <sheetId val="3"/>
      <sheetId val="4"/>
      <sheetId val="5"/>
      <sheetId val="6"/>
      <sheetId val="7"/>
      <sheetId val="8"/>
      <sheetId val="9"/>
      <sheetId val="10"/>
    </sheetIdMap>
  </header>
  <header guid="{3CF27AE6-01F6-492B-8C95-D688AB57F7C9}" dateTime="2020-05-08T09:47:51" maxSheetId="11" userName="GUP7HC" r:id="rId163" minRId="1663" maxRId="1672">
    <sheetIdMap count="10">
      <sheetId val="1"/>
      <sheetId val="2"/>
      <sheetId val="3"/>
      <sheetId val="4"/>
      <sheetId val="5"/>
      <sheetId val="6"/>
      <sheetId val="7"/>
      <sheetId val="8"/>
      <sheetId val="9"/>
      <sheetId val="10"/>
    </sheetIdMap>
  </header>
  <header guid="{C7ED9903-98FB-4616-A7ED-13F32B16CAD1}" dateTime="2020-05-08T10:10:30" maxSheetId="11" userName="EXTERNAL Nguyen Kim Thanh (Ban Vien, RBVH/EPS45)" r:id="rId164" minRId="1675" maxRId="1687">
    <sheetIdMap count="10">
      <sheetId val="1"/>
      <sheetId val="2"/>
      <sheetId val="3"/>
      <sheetId val="4"/>
      <sheetId val="5"/>
      <sheetId val="6"/>
      <sheetId val="7"/>
      <sheetId val="8"/>
      <sheetId val="9"/>
      <sheetId val="10"/>
    </sheetIdMap>
  </header>
  <header guid="{B5EE0699-597B-4F48-B3E0-B93F44922ACC}" dateTime="2020-05-08T10:10:42" maxSheetId="11" userName="EXTERNAL Nguyen Trung Hieu (Ban Vien, RBVH/EPS45)" r:id="rId165" minRId="1690" maxRId="1696">
    <sheetIdMap count="10">
      <sheetId val="1"/>
      <sheetId val="2"/>
      <sheetId val="3"/>
      <sheetId val="4"/>
      <sheetId val="5"/>
      <sheetId val="6"/>
      <sheetId val="7"/>
      <sheetId val="8"/>
      <sheetId val="9"/>
      <sheetId val="10"/>
    </sheetIdMap>
  </header>
  <header guid="{1F87D5FF-D2F1-4F7A-94A4-D87044F76AD0}" dateTime="2020-05-08T10:12:21" maxSheetId="11" userName="EXTERNAL Nguyen Trung Hieu (Ban Vien, RBVH/EPS45)" r:id="rId166" minRId="1697" maxRId="1706">
    <sheetIdMap count="10">
      <sheetId val="1"/>
      <sheetId val="2"/>
      <sheetId val="3"/>
      <sheetId val="4"/>
      <sheetId val="5"/>
      <sheetId val="6"/>
      <sheetId val="7"/>
      <sheetId val="8"/>
      <sheetId val="9"/>
      <sheetId val="10"/>
    </sheetIdMap>
  </header>
  <header guid="{0C550140-C088-4B4E-A295-412BF2D1705C}" dateTime="2020-05-08T10:13:23" maxSheetId="11" userName="EXTERNAL Nguyen Trung Hieu (Ban Vien, RBVH/EPS45)" r:id="rId167" minRId="1707" maxRId="1716">
    <sheetIdMap count="10">
      <sheetId val="1"/>
      <sheetId val="2"/>
      <sheetId val="3"/>
      <sheetId val="4"/>
      <sheetId val="5"/>
      <sheetId val="6"/>
      <sheetId val="7"/>
      <sheetId val="8"/>
      <sheetId val="9"/>
      <sheetId val="10"/>
    </sheetIdMap>
  </header>
  <header guid="{B1361C39-53AE-4D35-AB5E-F055BA0E553D}" dateTime="2020-05-08T10:15:40" maxSheetId="11" userName="EXTERNAL Nguyen Trung Hieu (Ban Vien, RBVH/EPS45)" r:id="rId168" minRId="1717" maxRId="1730">
    <sheetIdMap count="10">
      <sheetId val="1"/>
      <sheetId val="2"/>
      <sheetId val="3"/>
      <sheetId val="4"/>
      <sheetId val="5"/>
      <sheetId val="6"/>
      <sheetId val="7"/>
      <sheetId val="8"/>
      <sheetId val="9"/>
      <sheetId val="10"/>
    </sheetIdMap>
  </header>
  <header guid="{6CF6062C-97AB-4FBB-A73F-91FAC72BF7F9}" dateTime="2020-05-08T10:16:23" maxSheetId="11" userName="EXTERNAL Nguyen Trung Hieu (Ban Vien, RBVH/EPS45)" r:id="rId169">
    <sheetIdMap count="10">
      <sheetId val="1"/>
      <sheetId val="2"/>
      <sheetId val="3"/>
      <sheetId val="4"/>
      <sheetId val="5"/>
      <sheetId val="6"/>
      <sheetId val="7"/>
      <sheetId val="8"/>
      <sheetId val="9"/>
      <sheetId val="10"/>
    </sheetIdMap>
  </header>
  <header guid="{86CCB93C-A5C0-4D6A-9EF0-5122C88AF51F}" dateTime="2020-05-08T10:16:55" maxSheetId="11" userName="EXTERNAL Nguyen Tai Hau (Ban Vien, RBVH/EPS45)" r:id="rId170">
    <sheetIdMap count="10">
      <sheetId val="1"/>
      <sheetId val="2"/>
      <sheetId val="3"/>
      <sheetId val="4"/>
      <sheetId val="5"/>
      <sheetId val="6"/>
      <sheetId val="7"/>
      <sheetId val="8"/>
      <sheetId val="9"/>
      <sheetId val="10"/>
    </sheetIdMap>
  </header>
  <header guid="{67C87BA2-A3C3-486F-A572-580C3294133B}" dateTime="2020-05-08T11:32:47" maxSheetId="11" userName="EXTERNAL Nguyen Kim Thanh (Ban Vien, RBVH/EPS45)" r:id="rId171">
    <sheetIdMap count="10">
      <sheetId val="1"/>
      <sheetId val="2"/>
      <sheetId val="3"/>
      <sheetId val="4"/>
      <sheetId val="5"/>
      <sheetId val="6"/>
      <sheetId val="7"/>
      <sheetId val="8"/>
      <sheetId val="9"/>
      <sheetId val="10"/>
    </sheetIdMap>
  </header>
  <header guid="{A3F13DE5-4215-4AC3-9443-90DC19D37B8A}" dateTime="2020-05-08T11:35:01" maxSheetId="11" userName="EXTERNAL Nguyen Tai Hau (Ban Vien, RBVH/EPS45)" r:id="rId172" minRId="1739">
    <sheetIdMap count="10">
      <sheetId val="1"/>
      <sheetId val="2"/>
      <sheetId val="3"/>
      <sheetId val="4"/>
      <sheetId val="5"/>
      <sheetId val="6"/>
      <sheetId val="7"/>
      <sheetId val="8"/>
      <sheetId val="9"/>
      <sheetId val="10"/>
    </sheetIdMap>
  </header>
  <header guid="{1CE5C0F9-C5AA-406D-A106-17ACF7380994}" dateTime="2020-05-08T11:37:45" maxSheetId="11" userName="EXTERNAL Nguyen Tai Hau (Ban Vien, RBVH/EPS45)" r:id="rId173" minRId="1742">
    <sheetIdMap count="10">
      <sheetId val="1"/>
      <sheetId val="2"/>
      <sheetId val="3"/>
      <sheetId val="4"/>
      <sheetId val="5"/>
      <sheetId val="6"/>
      <sheetId val="7"/>
      <sheetId val="8"/>
      <sheetId val="9"/>
      <sheetId val="10"/>
    </sheetIdMap>
  </header>
  <header guid="{79C68FC0-9AEB-49C8-82CD-0653EE7627DA}" dateTime="2020-05-08T11:48:38" maxSheetId="11" userName="GUP7HC" r:id="rId174" minRId="1745" maxRId="1761">
    <sheetIdMap count="10">
      <sheetId val="1"/>
      <sheetId val="2"/>
      <sheetId val="3"/>
      <sheetId val="4"/>
      <sheetId val="5"/>
      <sheetId val="6"/>
      <sheetId val="7"/>
      <sheetId val="8"/>
      <sheetId val="9"/>
      <sheetId val="10"/>
    </sheetIdMap>
  </header>
  <header guid="{0B06D00C-2D88-4CCB-A6C4-C83E5CD243DD}" dateTime="2020-05-08T11:48:50" maxSheetId="11" userName="GUP7HC" r:id="rId175" minRId="1764" maxRId="1766">
    <sheetIdMap count="10">
      <sheetId val="1"/>
      <sheetId val="2"/>
      <sheetId val="3"/>
      <sheetId val="4"/>
      <sheetId val="5"/>
      <sheetId val="6"/>
      <sheetId val="7"/>
      <sheetId val="8"/>
      <sheetId val="9"/>
      <sheetId val="10"/>
    </sheetIdMap>
  </header>
  <header guid="{3C6A0135-9E45-47ED-BEE7-7B4DF5AFD5EB}" dateTime="2020-05-08T11:48:53" maxSheetId="11" userName="GUP7HC" r:id="rId176">
    <sheetIdMap count="10">
      <sheetId val="1"/>
      <sheetId val="2"/>
      <sheetId val="3"/>
      <sheetId val="4"/>
      <sheetId val="5"/>
      <sheetId val="6"/>
      <sheetId val="7"/>
      <sheetId val="8"/>
      <sheetId val="9"/>
      <sheetId val="10"/>
    </sheetIdMap>
  </header>
  <header guid="{8E86F03B-BD71-4F09-A369-3D4794119E5F}" dateTime="2020-05-08T11:49:38" maxSheetId="11" userName="EXTERNAL Nguyen Kim Thanh (Ban Vien, RBVH/EPS45)" r:id="rId177">
    <sheetIdMap count="10">
      <sheetId val="1"/>
      <sheetId val="2"/>
      <sheetId val="3"/>
      <sheetId val="4"/>
      <sheetId val="5"/>
      <sheetId val="6"/>
      <sheetId val="7"/>
      <sheetId val="8"/>
      <sheetId val="9"/>
      <sheetId val="10"/>
    </sheetIdMap>
  </header>
  <header guid="{8E57D723-0DE4-47D7-A0FF-05C8C5119E45}" dateTime="2020-05-08T11:49:46" maxSheetId="11" userName="EXTERNAL Nguyen Kim Thanh (Ban Vien, RBVH/EPS45)" r:id="rId178">
    <sheetIdMap count="10">
      <sheetId val="1"/>
      <sheetId val="2"/>
      <sheetId val="3"/>
      <sheetId val="4"/>
      <sheetId val="5"/>
      <sheetId val="6"/>
      <sheetId val="7"/>
      <sheetId val="8"/>
      <sheetId val="9"/>
      <sheetId val="10"/>
    </sheetIdMap>
  </header>
  <header guid="{1D04E125-3B54-499F-A6DE-C3BB5C2D1574}" dateTime="2020-05-08T13:23:22" maxSheetId="11" userName="GUP7HC" r:id="rId179" minRId="1775" maxRId="1776">
    <sheetIdMap count="10">
      <sheetId val="1"/>
      <sheetId val="2"/>
      <sheetId val="3"/>
      <sheetId val="4"/>
      <sheetId val="5"/>
      <sheetId val="6"/>
      <sheetId val="7"/>
      <sheetId val="8"/>
      <sheetId val="9"/>
      <sheetId val="10"/>
    </sheetIdMap>
  </header>
  <header guid="{8C808344-5F88-46B8-B284-20824ECE93B8}" dateTime="2020-05-08T13:26:24" maxSheetId="11" userName="GUP7HC" r:id="rId180" minRId="1779" maxRId="1780">
    <sheetIdMap count="10">
      <sheetId val="1"/>
      <sheetId val="2"/>
      <sheetId val="3"/>
      <sheetId val="4"/>
      <sheetId val="5"/>
      <sheetId val="6"/>
      <sheetId val="7"/>
      <sheetId val="8"/>
      <sheetId val="9"/>
      <sheetId val="10"/>
    </sheetIdMap>
  </header>
  <header guid="{47C4EEC2-B4F5-4440-B453-733A5F3A0F66}" dateTime="2020-05-08T13:35:56" maxSheetId="11" userName="EXTERNAL Do Phu Loc (Ban Vien, RBVH/EPS45)" r:id="rId181" minRId="1783" maxRId="1801">
    <sheetIdMap count="10">
      <sheetId val="1"/>
      <sheetId val="2"/>
      <sheetId val="3"/>
      <sheetId val="4"/>
      <sheetId val="5"/>
      <sheetId val="6"/>
      <sheetId val="7"/>
      <sheetId val="8"/>
      <sheetId val="9"/>
      <sheetId val="10"/>
    </sheetIdMap>
  </header>
  <header guid="{5F8CADED-612F-4F03-8F04-8ACC2AC08C6D}" dateTime="2020-05-08T13:48:37" maxSheetId="11" userName="EXTERNAL Do Phu Loc (Ban Vien, RBVH/EPS45)" r:id="rId182" minRId="1804" maxRId="1816">
    <sheetIdMap count="10">
      <sheetId val="1"/>
      <sheetId val="2"/>
      <sheetId val="3"/>
      <sheetId val="4"/>
      <sheetId val="5"/>
      <sheetId val="6"/>
      <sheetId val="7"/>
      <sheetId val="8"/>
      <sheetId val="9"/>
      <sheetId val="10"/>
    </sheetIdMap>
  </header>
  <header guid="{77DC10FD-8D92-4D6B-9663-C318C6054EA9}" dateTime="2020-05-08T13:48:46" maxSheetId="11" userName="EXTERNAL Do Phu Loc (Ban Vien, RBVH/EPS45)" r:id="rId183">
    <sheetIdMap count="10">
      <sheetId val="1"/>
      <sheetId val="2"/>
      <sheetId val="3"/>
      <sheetId val="4"/>
      <sheetId val="5"/>
      <sheetId val="6"/>
      <sheetId val="7"/>
      <sheetId val="8"/>
      <sheetId val="9"/>
      <sheetId val="10"/>
    </sheetIdMap>
  </header>
  <header guid="{410D68DE-1A43-4E18-B771-2CBFB114DE63}" dateTime="2020-05-08T13:52:05" maxSheetId="11" userName="GUP7HC" r:id="rId184" minRId="1819">
    <sheetIdMap count="10">
      <sheetId val="1"/>
      <sheetId val="2"/>
      <sheetId val="3"/>
      <sheetId val="4"/>
      <sheetId val="5"/>
      <sheetId val="6"/>
      <sheetId val="7"/>
      <sheetId val="8"/>
      <sheetId val="9"/>
      <sheetId val="10"/>
    </sheetIdMap>
  </header>
  <header guid="{66DE875A-45EF-4C57-AEBE-18C1A0279281}" dateTime="2020-05-08T13:53:22" maxSheetId="11" userName="GUP7HC" r:id="rId185" minRId="1822">
    <sheetIdMap count="10">
      <sheetId val="1"/>
      <sheetId val="2"/>
      <sheetId val="3"/>
      <sheetId val="4"/>
      <sheetId val="5"/>
      <sheetId val="6"/>
      <sheetId val="7"/>
      <sheetId val="8"/>
      <sheetId val="9"/>
      <sheetId val="10"/>
    </sheetIdMap>
  </header>
  <header guid="{E541E066-6667-48D1-9D5E-A43E1000F6A1}" dateTime="2020-05-08T13:55:47" maxSheetId="11" userName="GUP7HC" r:id="rId186" minRId="1823">
    <sheetIdMap count="10">
      <sheetId val="1"/>
      <sheetId val="2"/>
      <sheetId val="3"/>
      <sheetId val="4"/>
      <sheetId val="5"/>
      <sheetId val="6"/>
      <sheetId val="7"/>
      <sheetId val="8"/>
      <sheetId val="9"/>
      <sheetId val="10"/>
    </sheetIdMap>
  </header>
  <header guid="{DC28018B-E6BE-429A-95A6-27CB57B6A780}" dateTime="2020-05-08T14:06:38" maxSheetId="11" userName="EXTERNAL Nguyen Tai Hau (Ban Vien, RBVH/EPS45)" r:id="rId187" minRId="1824" maxRId="1835">
    <sheetIdMap count="10">
      <sheetId val="1"/>
      <sheetId val="2"/>
      <sheetId val="3"/>
      <sheetId val="4"/>
      <sheetId val="5"/>
      <sheetId val="6"/>
      <sheetId val="7"/>
      <sheetId val="8"/>
      <sheetId val="9"/>
      <sheetId val="10"/>
    </sheetIdMap>
  </header>
  <header guid="{D3C80857-AD85-4593-887B-33FF206290B4}" dateTime="2020-05-08T14:18:05" maxSheetId="11" userName="EXTERNAL Do Phu Loc (Ban Vien, RBVH/EPS45)" r:id="rId188" minRId="1838" maxRId="1850">
    <sheetIdMap count="10">
      <sheetId val="1"/>
      <sheetId val="2"/>
      <sheetId val="3"/>
      <sheetId val="4"/>
      <sheetId val="5"/>
      <sheetId val="6"/>
      <sheetId val="7"/>
      <sheetId val="8"/>
      <sheetId val="9"/>
      <sheetId val="10"/>
    </sheetIdMap>
  </header>
  <header guid="{F8F53FB2-7729-4706-8DC4-DF61D2C70261}" dateTime="2020-05-08T14:21:18" maxSheetId="11" userName="EXTERNAL Nguyen Tuan Duong (Ban Vien, RBVH/EPS45)" r:id="rId189" minRId="1853">
    <sheetIdMap count="10">
      <sheetId val="1"/>
      <sheetId val="2"/>
      <sheetId val="3"/>
      <sheetId val="4"/>
      <sheetId val="5"/>
      <sheetId val="6"/>
      <sheetId val="7"/>
      <sheetId val="8"/>
      <sheetId val="9"/>
      <sheetId val="10"/>
    </sheetIdMap>
  </header>
  <header guid="{D8E189D7-C70A-47AF-B49A-5A5C6669D43D}" dateTime="2020-05-08T14:37:00" maxSheetId="11" userName="EXTERNAL Luu Cong Dac (Ban Vien, RBVH/EPS45)" r:id="rId190" minRId="1856" maxRId="1897">
    <sheetIdMap count="10">
      <sheetId val="1"/>
      <sheetId val="2"/>
      <sheetId val="3"/>
      <sheetId val="4"/>
      <sheetId val="5"/>
      <sheetId val="6"/>
      <sheetId val="7"/>
      <sheetId val="8"/>
      <sheetId val="9"/>
      <sheetId val="10"/>
    </sheetIdMap>
  </header>
  <header guid="{910BB0CF-0441-4793-AC9F-8897A80013C2}" dateTime="2020-05-08T14:37:06" maxSheetId="11" userName="EXTERNAL Luu Cong Dac (Ban Vien, RBVH/EPS45)" r:id="rId191" minRId="1900" maxRId="1904">
    <sheetIdMap count="10">
      <sheetId val="1"/>
      <sheetId val="2"/>
      <sheetId val="3"/>
      <sheetId val="4"/>
      <sheetId val="5"/>
      <sheetId val="6"/>
      <sheetId val="7"/>
      <sheetId val="8"/>
      <sheetId val="9"/>
      <sheetId val="10"/>
    </sheetIdMap>
  </header>
  <header guid="{02B94064-D4AA-4AF9-AF6C-F38A5FEF2228}" dateTime="2020-05-08T14:38:15" maxSheetId="11" userName="GUP7HC" r:id="rId192" minRId="1905" maxRId="1914">
    <sheetIdMap count="10">
      <sheetId val="1"/>
      <sheetId val="2"/>
      <sheetId val="3"/>
      <sheetId val="4"/>
      <sheetId val="5"/>
      <sheetId val="6"/>
      <sheetId val="7"/>
      <sheetId val="8"/>
      <sheetId val="9"/>
      <sheetId val="10"/>
    </sheetIdMap>
  </header>
  <header guid="{5E19B1E3-D4AB-4017-8EFF-1E7A3595D311}" dateTime="2020-05-08T14:50:34" maxSheetId="11" userName="EXTERNAL Nguyen Trung Hieu (Ban Vien, RBVH/EPS45)" r:id="rId193" minRId="1917" maxRId="1946">
    <sheetIdMap count="10">
      <sheetId val="1"/>
      <sheetId val="2"/>
      <sheetId val="3"/>
      <sheetId val="4"/>
      <sheetId val="5"/>
      <sheetId val="6"/>
      <sheetId val="7"/>
      <sheetId val="8"/>
      <sheetId val="9"/>
      <sheetId val="10"/>
    </sheetIdMap>
  </header>
  <header guid="{35817464-6B02-4786-ABE6-DC0B89950659}" dateTime="2020-05-08T14:50:40" maxSheetId="11" userName="EXTERNAL Nguyen Trung Hieu (Ban Vien, RBVH/EPS45)" r:id="rId194">
    <sheetIdMap count="10">
      <sheetId val="1"/>
      <sheetId val="2"/>
      <sheetId val="3"/>
      <sheetId val="4"/>
      <sheetId val="5"/>
      <sheetId val="6"/>
      <sheetId val="7"/>
      <sheetId val="8"/>
      <sheetId val="9"/>
      <sheetId val="10"/>
    </sheetIdMap>
  </header>
  <header guid="{1E23B296-76F8-4607-B52A-DCF9E0A50A80}" dateTime="2020-05-08T14:56:20" maxSheetId="11" userName="EXTERNAL Do Anh Huy (Ban Vien Company, RBVH/EPS45)" r:id="rId195" minRId="1951" maxRId="1983">
    <sheetIdMap count="10">
      <sheetId val="1"/>
      <sheetId val="2"/>
      <sheetId val="3"/>
      <sheetId val="4"/>
      <sheetId val="5"/>
      <sheetId val="6"/>
      <sheetId val="7"/>
      <sheetId val="8"/>
      <sheetId val="9"/>
      <sheetId val="10"/>
    </sheetIdMap>
  </header>
  <header guid="{E65C9BDF-C976-4319-B6AD-EA214C6377A2}" dateTime="2020-05-08T14:56:34" maxSheetId="11" userName="EXTERNAL Do Anh Huy (Ban Vien Company, RBVH/EPS45)" r:id="rId196">
    <sheetIdMap count="10">
      <sheetId val="1"/>
      <sheetId val="2"/>
      <sheetId val="3"/>
      <sheetId val="4"/>
      <sheetId val="5"/>
      <sheetId val="6"/>
      <sheetId val="7"/>
      <sheetId val="8"/>
      <sheetId val="9"/>
      <sheetId val="10"/>
    </sheetIdMap>
  </header>
  <header guid="{DF113ADC-5453-4ED8-A9A8-2076756BE797}" dateTime="2020-05-08T15:01:17" maxSheetId="11" userName="EXTERNAL Nguyen Tuan Duong (Ban Vien, RBVH/EPS45)" r:id="rId197" minRId="1988" maxRId="1999">
    <sheetIdMap count="10">
      <sheetId val="1"/>
      <sheetId val="2"/>
      <sheetId val="3"/>
      <sheetId val="4"/>
      <sheetId val="5"/>
      <sheetId val="6"/>
      <sheetId val="7"/>
      <sheetId val="8"/>
      <sheetId val="9"/>
      <sheetId val="10"/>
    </sheetIdMap>
  </header>
  <header guid="{8B6AE052-0FA9-4B87-AB59-0AC16A543669}" dateTime="2020-05-08T15:05:15" maxSheetId="11" userName="EXTERNAL Do Phu Loc (Ban Vien, RBVH/EPS45)" r:id="rId198">
    <sheetIdMap count="10">
      <sheetId val="1"/>
      <sheetId val="2"/>
      <sheetId val="3"/>
      <sheetId val="4"/>
      <sheetId val="5"/>
      <sheetId val="6"/>
      <sheetId val="7"/>
      <sheetId val="8"/>
      <sheetId val="9"/>
      <sheetId val="10"/>
    </sheetIdMap>
  </header>
  <header guid="{18F249C7-9968-4730-8298-764A0E8F5D23}" dateTime="2020-05-08T15:05:38" maxSheetId="11" userName="EXTERNAL Do Phu Loc (Ban Vien, RBVH/EPS45)" r:id="rId199" minRId="2002" maxRId="2014">
    <sheetIdMap count="10">
      <sheetId val="1"/>
      <sheetId val="2"/>
      <sheetId val="3"/>
      <sheetId val="4"/>
      <sheetId val="5"/>
      <sheetId val="6"/>
      <sheetId val="7"/>
      <sheetId val="8"/>
      <sheetId val="9"/>
      <sheetId val="10"/>
    </sheetIdMap>
  </header>
  <header guid="{01FC967F-EABA-4C8D-951B-08D82388ED69}" dateTime="2020-05-08T15:10:54" maxSheetId="11" userName="EXTERNAL Nguyen Tuan Duong (Ban Vien, RBVH/EPS45)" r:id="rId200" minRId="2017" maxRId="2029">
    <sheetIdMap count="10">
      <sheetId val="1"/>
      <sheetId val="2"/>
      <sheetId val="3"/>
      <sheetId val="4"/>
      <sheetId val="5"/>
      <sheetId val="6"/>
      <sheetId val="7"/>
      <sheetId val="8"/>
      <sheetId val="9"/>
      <sheetId val="10"/>
    </sheetIdMap>
  </header>
  <header guid="{CDC718B9-B986-466F-BF07-78AF1CC4D0BB}" dateTime="2020-05-08T15:11:40" maxSheetId="11" userName="EXTERNAL Nguyen Tuan Duong (Ban Vien, RBVH/EPS45)" r:id="rId201" minRId="2032">
    <sheetIdMap count="10">
      <sheetId val="1"/>
      <sheetId val="2"/>
      <sheetId val="3"/>
      <sheetId val="4"/>
      <sheetId val="5"/>
      <sheetId val="6"/>
      <sheetId val="7"/>
      <sheetId val="8"/>
      <sheetId val="9"/>
      <sheetId val="10"/>
    </sheetIdMap>
  </header>
  <header guid="{EB6CD3F3-5BD2-430D-98D7-F13D835BCB66}" dateTime="2020-05-08T15:17:16" maxSheetId="11" userName="GUP7HC" r:id="rId202" minRId="2035" maxRId="2044">
    <sheetIdMap count="10">
      <sheetId val="1"/>
      <sheetId val="2"/>
      <sheetId val="3"/>
      <sheetId val="4"/>
      <sheetId val="5"/>
      <sheetId val="6"/>
      <sheetId val="7"/>
      <sheetId val="8"/>
      <sheetId val="9"/>
      <sheetId val="10"/>
    </sheetIdMap>
  </header>
  <header guid="{04CA94BA-074F-41CD-B397-2E6D720B9CD7}" dateTime="2020-05-08T15:19:11" maxSheetId="11" userName="EXTERNAL Nguyen Trung Hieu (Ban Vien, RBVH/EPS45)" r:id="rId203" minRId="2047" maxRId="2094">
    <sheetIdMap count="10">
      <sheetId val="1"/>
      <sheetId val="2"/>
      <sheetId val="3"/>
      <sheetId val="4"/>
      <sheetId val="5"/>
      <sheetId val="6"/>
      <sheetId val="7"/>
      <sheetId val="8"/>
      <sheetId val="9"/>
      <sheetId val="10"/>
    </sheetIdMap>
  </header>
  <header guid="{3B04AF2B-7B77-407A-A789-CDA267C7ABAA}" dateTime="2020-05-08T15:19:35" maxSheetId="11" userName="EXTERNAL Nguyen Trung Hieu (Ban Vien, RBVH/EPS45)" r:id="rId204" minRId="2097" maxRId="2157">
    <sheetIdMap count="10">
      <sheetId val="1"/>
      <sheetId val="2"/>
      <sheetId val="3"/>
      <sheetId val="4"/>
      <sheetId val="5"/>
      <sheetId val="6"/>
      <sheetId val="7"/>
      <sheetId val="8"/>
      <sheetId val="9"/>
      <sheetId val="10"/>
    </sheetIdMap>
  </header>
  <header guid="{8ACCD07F-07AC-4EA9-A7B9-730AC89463DF}" dateTime="2020-05-08T15:21:19" maxSheetId="11" userName="EXTERNAL Nguyen Trung Hieu (Ban Vien, RBVH/EPS45)" r:id="rId205" minRId="2160" maxRId="2227">
    <sheetIdMap count="10">
      <sheetId val="1"/>
      <sheetId val="2"/>
      <sheetId val="3"/>
      <sheetId val="4"/>
      <sheetId val="5"/>
      <sheetId val="6"/>
      <sheetId val="7"/>
      <sheetId val="8"/>
      <sheetId val="9"/>
      <sheetId val="10"/>
    </sheetIdMap>
  </header>
  <header guid="{DB6F1477-6B6E-4488-838C-4AAC8B4E12F3}" dateTime="2020-05-08T15:23:43" maxSheetId="11" userName="EXTERNAL Nguyen Trung Hieu (Ban Vien, RBVH/EPS45)" r:id="rId206">
    <sheetIdMap count="10">
      <sheetId val="1"/>
      <sheetId val="2"/>
      <sheetId val="3"/>
      <sheetId val="4"/>
      <sheetId val="5"/>
      <sheetId val="6"/>
      <sheetId val="7"/>
      <sheetId val="8"/>
      <sheetId val="9"/>
      <sheetId val="10"/>
    </sheetIdMap>
  </header>
  <header guid="{44477F3C-7E93-4A33-8723-645F751A2617}" dateTime="2020-05-08T15:29:16" maxSheetId="11" userName="GUP7HC" r:id="rId207">
    <sheetIdMap count="10">
      <sheetId val="1"/>
      <sheetId val="2"/>
      <sheetId val="3"/>
      <sheetId val="4"/>
      <sheetId val="5"/>
      <sheetId val="6"/>
      <sheetId val="7"/>
      <sheetId val="8"/>
      <sheetId val="9"/>
      <sheetId val="10"/>
    </sheetIdMap>
  </header>
  <header guid="{F9F4A855-3208-4359-913A-5A94489FB526}" dateTime="2020-05-08T15:32:56" maxSheetId="11" userName="EXTERNAL Nguyen Tuan Duong (Ban Vien, RBVH/EPS45)" r:id="rId208" minRId="2232" maxRId="2278">
    <sheetIdMap count="10">
      <sheetId val="1"/>
      <sheetId val="2"/>
      <sheetId val="3"/>
      <sheetId val="4"/>
      <sheetId val="5"/>
      <sheetId val="6"/>
      <sheetId val="7"/>
      <sheetId val="8"/>
      <sheetId val="9"/>
      <sheetId val="10"/>
    </sheetIdMap>
  </header>
  <header guid="{2F5CE81E-BB0B-43B2-84CE-71178C929686}" dateTime="2020-05-08T15:33:11" maxSheetId="11" userName="GUP7HC" r:id="rId209">
    <sheetIdMap count="10">
      <sheetId val="1"/>
      <sheetId val="2"/>
      <sheetId val="3"/>
      <sheetId val="4"/>
      <sheetId val="5"/>
      <sheetId val="6"/>
      <sheetId val="7"/>
      <sheetId val="8"/>
      <sheetId val="9"/>
      <sheetId val="10"/>
    </sheetIdMap>
  </header>
  <header guid="{12A1676D-3F99-48CB-8EA1-F18D45018D0A}" dateTime="2020-05-08T15:35:29" maxSheetId="11" userName="EXTERNAL Do Phu Loc (Ban Vien, RBVH/EPS45)" r:id="rId210" minRId="2283" maxRId="2295">
    <sheetIdMap count="10">
      <sheetId val="1"/>
      <sheetId val="2"/>
      <sheetId val="3"/>
      <sheetId val="4"/>
      <sheetId val="5"/>
      <sheetId val="6"/>
      <sheetId val="7"/>
      <sheetId val="8"/>
      <sheetId val="9"/>
      <sheetId val="10"/>
    </sheetIdMap>
  </header>
  <header guid="{97D406F0-6277-40E1-9531-6B1A63589C02}" dateTime="2020-05-08T15:42:40" maxSheetId="11" userName="EXTERNAL Nguyen Tuan Duong (Ban Vien, RBVH/EPS45)" r:id="rId211" minRId="2298" maxRId="2305">
    <sheetIdMap count="10">
      <sheetId val="1"/>
      <sheetId val="2"/>
      <sheetId val="3"/>
      <sheetId val="4"/>
      <sheetId val="5"/>
      <sheetId val="6"/>
      <sheetId val="7"/>
      <sheetId val="8"/>
      <sheetId val="9"/>
      <sheetId val="10"/>
    </sheetIdMap>
  </header>
  <header guid="{DB3C0B49-7FA5-448F-930F-B31B481D9633}" dateTime="2020-05-08T15:44:25" maxSheetId="11" userName="EXTERNAL Nguyen Tuan Duong (Ban Vien, RBVH/EPS45)" r:id="rId212" minRId="2308" maxRId="2314">
    <sheetIdMap count="10">
      <sheetId val="1"/>
      <sheetId val="2"/>
      <sheetId val="3"/>
      <sheetId val="4"/>
      <sheetId val="5"/>
      <sheetId val="6"/>
      <sheetId val="7"/>
      <sheetId val="8"/>
      <sheetId val="9"/>
      <sheetId val="10"/>
    </sheetIdMap>
  </header>
  <header guid="{A855453D-714F-42C3-91FD-FC23B4D2476A}" dateTime="2020-05-08T15:45:30" maxSheetId="11" userName="GUP7HC" r:id="rId213">
    <sheetIdMap count="10">
      <sheetId val="1"/>
      <sheetId val="2"/>
      <sheetId val="3"/>
      <sheetId val="4"/>
      <sheetId val="5"/>
      <sheetId val="6"/>
      <sheetId val="7"/>
      <sheetId val="8"/>
      <sheetId val="9"/>
      <sheetId val="10"/>
    </sheetIdMap>
  </header>
  <header guid="{7690F829-A413-43DF-9B8A-A898EB8FCC29}" dateTime="2020-05-08T15:45:37" maxSheetId="11" userName="EXTERNAL Nguyen Tuan Duong (Ban Vien, RBVH/EPS45)" r:id="rId214" minRId="2319" maxRId="2320">
    <sheetIdMap count="10">
      <sheetId val="1"/>
      <sheetId val="2"/>
      <sheetId val="3"/>
      <sheetId val="4"/>
      <sheetId val="5"/>
      <sheetId val="6"/>
      <sheetId val="7"/>
      <sheetId val="8"/>
      <sheetId val="9"/>
      <sheetId val="10"/>
    </sheetIdMap>
  </header>
  <header guid="{80980B1A-AA06-4F58-A117-B1B32C7C5C48}" dateTime="2020-05-08T15:49:09" maxSheetId="11" userName="EXTERNAL Nguyen Tuan Duong (Ban Vien, RBVH/EPS45)" r:id="rId215" minRId="2323" maxRId="2333">
    <sheetIdMap count="10">
      <sheetId val="1"/>
      <sheetId val="2"/>
      <sheetId val="3"/>
      <sheetId val="4"/>
      <sheetId val="5"/>
      <sheetId val="6"/>
      <sheetId val="7"/>
      <sheetId val="8"/>
      <sheetId val="9"/>
      <sheetId val="10"/>
    </sheetIdMap>
  </header>
  <header guid="{52598E41-62C8-484B-ADBC-A65BD0580F6E}" dateTime="2020-05-08T15:52:46" maxSheetId="11" userName="EXTERNAL Do Phu Loc (Ban Vien, RBVH/EPS45)" r:id="rId216" minRId="2336">
    <sheetIdMap count="10">
      <sheetId val="1"/>
      <sheetId val="2"/>
      <sheetId val="3"/>
      <sheetId val="4"/>
      <sheetId val="5"/>
      <sheetId val="6"/>
      <sheetId val="7"/>
      <sheetId val="8"/>
      <sheetId val="9"/>
      <sheetId val="10"/>
    </sheetIdMap>
  </header>
  <header guid="{EA9A807E-22FA-429F-A280-AB851D289E86}" dateTime="2020-05-08T15:52:56" maxSheetId="11" userName="EXTERNAL Do Phu Loc (Ban Vien, RBVH/EPS45)" r:id="rId217">
    <sheetIdMap count="10">
      <sheetId val="1"/>
      <sheetId val="2"/>
      <sheetId val="3"/>
      <sheetId val="4"/>
      <sheetId val="5"/>
      <sheetId val="6"/>
      <sheetId val="7"/>
      <sheetId val="8"/>
      <sheetId val="9"/>
      <sheetId val="10"/>
    </sheetIdMap>
  </header>
  <header guid="{E970A557-7431-4F6B-974E-AB2AF81B44D9}" dateTime="2020-05-08T15:53:51" maxSheetId="11" userName="EXTERNAL Do Phu Loc (Ban Vien, RBVH/EPS45)" r:id="rId218">
    <sheetIdMap count="10">
      <sheetId val="1"/>
      <sheetId val="2"/>
      <sheetId val="3"/>
      <sheetId val="4"/>
      <sheetId val="5"/>
      <sheetId val="6"/>
      <sheetId val="7"/>
      <sheetId val="8"/>
      <sheetId val="9"/>
      <sheetId val="10"/>
    </sheetIdMap>
  </header>
  <header guid="{889AB8F9-E2E0-4202-8166-B87DB5CE5680}" dateTime="2020-05-08T16:07:30" maxSheetId="11" userName="EXTERNAL Nguyen Trung Hieu (Ban Vien, RBVH/EPS45)" r:id="rId219" minRId="2343">
    <sheetIdMap count="10">
      <sheetId val="1"/>
      <sheetId val="2"/>
      <sheetId val="3"/>
      <sheetId val="4"/>
      <sheetId val="5"/>
      <sheetId val="6"/>
      <sheetId val="7"/>
      <sheetId val="8"/>
      <sheetId val="9"/>
      <sheetId val="10"/>
    </sheetIdMap>
  </header>
  <header guid="{135D03B3-85E6-434C-8251-A516D55EDA76}" dateTime="2020-05-08T16:07:39" maxSheetId="11" userName="EXTERNAL Nguyen Tuan Duong (Ban Vien, RBVH/EPS45)" r:id="rId220" minRId="2346" maxRId="2350">
    <sheetIdMap count="10">
      <sheetId val="1"/>
      <sheetId val="2"/>
      <sheetId val="3"/>
      <sheetId val="4"/>
      <sheetId val="5"/>
      <sheetId val="6"/>
      <sheetId val="7"/>
      <sheetId val="8"/>
      <sheetId val="9"/>
      <sheetId val="10"/>
    </sheetIdMap>
  </header>
  <header guid="{E5C7BAAB-A33E-440A-B9AE-716FF2D8FE40}" dateTime="2020-05-08T16:07:48" maxSheetId="11" userName="EXTERNAL Nguyen Tuan Duong (Ban Vien, RBVH/EPS45)" r:id="rId221">
    <sheetIdMap count="10">
      <sheetId val="1"/>
      <sheetId val="2"/>
      <sheetId val="3"/>
      <sheetId val="4"/>
      <sheetId val="5"/>
      <sheetId val="6"/>
      <sheetId val="7"/>
      <sheetId val="8"/>
      <sheetId val="9"/>
      <sheetId val="10"/>
    </sheetIdMap>
  </header>
  <header guid="{FA785A29-88E5-4BB5-9E57-76878EAAF973}" dateTime="2020-05-08T16:07:55" maxSheetId="11" userName="EXTERNAL Nguyen Tuan Duong (Ban Vien, RBVH/EPS45)" r:id="rId222">
    <sheetIdMap count="10">
      <sheetId val="1"/>
      <sheetId val="2"/>
      <sheetId val="3"/>
      <sheetId val="4"/>
      <sheetId val="5"/>
      <sheetId val="6"/>
      <sheetId val="7"/>
      <sheetId val="8"/>
      <sheetId val="9"/>
      <sheetId val="10"/>
    </sheetIdMap>
  </header>
  <header guid="{E3A1A1F6-EBA4-41F1-AF56-4D33E77CDF18}" dateTime="2020-05-08T16:08:32" maxSheetId="11" userName="EXTERNAL Nguyen Tuan Duong (Ban Vien, RBVH/EPS45)" r:id="rId223" minRId="2353" maxRId="2412">
    <sheetIdMap count="10">
      <sheetId val="1"/>
      <sheetId val="2"/>
      <sheetId val="3"/>
      <sheetId val="4"/>
      <sheetId val="5"/>
      <sheetId val="6"/>
      <sheetId val="7"/>
      <sheetId val="8"/>
      <sheetId val="9"/>
      <sheetId val="10"/>
    </sheetIdMap>
  </header>
  <header guid="{32923290-3355-46A3-AB7A-A94BA0923DC7}" dateTime="2020-05-08T16:17:02" maxSheetId="11" userName="EXTERNAL Nguyen Trung Hieu (Ban Vien, RBVH/EPS45)" r:id="rId224" minRId="2415" maxRId="2418">
    <sheetIdMap count="10">
      <sheetId val="1"/>
      <sheetId val="2"/>
      <sheetId val="3"/>
      <sheetId val="4"/>
      <sheetId val="5"/>
      <sheetId val="6"/>
      <sheetId val="7"/>
      <sheetId val="8"/>
      <sheetId val="9"/>
      <sheetId val="10"/>
    </sheetIdMap>
  </header>
  <header guid="{6DBA2169-4F60-43D3-BA84-0A4ACF2F3C55}" dateTime="2020-05-08T16:17:21" maxSheetId="11" userName="EXTERNAL Nguyen Trung Hieu (Ban Vien, RBVH/EPS45)" r:id="rId225" minRId="2421">
    <sheetIdMap count="10">
      <sheetId val="1"/>
      <sheetId val="2"/>
      <sheetId val="3"/>
      <sheetId val="4"/>
      <sheetId val="5"/>
      <sheetId val="6"/>
      <sheetId val="7"/>
      <sheetId val="8"/>
      <sheetId val="9"/>
      <sheetId val="10"/>
    </sheetIdMap>
  </header>
  <header guid="{A7914849-7CBB-41BF-9E12-AEFA652005F1}" dateTime="2020-05-08T16:17:34" maxSheetId="11" userName="EXTERNAL Nguyen Trung Hieu (Ban Vien, RBVH/EPS45)" r:id="rId226" minRId="2424">
    <sheetIdMap count="10">
      <sheetId val="1"/>
      <sheetId val="2"/>
      <sheetId val="3"/>
      <sheetId val="4"/>
      <sheetId val="5"/>
      <sheetId val="6"/>
      <sheetId val="7"/>
      <sheetId val="8"/>
      <sheetId val="9"/>
      <sheetId val="10"/>
    </sheetIdMap>
  </header>
  <header guid="{575E3040-5FC0-4F3B-8240-60CF10794653}" dateTime="2020-05-08T16:18:41" maxSheetId="11" userName="EXTERNAL Nguyen Trung Hieu (Ban Vien, RBVH/EPS45)" r:id="rId227" minRId="2427">
    <sheetIdMap count="10">
      <sheetId val="1"/>
      <sheetId val="2"/>
      <sheetId val="3"/>
      <sheetId val="4"/>
      <sheetId val="5"/>
      <sheetId val="6"/>
      <sheetId val="7"/>
      <sheetId val="8"/>
      <sheetId val="9"/>
      <sheetId val="10"/>
    </sheetIdMap>
  </header>
  <header guid="{A2BA3011-B426-462B-8029-7987058D8972}" dateTime="2020-05-08T16:18:44" maxSheetId="11" userName="EXTERNAL Nguyen Trung Hieu (Ban Vien, RBVH/EPS45)" r:id="rId228" minRId="2430">
    <sheetIdMap count="10">
      <sheetId val="1"/>
      <sheetId val="2"/>
      <sheetId val="3"/>
      <sheetId val="4"/>
      <sheetId val="5"/>
      <sheetId val="6"/>
      <sheetId val="7"/>
      <sheetId val="8"/>
      <sheetId val="9"/>
      <sheetId val="10"/>
    </sheetIdMap>
  </header>
  <header guid="{73BA986A-28F6-40F8-8289-04B00BA117DF}" dateTime="2020-05-08T16:18:51" maxSheetId="11" userName="EXTERNAL Nguyen Trung Hieu (Ban Vien, RBVH/EPS45)" r:id="rId229">
    <sheetIdMap count="10">
      <sheetId val="1"/>
      <sheetId val="2"/>
      <sheetId val="3"/>
      <sheetId val="4"/>
      <sheetId val="5"/>
      <sheetId val="6"/>
      <sheetId val="7"/>
      <sheetId val="8"/>
      <sheetId val="9"/>
      <sheetId val="10"/>
    </sheetIdMap>
  </header>
  <header guid="{1E2B3DBE-A914-432A-94D7-B01CF55F4C65}" dateTime="2020-05-08T16:20:43" maxSheetId="11" userName="EXTERNAL Nguyen Tuan Duong (Ban Vien, RBVH/EPS45)" r:id="rId230" minRId="2435" maxRId="2447">
    <sheetIdMap count="10">
      <sheetId val="1"/>
      <sheetId val="2"/>
      <sheetId val="3"/>
      <sheetId val="4"/>
      <sheetId val="5"/>
      <sheetId val="6"/>
      <sheetId val="7"/>
      <sheetId val="8"/>
      <sheetId val="9"/>
      <sheetId val="10"/>
    </sheetIdMap>
  </header>
  <header guid="{91A9A95B-66CA-4B2D-BC89-7556021FE37B}" dateTime="2020-05-08T16:21:09" maxSheetId="11" userName="EXTERNAL Nguyen Trung Hieu (Ban Vien, RBVH/EPS45)" r:id="rId231" minRId="2450" maxRId="2452">
    <sheetIdMap count="10">
      <sheetId val="1"/>
      <sheetId val="2"/>
      <sheetId val="3"/>
      <sheetId val="4"/>
      <sheetId val="5"/>
      <sheetId val="6"/>
      <sheetId val="7"/>
      <sheetId val="8"/>
      <sheetId val="9"/>
      <sheetId val="10"/>
    </sheetIdMap>
  </header>
  <header guid="{F3EE9595-E80A-4BFC-8304-F235BDF43598}" dateTime="2020-05-08T16:21:12" maxSheetId="11" userName="EXTERNAL Nguyen Trung Hieu (Ban Vien, RBVH/EPS45)" r:id="rId232">
    <sheetIdMap count="10">
      <sheetId val="1"/>
      <sheetId val="2"/>
      <sheetId val="3"/>
      <sheetId val="4"/>
      <sheetId val="5"/>
      <sheetId val="6"/>
      <sheetId val="7"/>
      <sheetId val="8"/>
      <sheetId val="9"/>
      <sheetId val="10"/>
    </sheetIdMap>
  </header>
  <header guid="{E9744633-49C2-41AD-8608-5BDA1BF49717}" dateTime="2020-05-08T16:36:36" maxSheetId="11" userName="EXTERNAL Nguyen Trung Hieu (Ban Vien, RBVH/EPS45)" r:id="rId233" minRId="2457">
    <sheetIdMap count="10">
      <sheetId val="1"/>
      <sheetId val="2"/>
      <sheetId val="3"/>
      <sheetId val="4"/>
      <sheetId val="5"/>
      <sheetId val="6"/>
      <sheetId val="7"/>
      <sheetId val="8"/>
      <sheetId val="9"/>
      <sheetId val="10"/>
    </sheetIdMap>
  </header>
  <header guid="{E29A7EB0-A12D-44B9-8647-8B4D7AB5C17A}" dateTime="2020-05-08T16:36:43" maxSheetId="11" userName="EXTERNAL Nguyen Trung Hieu (Ban Vien, RBVH/EPS45)" r:id="rId234" minRId="2460">
    <sheetIdMap count="10">
      <sheetId val="1"/>
      <sheetId val="2"/>
      <sheetId val="3"/>
      <sheetId val="4"/>
      <sheetId val="5"/>
      <sheetId val="6"/>
      <sheetId val="7"/>
      <sheetId val="8"/>
      <sheetId val="9"/>
      <sheetId val="10"/>
    </sheetIdMap>
  </header>
  <header guid="{12926B97-57E4-47F4-8B30-28D4267B203A}" dateTime="2020-05-08T16:37:28" maxSheetId="11" userName="EXTERNAL Nguyen Trung Hieu (Ban Vien, RBVH/EPS45)" r:id="rId235" minRId="2463">
    <sheetIdMap count="10">
      <sheetId val="1"/>
      <sheetId val="2"/>
      <sheetId val="3"/>
      <sheetId val="4"/>
      <sheetId val="5"/>
      <sheetId val="6"/>
      <sheetId val="7"/>
      <sheetId val="8"/>
      <sheetId val="9"/>
      <sheetId val="10"/>
    </sheetIdMap>
  </header>
  <header guid="{AA908E34-DEA4-4CB2-AD18-341A69448832}" dateTime="2020-05-08T16:41:13" maxSheetId="11" userName="EXTERNAL Nguyen Trung Hieu (Ban Vien, RBVH/EPS45)" r:id="rId236">
    <sheetIdMap count="10">
      <sheetId val="1"/>
      <sheetId val="2"/>
      <sheetId val="3"/>
      <sheetId val="4"/>
      <sheetId val="5"/>
      <sheetId val="6"/>
      <sheetId val="7"/>
      <sheetId val="8"/>
      <sheetId val="9"/>
      <sheetId val="10"/>
    </sheetIdMap>
  </header>
  <header guid="{BA9A2A28-68F2-433F-8A72-8FF6E74BCC48}" dateTime="2020-05-08T18:14:59" maxSheetId="11" userName="EXTERNAL Nguyen Trung Hieu (Ban Vien, RBVH/EPS45)" r:id="rId237" minRId="2468">
    <sheetIdMap count="10">
      <sheetId val="1"/>
      <sheetId val="2"/>
      <sheetId val="3"/>
      <sheetId val="4"/>
      <sheetId val="5"/>
      <sheetId val="6"/>
      <sheetId val="7"/>
      <sheetId val="8"/>
      <sheetId val="9"/>
      <sheetId val="10"/>
    </sheetIdMap>
  </header>
  <header guid="{C0017273-5C20-4971-83C4-D6C98B48BB30}" dateTime="2020-05-08T18:47:24" maxSheetId="11" userName="EXTERNAL Nguyen Trung Hieu (Ban Vien, RBVH/EPS45)" r:id="rId238" minRId="2469">
    <sheetIdMap count="10">
      <sheetId val="1"/>
      <sheetId val="2"/>
      <sheetId val="3"/>
      <sheetId val="4"/>
      <sheetId val="5"/>
      <sheetId val="6"/>
      <sheetId val="7"/>
      <sheetId val="8"/>
      <sheetId val="9"/>
      <sheetId val="10"/>
    </sheetIdMap>
  </header>
  <header guid="{E3CEE0FE-9441-44F3-8DA5-49FF1E88A25B}" dateTime="2020-05-08T18:47:26" maxSheetId="11" userName="EXTERNAL Nguyen Trung Hieu (Ban Vien, RBVH/EPS45)" r:id="rId239" minRId="2472">
    <sheetIdMap count="10">
      <sheetId val="1"/>
      <sheetId val="2"/>
      <sheetId val="3"/>
      <sheetId val="4"/>
      <sheetId val="5"/>
      <sheetId val="6"/>
      <sheetId val="7"/>
      <sheetId val="8"/>
      <sheetId val="9"/>
      <sheetId val="10"/>
    </sheetIdMap>
  </header>
  <header guid="{69B86C1C-DB00-41B0-86E3-BD0F170B8B61}" dateTime="2020-05-11T09:39:39" maxSheetId="11" userName="EXTERNAL Ly Chung (Ban Vien, RBVH/EPS45)" r:id="rId240" minRId="2475">
    <sheetIdMap count="10">
      <sheetId val="1"/>
      <sheetId val="2"/>
      <sheetId val="3"/>
      <sheetId val="4"/>
      <sheetId val="5"/>
      <sheetId val="6"/>
      <sheetId val="7"/>
      <sheetId val="8"/>
      <sheetId val="9"/>
      <sheetId val="10"/>
    </sheetIdMap>
  </header>
  <header guid="{7EC6A811-3FF6-4EB0-9E35-193E527AFE37}" dateTime="2020-05-11T09:40:36" maxSheetId="11" userName="GUP7HC" r:id="rId241" minRId="2478" maxRId="2479">
    <sheetIdMap count="10">
      <sheetId val="1"/>
      <sheetId val="2"/>
      <sheetId val="3"/>
      <sheetId val="4"/>
      <sheetId val="5"/>
      <sheetId val="6"/>
      <sheetId val="7"/>
      <sheetId val="8"/>
      <sheetId val="9"/>
      <sheetId val="10"/>
    </sheetIdMap>
  </header>
  <header guid="{3217AB03-5853-4156-95EB-8D83F8636973}" dateTime="2020-05-11T10:00:07" maxSheetId="11" userName="EXTERNAL Nguyen Tai Hau (Ban Vien, RBVH/EPS45)" r:id="rId242" minRId="2482" maxRId="2483">
    <sheetIdMap count="10">
      <sheetId val="1"/>
      <sheetId val="2"/>
      <sheetId val="3"/>
      <sheetId val="4"/>
      <sheetId val="5"/>
      <sheetId val="6"/>
      <sheetId val="7"/>
      <sheetId val="8"/>
      <sheetId val="9"/>
      <sheetId val="10"/>
    </sheetIdMap>
  </header>
  <header guid="{11AD05A1-385D-4E7B-A7F7-370F65C9B670}" dateTime="2020-05-11T10:25:06" maxSheetId="11" userName="GUP7HC" r:id="rId243">
    <sheetIdMap count="10">
      <sheetId val="1"/>
      <sheetId val="2"/>
      <sheetId val="3"/>
      <sheetId val="4"/>
      <sheetId val="5"/>
      <sheetId val="6"/>
      <sheetId val="7"/>
      <sheetId val="8"/>
      <sheetId val="9"/>
      <sheetId val="10"/>
    </sheetIdMap>
  </header>
  <header guid="{EDE77ED3-BF48-4BC4-B275-138C61BFAFDE}" dateTime="2020-05-11T10:26:39" maxSheetId="11" userName="EXTERNAL Nguyen Kim Thanh (Ban Vien, RBVH/EPS45)" r:id="rId244" minRId="2488" maxRId="2489">
    <sheetIdMap count="10">
      <sheetId val="1"/>
      <sheetId val="2"/>
      <sheetId val="3"/>
      <sheetId val="4"/>
      <sheetId val="5"/>
      <sheetId val="6"/>
      <sheetId val="7"/>
      <sheetId val="8"/>
      <sheetId val="9"/>
      <sheetId val="10"/>
    </sheetIdMap>
  </header>
  <header guid="{EA84DCC4-6BDC-4283-B4D2-DB0ED795A52A}" dateTime="2020-05-11T10:28:46" maxSheetId="11" userName="EXTERNAL Nguyen Trung Hieu (Ban Vien, RBVH/EPS45)" r:id="rId245" minRId="2490" maxRId="2529">
    <sheetIdMap count="10">
      <sheetId val="1"/>
      <sheetId val="2"/>
      <sheetId val="3"/>
      <sheetId val="4"/>
      <sheetId val="5"/>
      <sheetId val="6"/>
      <sheetId val="7"/>
      <sheetId val="8"/>
      <sheetId val="9"/>
      <sheetId val="10"/>
    </sheetIdMap>
  </header>
  <header guid="{11630B4E-1DDA-4EFD-942D-820CF2DFF218}" dateTime="2020-05-11T10:30:35" maxSheetId="11" userName="EXTERNAL Nguyen Trung Hieu (Ban Vien, RBVH/EPS45)" r:id="rId246" minRId="2532" maxRId="2545">
    <sheetIdMap count="10">
      <sheetId val="1"/>
      <sheetId val="2"/>
      <sheetId val="3"/>
      <sheetId val="4"/>
      <sheetId val="5"/>
      <sheetId val="6"/>
      <sheetId val="7"/>
      <sheetId val="8"/>
      <sheetId val="9"/>
      <sheetId val="10"/>
    </sheetIdMap>
  </header>
  <header guid="{066FA9A2-92C0-4E86-8319-5DDBD5C17DCE}" dateTime="2020-05-11T10:34:09" maxSheetId="11" userName="EXTERNAL Nguyen Trung Hieu (Ban Vien, RBVH/EPS45)" r:id="rId247">
    <sheetIdMap count="10">
      <sheetId val="1"/>
      <sheetId val="2"/>
      <sheetId val="3"/>
      <sheetId val="4"/>
      <sheetId val="5"/>
      <sheetId val="6"/>
      <sheetId val="7"/>
      <sheetId val="8"/>
      <sheetId val="9"/>
      <sheetId val="10"/>
    </sheetIdMap>
  </header>
  <header guid="{FA650BC2-116D-4BE8-B9B7-5CCCBDF58C4B}" dateTime="2020-05-11T10:37:25" maxSheetId="11" userName="EXTERNAL Nguyen Trung Hieu (Ban Vien, RBVH/EPS45)" r:id="rId248" minRId="2550" maxRId="2552">
    <sheetIdMap count="10">
      <sheetId val="1"/>
      <sheetId val="2"/>
      <sheetId val="3"/>
      <sheetId val="4"/>
      <sheetId val="5"/>
      <sheetId val="6"/>
      <sheetId val="7"/>
      <sheetId val="8"/>
      <sheetId val="9"/>
      <sheetId val="10"/>
    </sheetIdMap>
  </header>
  <header guid="{503CF621-CF5A-4410-AF28-0B823AD3A520}" dateTime="2020-05-11T10:37:41" maxSheetId="11" userName="EXTERNAL Nguyen Trung Hieu (Ban Vien, RBVH/EPS45)" r:id="rId249" minRId="2553">
    <sheetIdMap count="10">
      <sheetId val="1"/>
      <sheetId val="2"/>
      <sheetId val="3"/>
      <sheetId val="4"/>
      <sheetId val="5"/>
      <sheetId val="6"/>
      <sheetId val="7"/>
      <sheetId val="8"/>
      <sheetId val="9"/>
      <sheetId val="10"/>
    </sheetIdMap>
  </header>
  <header guid="{90AD834A-D6D4-4D8B-9691-43DAC2DF1471}" dateTime="2020-05-11T10:37:44" maxSheetId="11" userName="EXTERNAL Nguyen Trung Hieu (Ban Vien, RBVH/EPS45)" r:id="rId250">
    <sheetIdMap count="10">
      <sheetId val="1"/>
      <sheetId val="2"/>
      <sheetId val="3"/>
      <sheetId val="4"/>
      <sheetId val="5"/>
      <sheetId val="6"/>
      <sheetId val="7"/>
      <sheetId val="8"/>
      <sheetId val="9"/>
      <sheetId val="10"/>
    </sheetIdMap>
  </header>
  <header guid="{46A16040-21AA-4A43-8C78-074618B46081}" dateTime="2020-05-11T11:36:44" maxSheetId="11" userName="GUP7HC" r:id="rId251" minRId="2554" maxRId="2558">
    <sheetIdMap count="10">
      <sheetId val="1"/>
      <sheetId val="2"/>
      <sheetId val="3"/>
      <sheetId val="4"/>
      <sheetId val="5"/>
      <sheetId val="6"/>
      <sheetId val="7"/>
      <sheetId val="8"/>
      <sheetId val="9"/>
      <sheetId val="10"/>
    </sheetIdMap>
  </header>
  <header guid="{EF026A60-B08C-4769-B6FE-5E600FEB27F0}" dateTime="2020-05-11T11:41:39" maxSheetId="11" userName="EXTERNAL Nguyen Tai Hau (Ban Vien, RBVH/EPS45)" r:id="rId252">
    <sheetIdMap count="10">
      <sheetId val="1"/>
      <sheetId val="2"/>
      <sheetId val="3"/>
      <sheetId val="4"/>
      <sheetId val="5"/>
      <sheetId val="6"/>
      <sheetId val="7"/>
      <sheetId val="8"/>
      <sheetId val="9"/>
      <sheetId val="10"/>
    </sheetIdMap>
  </header>
  <header guid="{BA658D9B-995E-41D3-8712-C6126EDCFF50}" dateTime="2020-05-11T12:00:58" maxSheetId="11" userName="GUP7HC" r:id="rId253">
    <sheetIdMap count="10">
      <sheetId val="1"/>
      <sheetId val="2"/>
      <sheetId val="3"/>
      <sheetId val="4"/>
      <sheetId val="5"/>
      <sheetId val="6"/>
      <sheetId val="7"/>
      <sheetId val="8"/>
      <sheetId val="9"/>
      <sheetId val="10"/>
    </sheetIdMap>
  </header>
  <header guid="{3A27AB45-00EA-42F5-A6A8-8329C86537E8}" dateTime="2020-05-11T12:03:32" maxSheetId="11" userName="EXTERNAL Do Phu Loc (Ban Vien, RBVH/EPS45)" r:id="rId254" minRId="2565">
    <sheetIdMap count="10">
      <sheetId val="1"/>
      <sheetId val="2"/>
      <sheetId val="3"/>
      <sheetId val="4"/>
      <sheetId val="5"/>
      <sheetId val="6"/>
      <sheetId val="7"/>
      <sheetId val="8"/>
      <sheetId val="9"/>
      <sheetId val="10"/>
    </sheetIdMap>
  </header>
  <header guid="{7000098B-D54A-492B-B379-C324F76B6428}" dateTime="2020-05-11T13:07:28" maxSheetId="11" userName="GUP7HC" r:id="rId255">
    <sheetIdMap count="10">
      <sheetId val="1"/>
      <sheetId val="2"/>
      <sheetId val="3"/>
      <sheetId val="4"/>
      <sheetId val="5"/>
      <sheetId val="6"/>
      <sheetId val="7"/>
      <sheetId val="8"/>
      <sheetId val="9"/>
      <sheetId val="10"/>
    </sheetIdMap>
  </header>
  <header guid="{CF9CCF55-E6A8-44A0-BD0A-5DE68DE07884}" dateTime="2020-05-11T13:26:45" maxSheetId="11" userName="EXTERNAL Do Phu Loc (Ban Vien, RBVH/EPS45)" r:id="rId256">
    <sheetIdMap count="10">
      <sheetId val="1"/>
      <sheetId val="2"/>
      <sheetId val="3"/>
      <sheetId val="4"/>
      <sheetId val="5"/>
      <sheetId val="6"/>
      <sheetId val="7"/>
      <sheetId val="8"/>
      <sheetId val="9"/>
      <sheetId val="10"/>
    </sheetIdMap>
  </header>
  <header guid="{95A3FA00-F881-4579-81FA-5E95CC3E4664}" dateTime="2020-05-11T13:30:57" maxSheetId="11" userName="GUP7HC" r:id="rId257">
    <sheetIdMap count="10">
      <sheetId val="1"/>
      <sheetId val="2"/>
      <sheetId val="3"/>
      <sheetId val="4"/>
      <sheetId val="5"/>
      <sheetId val="6"/>
      <sheetId val="7"/>
      <sheetId val="8"/>
      <sheetId val="9"/>
      <sheetId val="10"/>
    </sheetIdMap>
  </header>
  <header guid="{0CE37CFB-43AD-4D74-BAE4-011ACBFB9BD4}" dateTime="2020-05-11T13:36:50" maxSheetId="11" userName="GUP7HC" r:id="rId258" minRId="2574" maxRId="2579">
    <sheetIdMap count="10">
      <sheetId val="1"/>
      <sheetId val="2"/>
      <sheetId val="3"/>
      <sheetId val="4"/>
      <sheetId val="5"/>
      <sheetId val="6"/>
      <sheetId val="7"/>
      <sheetId val="8"/>
      <sheetId val="9"/>
      <sheetId val="10"/>
    </sheetIdMap>
  </header>
  <header guid="{0D8F6BB6-416D-4826-A59A-FCF02C4A133A}" dateTime="2020-05-11T13:37:11" maxSheetId="11" userName="GUP7HC" r:id="rId259" minRId="2582" maxRId="2583">
    <sheetIdMap count="10">
      <sheetId val="1"/>
      <sheetId val="2"/>
      <sheetId val="3"/>
      <sheetId val="4"/>
      <sheetId val="5"/>
      <sheetId val="6"/>
      <sheetId val="7"/>
      <sheetId val="8"/>
      <sheetId val="9"/>
      <sheetId val="10"/>
    </sheetIdMap>
  </header>
  <header guid="{3311F47A-7CAF-4314-A9B1-FDFEFD1D6881}" dateTime="2020-05-11T13:41:52" maxSheetId="11" userName="EXTERNAL Nguyen Tai Hau (Ban Vien, RBVH/EPS45)" r:id="rId260" minRId="2586" maxRId="2595">
    <sheetIdMap count="10">
      <sheetId val="1"/>
      <sheetId val="2"/>
      <sheetId val="3"/>
      <sheetId val="4"/>
      <sheetId val="5"/>
      <sheetId val="6"/>
      <sheetId val="7"/>
      <sheetId val="8"/>
      <sheetId val="9"/>
      <sheetId val="10"/>
    </sheetIdMap>
  </header>
  <header guid="{9578B695-1617-4F3D-99DF-1406B6CFEB60}" dateTime="2020-05-11T13:47:03" maxSheetId="11" userName="GUP7HC" r:id="rId261">
    <sheetIdMap count="10">
      <sheetId val="1"/>
      <sheetId val="2"/>
      <sheetId val="3"/>
      <sheetId val="4"/>
      <sheetId val="5"/>
      <sheetId val="6"/>
      <sheetId val="7"/>
      <sheetId val="8"/>
      <sheetId val="9"/>
      <sheetId val="10"/>
    </sheetIdMap>
  </header>
  <header guid="{37C53A58-4A9F-45E6-ABD4-A725B679F03F}" dateTime="2020-05-11T14:00:35" maxSheetId="11" userName="GUP7HC" r:id="rId262">
    <sheetIdMap count="10">
      <sheetId val="1"/>
      <sheetId val="2"/>
      <sheetId val="3"/>
      <sheetId val="4"/>
      <sheetId val="5"/>
      <sheetId val="6"/>
      <sheetId val="7"/>
      <sheetId val="8"/>
      <sheetId val="9"/>
      <sheetId val="10"/>
    </sheetIdMap>
  </header>
  <header guid="{2C41E5EC-FE4D-494A-85A5-ACC61045B583}" dateTime="2020-05-11T14:06:27" maxSheetId="11" userName="EXTERNAL Do Phu Loc (Ban Vien, RBVH/EPS45)" r:id="rId263">
    <sheetIdMap count="10">
      <sheetId val="1"/>
      <sheetId val="2"/>
      <sheetId val="3"/>
      <sheetId val="4"/>
      <sheetId val="5"/>
      <sheetId val="6"/>
      <sheetId val="7"/>
      <sheetId val="8"/>
      <sheetId val="9"/>
      <sheetId val="10"/>
    </sheetIdMap>
  </header>
  <header guid="{1F2E6930-DFBD-41E8-9FBF-77030B38A530}" dateTime="2020-05-11T14:13:46" maxSheetId="11" userName="GUP7HC" r:id="rId264">
    <sheetIdMap count="10">
      <sheetId val="1"/>
      <sheetId val="2"/>
      <sheetId val="3"/>
      <sheetId val="4"/>
      <sheetId val="5"/>
      <sheetId val="6"/>
      <sheetId val="7"/>
      <sheetId val="8"/>
      <sheetId val="9"/>
      <sheetId val="10"/>
    </sheetIdMap>
  </header>
  <header guid="{51AD8DD8-4A67-4E2C-9B74-B4A744DEC97E}" dateTime="2020-05-11T14:18:58" maxSheetId="11" userName="EXTERNAL Do Phu Loc (Ban Vien, RBVH/EPS45)" r:id="rId265">
    <sheetIdMap count="10">
      <sheetId val="1"/>
      <sheetId val="2"/>
      <sheetId val="3"/>
      <sheetId val="4"/>
      <sheetId val="5"/>
      <sheetId val="6"/>
      <sheetId val="7"/>
      <sheetId val="8"/>
      <sheetId val="9"/>
      <sheetId val="10"/>
    </sheetIdMap>
  </header>
  <header guid="{974C5C0A-2B77-4F4D-B9C4-80CC70C2ACDB}" dateTime="2020-05-11T14:24:17" maxSheetId="11" userName="EXTERNAL Nguyen Duy Bang (Ban Vien, RBVH/EPS45)" r:id="rId266" minRId="2608" maxRId="2638">
    <sheetIdMap count="10">
      <sheetId val="1"/>
      <sheetId val="2"/>
      <sheetId val="3"/>
      <sheetId val="4"/>
      <sheetId val="5"/>
      <sheetId val="6"/>
      <sheetId val="7"/>
      <sheetId val="8"/>
      <sheetId val="9"/>
      <sheetId val="10"/>
    </sheetIdMap>
  </header>
  <header guid="{08030053-A6EE-4A69-96B3-4AF8EEB954E8}" dateTime="2020-05-11T14:24:45" maxSheetId="11" userName="EXTERNAL Nguyen Duy Bang (Ban Vien, RBVH/EPS45)" r:id="rId267">
    <sheetIdMap count="10">
      <sheetId val="1"/>
      <sheetId val="2"/>
      <sheetId val="3"/>
      <sheetId val="4"/>
      <sheetId val="5"/>
      <sheetId val="6"/>
      <sheetId val="7"/>
      <sheetId val="8"/>
      <sheetId val="9"/>
      <sheetId val="10"/>
    </sheetIdMap>
  </header>
  <header guid="{3764A7EB-4784-4766-AD6C-CF18881EE928}" dateTime="2020-05-11T14:31:20" maxSheetId="11" userName="EXTERNAL Do Phu Loc (Ban Vien, RBVH/EPS45)" r:id="rId268">
    <sheetIdMap count="10">
      <sheetId val="1"/>
      <sheetId val="2"/>
      <sheetId val="3"/>
      <sheetId val="4"/>
      <sheetId val="5"/>
      <sheetId val="6"/>
      <sheetId val="7"/>
      <sheetId val="8"/>
      <sheetId val="9"/>
      <sheetId val="10"/>
    </sheetIdMap>
  </header>
  <header guid="{4434A19D-CE56-431E-B4C7-8070A65D1567}" dateTime="2020-05-11T14:53:42" maxSheetId="11" userName="GUP7HC" r:id="rId269">
    <sheetIdMap count="10">
      <sheetId val="1"/>
      <sheetId val="2"/>
      <sheetId val="3"/>
      <sheetId val="4"/>
      <sheetId val="5"/>
      <sheetId val="6"/>
      <sheetId val="7"/>
      <sheetId val="8"/>
      <sheetId val="9"/>
      <sheetId val="10"/>
    </sheetIdMap>
  </header>
  <header guid="{383A2E6B-BA51-49C9-864B-843A3F262BDF}" dateTime="2020-05-11T14:56:36" maxSheetId="11" userName="EXTERNAL Ly Chung (Ban Vien, RBVH/EPS45)" r:id="rId270" minRId="2647">
    <sheetIdMap count="10">
      <sheetId val="1"/>
      <sheetId val="2"/>
      <sheetId val="3"/>
      <sheetId val="4"/>
      <sheetId val="5"/>
      <sheetId val="6"/>
      <sheetId val="7"/>
      <sheetId val="8"/>
      <sheetId val="9"/>
      <sheetId val="10"/>
    </sheetIdMap>
  </header>
  <header guid="{C80C4A73-1C52-4248-A98A-8461E80341E2}" dateTime="2020-05-11T15:03:04" maxSheetId="11" userName="GUP7HC" r:id="rId271">
    <sheetIdMap count="10">
      <sheetId val="1"/>
      <sheetId val="2"/>
      <sheetId val="3"/>
      <sheetId val="4"/>
      <sheetId val="5"/>
      <sheetId val="6"/>
      <sheetId val="7"/>
      <sheetId val="8"/>
      <sheetId val="9"/>
      <sheetId val="10"/>
    </sheetIdMap>
  </header>
  <header guid="{E75B9900-2CE9-4D7B-A9D3-EEEAF699BC7C}" dateTime="2020-05-11T15:03:32" maxSheetId="11" userName="GUP7HC" r:id="rId272">
    <sheetIdMap count="10">
      <sheetId val="1"/>
      <sheetId val="2"/>
      <sheetId val="3"/>
      <sheetId val="4"/>
      <sheetId val="5"/>
      <sheetId val="6"/>
      <sheetId val="7"/>
      <sheetId val="8"/>
      <sheetId val="9"/>
      <sheetId val="10"/>
    </sheetIdMap>
  </header>
  <header guid="{DD8C200A-C32B-4B08-9BAF-703D900AE9EA}" dateTime="2020-05-11T15:25:44" maxSheetId="11" userName="EXTERNAL Nguyen Trung Hieu (Ban Vien, RBVH/EPS45)" r:id="rId273" minRId="2652" maxRId="2661">
    <sheetIdMap count="10">
      <sheetId val="1"/>
      <sheetId val="2"/>
      <sheetId val="3"/>
      <sheetId val="4"/>
      <sheetId val="5"/>
      <sheetId val="6"/>
      <sheetId val="7"/>
      <sheetId val="8"/>
      <sheetId val="9"/>
      <sheetId val="10"/>
    </sheetIdMap>
  </header>
  <header guid="{7365BE47-3600-4760-88D9-95F34E98C4C2}" dateTime="2020-05-11T15:25:54" maxSheetId="11" userName="EXTERNAL Nguyen Trung Hieu (Ban Vien, RBVH/EPS45)" r:id="rId274" minRId="2664" maxRId="2667">
    <sheetIdMap count="10">
      <sheetId val="1"/>
      <sheetId val="2"/>
      <sheetId val="3"/>
      <sheetId val="4"/>
      <sheetId val="5"/>
      <sheetId val="6"/>
      <sheetId val="7"/>
      <sheetId val="8"/>
      <sheetId val="9"/>
      <sheetId val="10"/>
    </sheetIdMap>
  </header>
  <header guid="{5C661ABC-9068-4755-9916-085EE02C66DF}" dateTime="2020-05-11T15:26:34" maxSheetId="11" userName="EXTERNAL Nguyen Trung Hieu (Ban Vien, RBVH/EPS45)" r:id="rId275" minRId="2670" maxRId="2674">
    <sheetIdMap count="10">
      <sheetId val="1"/>
      <sheetId val="2"/>
      <sheetId val="3"/>
      <sheetId val="4"/>
      <sheetId val="5"/>
      <sheetId val="6"/>
      <sheetId val="7"/>
      <sheetId val="8"/>
      <sheetId val="9"/>
      <sheetId val="10"/>
    </sheetIdMap>
  </header>
  <header guid="{50937EE9-EC5E-4318-9B6E-160FC8991606}" dateTime="2020-05-11T15:27:02" maxSheetId="11" userName="EXTERNAL Nguyen Trung Hieu (Ban Vien, RBVH/EPS45)" r:id="rId276" minRId="2677" maxRId="2678">
    <sheetIdMap count="10">
      <sheetId val="1"/>
      <sheetId val="2"/>
      <sheetId val="3"/>
      <sheetId val="4"/>
      <sheetId val="5"/>
      <sheetId val="6"/>
      <sheetId val="7"/>
      <sheetId val="8"/>
      <sheetId val="9"/>
      <sheetId val="10"/>
    </sheetIdMap>
  </header>
  <header guid="{B109B096-A2BF-4D61-8378-3DE23A950783}" dateTime="2020-05-11T16:07:07" maxSheetId="11" userName="EXTERNAL Nguyen Duy Bang (Ban Vien, RBVH/EPS45)" r:id="rId277" minRId="2681" maxRId="2693">
    <sheetIdMap count="10">
      <sheetId val="1"/>
      <sheetId val="2"/>
      <sheetId val="3"/>
      <sheetId val="4"/>
      <sheetId val="5"/>
      <sheetId val="6"/>
      <sheetId val="7"/>
      <sheetId val="8"/>
      <sheetId val="9"/>
      <sheetId val="10"/>
    </sheetIdMap>
  </header>
  <header guid="{3659F7D5-B173-4F2A-92FA-83D50F3FDA8A}" dateTime="2020-05-11T16:07:33" maxSheetId="11" userName="EXTERNAL Nguyen Duy Bang (Ban Vien, RBVH/EPS45)" r:id="rId278" minRId="2696" maxRId="2698">
    <sheetIdMap count="10">
      <sheetId val="1"/>
      <sheetId val="2"/>
      <sheetId val="3"/>
      <sheetId val="4"/>
      <sheetId val="5"/>
      <sheetId val="6"/>
      <sheetId val="7"/>
      <sheetId val="8"/>
      <sheetId val="9"/>
      <sheetId val="10"/>
    </sheetIdMap>
  </header>
  <header guid="{17AE8A0C-555E-44BE-9EB6-4D2048AF9091}" dateTime="2020-05-11T16:30:03" maxSheetId="11" userName="EXTERNAL Nguyen Trung Hieu (Ban Vien, RBVH/EPS45)" r:id="rId279" minRId="2699" maxRId="2707">
    <sheetIdMap count="10">
      <sheetId val="1"/>
      <sheetId val="2"/>
      <sheetId val="3"/>
      <sheetId val="4"/>
      <sheetId val="5"/>
      <sheetId val="6"/>
      <sheetId val="7"/>
      <sheetId val="8"/>
      <sheetId val="9"/>
      <sheetId val="10"/>
    </sheetIdMap>
  </header>
  <header guid="{9CF3EE08-CF4B-4128-B88E-A9E9979735CE}" dateTime="2020-05-11T16:32:43" maxSheetId="11" userName="EXTERNAL Nguyen Trung Hieu (Ban Vien, RBVH/EPS45)" r:id="rId280">
    <sheetIdMap count="10">
      <sheetId val="1"/>
      <sheetId val="2"/>
      <sheetId val="3"/>
      <sheetId val="4"/>
      <sheetId val="5"/>
      <sheetId val="6"/>
      <sheetId val="7"/>
      <sheetId val="8"/>
      <sheetId val="9"/>
      <sheetId val="10"/>
    </sheetIdMap>
  </header>
  <header guid="{B8C0B205-0B44-438F-952A-D16404EE292C}" dateTime="2020-05-11T16:33:22" maxSheetId="11" userName="EXTERNAL Nguyen Trung Hieu (Ban Vien, RBVH/EPS45)" r:id="rId281">
    <sheetIdMap count="10">
      <sheetId val="1"/>
      <sheetId val="2"/>
      <sheetId val="3"/>
      <sheetId val="4"/>
      <sheetId val="5"/>
      <sheetId val="6"/>
      <sheetId val="7"/>
      <sheetId val="8"/>
      <sheetId val="9"/>
      <sheetId val="10"/>
    </sheetIdMap>
  </header>
  <header guid="{60AB9B14-DFEB-4671-900B-79096B2FC9C8}" dateTime="2020-05-11T16:42:36" maxSheetId="11" userName="EXTERNAL Nguyen Trung Hieu (Ban Vien, RBVH/EPS45)" r:id="rId282" minRId="2714" maxRId="2782">
    <sheetIdMap count="10">
      <sheetId val="1"/>
      <sheetId val="2"/>
      <sheetId val="3"/>
      <sheetId val="4"/>
      <sheetId val="5"/>
      <sheetId val="6"/>
      <sheetId val="7"/>
      <sheetId val="8"/>
      <sheetId val="9"/>
      <sheetId val="10"/>
    </sheetIdMap>
  </header>
  <header guid="{6BDE3C22-D656-4AF9-ACE3-57AB95DDB0C0}" dateTime="2020-05-11T16:43:17" maxSheetId="11" userName="EXTERNAL Nguyen Trung Hieu (Ban Vien, RBVH/EPS45)" r:id="rId283" minRId="2785" maxRId="2861">
    <sheetIdMap count="10">
      <sheetId val="1"/>
      <sheetId val="2"/>
      <sheetId val="3"/>
      <sheetId val="4"/>
      <sheetId val="5"/>
      <sheetId val="6"/>
      <sheetId val="7"/>
      <sheetId val="8"/>
      <sheetId val="9"/>
      <sheetId val="10"/>
    </sheetIdMap>
  </header>
  <header guid="{0BCDA9B1-999A-4231-B1E4-9A32C94C3480}" dateTime="2020-05-11T16:44:57" maxSheetId="11" userName="EXTERNAL Nguyen Trung Hieu (Ban Vien, RBVH/EPS45)" r:id="rId284" minRId="2864" maxRId="3230">
    <sheetIdMap count="10">
      <sheetId val="1"/>
      <sheetId val="2"/>
      <sheetId val="3"/>
      <sheetId val="4"/>
      <sheetId val="5"/>
      <sheetId val="6"/>
      <sheetId val="7"/>
      <sheetId val="8"/>
      <sheetId val="9"/>
      <sheetId val="10"/>
    </sheetIdMap>
  </header>
  <header guid="{C7C1E113-E54B-41B4-A73E-C75E435D6A49}" dateTime="2020-05-11T16:45:22" maxSheetId="11" userName="EXTERNAL Nguyen Trung Hieu (Ban Vien, RBVH/EPS45)" r:id="rId285" minRId="3233" maxRId="3290">
    <sheetIdMap count="10">
      <sheetId val="1"/>
      <sheetId val="2"/>
      <sheetId val="3"/>
      <sheetId val="4"/>
      <sheetId val="5"/>
      <sheetId val="6"/>
      <sheetId val="7"/>
      <sheetId val="8"/>
      <sheetId val="9"/>
      <sheetId val="10"/>
    </sheetIdMap>
  </header>
  <header guid="{692D7B17-0B1E-46D4-A13E-E9B0F68DEE34}" dateTime="2020-05-11T16:46:56" maxSheetId="11" userName="EXTERNAL Nguyen Trung Hieu (Ban Vien, RBVH/EPS45)" r:id="rId286" minRId="3293" maxRId="3321">
    <sheetIdMap count="10">
      <sheetId val="1"/>
      <sheetId val="2"/>
      <sheetId val="3"/>
      <sheetId val="4"/>
      <sheetId val="5"/>
      <sheetId val="6"/>
      <sheetId val="7"/>
      <sheetId val="8"/>
      <sheetId val="9"/>
      <sheetId val="10"/>
    </sheetIdMap>
  </header>
  <header guid="{87C020E3-F9C8-42AB-A225-FF85D1DCC3AA}" dateTime="2020-05-11T16:47:29" maxSheetId="11" userName="EXTERNAL Nguyen Trung Hieu (Ban Vien, RBVH/EPS45)" r:id="rId287">
    <sheetIdMap count="10">
      <sheetId val="1"/>
      <sheetId val="2"/>
      <sheetId val="3"/>
      <sheetId val="4"/>
      <sheetId val="5"/>
      <sheetId val="6"/>
      <sheetId val="7"/>
      <sheetId val="8"/>
      <sheetId val="9"/>
      <sheetId val="10"/>
    </sheetIdMap>
  </header>
  <header guid="{FA9B6C63-8297-42A5-A6FE-D100A19AD9FB}" dateTime="2020-05-11T16:47:41" maxSheetId="11" userName="EXTERNAL Nguyen Trung Hieu (Ban Vien, RBVH/EPS45)" r:id="rId288" minRId="3324" maxRId="3368">
    <sheetIdMap count="10">
      <sheetId val="1"/>
      <sheetId val="2"/>
      <sheetId val="3"/>
      <sheetId val="4"/>
      <sheetId val="5"/>
      <sheetId val="6"/>
      <sheetId val="7"/>
      <sheetId val="8"/>
      <sheetId val="9"/>
      <sheetId val="10"/>
    </sheetIdMap>
  </header>
  <header guid="{5A16BFC5-24CD-49A7-96B9-CEF3FA98A2C8}" dateTime="2020-05-11T16:48:17" maxSheetId="11" userName="EXTERNAL Nguyen Trung Hieu (Ban Vien, RBVH/EPS45)" r:id="rId289" minRId="3369" maxRId="3374">
    <sheetIdMap count="10">
      <sheetId val="1"/>
      <sheetId val="2"/>
      <sheetId val="3"/>
      <sheetId val="4"/>
      <sheetId val="5"/>
      <sheetId val="6"/>
      <sheetId val="7"/>
      <sheetId val="8"/>
      <sheetId val="9"/>
      <sheetId val="10"/>
    </sheetIdMap>
  </header>
  <header guid="{BC1B1E4E-46D4-4BD1-88D8-02D8B80B3CCD}" dateTime="2020-05-11T16:48:50" maxSheetId="11" userName="EXTERNAL Nguyen Trung Hieu (Ban Vien, RBVH/EPS45)" r:id="rId290" minRId="3375" maxRId="3376">
    <sheetIdMap count="10">
      <sheetId val="1"/>
      <sheetId val="2"/>
      <sheetId val="3"/>
      <sheetId val="4"/>
      <sheetId val="5"/>
      <sheetId val="6"/>
      <sheetId val="7"/>
      <sheetId val="8"/>
      <sheetId val="9"/>
      <sheetId val="10"/>
    </sheetIdMap>
  </header>
  <header guid="{CE711A5B-2661-436A-93D9-D2738D6E0CA8}" dateTime="2020-05-11T16:48:55" maxSheetId="11" userName="EXTERNAL Nguyen Trung Hieu (Ban Vien, RBVH/EPS45)" r:id="rId291" minRId="3377">
    <sheetIdMap count="10">
      <sheetId val="1"/>
      <sheetId val="2"/>
      <sheetId val="3"/>
      <sheetId val="4"/>
      <sheetId val="5"/>
      <sheetId val="6"/>
      <sheetId val="7"/>
      <sheetId val="8"/>
      <sheetId val="9"/>
      <sheetId val="10"/>
    </sheetIdMap>
  </header>
  <header guid="{912A073F-2925-49F1-AC13-2B3D0E62A8DA}" dateTime="2020-05-11T16:50:42" maxSheetId="11" userName="EXTERNAL Nguyen Trung Hieu (Ban Vien, RBVH/EPS45)" r:id="rId292" minRId="3378" maxRId="3381">
    <sheetIdMap count="10">
      <sheetId val="1"/>
      <sheetId val="2"/>
      <sheetId val="3"/>
      <sheetId val="4"/>
      <sheetId val="5"/>
      <sheetId val="6"/>
      <sheetId val="7"/>
      <sheetId val="8"/>
      <sheetId val="9"/>
      <sheetId val="10"/>
    </sheetIdMap>
  </header>
  <header guid="{932BDBFE-A31B-4631-9B30-CD592E176F1E}" dateTime="2020-05-11T16:51:21" maxSheetId="11" userName="EXTERNAL Nguyen Trung Hieu (Ban Vien, RBVH/EPS45)" r:id="rId293" minRId="3384" maxRId="3388">
    <sheetIdMap count="10">
      <sheetId val="1"/>
      <sheetId val="2"/>
      <sheetId val="3"/>
      <sheetId val="4"/>
      <sheetId val="5"/>
      <sheetId val="6"/>
      <sheetId val="7"/>
      <sheetId val="8"/>
      <sheetId val="9"/>
      <sheetId val="10"/>
    </sheetIdMap>
  </header>
  <header guid="{C8027A35-2854-4902-8F3D-B89A7F4849D4}" dateTime="2020-05-11T16:51:49" maxSheetId="11" userName="EXTERNAL Nguyen Trung Hieu (Ban Vien, RBVH/EPS45)" r:id="rId294" minRId="3389" maxRId="3390">
    <sheetIdMap count="10">
      <sheetId val="1"/>
      <sheetId val="2"/>
      <sheetId val="3"/>
      <sheetId val="4"/>
      <sheetId val="5"/>
      <sheetId val="6"/>
      <sheetId val="7"/>
      <sheetId val="8"/>
      <sheetId val="9"/>
      <sheetId val="10"/>
    </sheetIdMap>
  </header>
  <header guid="{FB6E19D0-D944-4797-B9EA-79720B24392F}" dateTime="2020-05-11T16:52:05" maxSheetId="11" userName="EXTERNAL Nguyen Trung Hieu (Ban Vien, RBVH/EPS45)" r:id="rId295" minRId="3391">
    <sheetIdMap count="10">
      <sheetId val="1"/>
      <sheetId val="2"/>
      <sheetId val="3"/>
      <sheetId val="4"/>
      <sheetId val="5"/>
      <sheetId val="6"/>
      <sheetId val="7"/>
      <sheetId val="8"/>
      <sheetId val="9"/>
      <sheetId val="10"/>
    </sheetIdMap>
  </header>
  <header guid="{17E210A0-A822-4148-870F-C1E7F01AF5F4}" dateTime="2020-05-11T16:52:10" maxSheetId="11" userName="EXTERNAL Nguyen Trung Hieu (Ban Vien, RBVH/EPS45)" r:id="rId296">
    <sheetIdMap count="10">
      <sheetId val="1"/>
      <sheetId val="2"/>
      <sheetId val="3"/>
      <sheetId val="4"/>
      <sheetId val="5"/>
      <sheetId val="6"/>
      <sheetId val="7"/>
      <sheetId val="8"/>
      <sheetId val="9"/>
      <sheetId val="10"/>
    </sheetIdMap>
  </header>
  <header guid="{F3CE4A89-9AEB-4250-B0D1-62BA3CEE1249}" dateTime="2020-05-11T16:52:17" maxSheetId="11" userName="EXTERNAL Nguyen Trung Hieu (Ban Vien, RBVH/EPS45)" r:id="rId297" minRId="3392">
    <sheetIdMap count="10">
      <sheetId val="1"/>
      <sheetId val="2"/>
      <sheetId val="3"/>
      <sheetId val="4"/>
      <sheetId val="5"/>
      <sheetId val="6"/>
      <sheetId val="7"/>
      <sheetId val="8"/>
      <sheetId val="9"/>
      <sheetId val="10"/>
    </sheetIdMap>
  </header>
  <header guid="{2DAB94D2-BEB8-40A1-A5F1-B7BFF9860D84}" dateTime="2020-05-11T16:52:41" maxSheetId="11" userName="EXTERNAL Nguyen Trung Hieu (Ban Vien, RBVH/EPS45)" r:id="rId298" minRId="3393" maxRId="3421">
    <sheetIdMap count="10">
      <sheetId val="1"/>
      <sheetId val="2"/>
      <sheetId val="3"/>
      <sheetId val="4"/>
      <sheetId val="5"/>
      <sheetId val="6"/>
      <sheetId val="7"/>
      <sheetId val="8"/>
      <sheetId val="9"/>
      <sheetId val="10"/>
    </sheetIdMap>
  </header>
  <header guid="{D328F457-CACD-4C32-8AA9-1D04F3E6798D}" dateTime="2020-05-11T16:53:03" maxSheetId="11" userName="EXTERNAL Nguyen Trung Hieu (Ban Vien, RBVH/EPS45)" r:id="rId299">
    <sheetIdMap count="10">
      <sheetId val="1"/>
      <sheetId val="2"/>
      <sheetId val="3"/>
      <sheetId val="4"/>
      <sheetId val="5"/>
      <sheetId val="6"/>
      <sheetId val="7"/>
      <sheetId val="8"/>
      <sheetId val="9"/>
      <sheetId val="10"/>
    </sheetIdMap>
  </header>
  <header guid="{5E1854C9-D532-4695-8F2F-5FAB25DD992F}" dateTime="2020-05-11T16:53:47" maxSheetId="11" userName="EXTERNAL Nguyen Trung Hieu (Ban Vien, RBVH/EPS45)" r:id="rId300" minRId="3424" maxRId="3433">
    <sheetIdMap count="10">
      <sheetId val="1"/>
      <sheetId val="2"/>
      <sheetId val="3"/>
      <sheetId val="4"/>
      <sheetId val="5"/>
      <sheetId val="6"/>
      <sheetId val="7"/>
      <sheetId val="8"/>
      <sheetId val="9"/>
      <sheetId val="10"/>
    </sheetIdMap>
  </header>
  <header guid="{D15BF45A-56D4-4735-BB1D-ED8F622446E8}" dateTime="2020-05-11T17:01:56" maxSheetId="11" userName="EXTERNAL Nguyen Trung Hieu (Ban Vien, RBVH/EPS45)" r:id="rId301" minRId="3434" maxRId="3462">
    <sheetIdMap count="10">
      <sheetId val="1"/>
      <sheetId val="2"/>
      <sheetId val="3"/>
      <sheetId val="4"/>
      <sheetId val="5"/>
      <sheetId val="6"/>
      <sheetId val="7"/>
      <sheetId val="8"/>
      <sheetId val="9"/>
      <sheetId val="10"/>
    </sheetIdMap>
  </header>
  <header guid="{1E8849AD-E9DD-4DB0-A2D3-5D046DD1806C}" dateTime="2020-05-11T17:01:58" maxSheetId="11" userName="EXTERNAL Nguyen Trung Hieu (Ban Vien, RBVH/EPS45)" r:id="rId302">
    <sheetIdMap count="10">
      <sheetId val="1"/>
      <sheetId val="2"/>
      <sheetId val="3"/>
      <sheetId val="4"/>
      <sheetId val="5"/>
      <sheetId val="6"/>
      <sheetId val="7"/>
      <sheetId val="8"/>
      <sheetId val="9"/>
      <sheetId val="10"/>
    </sheetIdMap>
  </header>
  <header guid="{4A87AEF6-94B1-4938-BCC6-5916B7CFEF46}" dateTime="2020-05-11T17:05:39" maxSheetId="11" userName="EXTERNAL Nguyen Trung Hieu (Ban Vien, RBVH/EPS45)" r:id="rId303" minRId="3467">
    <sheetIdMap count="10">
      <sheetId val="1"/>
      <sheetId val="2"/>
      <sheetId val="3"/>
      <sheetId val="4"/>
      <sheetId val="5"/>
      <sheetId val="6"/>
      <sheetId val="7"/>
      <sheetId val="8"/>
      <sheetId val="9"/>
      <sheetId val="10"/>
    </sheetIdMap>
  </header>
  <header guid="{27A465C0-9F12-4E8D-81E9-AEC654BD43D0}" dateTime="2020-05-11T17:19:23" maxSheetId="11" userName="EXTERNAL Nguyen Trung Hieu (Ban Vien, RBVH/EPS45)" r:id="rId304" minRId="3468">
    <sheetIdMap count="10">
      <sheetId val="1"/>
      <sheetId val="2"/>
      <sheetId val="3"/>
      <sheetId val="4"/>
      <sheetId val="5"/>
      <sheetId val="6"/>
      <sheetId val="7"/>
      <sheetId val="8"/>
      <sheetId val="9"/>
      <sheetId val="10"/>
    </sheetIdMap>
  </header>
  <header guid="{9C5DD17B-97DE-47E2-9160-FFA06E5C9925}" dateTime="2020-05-11T17:19:30" maxSheetId="11" userName="EXTERNAL Nguyen Trung Hieu (Ban Vien, RBVH/EPS45)" r:id="rId305">
    <sheetIdMap count="10">
      <sheetId val="1"/>
      <sheetId val="2"/>
      <sheetId val="3"/>
      <sheetId val="4"/>
      <sheetId val="5"/>
      <sheetId val="6"/>
      <sheetId val="7"/>
      <sheetId val="8"/>
      <sheetId val="9"/>
      <sheetId val="10"/>
    </sheetIdMap>
  </header>
  <header guid="{20710502-F210-48C3-8C84-79897736FB56}" dateTime="2020-05-11T17:58:00" maxSheetId="11" userName="EXTERNAL Luu Cong Dac (Ban Vien, RBVH/EPS45)" r:id="rId306" minRId="3471" maxRId="3553">
    <sheetIdMap count="10">
      <sheetId val="1"/>
      <sheetId val="2"/>
      <sheetId val="3"/>
      <sheetId val="4"/>
      <sheetId val="5"/>
      <sheetId val="6"/>
      <sheetId val="7"/>
      <sheetId val="8"/>
      <sheetId val="9"/>
      <sheetId val="10"/>
    </sheetIdMap>
  </header>
  <header guid="{A54CAA3B-2279-4747-9ED3-ABC51EF61184}" dateTime="2020-05-12T09:05:51" maxSheetId="11" userName="EXTERNAL Nguyen Trung Hieu (Ban Vien, RBVH/EPS45)" r:id="rId307" minRId="3556" maxRId="3818">
    <sheetIdMap count="10">
      <sheetId val="1"/>
      <sheetId val="2"/>
      <sheetId val="3"/>
      <sheetId val="4"/>
      <sheetId val="5"/>
      <sheetId val="6"/>
      <sheetId val="7"/>
      <sheetId val="8"/>
      <sheetId val="9"/>
      <sheetId val="10"/>
    </sheetIdMap>
  </header>
  <header guid="{0DC47964-BDA9-4245-B424-ACBB946C8D14}" dateTime="2020-05-12T09:07:05" maxSheetId="11" userName="EXTERNAL Nguyen Trung Hieu (Ban Vien, RBVH/EPS45)" r:id="rId308" minRId="3821" maxRId="3910">
    <sheetIdMap count="10">
      <sheetId val="1"/>
      <sheetId val="2"/>
      <sheetId val="3"/>
      <sheetId val="4"/>
      <sheetId val="5"/>
      <sheetId val="6"/>
      <sheetId val="7"/>
      <sheetId val="8"/>
      <sheetId val="9"/>
      <sheetId val="10"/>
    </sheetIdMap>
  </header>
  <header guid="{BBD963B6-6E49-4B4E-AE91-6097BBF7A574}" dateTime="2020-05-12T09:07:53" maxSheetId="11" userName="EXTERNAL Nguyen Trung Hieu (Ban Vien, RBVH/EPS45)" r:id="rId309" minRId="3913" maxRId="3931">
    <sheetIdMap count="10">
      <sheetId val="1"/>
      <sheetId val="2"/>
      <sheetId val="3"/>
      <sheetId val="4"/>
      <sheetId val="5"/>
      <sheetId val="6"/>
      <sheetId val="7"/>
      <sheetId val="8"/>
      <sheetId val="9"/>
      <sheetId val="10"/>
    </sheetIdMap>
  </header>
  <header guid="{E86F5688-E067-4A84-9463-6BE441B04ED1}" dateTime="2020-05-12T09:08:01" maxSheetId="11" userName="GUP7HC" r:id="rId310">
    <sheetIdMap count="10">
      <sheetId val="1"/>
      <sheetId val="2"/>
      <sheetId val="3"/>
      <sheetId val="4"/>
      <sheetId val="5"/>
      <sheetId val="6"/>
      <sheetId val="7"/>
      <sheetId val="8"/>
      <sheetId val="9"/>
      <sheetId val="10"/>
    </sheetIdMap>
  </header>
  <header guid="{B2057B6A-C7B2-4B88-821C-033EA75455BB}" dateTime="2020-05-12T09:08:29" maxSheetId="11" userName="EXTERNAL Nguyen Trung Hieu (Ban Vien, RBVH/EPS45)" r:id="rId311">
    <sheetIdMap count="10">
      <sheetId val="1"/>
      <sheetId val="2"/>
      <sheetId val="3"/>
      <sheetId val="4"/>
      <sheetId val="5"/>
      <sheetId val="6"/>
      <sheetId val="7"/>
      <sheetId val="8"/>
      <sheetId val="9"/>
      <sheetId val="10"/>
    </sheetIdMap>
  </header>
  <header guid="{E6A7E8C6-977D-468B-A01A-2813D5CC49E7}" dateTime="2020-05-12T09:09:02" maxSheetId="11" userName="EXTERNAL Nguyen Trung Hieu (Ban Vien, RBVH/EPS45)" r:id="rId312" minRId="3938" maxRId="3939">
    <sheetIdMap count="10">
      <sheetId val="1"/>
      <sheetId val="2"/>
      <sheetId val="3"/>
      <sheetId val="4"/>
      <sheetId val="5"/>
      <sheetId val="6"/>
      <sheetId val="7"/>
      <sheetId val="8"/>
      <sheetId val="9"/>
      <sheetId val="10"/>
    </sheetIdMap>
  </header>
  <header guid="{4C49D257-AE7F-40C1-928B-F9A3D4F7CC25}" dateTime="2020-05-12T09:09:51" maxSheetId="11" userName="EXTERNAL Nguyen Trung Hieu (Ban Vien, RBVH/EPS45)" r:id="rId313">
    <sheetIdMap count="10">
      <sheetId val="1"/>
      <sheetId val="2"/>
      <sheetId val="3"/>
      <sheetId val="4"/>
      <sheetId val="5"/>
      <sheetId val="6"/>
      <sheetId val="7"/>
      <sheetId val="8"/>
      <sheetId val="9"/>
      <sheetId val="10"/>
    </sheetIdMap>
  </header>
  <header guid="{BBE359C4-0EC9-4542-AD2D-CF3518A63DBE}" dateTime="2020-05-12T09:10:12" maxSheetId="11" userName="EXTERNAL Nguyen Trung Hieu (Ban Vien, RBVH/EPS45)" r:id="rId314">
    <sheetIdMap count="10">
      <sheetId val="1"/>
      <sheetId val="2"/>
      <sheetId val="3"/>
      <sheetId val="4"/>
      <sheetId val="5"/>
      <sheetId val="6"/>
      <sheetId val="7"/>
      <sheetId val="8"/>
      <sheetId val="9"/>
      <sheetId val="10"/>
    </sheetIdMap>
  </header>
  <header guid="{70146015-D9E7-4168-8E56-61654D05AAA3}" dateTime="2020-05-12T09:10:23" maxSheetId="11" userName="GUP7HC" r:id="rId315">
    <sheetIdMap count="10">
      <sheetId val="1"/>
      <sheetId val="2"/>
      <sheetId val="3"/>
      <sheetId val="4"/>
      <sheetId val="5"/>
      <sheetId val="6"/>
      <sheetId val="7"/>
      <sheetId val="8"/>
      <sheetId val="9"/>
      <sheetId val="10"/>
    </sheetIdMap>
  </header>
  <header guid="{CBC36B02-9F0F-47B8-A7A1-E9C5FC83228C}" dateTime="2020-05-12T09:12:40" maxSheetId="11" userName="EXTERNAL Nguyen Trung Hieu (Ban Vien, RBVH/EPS45)" r:id="rId316" minRId="3946" maxRId="3947">
    <sheetIdMap count="10">
      <sheetId val="1"/>
      <sheetId val="2"/>
      <sheetId val="3"/>
      <sheetId val="4"/>
      <sheetId val="5"/>
      <sheetId val="6"/>
      <sheetId val="7"/>
      <sheetId val="8"/>
      <sheetId val="9"/>
      <sheetId val="10"/>
    </sheetIdMap>
  </header>
  <header guid="{A6703B34-5295-4FD9-B00E-3645127D3F94}" dateTime="2020-05-12T09:13:09" maxSheetId="11" userName="EXTERNAL Nguyen Trung Hieu (Ban Vien, RBVH/EPS45)" r:id="rId317">
    <sheetIdMap count="10">
      <sheetId val="1"/>
      <sheetId val="2"/>
      <sheetId val="3"/>
      <sheetId val="4"/>
      <sheetId val="5"/>
      <sheetId val="6"/>
      <sheetId val="7"/>
      <sheetId val="8"/>
      <sheetId val="9"/>
      <sheetId val="10"/>
    </sheetIdMap>
  </header>
  <header guid="{BE5B1AF3-C6A8-4F86-BED4-FE1AC1E84EC9}" dateTime="2020-05-12T09:15:00" maxSheetId="11" userName="EXTERNAL Nguyen Trung Hieu (Ban Vien, RBVH/EPS45)" r:id="rId318" minRId="3952" maxRId="3953">
    <sheetIdMap count="10">
      <sheetId val="1"/>
      <sheetId val="2"/>
      <sheetId val="3"/>
      <sheetId val="4"/>
      <sheetId val="5"/>
      <sheetId val="6"/>
      <sheetId val="7"/>
      <sheetId val="8"/>
      <sheetId val="9"/>
      <sheetId val="10"/>
    </sheetIdMap>
  </header>
  <header guid="{9D0B7542-B7B4-4D9C-A7FA-855EB6CA6645}" dateTime="2020-05-12T09:20:52" maxSheetId="11" userName="EXTERNAL Nguyen Trung Hieu (Ban Vien, RBVH/EPS45)" r:id="rId319">
    <sheetIdMap count="10">
      <sheetId val="1"/>
      <sheetId val="2"/>
      <sheetId val="3"/>
      <sheetId val="4"/>
      <sheetId val="5"/>
      <sheetId val="6"/>
      <sheetId val="7"/>
      <sheetId val="8"/>
      <sheetId val="9"/>
      <sheetId val="10"/>
    </sheetIdMap>
  </header>
  <header guid="{30BA1BE5-03B4-4F74-B53F-9C4AB9AEC424}" dateTime="2020-05-12T09:34:20" maxSheetId="11" userName="EXTERNAL Nguyen Trung Hieu (Ban Vien, RBVH/EPS45)" r:id="rId320" minRId="3956" maxRId="3957">
    <sheetIdMap count="10">
      <sheetId val="1"/>
      <sheetId val="2"/>
      <sheetId val="3"/>
      <sheetId val="4"/>
      <sheetId val="5"/>
      <sheetId val="6"/>
      <sheetId val="7"/>
      <sheetId val="8"/>
      <sheetId val="9"/>
      <sheetId val="10"/>
    </sheetIdMap>
  </header>
  <header guid="{6953368E-E8AC-41C2-8CFE-759401DC694E}" dateTime="2020-05-12T09:50:32" maxSheetId="11" userName="GUP7HC" r:id="rId321" minRId="3958" maxRId="3965">
    <sheetIdMap count="10">
      <sheetId val="1"/>
      <sheetId val="2"/>
      <sheetId val="3"/>
      <sheetId val="4"/>
      <sheetId val="5"/>
      <sheetId val="6"/>
      <sheetId val="7"/>
      <sheetId val="8"/>
      <sheetId val="9"/>
      <sheetId val="10"/>
    </sheetIdMap>
  </header>
  <header guid="{8674C0FD-ED17-4BC2-9C24-05E350CFECC5}" dateTime="2020-05-12T09:50:38" maxSheetId="11" userName="GUP7HC" r:id="rId322">
    <sheetIdMap count="10">
      <sheetId val="1"/>
      <sheetId val="2"/>
      <sheetId val="3"/>
      <sheetId val="4"/>
      <sheetId val="5"/>
      <sheetId val="6"/>
      <sheetId val="7"/>
      <sheetId val="8"/>
      <sheetId val="9"/>
      <sheetId val="10"/>
    </sheetIdMap>
  </header>
  <header guid="{97C0FB7E-BF34-4C64-876E-F72C8FB962C3}" dateTime="2020-05-12T10:13:34" maxSheetId="11" userName="GUP7HC" r:id="rId323" minRId="3970" maxRId="3976">
    <sheetIdMap count="10">
      <sheetId val="1"/>
      <sheetId val="2"/>
      <sheetId val="3"/>
      <sheetId val="4"/>
      <sheetId val="5"/>
      <sheetId val="6"/>
      <sheetId val="7"/>
      <sheetId val="8"/>
      <sheetId val="9"/>
      <sheetId val="10"/>
    </sheetIdMap>
  </header>
  <header guid="{D5AC308E-E41C-4079-9649-33F99E5C01C3}" dateTime="2020-05-12T10:24:32" maxSheetId="11" userName="GUP7HC" r:id="rId324" minRId="3979" maxRId="3988">
    <sheetIdMap count="10">
      <sheetId val="1"/>
      <sheetId val="2"/>
      <sheetId val="3"/>
      <sheetId val="4"/>
      <sheetId val="5"/>
      <sheetId val="6"/>
      <sheetId val="7"/>
      <sheetId val="8"/>
      <sheetId val="9"/>
      <sheetId val="10"/>
    </sheetIdMap>
  </header>
  <header guid="{A6E2ECC1-3A46-4D08-9DA2-BF5486DCEC61}" dateTime="2020-05-12T10:25:05" maxSheetId="11" userName="GUP7HC" r:id="rId325" minRId="3991">
    <sheetIdMap count="10">
      <sheetId val="1"/>
      <sheetId val="2"/>
      <sheetId val="3"/>
      <sheetId val="4"/>
      <sheetId val="5"/>
      <sheetId val="6"/>
      <sheetId val="7"/>
      <sheetId val="8"/>
      <sheetId val="9"/>
      <sheetId val="10"/>
    </sheetIdMap>
  </header>
  <header guid="{B73E0B12-014E-441A-BFAD-DB110251A799}" dateTime="2020-05-12T10:25:21" maxSheetId="11" userName="GUP7HC" r:id="rId326" minRId="3994" maxRId="3996">
    <sheetIdMap count="10">
      <sheetId val="1"/>
      <sheetId val="2"/>
      <sheetId val="3"/>
      <sheetId val="4"/>
      <sheetId val="5"/>
      <sheetId val="6"/>
      <sheetId val="7"/>
      <sheetId val="8"/>
      <sheetId val="9"/>
      <sheetId val="10"/>
    </sheetIdMap>
  </header>
  <header guid="{9CBA7EF4-56AA-439D-B28D-AC07A1F87556}" dateTime="2020-05-12T10:25:57" maxSheetId="11" userName="GUP7HC" r:id="rId327" minRId="3997" maxRId="4003">
    <sheetIdMap count="10">
      <sheetId val="1"/>
      <sheetId val="2"/>
      <sheetId val="3"/>
      <sheetId val="4"/>
      <sheetId val="5"/>
      <sheetId val="6"/>
      <sheetId val="7"/>
      <sheetId val="8"/>
      <sheetId val="9"/>
      <sheetId val="10"/>
    </sheetIdMap>
  </header>
  <header guid="{4D859C36-2483-48D3-AD9C-09950F3580A8}" dateTime="2020-05-12T10:26:13" maxSheetId="11" userName="GUP7HC" r:id="rId328" minRId="4006" maxRId="4014">
    <sheetIdMap count="10">
      <sheetId val="1"/>
      <sheetId val="2"/>
      <sheetId val="3"/>
      <sheetId val="4"/>
      <sheetId val="5"/>
      <sheetId val="6"/>
      <sheetId val="7"/>
      <sheetId val="8"/>
      <sheetId val="9"/>
      <sheetId val="10"/>
    </sheetIdMap>
  </header>
  <header guid="{11AE91F3-A6CA-4C45-BA89-C75C5EAD8A21}" dateTime="2020-05-12T10:26:28" maxSheetId="11" userName="GUP7HC" r:id="rId329" minRId="4017">
    <sheetIdMap count="10">
      <sheetId val="1"/>
      <sheetId val="2"/>
      <sheetId val="3"/>
      <sheetId val="4"/>
      <sheetId val="5"/>
      <sheetId val="6"/>
      <sheetId val="7"/>
      <sheetId val="8"/>
      <sheetId val="9"/>
      <sheetId val="10"/>
    </sheetIdMap>
  </header>
  <header guid="{8E4B560F-11DF-443B-9AC0-3D80731C17AB}" dateTime="2020-05-12T10:26:31" maxSheetId="11" userName="GUP7HC" r:id="rId330">
    <sheetIdMap count="10">
      <sheetId val="1"/>
      <sheetId val="2"/>
      <sheetId val="3"/>
      <sheetId val="4"/>
      <sheetId val="5"/>
      <sheetId val="6"/>
      <sheetId val="7"/>
      <sheetId val="8"/>
      <sheetId val="9"/>
      <sheetId val="10"/>
    </sheetIdMap>
  </header>
  <header guid="{D6CE68EB-9A01-4C3E-A7A2-FDBCBFE27B9D}" dateTime="2020-05-12T10:28:33" maxSheetId="11" userName="GUP7HC" r:id="rId331" minRId="4020">
    <sheetIdMap count="10">
      <sheetId val="1"/>
      <sheetId val="2"/>
      <sheetId val="3"/>
      <sheetId val="4"/>
      <sheetId val="5"/>
      <sheetId val="6"/>
      <sheetId val="7"/>
      <sheetId val="8"/>
      <sheetId val="9"/>
      <sheetId val="10"/>
    </sheetIdMap>
  </header>
  <header guid="{9981D9D2-6E0A-474E-B97F-E2E51459F994}" dateTime="2020-05-12T10:47:39" maxSheetId="11" userName="EXTERNAL Nguyen Trung Hieu (Ban Vien, RBVH/EPS45)" r:id="rId332" minRId="4023" maxRId="4029">
    <sheetIdMap count="10">
      <sheetId val="1"/>
      <sheetId val="2"/>
      <sheetId val="3"/>
      <sheetId val="4"/>
      <sheetId val="5"/>
      <sheetId val="6"/>
      <sheetId val="7"/>
      <sheetId val="8"/>
      <sheetId val="9"/>
      <sheetId val="10"/>
    </sheetIdMap>
  </header>
  <header guid="{FF9AC31F-761B-4349-832D-891AA81C0ED4}" dateTime="2020-05-12T12:13:37" maxSheetId="11" userName="GUP7HC" r:id="rId333">
    <sheetIdMap count="10">
      <sheetId val="1"/>
      <sheetId val="2"/>
      <sheetId val="3"/>
      <sheetId val="4"/>
      <sheetId val="5"/>
      <sheetId val="6"/>
      <sheetId val="7"/>
      <sheetId val="8"/>
      <sheetId val="9"/>
      <sheetId val="10"/>
    </sheetIdMap>
  </header>
  <header guid="{CD14B380-0A0E-4AD2-8A92-E9C8DD702A59}" dateTime="2020-05-12T13:20:02" maxSheetId="11" userName="GUP7HC" r:id="rId334">
    <sheetIdMap count="10">
      <sheetId val="1"/>
      <sheetId val="2"/>
      <sheetId val="3"/>
      <sheetId val="4"/>
      <sheetId val="5"/>
      <sheetId val="6"/>
      <sheetId val="7"/>
      <sheetId val="8"/>
      <sheetId val="9"/>
      <sheetId val="10"/>
    </sheetIdMap>
  </header>
  <header guid="{957EE382-3160-46CB-9E2D-64599F25B1BF}" dateTime="2020-05-12T13:36:40" maxSheetId="11" userName="GUP7HC" r:id="rId335">
    <sheetIdMap count="10">
      <sheetId val="1"/>
      <sheetId val="2"/>
      <sheetId val="3"/>
      <sheetId val="4"/>
      <sheetId val="5"/>
      <sheetId val="6"/>
      <sheetId val="7"/>
      <sheetId val="8"/>
      <sheetId val="9"/>
      <sheetId val="10"/>
    </sheetIdMap>
  </header>
  <header guid="{6BE10E7E-D9F5-47D4-A8ED-272EF88ABF83}" dateTime="2020-05-12T14:01:36" maxSheetId="11" userName="EXTERNAL Luu Cong Dac (Ban Vien, RBVH/EPS45)" r:id="rId336" minRId="4038" maxRId="4057">
    <sheetIdMap count="10">
      <sheetId val="1"/>
      <sheetId val="2"/>
      <sheetId val="3"/>
      <sheetId val="4"/>
      <sheetId val="5"/>
      <sheetId val="6"/>
      <sheetId val="7"/>
      <sheetId val="8"/>
      <sheetId val="9"/>
      <sheetId val="10"/>
    </sheetIdMap>
  </header>
  <header guid="{3D7B352D-4C8F-41A3-B363-E636241B33B3}" dateTime="2020-05-12T14:13:49" maxSheetId="11" userName="GUP7HC" r:id="rId337">
    <sheetIdMap count="10">
      <sheetId val="1"/>
      <sheetId val="2"/>
      <sheetId val="3"/>
      <sheetId val="4"/>
      <sheetId val="5"/>
      <sheetId val="6"/>
      <sheetId val="7"/>
      <sheetId val="8"/>
      <sheetId val="9"/>
      <sheetId val="10"/>
    </sheetIdMap>
  </header>
  <header guid="{A8188348-28DA-47C6-883E-F0F176DAC346}" dateTime="2020-05-12T14:17:02" maxSheetId="11" userName="EXTERNAL Nguyen Tai Hau (Ban Vien, RBVH/EPS45)" r:id="rId338" minRId="4062" maxRId="4075">
    <sheetIdMap count="10">
      <sheetId val="1"/>
      <sheetId val="2"/>
      <sheetId val="3"/>
      <sheetId val="4"/>
      <sheetId val="5"/>
      <sheetId val="6"/>
      <sheetId val="7"/>
      <sheetId val="8"/>
      <sheetId val="9"/>
      <sheetId val="10"/>
    </sheetIdMap>
  </header>
  <header guid="{D82C25DE-C837-430A-8E93-9832DC9A45AC}" dateTime="2020-05-12T14:17:39" maxSheetId="11" userName="EXTERNAL Nguyen Tai Hau (Ban Vien, RBVH/EPS45)" r:id="rId339" minRId="4078">
    <sheetIdMap count="10">
      <sheetId val="1"/>
      <sheetId val="2"/>
      <sheetId val="3"/>
      <sheetId val="4"/>
      <sheetId val="5"/>
      <sheetId val="6"/>
      <sheetId val="7"/>
      <sheetId val="8"/>
      <sheetId val="9"/>
      <sheetId val="10"/>
    </sheetIdMap>
  </header>
  <header guid="{9C6FD125-4662-4C49-97F0-0BA4B3DA0F90}" dateTime="2020-05-12T14:40:27" maxSheetId="11" userName="GUP7HC" r:id="rId340">
    <sheetIdMap count="10">
      <sheetId val="1"/>
      <sheetId val="2"/>
      <sheetId val="3"/>
      <sheetId val="4"/>
      <sheetId val="5"/>
      <sheetId val="6"/>
      <sheetId val="7"/>
      <sheetId val="8"/>
      <sheetId val="9"/>
      <sheetId val="10"/>
    </sheetIdMap>
  </header>
  <header guid="{145569F9-DFE5-46B0-BF4F-45A1A2497836}" dateTime="2020-05-12T14:43:57" maxSheetId="11" userName="EXTERNAL Nguyen Tai Hau (Ban Vien, RBVH/EPS45)" r:id="rId341" minRId="4083" maxRId="4088">
    <sheetIdMap count="10">
      <sheetId val="1"/>
      <sheetId val="2"/>
      <sheetId val="3"/>
      <sheetId val="4"/>
      <sheetId val="5"/>
      <sheetId val="6"/>
      <sheetId val="7"/>
      <sheetId val="8"/>
      <sheetId val="9"/>
      <sheetId val="10"/>
    </sheetIdMap>
  </header>
  <header guid="{895E97F6-7612-497F-8245-82F97D0D62BD}" dateTime="2020-05-12T14:44:05" maxSheetId="11" userName="EXTERNAL Nguyen Tai Hau (Ban Vien, RBVH/EPS45)" r:id="rId342" minRId="4091" maxRId="4092">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 sId="1">
    <nc r="S127" t="inlineStr">
      <is>
        <t>hieu.nguyen-trung</t>
      </is>
    </nc>
  </rcc>
  <rcc rId="4" sId="1">
    <nc r="S128" t="inlineStr">
      <is>
        <t>hieu.nguyen-trung</t>
      </is>
    </nc>
  </rc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Merged_COEM!$B$47:$AN$113</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28" start="0" length="0">
    <dxf>
      <font>
        <b/>
        <sz val="11"/>
        <color theme="1"/>
        <name val="Calibri"/>
        <scheme val="minor"/>
      </font>
    </dxf>
  </rfmt>
  <rcc rId="9" sId="4" odxf="1" dxf="1">
    <nc r="B28" t="inlineStr">
      <is>
        <t>Project</t>
      </is>
    </nc>
    <odxf>
      <font>
        <b val="0"/>
        <sz val="11"/>
        <color theme="1"/>
        <name val="Calibri"/>
        <scheme val="minor"/>
      </font>
    </odxf>
    <ndxf>
      <font>
        <b/>
        <sz val="11"/>
        <color theme="1"/>
        <name val="Calibri"/>
        <scheme val="minor"/>
      </font>
    </ndxf>
  </rcc>
  <rfmt sheetId="4" sqref="C28" start="0" length="0">
    <dxf>
      <font>
        <b/>
        <sz val="11"/>
        <color theme="1"/>
        <name val="Calibri"/>
        <scheme val="minor"/>
      </font>
    </dxf>
  </rfmt>
  <rcc rId="10" sId="4" odxf="1" dxf="1">
    <nc r="B29" t="inlineStr">
      <is>
        <t>Time</t>
      </is>
    </nc>
    <odxf>
      <font>
        <b val="0"/>
        <sz val="11"/>
        <color theme="1"/>
        <name val="Calibri"/>
        <scheme val="minor"/>
      </font>
    </odxf>
    <ndxf>
      <font>
        <b/>
        <sz val="11"/>
        <color theme="1"/>
        <name val="Calibri"/>
        <scheme val="minor"/>
      </font>
    </ndxf>
  </rcc>
  <rcc rId="11" sId="4">
    <nc r="C29">
      <f>SUM(G35:G36)</f>
    </nc>
  </rcc>
  <rcc rId="12" sId="4">
    <nc r="D29" t="inlineStr">
      <is>
        <t>days</t>
      </is>
    </nc>
  </rcc>
  <rcc rId="13" sId="4" odxf="1" dxf="1">
    <nc r="B30" t="inlineStr">
      <is>
        <t>Duration (Plan)</t>
      </is>
    </nc>
    <odxf>
      <font>
        <b val="0"/>
        <sz val="11"/>
        <color theme="1"/>
        <name val="Calibri"/>
        <scheme val="minor"/>
      </font>
    </odxf>
    <ndxf>
      <font>
        <b/>
        <sz val="11"/>
        <color theme="1"/>
        <name val="Calibri"/>
        <scheme val="minor"/>
      </font>
    </ndxf>
  </rcc>
  <rcc rId="14" sId="4">
    <nc r="C30">
      <f>SUM(INT((WEEKDAY(F30-{2,3,4,5,6})+H30-F30)/7))-2</f>
    </nc>
  </rcc>
  <rcc rId="15" sId="4">
    <nc r="D30" t="inlineStr">
      <is>
        <t>days</t>
      </is>
    </nc>
  </rcc>
  <rcc rId="16" sId="4">
    <nc r="E30" t="inlineStr">
      <is>
        <t>10h00</t>
      </is>
    </nc>
  </rcc>
  <rcc rId="17" sId="4" odxf="1" dxf="1" numFmtId="19">
    <nc r="F30">
      <v>43949</v>
    </nc>
    <odxf>
      <numFmt numFmtId="0" formatCode="General"/>
    </odxf>
    <ndxf>
      <numFmt numFmtId="19" formatCode="m/d/yyyy"/>
    </ndxf>
  </rcc>
  <rcc rId="18" sId="4" odxf="1" dxf="1">
    <nc r="G30" t="inlineStr">
      <is>
        <t>17h00</t>
      </is>
    </nc>
    <odxf>
      <numFmt numFmtId="0" formatCode="General"/>
    </odxf>
    <ndxf>
      <numFmt numFmtId="19" formatCode="m/d/yyyy"/>
    </ndxf>
  </rcc>
  <rcc rId="19" sId="4" odxf="1" dxf="1" numFmtId="19">
    <nc r="H30">
      <v>43956</v>
    </nc>
    <odxf>
      <numFmt numFmtId="0" formatCode="General"/>
    </odxf>
    <ndxf>
      <numFmt numFmtId="19" formatCode="m/d/yyyy"/>
    </ndxf>
  </rcc>
  <rcc rId="20" sId="4" odxf="1" dxf="1">
    <nc r="B31" t="inlineStr">
      <is>
        <t>Duration (Actual)</t>
      </is>
    </nc>
    <odxf>
      <font>
        <b val="0"/>
        <sz val="11"/>
        <color theme="1"/>
        <name val="Calibri"/>
        <scheme val="minor"/>
      </font>
    </odxf>
    <ndxf>
      <font>
        <b/>
        <sz val="11"/>
        <color theme="1"/>
        <name val="Calibri"/>
        <scheme val="minor"/>
      </font>
    </ndxf>
  </rcc>
  <rcc rId="21" sId="4">
    <nc r="C31">
      <f>SUM(INT((WEEKDAY(F31-{2,3,4,5,6})+H31-F31)/7))-2</f>
    </nc>
  </rcc>
  <rcc rId="22" sId="4">
    <nc r="D31" t="inlineStr">
      <is>
        <t>days</t>
      </is>
    </nc>
  </rcc>
  <rcc rId="23" sId="4">
    <nc r="E31" t="inlineStr">
      <is>
        <t>13h00</t>
      </is>
    </nc>
  </rcc>
  <rcc rId="24" sId="4" odxf="1" dxf="1" numFmtId="19">
    <nc r="F31">
      <v>43949</v>
    </nc>
    <odxf>
      <numFmt numFmtId="0" formatCode="General"/>
    </odxf>
    <ndxf>
      <numFmt numFmtId="19" formatCode="m/d/yyyy"/>
    </ndxf>
  </rcc>
  <rcc rId="25" sId="4" odxf="1" dxf="1">
    <nc r="G31" t="inlineStr">
      <is>
        <t>17h00</t>
      </is>
    </nc>
    <odxf>
      <numFmt numFmtId="0" formatCode="General"/>
    </odxf>
    <ndxf>
      <numFmt numFmtId="19" formatCode="m/d/yyyy"/>
    </ndxf>
  </rcc>
  <rcc rId="26" sId="4" odxf="1" dxf="1" numFmtId="19">
    <nc r="H31">
      <v>43956</v>
    </nc>
    <odxf>
      <numFmt numFmtId="0" formatCode="General"/>
    </odxf>
    <ndxf>
      <numFmt numFmtId="19" formatCode="m/d/yyyy"/>
    </ndxf>
  </rcc>
  <rcc rId="27" sId="4" odxf="1" dxf="1">
    <nc r="B32" t="inlineStr">
      <is>
        <t>Status</t>
      </is>
    </nc>
    <odxf>
      <font>
        <b val="0"/>
        <sz val="11"/>
        <color theme="1"/>
        <name val="Calibri"/>
        <scheme val="minor"/>
      </font>
    </odxf>
    <ndxf>
      <font>
        <b/>
        <sz val="11"/>
        <color theme="1"/>
        <name val="Calibri"/>
        <scheme val="minor"/>
      </font>
    </ndxf>
  </rcc>
  <rcc rId="28" sId="4">
    <nc r="C32">
      <f>IF(SUM(H35:H36)&gt;SUM(G35:G36),"Delayed",IF(SUM(H35:H36)&lt;SUM(G35:G36),"InAdvanced","Ontime"))</f>
    </nc>
  </rcc>
  <rfmt sheetId="4" sqref="F32" start="0" length="0">
    <dxf>
      <numFmt numFmtId="19" formatCode="m/d/yyyy"/>
    </dxf>
  </rfmt>
  <rfmt sheetId="4" sqref="G32" start="0" length="0">
    <dxf>
      <numFmt numFmtId="19" formatCode="m/d/yyyy"/>
    </dxf>
  </rfmt>
  <rfmt sheetId="4" sqref="H32" start="0" length="0">
    <dxf>
      <numFmt numFmtId="19" formatCode="m/d/yyyy"/>
    </dxf>
  </rfmt>
  <rcc rId="29" sId="4" odxf="1" dxf="1">
    <nc r="C3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0" sId="4" odxf="1" dxf="1">
    <nc r="D3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1" sId="4" odxf="1" dxf="1">
    <nc r="E3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2" sId="4" odxf="1" dxf="1">
    <nc r="F3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 sId="4" odxf="1" dxf="1">
    <nc r="G3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4" sId="4" odxf="1" dxf="1">
    <nc r="H3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5" sId="4" odxf="1" dxf="1">
    <nc r="I3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6" sId="4" odxf="1" dxf="1">
    <nc r="C3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37" sId="4" odxf="1" dxf="1">
    <nc r="D35"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8" sId="4" odxf="1" dxf="1">
    <nc r="E35">
      <f>SUMIFS(Merged_COEM!$W$48:$W$192,Merged_COEM!$D$48:$D$192,Table!$D$3,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9" sId="4" odxf="1" dxf="1">
    <nc r="F35">
      <f>SUMIFS(Merged_COEM!$X$48:$X$192,Merged_COEM!$D$48:$D$192,Table!$D$3, Merged_COEM!$C$48:$C$192,C28)-SUM(SUMIFS(Merged_COEM!$X$48:$X$192,Merged_COEM!$D$48:$D$192,Table!$D$3,Merged_COEM!$AA$48:$AA$192,{"Ongoing","N/A",""},Merged_COEM!$C$48:$C$192,C28))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0" sId="4" odxf="1" dxf="1">
    <nc r="G35">
      <f>1/8*(SUMIFS(Merged_COEM!$Y$48:$Y$192,Merged_COEM!$D$48:$D$192,Table!$D$3,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1" sId="4" odxf="1" dxf="1">
    <nc r="H35">
      <f>1/8*(SUMIFS(Merged_COEM!$Z$48:$Z$192,Merged_COEM!$D$48:$D$192,Table!$D$3, Merged_COEM!$C$48:$C$192,C28)-SUM(SUMIFS(Merged_COEM!$Z$48:$Z$192,Merged_COEM!$D$48:$D$192,Table!$D$3,Merged_COEM!$AA$48:$AA$192,{"Ongoing","N/A",""},Merged_COEM!$C$48:$C$192,C28)))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2" sId="4" odxf="1" dxf="1">
    <nc r="I35">
      <f>IFERROR(F35/E35,"N/A")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43" sId="4" odxf="1" dxf="1">
    <nc r="C3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44" sId="4" odxf="1" dxf="1">
    <nc r="D36"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5" sId="4" odxf="1" dxf="1">
    <nc r="E36">
      <f>SUMIFS(Merged_COEM!$W$48:$W$192,Merged_COEM!$D$48:$D$192,Table!$C$3,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6" sId="4" odxf="1" dxf="1">
    <nc r="F36">
      <f>SUMIFS(Merged_COEM!$X$48:$X$192,Merged_COEM!$D$48:$D$192,Table!$C$3, Merged_COEM!$C$48:$C$192,C28)-SUM(SUMIFS(Merged_COEM!$X$48:$X$192,Merged_COEM!$D$48:$D$192,Table!$C$3,Merged_COEM!$AA$48:$AA$192,{"Ongoing","N/A",""},Merged_COEM!$C$48:$C$192,C28))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7" sId="4" odxf="1" dxf="1">
    <nc r="G36">
      <f>1/8*(SUMIFS(Merged_COEM!$Y$48:$Y$192,Merged_COEM!$D$48:$D$192,Table!$C$3, 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8" sId="4" odxf="1" dxf="1">
    <nc r="H36">
      <f>1/8*(SUMIFS(Merged_COEM!$Z$48:$Z$192,Merged_COEM!$D$48:$D$192,Table!$C$3, Merged_COEM!$C$48:$C$192,C28)-SUM(SUMIFS(Merged_COEM!$Z$48:$Z$192,Merged_COEM!$D$48:$D$192,Table!$C$3,Merged_COEM!$AA$48:$AA$192,{"Ongoing","N/A",""},Merged_COEM!$C$48:$C$192,C28)))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49" sId="4" odxf="1" dxf="1">
    <nc r="I36">
      <f>IFERROR(F36/E36,"N/A")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0" sId="4">
    <nc r="C38" t="inlineStr">
      <is>
        <t>Brief Description:</t>
      </is>
    </nc>
  </rcc>
  <rcc rId="51" sId="4" odxf="1" quotePrefix="1">
    <nc r="D39" t="inlineStr">
      <is>
        <t>- No comment</t>
      </is>
    </nc>
    <odxf/>
  </rcc>
  <rcc rId="52" sId="4">
    <nc r="A28">
      <v>3</v>
    </nc>
  </rcc>
  <rcc rId="53" sId="4">
    <nc r="C28">
      <v>20200504</v>
    </nc>
  </rcc>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41" start="0" length="0">
    <dxf>
      <font>
        <b/>
        <sz val="11"/>
        <color theme="1"/>
        <name val="Calibri"/>
        <scheme val="minor"/>
      </font>
    </dxf>
  </rfmt>
  <rcc rId="54" sId="4" odxf="1" dxf="1">
    <nc r="B41" t="inlineStr">
      <is>
        <t>Project</t>
      </is>
    </nc>
    <odxf>
      <font>
        <b val="0"/>
        <sz val="11"/>
        <color theme="1"/>
        <name val="Calibri"/>
        <scheme val="minor"/>
      </font>
    </odxf>
    <ndxf>
      <font>
        <b/>
        <sz val="11"/>
        <color theme="1"/>
        <name val="Calibri"/>
        <scheme val="minor"/>
      </font>
    </ndxf>
  </rcc>
  <rfmt sheetId="4" sqref="C41" start="0" length="0">
    <dxf>
      <font>
        <b/>
        <sz val="11"/>
        <color theme="1"/>
        <name val="Calibri"/>
        <scheme val="minor"/>
      </font>
    </dxf>
  </rfmt>
  <rcc rId="55" sId="4" odxf="1" dxf="1">
    <nc r="B42" t="inlineStr">
      <is>
        <t>Time</t>
      </is>
    </nc>
    <odxf>
      <font>
        <b val="0"/>
        <sz val="11"/>
        <color theme="1"/>
        <name val="Calibri"/>
        <scheme val="minor"/>
      </font>
    </odxf>
    <ndxf>
      <font>
        <b/>
        <sz val="11"/>
        <color theme="1"/>
        <name val="Calibri"/>
        <scheme val="minor"/>
      </font>
    </ndxf>
  </rcc>
  <rcc rId="56" sId="4">
    <nc r="C42">
      <f>SUM(G48:G49)</f>
    </nc>
  </rcc>
  <rcc rId="57" sId="4">
    <nc r="D42" t="inlineStr">
      <is>
        <t>days</t>
      </is>
    </nc>
  </rcc>
  <rcc rId="58" sId="4" odxf="1" dxf="1">
    <nc r="B43" t="inlineStr">
      <is>
        <t>Duration (Plan)</t>
      </is>
    </nc>
    <odxf>
      <font>
        <b val="0"/>
        <sz val="11"/>
        <color theme="1"/>
        <name val="Calibri"/>
        <scheme val="minor"/>
      </font>
    </odxf>
    <ndxf>
      <font>
        <b/>
        <sz val="11"/>
        <color theme="1"/>
        <name val="Calibri"/>
        <scheme val="minor"/>
      </font>
    </ndxf>
  </rcc>
  <rcc rId="59" sId="4">
    <nc r="C43">
      <f>SUM(INT((WEEKDAY(F43-{2,3,4,5,6})+H43-F43)/7))-2</f>
    </nc>
  </rcc>
  <rcc rId="60" sId="4">
    <nc r="D43" t="inlineStr">
      <is>
        <t>days</t>
      </is>
    </nc>
  </rcc>
  <rcc rId="61" sId="4">
    <nc r="E43" t="inlineStr">
      <is>
        <t>10h00</t>
      </is>
    </nc>
  </rcc>
  <rcc rId="62" sId="4" odxf="1" dxf="1" numFmtId="19">
    <nc r="F43">
      <v>43949</v>
    </nc>
    <odxf>
      <numFmt numFmtId="0" formatCode="General"/>
    </odxf>
    <ndxf>
      <numFmt numFmtId="19" formatCode="m/d/yyyy"/>
    </ndxf>
  </rcc>
  <rcc rId="63" sId="4" odxf="1" dxf="1">
    <nc r="G43" t="inlineStr">
      <is>
        <t>17h00</t>
      </is>
    </nc>
    <odxf>
      <numFmt numFmtId="0" formatCode="General"/>
    </odxf>
    <ndxf>
      <numFmt numFmtId="19" formatCode="m/d/yyyy"/>
    </ndxf>
  </rcc>
  <rcc rId="64" sId="4" odxf="1" dxf="1" numFmtId="19">
    <nc r="H43">
      <v>43956</v>
    </nc>
    <odxf>
      <numFmt numFmtId="0" formatCode="General"/>
    </odxf>
    <ndxf>
      <numFmt numFmtId="19" formatCode="m/d/yyyy"/>
    </ndxf>
  </rcc>
  <rcc rId="65" sId="4" odxf="1" dxf="1">
    <nc r="B44" t="inlineStr">
      <is>
        <t>Duration (Actual)</t>
      </is>
    </nc>
    <odxf>
      <font>
        <b val="0"/>
        <sz val="11"/>
        <color theme="1"/>
        <name val="Calibri"/>
        <scheme val="minor"/>
      </font>
    </odxf>
    <ndxf>
      <font>
        <b/>
        <sz val="11"/>
        <color theme="1"/>
        <name val="Calibri"/>
        <scheme val="minor"/>
      </font>
    </ndxf>
  </rcc>
  <rcc rId="66" sId="4">
    <nc r="C44">
      <f>SUM(INT((WEEKDAY(F44-{2,3,4,5,6})+H44-F44)/7))-2</f>
    </nc>
  </rcc>
  <rcc rId="67" sId="4">
    <nc r="D44" t="inlineStr">
      <is>
        <t>days</t>
      </is>
    </nc>
  </rcc>
  <rcc rId="68" sId="4">
    <nc r="E44" t="inlineStr">
      <is>
        <t>13h00</t>
      </is>
    </nc>
  </rcc>
  <rcc rId="69" sId="4" odxf="1" dxf="1" numFmtId="19">
    <nc r="F44">
      <v>43949</v>
    </nc>
    <odxf>
      <numFmt numFmtId="0" formatCode="General"/>
    </odxf>
    <ndxf>
      <numFmt numFmtId="19" formatCode="m/d/yyyy"/>
    </ndxf>
  </rcc>
  <rcc rId="70" sId="4" odxf="1" dxf="1">
    <nc r="G44" t="inlineStr">
      <is>
        <t>17h00</t>
      </is>
    </nc>
    <odxf>
      <numFmt numFmtId="0" formatCode="General"/>
    </odxf>
    <ndxf>
      <numFmt numFmtId="19" formatCode="m/d/yyyy"/>
    </ndxf>
  </rcc>
  <rcc rId="71" sId="4" odxf="1" dxf="1" numFmtId="19">
    <nc r="H44">
      <v>43956</v>
    </nc>
    <odxf>
      <numFmt numFmtId="0" formatCode="General"/>
    </odxf>
    <ndxf>
      <numFmt numFmtId="19" formatCode="m/d/yyyy"/>
    </ndxf>
  </rcc>
  <rcc rId="72" sId="4" odxf="1" dxf="1">
    <nc r="B45" t="inlineStr">
      <is>
        <t>Status</t>
      </is>
    </nc>
    <odxf>
      <font>
        <b val="0"/>
        <sz val="11"/>
        <color theme="1"/>
        <name val="Calibri"/>
        <scheme val="minor"/>
      </font>
    </odxf>
    <ndxf>
      <font>
        <b/>
        <sz val="11"/>
        <color theme="1"/>
        <name val="Calibri"/>
        <scheme val="minor"/>
      </font>
    </ndxf>
  </rcc>
  <rcc rId="73" sId="4">
    <nc r="C45">
      <f>IF(SUM(H48:H49)&gt;SUM(G48:G49),"Delayed",IF(SUM(H48:H49)&lt;SUM(G48:G49),"InAdvanced","Ontime"))</f>
    </nc>
  </rcc>
  <rfmt sheetId="4" sqref="F45" start="0" length="0">
    <dxf>
      <numFmt numFmtId="19" formatCode="m/d/yyyy"/>
    </dxf>
  </rfmt>
  <rfmt sheetId="4" sqref="G45" start="0" length="0">
    <dxf>
      <numFmt numFmtId="19" formatCode="m/d/yyyy"/>
    </dxf>
  </rfmt>
  <rfmt sheetId="4" sqref="H45" start="0" length="0">
    <dxf>
      <numFmt numFmtId="19" formatCode="m/d/yyyy"/>
    </dxf>
  </rfmt>
  <rcc rId="74" sId="4" odxf="1" dxf="1">
    <nc r="C4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75" sId="4" odxf="1" dxf="1">
    <nc r="D4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76" sId="4" odxf="1" dxf="1">
    <nc r="E4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7" sId="4" odxf="1" dxf="1">
    <nc r="F4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8" sId="4" odxf="1" dxf="1">
    <nc r="G4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79" sId="4" odxf="1" dxf="1">
    <nc r="H4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0" sId="4" odxf="1" dxf="1">
    <nc r="I4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1" sId="4" odxf="1" dxf="1">
    <nc r="C4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2" sId="4" odxf="1" dxf="1">
    <nc r="D48"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3" sId="4" odxf="1" dxf="1">
    <nc r="E48">
      <f>SUMIFS(Merged_COEM!$W$48:$W$192,Merged_COEM!$D$48:$D$192,Table!$D$3,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4" sId="4" odxf="1" dxf="1">
    <nc r="F48">
      <f>SUMIFS(Merged_COEM!$X$48:$X$192,Merged_COEM!$D$48:$D$192,Table!$D$3, Merged_COEM!$C$48:$C$192,C41)-SUM(SUMIFS(Merged_COEM!$X$48:$X$192,Merged_COEM!$D$48:$D$192,Table!$D$3,Merged_COEM!$AA$48:$AA$192,{"Ongoing","N/A",""},Merged_COEM!$C$48:$C$192,C41))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 sId="4" odxf="1" dxf="1">
    <nc r="G48">
      <f>1/8*(SUMIFS(Merged_COEM!$Y$48:$Y$192,Merged_COEM!$D$48:$D$192,Table!$D$3,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 sId="4" odxf="1" dxf="1">
    <nc r="H48">
      <f>1/8*(SUMIFS(Merged_COEM!$Z$48:$Z$192,Merged_COEM!$D$48:$D$192,Table!$D$3, Merged_COEM!$C$48:$C$192,C41)-SUM(SUMIFS(Merged_COEM!$Z$48:$Z$192,Merged_COEM!$D$48:$D$192,Table!$D$3,Merged_COEM!$AA$48:$AA$192,{"Ongoing","N/A",""},Merged_COEM!$C$48:$C$192,C41)))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7" sId="4" odxf="1" dxf="1">
    <nc r="I48">
      <f>IFERROR(F48/E48,"N/A")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8" sId="4" odxf="1" dxf="1">
    <nc r="C4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 sId="4" odxf="1" dxf="1">
    <nc r="D49"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 sId="4" odxf="1" dxf="1">
    <nc r="E49">
      <f>SUMIFS(Merged_COEM!$W$48:$W$192,Merged_COEM!$D$48:$D$192,Table!$C$3,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1" sId="4" odxf="1" dxf="1">
    <nc r="F49">
      <f>SUMIFS(Merged_COEM!$X$48:$X$192,Merged_COEM!$D$48:$D$192,Table!$C$3, Merged_COEM!$C$48:$C$192,C41)-SUM(SUMIFS(Merged_COEM!$X$48:$X$192,Merged_COEM!$D$48:$D$192,Table!$C$3,Merged_COEM!$AA$48:$AA$192,{"Ongoing","N/A",""},Merged_COEM!$C$48:$C$192,C41))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2" sId="4" odxf="1" dxf="1">
    <nc r="G49">
      <f>1/8*(SUMIFS(Merged_COEM!$Y$48:$Y$192,Merged_COEM!$D$48:$D$192,Table!$C$3, 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3" sId="4" odxf="1" dxf="1">
    <nc r="H49">
      <f>1/8*(SUMIFS(Merged_COEM!$Z$48:$Z$192,Merged_COEM!$D$48:$D$192,Table!$C$3, Merged_COEM!$C$48:$C$192,C41)-SUM(SUMIFS(Merged_COEM!$Z$48:$Z$192,Merged_COEM!$D$48:$D$192,Table!$C$3,Merged_COEM!$AA$48:$AA$192,{"Ongoing","N/A",""},Merged_COEM!$C$48:$C$192,C41)))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4" sId="4" odxf="1" dxf="1">
    <nc r="I49">
      <f>IFERROR(F49/E49,"N/A")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5" sId="4">
    <nc r="C51" t="inlineStr">
      <is>
        <t>Brief Description:</t>
      </is>
    </nc>
  </rcc>
  <rcc rId="96" sId="4" odxf="1" quotePrefix="1">
    <nc r="D52" t="inlineStr">
      <is>
        <t>- No comment</t>
      </is>
    </nc>
    <odxf/>
  </rcc>
  <rcc rId="97" sId="4">
    <nc r="A41">
      <v>4</v>
    </nc>
  </rcc>
  <rcc rId="98" sId="4">
    <nc r="C41">
      <v>20200506</v>
    </nc>
  </rc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68" start="0" length="0">
    <dxf>
      <font>
        <sz val="11"/>
        <color theme="1"/>
        <name val="Calibri"/>
        <scheme val="minor"/>
      </font>
      <fill>
        <patternFill patternType="none">
          <bgColor indexed="65"/>
        </patternFill>
      </fill>
    </dxf>
  </rfmt>
  <rfmt sheetId="1" sqref="I73" start="0" length="0">
    <dxf>
      <font>
        <sz val="11"/>
        <color theme="1"/>
        <name val="Calibri"/>
        <scheme val="minor"/>
      </font>
      <fill>
        <patternFill patternType="none">
          <bgColor indexed="65"/>
        </patternFill>
      </fill>
    </dxf>
  </rfmt>
  <rfmt sheetId="1" sqref="I87" start="0" length="0">
    <dxf>
      <font>
        <sz val="11"/>
        <color theme="1"/>
        <name val="Calibri"/>
        <scheme val="minor"/>
      </font>
      <fill>
        <patternFill patternType="none">
          <bgColor indexed="65"/>
        </patternFill>
      </fill>
    </dxf>
  </rfmt>
  <rfmt sheetId="1" sqref="I97" start="0" length="0">
    <dxf>
      <font>
        <sz val="11"/>
        <color theme="1"/>
        <name val="Calibri"/>
        <scheme val="minor"/>
      </font>
      <fill>
        <patternFill patternType="none">
          <bgColor indexed="65"/>
        </patternFill>
      </fill>
    </dxf>
  </rfmt>
  <rfmt sheetId="1" sqref="I98" start="0" length="0">
    <dxf>
      <font>
        <sz val="11"/>
        <color theme="1"/>
        <name val="Calibri"/>
        <scheme val="minor"/>
      </font>
      <fill>
        <patternFill patternType="none">
          <bgColor indexed="65"/>
        </patternFill>
      </fill>
    </dxf>
  </rfmt>
  <rfmt sheetId="1" sqref="I112" start="0" length="0">
    <dxf/>
  </rfmt>
  <rfmt sheetId="1" sqref="I113" start="0" length="0">
    <dxf/>
  </rfmt>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 sId="1">
    <nc r="X74">
      <v>8</v>
    </nc>
  </rcc>
  <rcc rId="100" sId="1">
    <nc r="Z74">
      <v>0.5</v>
    </nc>
  </rcc>
  <rcc rId="101" sId="1">
    <nc r="AA74" t="inlineStr">
      <is>
        <t>Ready for review</t>
      </is>
    </nc>
  </rcc>
  <rcc rId="102" sId="1" numFmtId="19">
    <nc r="AB113">
      <v>43957</v>
    </nc>
  </rcc>
  <rcc rId="103" sId="1" numFmtId="19">
    <nc r="AB112">
      <v>43957</v>
    </nc>
  </rcc>
  <rcc rId="104" sId="1">
    <oc r="AA112" t="inlineStr">
      <is>
        <t>Ready for review</t>
      </is>
    </oc>
    <nc r="AA112" t="inlineStr">
      <is>
        <t>Ready for PLC</t>
      </is>
    </nc>
  </rcc>
  <rcc rId="105" sId="1">
    <oc r="AA113" t="inlineStr">
      <is>
        <t>Ready for review</t>
      </is>
    </oc>
    <nc r="AA113" t="inlineStr">
      <is>
        <t>Ready for PLC</t>
      </is>
    </nc>
  </rcc>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 sId="1" numFmtId="19">
    <nc r="AE74">
      <v>43957</v>
    </nc>
  </rcc>
  <rcc rId="109" sId="1" numFmtId="19">
    <nc r="AF74">
      <v>43957</v>
    </nc>
  </rcc>
  <rcc rId="110" sId="1">
    <nc r="AG74" t="inlineStr">
      <is>
        <t>OK</t>
      </is>
    </nc>
  </rcc>
  <rcc rId="111" sId="1" numFmtId="14">
    <nc r="AH74">
      <v>1</v>
    </nc>
  </rcc>
  <rcc rId="112" sId="1" numFmtId="14">
    <nc r="AI74">
      <v>1</v>
    </nc>
  </rcc>
  <rcc rId="113" sId="1" numFmtId="14">
    <nc r="AJ74">
      <v>1</v>
    </nc>
  </rcc>
  <rcc rId="114" sId="1">
    <nc r="AK74" t="inlineStr">
      <is>
        <t>None</t>
      </is>
    </nc>
  </rcc>
  <rcc rId="115" sId="1">
    <nc r="AL74" t="inlineStr">
      <is>
        <t>-</t>
      </is>
    </nc>
  </rcc>
  <rcc rId="116" sId="1">
    <nc r="AM74" t="inlineStr">
      <is>
        <t>-</t>
      </is>
    </nc>
  </rcc>
  <rcc rId="117" sId="1">
    <nc r="AN74" t="inlineStr">
      <is>
        <t>-</t>
      </is>
    </nc>
  </rcc>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Merged_COEM!$B$47:$AN$113</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 sId="1">
    <oc r="AK48" t="inlineStr">
      <is>
        <t>OPL</t>
      </is>
    </oc>
    <nc r="AK48" t="inlineStr">
      <is>
        <t>None</t>
      </is>
    </nc>
  </rcc>
  <rcc rId="123" sId="1">
    <oc r="AK50" t="inlineStr">
      <is>
        <t>OPL</t>
      </is>
    </oc>
    <nc r="AK50" t="inlineStr">
      <is>
        <t>None</t>
      </is>
    </nc>
  </rcc>
  <rcc rId="124" sId="1">
    <oc r="AK51" t="inlineStr">
      <is>
        <t>OPL</t>
      </is>
    </oc>
    <nc r="AK51" t="inlineStr">
      <is>
        <t>None</t>
      </is>
    </nc>
  </rcc>
  <rcc rId="125" sId="1">
    <oc r="AK67" t="inlineStr">
      <is>
        <t>OPL</t>
      </is>
    </oc>
    <nc r="AK67" t="inlineStr">
      <is>
        <t>None</t>
      </is>
    </nc>
  </rcc>
  <rcv guid="{3B3E6719-EACB-4D2C-89C1-05FFAB6020FD}" action="delete"/>
  <rdn rId="0" localSheetId="1" customView="1" name="Z_3B3E6719_EACB_4D2C_89C1_05FFAB6020FD_.wvu.FilterData" hidden="1" oldHidden="1">
    <formula>Merged_COEM!$B$47:$AN$128</formula>
    <oldFormula>Merged_COEM!$B$47:$AN$113</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G66" start="0" length="0">
    <dxf/>
  </rfmt>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 sId="1">
    <oc r="AK48" t="inlineStr">
      <is>
        <t>None</t>
      </is>
    </oc>
    <nc r="AK48" t="inlineStr">
      <is>
        <t>OPL</t>
      </is>
    </nc>
  </rcc>
  <rcc rId="135" sId="1">
    <oc r="AK51" t="inlineStr">
      <is>
        <t>None</t>
      </is>
    </oc>
    <nc r="AK51" t="inlineStr">
      <is>
        <t>OPL</t>
      </is>
    </nc>
  </rcc>
  <rcc rId="136" sId="1">
    <oc r="AK67" t="inlineStr">
      <is>
        <t>None</t>
      </is>
    </oc>
    <nc r="AK67" t="inlineStr">
      <is>
        <t>OPL</t>
      </is>
    </nc>
  </rc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 sId="1">
    <oc r="Z57">
      <v>8</v>
    </oc>
    <nc r="Z57">
      <v>4</v>
    </nc>
  </rcc>
  <rcv guid="{7ECC2B8E-6A82-42F5-8AB0-4A51C54EA5EC}" action="delete"/>
  <rdn rId="0" localSheetId="1" customView="1" name="Z_7ECC2B8E_6A82_42F5_8AB0_4A51C54EA5EC_.wvu.FilterData" hidden="1" oldHidden="1">
    <formula>Merged_COEM!$B$47:$AN$128</formula>
    <oldFormula>Merged_COEM!$B$47:$AN$113</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 sId="1" numFmtId="19">
    <nc r="AB64">
      <v>43957</v>
    </nc>
  </rcc>
  <rcc rId="145" sId="1" numFmtId="19">
    <nc r="AB65">
      <v>43957</v>
    </nc>
  </rcc>
  <rcc rId="146" sId="1" numFmtId="19">
    <nc r="AB66">
      <v>43957</v>
    </nc>
  </rcc>
  <rcc rId="147" sId="1" numFmtId="19">
    <nc r="AB67">
      <v>43957</v>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A66" start="0" length="0">
    <dxf/>
  </rfmt>
  <rcc rId="150" sId="1">
    <oc r="AA64" t="inlineStr">
      <is>
        <t>Ready for review</t>
      </is>
    </oc>
    <nc r="AA64" t="inlineStr">
      <is>
        <t>Ready for PLC</t>
      </is>
    </nc>
  </rcc>
  <rcc rId="151" sId="1">
    <oc r="AA65" t="inlineStr">
      <is>
        <t>Ready for review</t>
      </is>
    </oc>
    <nc r="AA65" t="inlineStr">
      <is>
        <t>Ready for PLC</t>
      </is>
    </nc>
  </rcc>
  <rcc rId="152" sId="1">
    <oc r="AA66" t="inlineStr">
      <is>
        <t>Ready for review</t>
      </is>
    </oc>
    <nc r="AA66" t="inlineStr">
      <is>
        <t>Ready for PLC</t>
      </is>
    </nc>
  </rcc>
  <rcc rId="153" sId="1">
    <oc r="AA67" t="inlineStr">
      <is>
        <t>Ready for review</t>
      </is>
    </oc>
    <nc r="AA67" t="inlineStr">
      <is>
        <t>Pending for OPL</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2" sId="1">
    <oc r="AN51" t="inlineStr">
      <is>
        <t>Waiting owner reply</t>
      </is>
    </oc>
    <nc r="AN51" t="inlineStr">
      <is>
        <t>Waiting owner</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69:F70" start="0" length="2147483647">
    <dxf>
      <font>
        <b/>
      </font>
    </dxf>
  </rfmt>
  <rfmt sheetId="1" sqref="F75:F112" start="0" length="2147483647">
    <dxf>
      <font>
        <b/>
      </font>
    </dxf>
  </rfmt>
  <rcv guid="{7E0EA425-A420-4443-B9E0-CDF0AA9E5D09}" action="delete"/>
  <rdn rId="0" localSheetId="1" customView="1" name="Z_7E0EA425_A420_4443_B9E0_CDF0AA9E5D09_.wvu.FilterData" hidden="1" oldHidden="1">
    <formula>Merged_COEM!$B$47:$AN$113</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 sId="1">
    <nc r="X72">
      <f>W72</f>
    </nc>
  </rcc>
  <rcc rId="170" sId="1">
    <nc r="Z72">
      <v>8</v>
    </nc>
  </rcc>
  <rcc rId="171" sId="1">
    <nc r="AA72" t="inlineStr">
      <is>
        <t>Ready for review</t>
      </is>
    </nc>
  </rcc>
  <rcc rId="172" sId="1" numFmtId="19">
    <nc r="AE72">
      <v>43957</v>
    </nc>
  </rcc>
  <rcc rId="173" sId="1" numFmtId="19">
    <nc r="AF72">
      <v>43957</v>
    </nc>
  </rcc>
  <rcc rId="174" sId="1">
    <nc r="AG72" t="inlineStr">
      <is>
        <t>OK</t>
      </is>
    </nc>
  </rcc>
  <rcc rId="175" sId="1" numFmtId="14">
    <nc r="AH72">
      <v>1</v>
    </nc>
  </rcc>
  <rcc rId="176" sId="1" numFmtId="14">
    <nc r="AI72">
      <v>1</v>
    </nc>
  </rcc>
  <rcc rId="177" sId="1" numFmtId="14">
    <nc r="AJ72">
      <v>1</v>
    </nc>
  </rcc>
  <rcc rId="178" sId="1">
    <nc r="AK72" t="inlineStr">
      <is>
        <t>None</t>
      </is>
    </nc>
  </rcc>
  <rcv guid="{4E06BDBF-2CED-473B-850B-2A6C7311FF41}" action="delete"/>
  <rdn rId="0" localSheetId="1" customView="1" name="Z_4E06BDBF_2CED_473B_850B_2A6C7311FF41_.wvu.FilterData" hidden="1" oldHidden="1">
    <formula>Merged_COEM!$A$47:$AN$128</formula>
    <oldFormula>Merged_COEM!$A$47:$AN$113</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 sId="1">
    <nc r="Z119">
      <v>0.5</v>
    </nc>
  </rcc>
  <rcc rId="182" sId="1">
    <nc r="Z120">
      <v>0.5</v>
    </nc>
  </rcc>
  <rcc rId="183" sId="1">
    <nc r="Z121">
      <v>0.5</v>
    </nc>
  </rcc>
  <rcc rId="184" sId="1">
    <nc r="X119">
      <f>W119</f>
    </nc>
  </rcc>
  <rcc rId="185" sId="1">
    <nc r="X120">
      <f>W120</f>
    </nc>
  </rcc>
  <rcc rId="186" sId="1">
    <nc r="X121">
      <f>W121</f>
    </nc>
  </rcc>
  <rcc rId="187" sId="1">
    <nc r="AA119" t="inlineStr">
      <is>
        <t>Ready for review</t>
      </is>
    </nc>
  </rcc>
  <rcc rId="188" sId="1">
    <nc r="AA120" t="inlineStr">
      <is>
        <t>Ready for review</t>
      </is>
    </nc>
  </rcc>
  <rcc rId="189" sId="1">
    <nc r="AA121" t="inlineStr">
      <is>
        <t>Ready for review</t>
      </is>
    </nc>
  </rcc>
  <rcc rId="190" sId="1" numFmtId="19">
    <nc r="AE119">
      <v>43957</v>
    </nc>
  </rcc>
  <rcc rId="191" sId="1" numFmtId="19">
    <nc r="AF119">
      <v>43957</v>
    </nc>
  </rcc>
  <rcc rId="192" sId="1">
    <nc r="AG119" t="inlineStr">
      <is>
        <t>OK</t>
      </is>
    </nc>
  </rcc>
  <rcc rId="193" sId="1" numFmtId="14">
    <nc r="AH119">
      <v>1</v>
    </nc>
  </rcc>
  <rcc rId="194" sId="1" numFmtId="14">
    <nc r="AI119">
      <v>1</v>
    </nc>
  </rcc>
  <rcc rId="195" sId="1" numFmtId="14">
    <nc r="AJ119">
      <v>1</v>
    </nc>
  </rcc>
  <rcc rId="196" sId="1">
    <nc r="AK119" t="inlineStr">
      <is>
        <t>None</t>
      </is>
    </nc>
  </rcc>
  <rcc rId="197" sId="1" numFmtId="19">
    <nc r="AE120">
      <v>43957</v>
    </nc>
  </rcc>
  <rcc rId="198" sId="1" numFmtId="19">
    <nc r="AF120">
      <v>43957</v>
    </nc>
  </rcc>
  <rcc rId="199" sId="1">
    <nc r="AG120" t="inlineStr">
      <is>
        <t>OK</t>
      </is>
    </nc>
  </rcc>
  <rcc rId="200" sId="1" numFmtId="14">
    <nc r="AH120">
      <v>1</v>
    </nc>
  </rcc>
  <rcc rId="201" sId="1" numFmtId="14">
    <nc r="AI120">
      <v>1</v>
    </nc>
  </rcc>
  <rcc rId="202" sId="1" numFmtId="14">
    <nc r="AJ120">
      <v>1</v>
    </nc>
  </rcc>
  <rcc rId="203" sId="1">
    <nc r="AK120" t="inlineStr">
      <is>
        <t>None</t>
      </is>
    </nc>
  </rcc>
  <rcc rId="204" sId="1" numFmtId="19">
    <nc r="AE121">
      <v>43957</v>
    </nc>
  </rcc>
  <rcc rId="205" sId="1" numFmtId="19">
    <nc r="AF121">
      <v>43957</v>
    </nc>
  </rcc>
  <rcc rId="206" sId="1">
    <nc r="AG121" t="inlineStr">
      <is>
        <t>OK</t>
      </is>
    </nc>
  </rcc>
  <rcc rId="207" sId="1" numFmtId="14">
    <nc r="AH121">
      <v>1</v>
    </nc>
  </rcc>
  <rcc rId="208" sId="1" numFmtId="14">
    <nc r="AI121">
      <v>1</v>
    </nc>
  </rcc>
  <rcc rId="209" sId="1" numFmtId="14">
    <nc r="AJ121">
      <v>1</v>
    </nc>
  </rcc>
  <rcc rId="210" sId="1">
    <nc r="AK121" t="inlineStr">
      <is>
        <t>None</t>
      </is>
    </nc>
  </rcc>
  <rcv guid="{A2C66332-A809-458E-971B-FDB6D62C74C3}" action="delete"/>
  <rdn rId="0" localSheetId="1" customView="1" name="Z_A2C66332_A809_458E_971B_FDB6D62C74C3_.wvu.FilterData" hidden="1" oldHidden="1">
    <formula>Merged_COEM!$B$47:$AN$128</formula>
    <oldFormula>Merged_COEM!$B$47:$AN$113</oldFormula>
  </rdn>
  <rdn rId="0" localSheetId="2" customView="1" name="Z_A2C66332_A809_458E_971B_FDB6D62C74C3_.wvu.FilterData" hidden="1" oldHidden="1">
    <formula>Merged_JOEM!$B$47:$AN$108</formula>
    <oldFormula>Merged_JOEM!$B$47:$AN$108</oldFormula>
  </rdn>
  <rcv guid="{A2C66332-A809-458E-971B-FDB6D62C74C3}"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5" sId="8">
    <oc r="B12" t="inlineStr">
      <is>
        <t>SBR_ESP9_3_MS_BR_GC7Y_RE7WGN1_Bldr</t>
      </is>
    </oc>
    <nc r="B12" t="inlineStr">
      <is>
        <t>TOY_847B_MPT_Release1</t>
      </is>
    </nc>
  </rcc>
  <rcc rId="216" sId="8">
    <nc r="I12" t="inlineStr">
      <is>
        <t>EXTERNAL Nguyen Trung Hieu (Ban Vien, RBVH/EPS45)</t>
      </is>
    </nc>
  </rcc>
  <rcc rId="217" sId="8">
    <nc r="I13" t="inlineStr">
      <is>
        <t>EXTERNAL Nguyen Tai Hau (Ban Vien, RBVH/EPS45)</t>
      </is>
    </nc>
  </rcc>
  <rcc rId="218" sId="8">
    <nc r="I14" t="inlineStr">
      <is>
        <t>EXTERNAL Nguyen Duy Bang (Ban Vien, RBVH/EPS45)</t>
      </is>
    </nc>
  </rcc>
  <rcc rId="219" sId="8">
    <nc r="I15" t="inlineStr">
      <is>
        <t>EXTERNAL Luu Cong Dac (Ban Vien, RBVH/EPS45)</t>
      </is>
    </nc>
  </rcc>
  <rcc rId="220" sId="8">
    <nc r="I16" t="inlineStr">
      <is>
        <t>EXTERNAL Do Anh Huy (Ban Vien, RBVH/EPS45)</t>
      </is>
    </nc>
  </rcc>
  <rcc rId="221" sId="8">
    <oc r="C12" t="inlineStr">
      <is>
        <t>EXTERNAL Nguyen Trung Hieu (Ban Vien, RBVH/EPS45)</t>
      </is>
    </oc>
    <nc r="C12" t="inlineStr">
      <is>
        <t>EXTERNAL Luu Cong Dac (Ban Vien, RBVH/EPS45)</t>
      </is>
    </nc>
  </rcc>
  <rcc rId="222" sId="8">
    <oc r="C13" t="inlineStr">
      <is>
        <t>EXTERNAL Nguyen Tai Hau (Ban Vien, RBVH/EPS45)</t>
      </is>
    </oc>
    <nc r="C13" t="inlineStr">
      <is>
        <t>EXTERNAL Do Anh Huy (Ban Vien, RBVH/EPS45)</t>
      </is>
    </nc>
  </rcc>
  <rcc rId="223" sId="1">
    <oc r="AA64" t="inlineStr">
      <is>
        <t>Ready for PLC</t>
      </is>
    </oc>
    <nc r="AA64" t="inlineStr">
      <is>
        <t>Complete &amp; Closed</t>
      </is>
    </nc>
  </rcc>
  <rcc rId="224" sId="1">
    <oc r="AA65" t="inlineStr">
      <is>
        <t>Ready for PLC</t>
      </is>
    </oc>
    <nc r="AA65" t="inlineStr">
      <is>
        <t>Complete &amp; Closed</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9" sId="1">
    <oc r="AN76" t="inlineStr">
      <is>
        <t>No have function to test</t>
      </is>
    </oc>
    <nc r="AN76" t="inlineStr">
      <is>
        <t>No function to test</t>
      </is>
    </nc>
  </rcc>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76" start="0" length="0">
    <dxf>
      <fill>
        <patternFill patternType="none">
          <bgColor indexed="65"/>
        </patternFill>
      </fill>
    </dxf>
  </rfmt>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 sId="1">
    <oc r="W73">
      <f>V73</f>
    </oc>
    <nc r="W73">
      <f>41*2</f>
    </nc>
  </rcc>
  <rfmt sheetId="1" sqref="V73">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cc rId="231" sId="1" odxf="1" dxf="1">
    <oc r="V73">
      <f>28*2</f>
    </oc>
    <nc r="V73">
      <v>28</v>
    </nc>
    <ndxf>
      <font>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fmt sheetId="1" sqref="W73">
    <dxf>
      <fill>
        <patternFill patternType="solid">
          <bgColor rgb="FFFFFF00"/>
        </patternFill>
      </fill>
    </dxf>
  </rfmt>
  <rcc rId="232" sId="1">
    <nc r="X73">
      <f>W73</f>
    </nc>
  </rcc>
  <rcc rId="233" sId="1">
    <nc r="Z73">
      <v>4</v>
    </nc>
  </rcc>
  <rcc rId="234" sId="1">
    <nc r="AA73" t="inlineStr">
      <is>
        <t>Ready for review</t>
      </is>
    </nc>
  </rcc>
  <rcc rId="235" sId="1" numFmtId="19">
    <nc r="AE73">
      <v>43957</v>
    </nc>
  </rcc>
  <rcc rId="236" sId="1" numFmtId="19">
    <nc r="AF73">
      <v>43957</v>
    </nc>
  </rcc>
  <rcc rId="237" sId="1">
    <nc r="AG73" t="inlineStr">
      <is>
        <t>OK</t>
      </is>
    </nc>
  </rcc>
  <rcc rId="238" sId="1" numFmtId="14">
    <nc r="AH73">
      <v>1</v>
    </nc>
  </rcc>
  <rcc rId="239" sId="1" numFmtId="14">
    <nc r="AI73">
      <v>1</v>
    </nc>
  </rcc>
  <rcc rId="240" sId="1" numFmtId="14">
    <nc r="AJ73">
      <v>1</v>
    </nc>
  </rcc>
  <rcc rId="241" sId="1">
    <nc r="AK73" t="inlineStr">
      <is>
        <t>None</t>
      </is>
    </nc>
  </rcc>
  <rcv guid="{72A6EB0A-84D5-4B8A-AC51-54CCD061630B}" action="delete"/>
  <rdn rId="0" localSheetId="1" customView="1" name="Z_72A6EB0A_84D5_4B8A_AC51_54CCD061630B_.wvu.FilterData" hidden="1" oldHidden="1">
    <formula>Merged_COEM!$B$47:$AN$128</formula>
    <oldFormula>Merged_COEM!$B$47:$AN$113</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 sId="1" quotePrefix="1">
    <oc r="F112" t="inlineStr">
      <is>
        <t>rb\as\gwm\core\app\net\scl\LDMFunctions\SCM\src\</t>
      </is>
    </oc>
    <nc r="F112" t="inlineStr">
      <is>
        <t>GWM_CP_RBVH_Stream_Int\rb\as\gwm\core\app\net\scl\LDMFunctions\SCM\src\</t>
      </is>
    </nc>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1" sId="1">
    <nc r="AG114" t="inlineStr">
      <is>
        <t>OK</t>
      </is>
    </nc>
  </rcc>
  <rcc rId="252" sId="1" numFmtId="14">
    <nc r="AH114">
      <v>1</v>
    </nc>
  </rcc>
  <rcc rId="253" sId="1" numFmtId="14">
    <nc r="AI114">
      <v>1</v>
    </nc>
  </rcc>
  <rcc rId="254" sId="1" numFmtId="14">
    <nc r="AJ114">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7" sId="1">
    <oc r="AG73" t="inlineStr">
      <is>
        <t>OK</t>
      </is>
    </oc>
    <nc r="AG73" t="inlineStr">
      <is>
        <t>NG</t>
      </is>
    </nc>
  </rcc>
  <rcc rId="258" sId="1" numFmtId="14">
    <oc r="AJ73">
      <v>1</v>
    </oc>
    <nc r="AJ73">
      <v>0.77800000000000002</v>
    </nc>
  </rc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 sId="1">
    <nc r="AG115" t="inlineStr">
      <is>
        <t>OK</t>
      </is>
    </nc>
  </rcc>
  <rcc rId="264" sId="1" numFmtId="14">
    <nc r="AH115">
      <v>1</v>
    </nc>
  </rcc>
  <rcc rId="265" sId="1" numFmtId="14">
    <nc r="AI115">
      <v>1</v>
    </nc>
  </rcc>
  <rcc rId="266" sId="1" numFmtId="14">
    <nc r="AJ115">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 sId="2">
    <nc r="I109" t="inlineStr">
      <is>
        <t>RBPSC_CurrentsCalc</t>
      </is>
    </nc>
  </rcc>
  <rcc rId="270" sId="2">
    <nc r="I110" t="inlineStr">
      <is>
        <t>RBSecOcFV_Slave</t>
      </is>
    </nc>
  </rcc>
  <rcc rId="271" sId="2">
    <nc r="I111" t="inlineStr">
      <is>
        <t>AVH_NvM_ReadData</t>
      </is>
    </nc>
  </rcc>
  <rcc rId="272" sId="2">
    <nc r="I112" t="inlineStr">
      <is>
        <t>CM_Honda_FA_iB_LFC5ms_LFC20msV1_3_4_0</t>
      </is>
    </nc>
  </rcc>
  <rcc rId="273" sId="2">
    <nc r="I113" t="inlineStr">
      <is>
        <t>Honda_ACC_AxFuncSafety</t>
      </is>
    </nc>
  </rcc>
  <rcc rId="274" sId="2">
    <nc r="I114" t="inlineStr">
      <is>
        <t>Honda_IMG_ADAS_FuncSafety</t>
      </is>
    </nc>
  </rcc>
  <rcc rId="275" sId="2">
    <nc r="I115" t="inlineStr">
      <is>
        <t>Honda_Main_And_CMBS_FunSafety</t>
      </is>
    </nc>
  </rcc>
  <rcc rId="276" sId="2">
    <nc r="I116" t="inlineStr">
      <is>
        <t>RBHMI_iBLampInterface_HONDA</t>
      </is>
    </nc>
  </rcc>
  <rcc rId="277" sId="2">
    <nc r="D109" t="inlineStr">
      <is>
        <t>PSW</t>
      </is>
    </nc>
  </rcc>
  <rcc rId="278" sId="2">
    <nc r="D110" t="inlineStr">
      <is>
        <t>PSW</t>
      </is>
    </nc>
  </rcc>
  <rcc rId="279" sId="2">
    <nc r="D116" t="inlineStr">
      <is>
        <t>PSW</t>
      </is>
    </nc>
  </rcc>
  <rcc rId="280" sId="2">
    <nc r="D111" t="inlineStr">
      <is>
        <t>ASW</t>
      </is>
    </nc>
  </rcc>
  <rcc rId="281" sId="2">
    <nc r="D112" t="inlineStr">
      <is>
        <t>ASW</t>
      </is>
    </nc>
  </rcc>
  <rcc rId="282" sId="2">
    <nc r="D113" t="inlineStr">
      <is>
        <t>ASW</t>
      </is>
    </nc>
  </rcc>
  <rcc rId="283" sId="2">
    <nc r="D114" t="inlineStr">
      <is>
        <t>ASW</t>
      </is>
    </nc>
  </rcc>
  <rcc rId="284" sId="2">
    <nc r="D115" t="inlineStr">
      <is>
        <t>ASW</t>
      </is>
    </nc>
  </rcc>
  <rcc rId="285" sId="2">
    <nc r="C109">
      <v>20200506</v>
    </nc>
  </rcc>
  <rcc rId="286" sId="2">
    <nc r="C110">
      <v>20200506</v>
    </nc>
  </rcc>
  <rcc rId="287" sId="2">
    <nc r="C111">
      <v>20200506</v>
    </nc>
  </rcc>
  <rcc rId="288" sId="2">
    <nc r="C112">
      <v>20200506</v>
    </nc>
  </rcc>
  <rcc rId="289" sId="2">
    <nc r="C113">
      <v>20200506</v>
    </nc>
  </rcc>
  <rcc rId="290" sId="2">
    <nc r="C114">
      <v>20200506</v>
    </nc>
  </rcc>
  <rcc rId="291" sId="2">
    <nc r="C115">
      <v>20200506</v>
    </nc>
  </rcc>
  <rcc rId="292" sId="2">
    <nc r="C116">
      <v>20200506</v>
    </nc>
  </rcc>
  <rcc rId="293" sId="2">
    <nc r="E109" t="inlineStr">
      <is>
        <t>HONDA_iB2_1401_BL09_Sprint02</t>
      </is>
    </nc>
  </rcc>
  <rcc rId="294" sId="2">
    <nc r="E110" t="inlineStr">
      <is>
        <t>HONDA_iB2_1401_BL09_Sprint02</t>
      </is>
    </nc>
  </rcc>
  <rcc rId="295" sId="2">
    <nc r="E111" t="inlineStr">
      <is>
        <t>HONDA_iB2_1401_BL09_Sprint02</t>
      </is>
    </nc>
  </rcc>
  <rcc rId="296" sId="2">
    <nc r="E112" t="inlineStr">
      <is>
        <t>HONDA_iB2_1401_BL09_Sprint02</t>
      </is>
    </nc>
  </rcc>
  <rcc rId="297" sId="2">
    <nc r="E113" t="inlineStr">
      <is>
        <t>HONDA_iB2_1401_BL09_Sprint02</t>
      </is>
    </nc>
  </rcc>
  <rcc rId="298" sId="2">
    <nc r="E114" t="inlineStr">
      <is>
        <t>HONDA_iB2_1401_BL09_Sprint02</t>
      </is>
    </nc>
  </rcc>
  <rcc rId="299" sId="2">
    <nc r="E115" t="inlineStr">
      <is>
        <t>HONDA_iB2_1401_BL09_Sprint02</t>
      </is>
    </nc>
  </rcc>
  <rcc rId="300" sId="2">
    <nc r="E116" t="inlineStr">
      <is>
        <t>HONDA_iB2_1401_BL09_Sprint02</t>
      </is>
    </nc>
  </rcc>
  <rcc rId="301" sId="2" quotePrefix="1">
    <nc r="F109" t="inlineStr">
      <is>
        <t>rb.as.core.app.asw.psc</t>
      </is>
    </nc>
  </rcc>
  <rcc rId="302" sId="2" quotePrefix="1">
    <nc r="F110" t="inlineStr">
      <is>
        <t>rb.as.joem.honda</t>
      </is>
    </nc>
  </rcc>
  <rcc rId="303" sId="2" quotePrefix="1">
    <nc r="F111" t="inlineStr">
      <is>
        <t>rb.as.mb.ib2.app.asw.custtarball</t>
      </is>
    </nc>
  </rcc>
  <rcc rId="304" sId="2" quotePrefix="1">
    <nc r="F112" t="inlineStr">
      <is>
        <t>rb.as.mb.ib2.app.asw.custtarball</t>
      </is>
    </nc>
  </rcc>
  <rcc rId="305" sId="2" quotePrefix="1">
    <nc r="F113" t="inlineStr">
      <is>
        <t>rb.as.mb.ib2.app.asw.custtarball</t>
      </is>
    </nc>
  </rcc>
  <rcc rId="306" sId="2" quotePrefix="1">
    <nc r="F114" t="inlineStr">
      <is>
        <t>rb.as.mb.ib2.app.asw.custtarball</t>
      </is>
    </nc>
  </rcc>
  <rcc rId="307" sId="2" quotePrefix="1">
    <nc r="F115" t="inlineStr">
      <is>
        <t>rb.as.mb.ib2.app.asw.custtarball</t>
      </is>
    </nc>
  </rcc>
  <rcc rId="308" sId="2" quotePrefix="1">
    <nc r="F116" t="inlineStr">
      <is>
        <t>rb.as.mb.ib2.app.dsm.rbhmi</t>
      </is>
    </nc>
  </rcc>
  <rcc rId="309" sId="2">
    <nc r="B109">
      <f>B108+1</f>
    </nc>
  </rcc>
  <rcc rId="310" sId="2">
    <nc r="B110">
      <f>B109+1</f>
    </nc>
  </rcc>
  <rcc rId="311" sId="2">
    <nc r="B111">
      <f>B110+1</f>
    </nc>
  </rcc>
  <rcc rId="312" sId="2">
    <nc r="B112">
      <f>B111+1</f>
    </nc>
  </rcc>
  <rcc rId="313" sId="2">
    <nc r="B113">
      <f>B112+1</f>
    </nc>
  </rcc>
  <rcc rId="314" sId="2">
    <nc r="B114">
      <f>B113+1</f>
    </nc>
  </rcc>
  <rcc rId="315" sId="2">
    <nc r="B115">
      <f>B114+1</f>
    </nc>
  </rcc>
  <rcc rId="316" sId="2">
    <nc r="B116">
      <f>B115+1</f>
    </nc>
  </rcc>
  <rfmt sheetId="2" sqref="B109:B116">
    <dxf>
      <fill>
        <patternFill patternType="solid">
          <bgColor rgb="FFFFFF00"/>
        </patternFill>
      </fill>
    </dxf>
  </rfmt>
  <rfmt sheetId="2" sqref="B109:B116">
    <dxf>
      <fill>
        <patternFill>
          <bgColor theme="6" tint="0.39997558519241921"/>
        </patternFill>
      </fill>
    </dxf>
  </rfmt>
  <rcc rId="317" sId="2" odxf="1" dxf="1" quotePrefix="1">
    <nc r="G109" t="inlineStr">
      <is>
        <t>-</t>
      </is>
    </nc>
    <odxf>
      <fill>
        <patternFill patternType="none">
          <bgColor indexed="65"/>
        </patternFill>
      </fill>
    </odxf>
    <ndxf>
      <fill>
        <patternFill patternType="solid">
          <bgColor theme="0" tint="-0.499984740745262"/>
        </patternFill>
      </fill>
    </ndxf>
  </rcc>
  <rcc rId="318" sId="2" odxf="1" dxf="1" quotePrefix="1">
    <nc r="G110" t="inlineStr">
      <is>
        <t>-</t>
      </is>
    </nc>
    <odxf>
      <fill>
        <patternFill patternType="none">
          <bgColor indexed="65"/>
        </patternFill>
      </fill>
    </odxf>
    <ndxf>
      <fill>
        <patternFill patternType="solid">
          <bgColor theme="0" tint="-0.499984740745262"/>
        </patternFill>
      </fill>
    </ndxf>
  </rcc>
  <rcc rId="319" sId="2" odxf="1" dxf="1" quotePrefix="1">
    <nc r="G111" t="inlineStr">
      <is>
        <t>-</t>
      </is>
    </nc>
    <odxf>
      <fill>
        <patternFill patternType="none">
          <bgColor indexed="65"/>
        </patternFill>
      </fill>
    </odxf>
    <ndxf>
      <fill>
        <patternFill patternType="solid">
          <bgColor theme="0" tint="-0.499984740745262"/>
        </patternFill>
      </fill>
    </ndxf>
  </rcc>
  <rcc rId="320" sId="2" odxf="1" dxf="1" quotePrefix="1">
    <nc r="G112" t="inlineStr">
      <is>
        <t>-</t>
      </is>
    </nc>
    <odxf>
      <fill>
        <patternFill patternType="none">
          <bgColor indexed="65"/>
        </patternFill>
      </fill>
    </odxf>
    <ndxf>
      <fill>
        <patternFill patternType="solid">
          <bgColor theme="0" tint="-0.499984740745262"/>
        </patternFill>
      </fill>
    </ndxf>
  </rcc>
  <rcc rId="321" sId="2" odxf="1" dxf="1" quotePrefix="1">
    <nc r="G113" t="inlineStr">
      <is>
        <t>-</t>
      </is>
    </nc>
    <odxf>
      <fill>
        <patternFill patternType="none">
          <bgColor indexed="65"/>
        </patternFill>
      </fill>
    </odxf>
    <ndxf>
      <fill>
        <patternFill patternType="solid">
          <bgColor theme="0" tint="-0.499984740745262"/>
        </patternFill>
      </fill>
    </ndxf>
  </rcc>
  <rcc rId="322" sId="2" odxf="1" dxf="1" quotePrefix="1">
    <nc r="G114" t="inlineStr">
      <is>
        <t>-</t>
      </is>
    </nc>
    <odxf>
      <fill>
        <patternFill patternType="none">
          <bgColor indexed="65"/>
        </patternFill>
      </fill>
    </odxf>
    <ndxf>
      <fill>
        <patternFill patternType="solid">
          <bgColor theme="0" tint="-0.499984740745262"/>
        </patternFill>
      </fill>
    </ndxf>
  </rcc>
  <rcc rId="323" sId="2" odxf="1" dxf="1" quotePrefix="1">
    <nc r="G115" t="inlineStr">
      <is>
        <t>-</t>
      </is>
    </nc>
    <odxf>
      <fill>
        <patternFill patternType="none">
          <bgColor indexed="65"/>
        </patternFill>
      </fill>
    </odxf>
    <ndxf>
      <fill>
        <patternFill patternType="solid">
          <bgColor theme="0" tint="-0.499984740745262"/>
        </patternFill>
      </fill>
    </ndxf>
  </rcc>
  <rcc rId="324" sId="2" odxf="1" dxf="1" quotePrefix="1">
    <nc r="G116" t="inlineStr">
      <is>
        <t>-</t>
      </is>
    </nc>
    <odxf>
      <fill>
        <patternFill patternType="none">
          <bgColor indexed="65"/>
        </patternFill>
      </fill>
    </odxf>
    <ndxf>
      <fill>
        <patternFill patternType="solid">
          <bgColor theme="0" tint="-0.499984740745262"/>
        </patternFill>
      </fill>
    </ndxf>
  </rcc>
  <rcc rId="325" sId="2">
    <nc r="H109" t="inlineStr">
      <is>
        <t>MT_004</t>
      </is>
    </nc>
  </rcc>
  <rcc rId="326" sId="2">
    <nc r="H110" t="inlineStr">
      <is>
        <t>MT_031</t>
      </is>
    </nc>
  </rcc>
  <rcc rId="327" sId="2">
    <nc r="H111" t="inlineStr">
      <is>
        <t>MT_045</t>
      </is>
    </nc>
  </rcc>
  <rcc rId="328" sId="2">
    <nc r="H112" t="inlineStr">
      <is>
        <t>MT_046</t>
      </is>
    </nc>
  </rcc>
  <rcc rId="329" sId="2">
    <nc r="H113" t="inlineStr">
      <is>
        <t>MT_047</t>
      </is>
    </nc>
  </rcc>
  <rcc rId="330" sId="2">
    <nc r="H114" t="inlineStr">
      <is>
        <t>MT_054</t>
      </is>
    </nc>
  </rcc>
  <rcc rId="331" sId="2">
    <nc r="H115" t="inlineStr">
      <is>
        <t>MT_055</t>
      </is>
    </nc>
  </rcc>
  <rcc rId="332" sId="2">
    <nc r="H116" t="inlineStr">
      <is>
        <t>MT_032</t>
      </is>
    </nc>
  </rcc>
  <rcc rId="333" sId="2">
    <nc r="R109" t="inlineStr">
      <is>
        <t>T2xx</t>
      </is>
    </nc>
  </rcc>
  <rcc rId="334" sId="2">
    <nc r="R110" t="inlineStr">
      <is>
        <t>T2xx</t>
      </is>
    </nc>
  </rcc>
  <rcc rId="335" sId="2">
    <nc r="R111" t="inlineStr">
      <is>
        <t>T2xx</t>
      </is>
    </nc>
  </rcc>
  <rcc rId="336" sId="2">
    <nc r="R112" t="inlineStr">
      <is>
        <t>T2xx</t>
      </is>
    </nc>
  </rcc>
  <rcc rId="337" sId="2">
    <nc r="R113" t="inlineStr">
      <is>
        <t>T2xx</t>
      </is>
    </nc>
  </rcc>
  <rcc rId="338" sId="2">
    <nc r="R114" t="inlineStr">
      <is>
        <t>T2xx</t>
      </is>
    </nc>
  </rcc>
  <rcc rId="339" sId="2">
    <nc r="R115" t="inlineStr">
      <is>
        <t>T2xx</t>
      </is>
    </nc>
  </rcc>
  <rcc rId="340" sId="2">
    <nc r="R116" t="inlineStr">
      <is>
        <t>T2xx</t>
      </is>
    </nc>
  </rcc>
  <rcc rId="341" sId="2">
    <nc r="J109" t="inlineStr">
      <is>
        <t>New</t>
      </is>
    </nc>
  </rcc>
  <rcc rId="342" sId="2">
    <nc r="J110" t="inlineStr">
      <is>
        <t>New</t>
      </is>
    </nc>
  </rcc>
  <rcc rId="343" sId="2">
    <nc r="J111" t="inlineStr">
      <is>
        <t>New</t>
      </is>
    </nc>
  </rcc>
  <rcc rId="344" sId="2">
    <nc r="J112" t="inlineStr">
      <is>
        <t>New</t>
      </is>
    </nc>
  </rcc>
  <rcc rId="345" sId="2">
    <nc r="J113" t="inlineStr">
      <is>
        <t>New</t>
      </is>
    </nc>
  </rcc>
  <rcc rId="346" sId="2">
    <nc r="J114" t="inlineStr">
      <is>
        <t>New</t>
      </is>
    </nc>
  </rcc>
  <rcc rId="347" sId="2">
    <nc r="J115" t="inlineStr">
      <is>
        <t>New</t>
      </is>
    </nc>
  </rcc>
  <rcc rId="348" sId="2">
    <nc r="J116" t="inlineStr">
      <is>
        <t>New</t>
      </is>
    </nc>
  </rcc>
  <rcc rId="349" sId="2">
    <nc r="V109">
      <v>403</v>
    </nc>
  </rcc>
  <rcc rId="350" sId="2">
    <nc r="V110">
      <v>159</v>
    </nc>
  </rcc>
  <rcc rId="351" sId="2">
    <nc r="V111">
      <v>62</v>
    </nc>
  </rcc>
  <rcc rId="352" sId="2">
    <nc r="V112">
      <v>114</v>
    </nc>
  </rcc>
  <rcc rId="353" sId="2">
    <nc r="V113">
      <v>59</v>
    </nc>
  </rcc>
  <rcc rId="354" sId="2">
    <nc r="V114">
      <v>42</v>
    </nc>
  </rcc>
  <rcc rId="355" sId="2">
    <nc r="V115">
      <v>41</v>
    </nc>
  </rcc>
  <rcc rId="356" sId="2">
    <nc r="V116">
      <v>279</v>
    </nc>
  </rcc>
  <rcc rId="357" sId="2">
    <nc r="Y109">
      <f>Z109*8</f>
    </nc>
  </rcc>
  <rcc rId="358" sId="2">
    <nc r="Y110">
      <f>Z110*8</f>
    </nc>
  </rcc>
  <rcc rId="359" sId="2">
    <nc r="Y111">
      <f>Z111*8</f>
    </nc>
  </rcc>
  <rcc rId="360" sId="2">
    <nc r="Y112">
      <f>Z112*8</f>
    </nc>
  </rcc>
  <rcc rId="361" sId="2">
    <nc r="Y113">
      <f>Z113*8</f>
    </nc>
  </rcc>
  <rcc rId="362" sId="2">
    <nc r="Y114">
      <f>Z114*8</f>
    </nc>
  </rcc>
  <rcc rId="363" sId="2">
    <nc r="Y115">
      <f>Z115*8</f>
    </nc>
  </rcc>
  <rcc rId="364" sId="2">
    <nc r="Y116">
      <f>Z116*8</f>
    </nc>
  </rcc>
  <rcc rId="365" sId="2">
    <oc r="Y109">
      <f>Z109*8</f>
    </oc>
    <nc r="Y109">
      <v>13.6</v>
    </nc>
  </rcc>
  <rcc rId="366" sId="2">
    <oc r="Y110">
      <f>Z110*8</f>
    </oc>
    <nc r="Y110">
      <v>5.6</v>
    </nc>
  </rcc>
  <rcc rId="367" sId="2">
    <oc r="Y111">
      <f>Z111*8</f>
    </oc>
    <nc r="Y111">
      <v>4</v>
    </nc>
  </rcc>
  <rcc rId="368" sId="2">
    <oc r="Y112">
      <f>Z112*8</f>
    </oc>
    <nc r="Y112">
      <v>7.2</v>
    </nc>
  </rcc>
  <rcc rId="369" sId="2">
    <oc r="Y113">
      <f>Z113*8</f>
    </oc>
    <nc r="Y113">
      <v>4</v>
    </nc>
  </rcc>
  <rcc rId="370" sId="2">
    <oc r="Y114">
      <f>Z114*8</f>
    </oc>
    <nc r="Y114">
      <v>2.4</v>
    </nc>
  </rcc>
  <rcc rId="371" sId="2">
    <oc r="Y115">
      <f>Z115*8</f>
    </oc>
    <nc r="Y115">
      <v>3.2</v>
    </nc>
  </rcc>
  <rcc rId="372" sId="2">
    <oc r="Y116">
      <f>Z116*8</f>
    </oc>
    <nc r="Y116">
      <v>9.6</v>
    </nc>
  </rcc>
  <rcc rId="373" sId="2">
    <nc r="W109">
      <f>ROUND(IF(D109=Table!$C$3,Y109*Table!$C$4/8,Y109*Table!$D$4/8),3)</f>
    </nc>
  </rcc>
  <rcc rId="374" sId="2">
    <nc r="W110">
      <f>ROUND(IF(D110=Table!$C$3,Y110*Table!$C$4/8,Y110*Table!$D$4/8),3)</f>
    </nc>
  </rcc>
  <rcc rId="375" sId="2">
    <nc r="W111">
      <f>ROUND(IF(D111=Table!$C$3,Y111*Table!$C$4/8,Y111*Table!$D$4/8),3)</f>
    </nc>
  </rcc>
  <rcc rId="376" sId="2">
    <nc r="W112">
      <f>ROUND(IF(D112=Table!$C$3,Y112*Table!$C$4/8,Y112*Table!$D$4/8),3)</f>
    </nc>
  </rcc>
  <rcc rId="377" sId="2">
    <nc r="W113">
      <f>ROUND(IF(D113=Table!$C$3,Y113*Table!$C$4/8,Y113*Table!$D$4/8),3)</f>
    </nc>
  </rcc>
  <rcc rId="378" sId="2">
    <nc r="W114">
      <f>ROUND(IF(D114=Table!$C$3,Y114*Table!$C$4/8,Y114*Table!$D$4/8),3)</f>
    </nc>
  </rcc>
  <rcc rId="379" sId="2">
    <nc r="W115">
      <f>ROUND(IF(D115=Table!$C$3,Y115*Table!$C$4/8,Y115*Table!$D$4/8),3)</f>
    </nc>
  </rcc>
  <rcc rId="380" sId="2">
    <nc r="W116">
      <f>ROUND(IF(D116=Table!$C$3,Y116*Table!$C$4/8,Y116*Table!$D$4/8),3)</f>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 sId="1">
    <nc r="AA114" t="inlineStr">
      <is>
        <t>Ready for review</t>
      </is>
    </nc>
  </rcc>
  <rcc rId="384" sId="1">
    <nc r="AA115" t="inlineStr">
      <is>
        <t>Ready for review</t>
      </is>
    </nc>
  </rcc>
  <rcc rId="385" sId="1" numFmtId="19">
    <nc r="AE114">
      <v>43957</v>
    </nc>
  </rcc>
  <rcc rId="386" sId="1" numFmtId="19">
    <nc r="AF114">
      <v>43957</v>
    </nc>
  </rcc>
  <rcc rId="387" sId="1" numFmtId="19">
    <nc r="AE115">
      <v>43957</v>
    </nc>
  </rcc>
  <rcc rId="388" sId="1" numFmtId="19">
    <nc r="AF115">
      <v>43957</v>
    </nc>
  </rcc>
  <rcc rId="389" sId="1">
    <nc r="AK114" t="inlineStr">
      <is>
        <t>None</t>
      </is>
    </nc>
  </rcc>
  <rcc rId="390" sId="1">
    <nc r="AK115" t="inlineStr">
      <is>
        <t>None</t>
      </is>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3" sId="1">
    <nc r="Z114">
      <v>2</v>
    </nc>
  </rcc>
  <rcc rId="394" sId="1">
    <nc r="Z115">
      <v>1</v>
    </nc>
  </rcc>
  <rcv guid="{7ECC2B8E-6A82-42F5-8AB0-4A51C54EA5EC}" action="delete"/>
  <rdn rId="0" localSheetId="1" customView="1" name="Z_7ECC2B8E_6A82_42F5_8AB0_4A51C54EA5EC_.wvu.FilterData" hidden="1" oldHidden="1">
    <formula>Merged_COEM!$B$47:$AN$128</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 sId="2">
    <nc r="N109" t="inlineStr">
      <is>
        <t>HONDAiBGen2_14_01</t>
      </is>
    </nc>
  </rcc>
  <rcc rId="398" sId="2">
    <nc r="N110" t="inlineStr">
      <is>
        <t>HONDAiBGen2_14_01</t>
      </is>
    </nc>
  </rcc>
  <rcc rId="399" sId="2">
    <nc r="N116" t="inlineStr">
      <is>
        <t>HONDAiBGen2_14_01</t>
      </is>
    </nc>
  </rcc>
  <rcc rId="400" sId="2">
    <nc r="N111" t="inlineStr">
      <is>
        <t>iBoosterGen2Asw_Honda_CMP1401</t>
      </is>
    </nc>
  </rcc>
  <rcc rId="401" sId="2">
    <nc r="N112" t="inlineStr">
      <is>
        <t>iBoosterGen2Asw_Honda_CMP1401</t>
      </is>
    </nc>
  </rcc>
  <rcc rId="402" sId="2">
    <nc r="N113" t="inlineStr">
      <is>
        <t>iBoosterGen2Asw_Honda_CMP1401</t>
      </is>
    </nc>
  </rcc>
  <rcc rId="403" sId="2">
    <nc r="N114" t="inlineStr">
      <is>
        <t>iBoosterGen2Asw_Honda_CMP1401</t>
      </is>
    </nc>
  </rcc>
  <rcc rId="404" sId="2">
    <nc r="N115" t="inlineStr">
      <is>
        <t>iBoosterGen2Asw_Honda_CMP1401</t>
      </is>
    </nc>
  </rcc>
  <rcc rId="405" sId="2" quotePrefix="1">
    <nc r="O109" t="inlineStr">
      <is>
        <t>-</t>
      </is>
    </nc>
  </rcc>
  <rcc rId="406" sId="2" quotePrefix="1">
    <nc r="O110" t="inlineStr">
      <is>
        <t>-</t>
      </is>
    </nc>
  </rcc>
  <rcc rId="407" sId="2" quotePrefix="1">
    <nc r="O111" t="inlineStr">
      <is>
        <t>-</t>
      </is>
    </nc>
  </rcc>
  <rcc rId="408" sId="2" quotePrefix="1">
    <nc r="O112" t="inlineStr">
      <is>
        <t>-</t>
      </is>
    </nc>
  </rcc>
  <rcc rId="409" sId="2" quotePrefix="1">
    <nc r="O113" t="inlineStr">
      <is>
        <t>-</t>
      </is>
    </nc>
  </rcc>
  <rcc rId="410" sId="2" quotePrefix="1">
    <nc r="O114" t="inlineStr">
      <is>
        <t>-</t>
      </is>
    </nc>
  </rcc>
  <rcc rId="411" sId="2" quotePrefix="1">
    <nc r="O115" t="inlineStr">
      <is>
        <t>-</t>
      </is>
    </nc>
  </rcc>
  <rcc rId="412" sId="2" quotePrefix="1">
    <nc r="O116" t="inlineStr">
      <is>
        <t>-</t>
      </is>
    </nc>
  </rcc>
  <rcc rId="413" sId="2" odxf="1" dxf="1" quotePrefix="1">
    <nc r="K109" t="inlineStr">
      <is>
        <t>-</t>
      </is>
    </nc>
    <odxf>
      <fill>
        <patternFill patternType="none">
          <bgColor indexed="65"/>
        </patternFill>
      </fill>
    </odxf>
    <ndxf>
      <fill>
        <patternFill patternType="solid">
          <bgColor theme="0" tint="-0.499984740745262"/>
        </patternFill>
      </fill>
    </ndxf>
  </rcc>
  <rcc rId="414" sId="2" odxf="1" dxf="1" quotePrefix="1">
    <nc r="L109" t="inlineStr">
      <is>
        <t>-</t>
      </is>
    </nc>
    <odxf>
      <fill>
        <patternFill patternType="none">
          <bgColor indexed="65"/>
        </patternFill>
      </fill>
    </odxf>
    <ndxf>
      <fill>
        <patternFill patternType="solid">
          <bgColor theme="0" tint="-0.499984740745262"/>
        </patternFill>
      </fill>
    </ndxf>
  </rcc>
  <rcc rId="415" sId="2" odxf="1" dxf="1" quotePrefix="1">
    <nc r="M109" t="inlineStr">
      <is>
        <t>-</t>
      </is>
    </nc>
    <odxf>
      <fill>
        <patternFill patternType="none">
          <bgColor indexed="65"/>
        </patternFill>
      </fill>
    </odxf>
    <ndxf>
      <fill>
        <patternFill patternType="solid">
          <bgColor theme="0" tint="-0.499984740745262"/>
        </patternFill>
      </fill>
    </ndxf>
  </rcc>
  <rcc rId="416" sId="2" odxf="1" dxf="1" quotePrefix="1">
    <nc r="K110" t="inlineStr">
      <is>
        <t>-</t>
      </is>
    </nc>
    <odxf>
      <fill>
        <patternFill patternType="none">
          <bgColor indexed="65"/>
        </patternFill>
      </fill>
    </odxf>
    <ndxf>
      <fill>
        <patternFill patternType="solid">
          <bgColor theme="0" tint="-0.499984740745262"/>
        </patternFill>
      </fill>
    </ndxf>
  </rcc>
  <rcc rId="417" sId="2" odxf="1" dxf="1" quotePrefix="1">
    <nc r="L110" t="inlineStr">
      <is>
        <t>-</t>
      </is>
    </nc>
    <odxf>
      <fill>
        <patternFill patternType="none">
          <bgColor indexed="65"/>
        </patternFill>
      </fill>
    </odxf>
    <ndxf>
      <fill>
        <patternFill patternType="solid">
          <bgColor theme="0" tint="-0.499984740745262"/>
        </patternFill>
      </fill>
    </ndxf>
  </rcc>
  <rcc rId="418" sId="2" odxf="1" dxf="1" quotePrefix="1">
    <nc r="M110" t="inlineStr">
      <is>
        <t>-</t>
      </is>
    </nc>
    <odxf>
      <fill>
        <patternFill patternType="none">
          <bgColor indexed="65"/>
        </patternFill>
      </fill>
    </odxf>
    <ndxf>
      <fill>
        <patternFill patternType="solid">
          <bgColor theme="0" tint="-0.499984740745262"/>
        </patternFill>
      </fill>
    </ndxf>
  </rcc>
  <rcc rId="419" sId="2" odxf="1" dxf="1" quotePrefix="1">
    <nc r="K111" t="inlineStr">
      <is>
        <t>-</t>
      </is>
    </nc>
    <odxf>
      <fill>
        <patternFill patternType="none">
          <bgColor indexed="65"/>
        </patternFill>
      </fill>
    </odxf>
    <ndxf>
      <fill>
        <patternFill patternType="solid">
          <bgColor theme="0" tint="-0.499984740745262"/>
        </patternFill>
      </fill>
    </ndxf>
  </rcc>
  <rcc rId="420" sId="2" odxf="1" dxf="1" quotePrefix="1">
    <nc r="L111" t="inlineStr">
      <is>
        <t>-</t>
      </is>
    </nc>
    <odxf>
      <fill>
        <patternFill patternType="none">
          <bgColor indexed="65"/>
        </patternFill>
      </fill>
    </odxf>
    <ndxf>
      <fill>
        <patternFill patternType="solid">
          <bgColor theme="0" tint="-0.499984740745262"/>
        </patternFill>
      </fill>
    </ndxf>
  </rcc>
  <rcc rId="421" sId="2" odxf="1" dxf="1" quotePrefix="1">
    <nc r="M111" t="inlineStr">
      <is>
        <t>-</t>
      </is>
    </nc>
    <odxf>
      <fill>
        <patternFill patternType="none">
          <bgColor indexed="65"/>
        </patternFill>
      </fill>
    </odxf>
    <ndxf>
      <fill>
        <patternFill patternType="solid">
          <bgColor theme="0" tint="-0.499984740745262"/>
        </patternFill>
      </fill>
    </ndxf>
  </rcc>
  <rcc rId="422" sId="2" odxf="1" dxf="1" quotePrefix="1">
    <nc r="K112" t="inlineStr">
      <is>
        <t>-</t>
      </is>
    </nc>
    <odxf>
      <fill>
        <patternFill patternType="none">
          <bgColor indexed="65"/>
        </patternFill>
      </fill>
    </odxf>
    <ndxf>
      <fill>
        <patternFill patternType="solid">
          <bgColor theme="0" tint="-0.499984740745262"/>
        </patternFill>
      </fill>
    </ndxf>
  </rcc>
  <rcc rId="423" sId="2" odxf="1" dxf="1" quotePrefix="1">
    <nc r="L112" t="inlineStr">
      <is>
        <t>-</t>
      </is>
    </nc>
    <odxf>
      <fill>
        <patternFill patternType="none">
          <bgColor indexed="65"/>
        </patternFill>
      </fill>
    </odxf>
    <ndxf>
      <fill>
        <patternFill patternType="solid">
          <bgColor theme="0" tint="-0.499984740745262"/>
        </patternFill>
      </fill>
    </ndxf>
  </rcc>
  <rcc rId="424" sId="2" odxf="1" dxf="1" quotePrefix="1">
    <nc r="M112" t="inlineStr">
      <is>
        <t>-</t>
      </is>
    </nc>
    <odxf>
      <fill>
        <patternFill patternType="none">
          <bgColor indexed="65"/>
        </patternFill>
      </fill>
    </odxf>
    <ndxf>
      <fill>
        <patternFill patternType="solid">
          <bgColor theme="0" tint="-0.499984740745262"/>
        </patternFill>
      </fill>
    </ndxf>
  </rcc>
  <rcc rId="425" sId="2" odxf="1" dxf="1" quotePrefix="1">
    <nc r="K113" t="inlineStr">
      <is>
        <t>-</t>
      </is>
    </nc>
    <odxf>
      <fill>
        <patternFill patternType="none">
          <bgColor indexed="65"/>
        </patternFill>
      </fill>
    </odxf>
    <ndxf>
      <fill>
        <patternFill patternType="solid">
          <bgColor theme="0" tint="-0.499984740745262"/>
        </patternFill>
      </fill>
    </ndxf>
  </rcc>
  <rcc rId="426" sId="2" odxf="1" dxf="1" quotePrefix="1">
    <nc r="L113" t="inlineStr">
      <is>
        <t>-</t>
      </is>
    </nc>
    <odxf>
      <fill>
        <patternFill patternType="none">
          <bgColor indexed="65"/>
        </patternFill>
      </fill>
    </odxf>
    <ndxf>
      <fill>
        <patternFill patternType="solid">
          <bgColor theme="0" tint="-0.499984740745262"/>
        </patternFill>
      </fill>
    </ndxf>
  </rcc>
  <rcc rId="427" sId="2" odxf="1" dxf="1" quotePrefix="1">
    <nc r="M113" t="inlineStr">
      <is>
        <t>-</t>
      </is>
    </nc>
    <odxf>
      <fill>
        <patternFill patternType="none">
          <bgColor indexed="65"/>
        </patternFill>
      </fill>
    </odxf>
    <ndxf>
      <fill>
        <patternFill patternType="solid">
          <bgColor theme="0" tint="-0.499984740745262"/>
        </patternFill>
      </fill>
    </ndxf>
  </rcc>
  <rcc rId="428" sId="2" odxf="1" dxf="1" quotePrefix="1">
    <nc r="K114" t="inlineStr">
      <is>
        <t>-</t>
      </is>
    </nc>
    <odxf>
      <fill>
        <patternFill patternType="none">
          <bgColor indexed="65"/>
        </patternFill>
      </fill>
    </odxf>
    <ndxf>
      <fill>
        <patternFill patternType="solid">
          <bgColor theme="0" tint="-0.499984740745262"/>
        </patternFill>
      </fill>
    </ndxf>
  </rcc>
  <rcc rId="429" sId="2" odxf="1" dxf="1" quotePrefix="1">
    <nc r="L114" t="inlineStr">
      <is>
        <t>-</t>
      </is>
    </nc>
    <odxf>
      <fill>
        <patternFill patternType="none">
          <bgColor indexed="65"/>
        </patternFill>
      </fill>
    </odxf>
    <ndxf>
      <fill>
        <patternFill patternType="solid">
          <bgColor theme="0" tint="-0.499984740745262"/>
        </patternFill>
      </fill>
    </ndxf>
  </rcc>
  <rcc rId="430" sId="2" odxf="1" dxf="1" quotePrefix="1">
    <nc r="M114" t="inlineStr">
      <is>
        <t>-</t>
      </is>
    </nc>
    <odxf>
      <fill>
        <patternFill patternType="none">
          <bgColor indexed="65"/>
        </patternFill>
      </fill>
    </odxf>
    <ndxf>
      <fill>
        <patternFill patternType="solid">
          <bgColor theme="0" tint="-0.499984740745262"/>
        </patternFill>
      </fill>
    </ndxf>
  </rcc>
  <rcc rId="431" sId="2" odxf="1" dxf="1" quotePrefix="1">
    <nc r="K115" t="inlineStr">
      <is>
        <t>-</t>
      </is>
    </nc>
    <odxf>
      <fill>
        <patternFill patternType="none">
          <bgColor indexed="65"/>
        </patternFill>
      </fill>
    </odxf>
    <ndxf>
      <fill>
        <patternFill patternType="solid">
          <bgColor theme="0" tint="-0.499984740745262"/>
        </patternFill>
      </fill>
    </ndxf>
  </rcc>
  <rcc rId="432" sId="2" odxf="1" dxf="1" quotePrefix="1">
    <nc r="L115" t="inlineStr">
      <is>
        <t>-</t>
      </is>
    </nc>
    <odxf>
      <fill>
        <patternFill patternType="none">
          <bgColor indexed="65"/>
        </patternFill>
      </fill>
    </odxf>
    <ndxf>
      <fill>
        <patternFill patternType="solid">
          <bgColor theme="0" tint="-0.499984740745262"/>
        </patternFill>
      </fill>
    </ndxf>
  </rcc>
  <rcc rId="433" sId="2" odxf="1" dxf="1" quotePrefix="1">
    <nc r="M115" t="inlineStr">
      <is>
        <t>-</t>
      </is>
    </nc>
    <odxf>
      <fill>
        <patternFill patternType="none">
          <bgColor indexed="65"/>
        </patternFill>
      </fill>
    </odxf>
    <ndxf>
      <fill>
        <patternFill patternType="solid">
          <bgColor theme="0" tint="-0.499984740745262"/>
        </patternFill>
      </fill>
    </ndxf>
  </rcc>
  <rcc rId="434" sId="2" odxf="1" dxf="1" quotePrefix="1">
    <nc r="K116" t="inlineStr">
      <is>
        <t>-</t>
      </is>
    </nc>
    <odxf>
      <fill>
        <patternFill patternType="none">
          <bgColor indexed="65"/>
        </patternFill>
      </fill>
    </odxf>
    <ndxf>
      <fill>
        <patternFill patternType="solid">
          <bgColor theme="0" tint="-0.499984740745262"/>
        </patternFill>
      </fill>
    </ndxf>
  </rcc>
  <rcc rId="435" sId="2" odxf="1" dxf="1" quotePrefix="1">
    <nc r="L116" t="inlineStr">
      <is>
        <t>-</t>
      </is>
    </nc>
    <odxf>
      <fill>
        <patternFill patternType="none">
          <bgColor indexed="65"/>
        </patternFill>
      </fill>
    </odxf>
    <ndxf>
      <fill>
        <patternFill patternType="solid">
          <bgColor theme="0" tint="-0.499984740745262"/>
        </patternFill>
      </fill>
    </ndxf>
  </rcc>
  <rcc rId="436" sId="2" odxf="1" dxf="1" quotePrefix="1">
    <nc r="M116" t="inlineStr">
      <is>
        <t>-</t>
      </is>
    </nc>
    <odxf>
      <fill>
        <patternFill patternType="none">
          <bgColor indexed="65"/>
        </patternFill>
      </fill>
    </odxf>
    <ndxf>
      <fill>
        <patternFill patternType="solid">
          <bgColor theme="0" tint="-0.499984740745262"/>
        </patternFill>
      </fill>
    </ndxf>
  </rcc>
  <rcc rId="437" sId="2" quotePrefix="1">
    <nc r="P109" t="inlineStr">
      <is>
        <t>Contact point: Manjunath Jayaram (RBEI/ESJ-AHG), Megha Shyam Varam (RBEI/ESJ-AHG)</t>
      </is>
    </nc>
  </rcc>
  <rcc rId="438" sId="2" quotePrefix="1">
    <nc r="P110" t="inlineStr">
      <is>
        <t>Contact point: Manjunath Jayaram (RBEI/ESJ-AHG), Megha Shyam Varam (RBEI/ESJ-AHG)</t>
      </is>
    </nc>
  </rcc>
  <rcc rId="439" sId="2" quotePrefix="1">
    <nc r="P111" t="inlineStr">
      <is>
        <t>Contact point: Manjunath Jayaram (RBEI/ESJ-AHG), Megha Shyam Varam (RBEI/ESJ-AHG)</t>
      </is>
    </nc>
  </rcc>
  <rcc rId="440" sId="2" quotePrefix="1">
    <nc r="P112" t="inlineStr">
      <is>
        <t>Contact point: Manjunath Jayaram (RBEI/ESJ-AHG), Megha Shyam Varam (RBEI/ESJ-AHG)</t>
      </is>
    </nc>
  </rcc>
  <rcc rId="441" sId="2" quotePrefix="1">
    <nc r="P113" t="inlineStr">
      <is>
        <t>Contact point: Manjunath Jayaram (RBEI/ESJ-AHG), Megha Shyam Varam (RBEI/ESJ-AHG)</t>
      </is>
    </nc>
  </rcc>
  <rcc rId="442" sId="2" quotePrefix="1">
    <nc r="P114" t="inlineStr">
      <is>
        <t>Contact point: Manjunath Jayaram (RBEI/ESJ-AHG), Megha Shyam Varam (RBEI/ESJ-AHG)</t>
      </is>
    </nc>
  </rcc>
  <rcc rId="443" sId="2" quotePrefix="1">
    <nc r="P115" t="inlineStr">
      <is>
        <t>Contact point: Manjunath Jayaram (RBEI/ESJ-AHG), Megha Shyam Varam (RBEI/ESJ-AHG)</t>
      </is>
    </nc>
  </rcc>
  <rcc rId="444" sId="2" quotePrefix="1">
    <nc r="P116" t="inlineStr">
      <is>
        <t>Contact point: Manjunath Jayaram (RBEI/ESJ-AHG), Megha Shyam Varam (RBEI/ESJ-AHG)</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7" sId="2" quotePrefix="1">
    <oc r="O111" t="inlineStr">
      <is>
        <t>-</t>
      </is>
    </oc>
    <nc r="O111" t="inlineStr">
      <is>
        <t>1.0.131.1</t>
      </is>
    </nc>
  </rcc>
  <rcc rId="448" sId="2" quotePrefix="1">
    <oc r="O112" t="inlineStr">
      <is>
        <t>-</t>
      </is>
    </oc>
    <nc r="O112" t="inlineStr">
      <is>
        <t>1.8</t>
      </is>
    </nc>
  </rcc>
  <rcc rId="449" sId="2" quotePrefix="1">
    <oc r="O113" t="inlineStr">
      <is>
        <t>-</t>
      </is>
    </oc>
    <nc r="O113" t="inlineStr">
      <is>
        <t>1.0</t>
      </is>
    </nc>
  </rcc>
  <rcc rId="450" sId="2" quotePrefix="1">
    <oc r="O114" t="inlineStr">
      <is>
        <t>-</t>
      </is>
    </oc>
    <nc r="O114" t="inlineStr">
      <is>
        <t>1.0</t>
      </is>
    </nc>
  </rcc>
  <rcc rId="451" sId="2" quotePrefix="1">
    <oc r="O115" t="inlineStr">
      <is>
        <t>-</t>
      </is>
    </oc>
    <nc r="O115" t="inlineStr">
      <is>
        <t>1.0</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4" sId="2" numFmtId="19">
    <nc r="AC109">
      <v>43957</v>
    </nc>
  </rcc>
  <rcc rId="455" sId="2" numFmtId="19">
    <nc r="AD109">
      <v>43959</v>
    </nc>
  </rcc>
  <rcc rId="456" sId="2" numFmtId="19">
    <nc r="AC110">
      <v>43957</v>
    </nc>
  </rcc>
  <rcc rId="457" sId="2" numFmtId="19">
    <nc r="AD110">
      <v>43959</v>
    </nc>
  </rcc>
  <rcc rId="458" sId="2" numFmtId="19">
    <nc r="AC111">
      <v>43957</v>
    </nc>
  </rcc>
  <rcc rId="459" sId="2" numFmtId="19">
    <nc r="AD111">
      <v>43959</v>
    </nc>
  </rcc>
  <rcc rId="460" sId="2" numFmtId="19">
    <nc r="AC112">
      <v>43957</v>
    </nc>
  </rcc>
  <rcc rId="461" sId="2" numFmtId="19">
    <nc r="AD112">
      <v>43959</v>
    </nc>
  </rcc>
  <rcc rId="462" sId="2" numFmtId="19">
    <nc r="AC113">
      <v>43957</v>
    </nc>
  </rcc>
  <rcc rId="463" sId="2" numFmtId="19">
    <nc r="AD113">
      <v>43959</v>
    </nc>
  </rcc>
  <rcc rId="464" sId="2" numFmtId="19">
    <nc r="AC114">
      <v>43957</v>
    </nc>
  </rcc>
  <rcc rId="465" sId="2" numFmtId="19">
    <nc r="AD114">
      <v>43959</v>
    </nc>
  </rcc>
  <rcc rId="466" sId="2" numFmtId="19">
    <nc r="AC115">
      <v>43957</v>
    </nc>
  </rcc>
  <rcc rId="467" sId="2" numFmtId="19">
    <nc r="AD115">
      <v>43959</v>
    </nc>
  </rcc>
  <rcc rId="468" sId="2" numFmtId="19">
    <nc r="AC116">
      <v>43957</v>
    </nc>
  </rcc>
  <rcc rId="469" sId="2" numFmtId="19">
    <nc r="AD116">
      <v>43959</v>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A15" start="0" length="0">
    <dxf>
      <font>
        <b/>
        <sz val="11"/>
        <color theme="1"/>
        <name val="Calibri"/>
        <scheme val="minor"/>
      </font>
    </dxf>
  </rfmt>
  <rcc rId="472" sId="5" odxf="1" dxf="1">
    <nc r="B15" t="inlineStr">
      <is>
        <t>Project</t>
      </is>
    </nc>
    <odxf>
      <font>
        <b val="0"/>
        <sz val="11"/>
        <color theme="1"/>
        <name val="Calibri"/>
        <scheme val="minor"/>
      </font>
    </odxf>
    <ndxf>
      <font>
        <b/>
        <sz val="11"/>
        <color theme="1"/>
        <name val="Calibri"/>
        <scheme val="minor"/>
      </font>
    </ndxf>
  </rcc>
  <rfmt sheetId="5" sqref="C15" start="0" length="0">
    <dxf>
      <font>
        <b/>
        <sz val="11"/>
        <color theme="1"/>
        <name val="Calibri"/>
        <scheme val="minor"/>
      </font>
    </dxf>
  </rfmt>
  <rcc rId="473" sId="5" odxf="1" dxf="1">
    <nc r="B16" t="inlineStr">
      <is>
        <t>Time</t>
      </is>
    </nc>
    <odxf>
      <font>
        <b val="0"/>
        <sz val="11"/>
        <color theme="1"/>
        <name val="Calibri"/>
        <scheme val="minor"/>
      </font>
    </odxf>
    <ndxf>
      <font>
        <b/>
        <sz val="11"/>
        <color theme="1"/>
        <name val="Calibri"/>
        <scheme val="minor"/>
      </font>
    </ndxf>
  </rcc>
  <rcc rId="474" sId="5" odxf="1">
    <nc r="C16">
      <f>SUM(G22:G23)</f>
    </nc>
    <odxf/>
  </rcc>
  <rcc rId="475" sId="5">
    <nc r="D16" t="inlineStr">
      <is>
        <t>days</t>
      </is>
    </nc>
  </rcc>
  <rcc rId="476" sId="5" odxf="1" dxf="1">
    <nc r="B17" t="inlineStr">
      <is>
        <t>Duration (Plan)</t>
      </is>
    </nc>
    <odxf>
      <font>
        <b val="0"/>
        <sz val="11"/>
        <color theme="1"/>
        <name val="Calibri"/>
        <scheme val="minor"/>
      </font>
    </odxf>
    <ndxf>
      <font>
        <b/>
        <sz val="11"/>
        <color theme="1"/>
        <name val="Calibri"/>
        <scheme val="minor"/>
      </font>
    </ndxf>
  </rcc>
  <rcc rId="477" sId="5">
    <nc r="C17">
      <f>SUM(INT((WEEKDAY(F17-{2,3,4,5,6})+H17-F17)/7))-2</f>
    </nc>
  </rcc>
  <rcc rId="478" sId="5">
    <nc r="D17" t="inlineStr">
      <is>
        <t>days</t>
      </is>
    </nc>
  </rcc>
  <rcc rId="479" sId="5">
    <nc r="E17" t="inlineStr">
      <is>
        <t>9h00</t>
      </is>
    </nc>
  </rcc>
  <rcc rId="480" sId="5" odxf="1" dxf="1" numFmtId="19">
    <nc r="F17">
      <v>43948</v>
    </nc>
    <odxf>
      <numFmt numFmtId="0" formatCode="General"/>
    </odxf>
    <ndxf>
      <numFmt numFmtId="19" formatCode="m/d/yyyy"/>
    </ndxf>
  </rcc>
  <rcc rId="481" sId="5" odxf="1" dxf="1">
    <nc r="G17" t="inlineStr">
      <is>
        <t>17h00</t>
      </is>
    </nc>
    <odxf>
      <numFmt numFmtId="0" formatCode="General"/>
    </odxf>
    <ndxf>
      <numFmt numFmtId="19" formatCode="m/d/yyyy"/>
    </ndxf>
  </rcc>
  <rcc rId="482" sId="5" odxf="1" dxf="1" numFmtId="19">
    <nc r="H17">
      <v>43958</v>
    </nc>
    <odxf>
      <numFmt numFmtId="0" formatCode="General"/>
    </odxf>
    <ndxf>
      <numFmt numFmtId="19" formatCode="m/d/yyyy"/>
    </ndxf>
  </rcc>
  <rcc rId="483" sId="5" odxf="1" dxf="1">
    <nc r="B18" t="inlineStr">
      <is>
        <t>Duration (Actual)</t>
      </is>
    </nc>
    <odxf>
      <font>
        <b val="0"/>
        <sz val="11"/>
        <color theme="1"/>
        <name val="Calibri"/>
        <scheme val="minor"/>
      </font>
    </odxf>
    <ndxf>
      <font>
        <b/>
        <sz val="11"/>
        <color theme="1"/>
        <name val="Calibri"/>
        <scheme val="minor"/>
      </font>
    </ndxf>
  </rcc>
  <rcc rId="484" sId="5">
    <nc r="C18">
      <f>SUM(INT((WEEKDAY(F18-{2,3,4,5,6})+H18-F18)/7))-2</f>
    </nc>
  </rcc>
  <rcc rId="485" sId="5">
    <nc r="D18" t="inlineStr">
      <is>
        <t>days</t>
      </is>
    </nc>
  </rcc>
  <rcc rId="486" sId="5">
    <nc r="E18" t="inlineStr">
      <is>
        <t>9h00</t>
      </is>
    </nc>
  </rcc>
  <rcc rId="487" sId="5" odxf="1" dxf="1" numFmtId="19">
    <nc r="F18">
      <v>43948</v>
    </nc>
    <odxf>
      <numFmt numFmtId="0" formatCode="General"/>
    </odxf>
    <ndxf>
      <numFmt numFmtId="19" formatCode="m/d/yyyy"/>
    </ndxf>
  </rcc>
  <rcc rId="488" sId="5" odxf="1" dxf="1">
    <nc r="G18" t="inlineStr">
      <is>
        <t>17h00</t>
      </is>
    </nc>
    <odxf>
      <numFmt numFmtId="0" formatCode="General"/>
    </odxf>
    <ndxf>
      <numFmt numFmtId="19" formatCode="m/d/yyyy"/>
    </ndxf>
  </rcc>
  <rcc rId="489" sId="5" odxf="1" dxf="1" numFmtId="19">
    <nc r="H18">
      <v>43958</v>
    </nc>
    <odxf>
      <numFmt numFmtId="0" formatCode="General"/>
    </odxf>
    <ndxf>
      <numFmt numFmtId="19" formatCode="m/d/yyyy"/>
    </ndxf>
  </rcc>
  <rcc rId="490" sId="5" odxf="1" dxf="1">
    <nc r="B19" t="inlineStr">
      <is>
        <t>Status</t>
      </is>
    </nc>
    <odxf>
      <font>
        <b val="0"/>
        <sz val="11"/>
        <color theme="1"/>
        <name val="Calibri"/>
        <scheme val="minor"/>
      </font>
    </odxf>
    <ndxf>
      <font>
        <b/>
        <sz val="11"/>
        <color theme="1"/>
        <name val="Calibri"/>
        <scheme val="minor"/>
      </font>
    </ndxf>
  </rcc>
  <rcc rId="491" sId="5">
    <nc r="C19">
      <f>IF(SUM(H22:H23)&gt;SUM(G22:G23),"Delayed",IF(SUM(H22:H23)&lt;SUM(G22:G23),"InAdvanced","Ontime"))</f>
    </nc>
  </rcc>
  <rfmt sheetId="5" sqref="F19" start="0" length="0">
    <dxf>
      <numFmt numFmtId="19" formatCode="m/d/yyyy"/>
    </dxf>
  </rfmt>
  <rfmt sheetId="5" sqref="G19" start="0" length="0">
    <dxf>
      <numFmt numFmtId="19" formatCode="m/d/yyyy"/>
    </dxf>
  </rfmt>
  <rfmt sheetId="5" sqref="H19" start="0" length="0">
    <dxf>
      <numFmt numFmtId="19" formatCode="m/d/yyyy"/>
    </dxf>
  </rfmt>
  <rcc rId="492" sId="5" odxf="1" dxf="1">
    <nc r="C21"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93" sId="5" odxf="1" dxf="1">
    <nc r="D21"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494" sId="5" odxf="1" dxf="1">
    <nc r="E21"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5" sId="5" odxf="1" dxf="1">
    <nc r="F21"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6" sId="5" odxf="1" dxf="1">
    <nc r="G21"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7" sId="5" odxf="1" dxf="1">
    <nc r="H21"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8" sId="5" odxf="1" dxf="1">
    <nc r="I21"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499" sId="5" odxf="1" dxf="1">
    <nc r="C22">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500" sId="5" odxf="1" dxf="1">
    <nc r="D22"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1" sId="5" odxf="1" dxf="1">
    <nc r="E22">
      <f>SUMIFS(Merged_JOEM!$W$48:$W$158,Merged_JOEM!$D$48:$D$158,Table!$D$3,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2" sId="5" odxf="1" dxf="1">
    <nc r="F22">
      <f>SUMIFS(Merged_JOEM!$X$48:$X$158,Merged_JOEM!$D$48:$D$158,Table!$D$3, Merged_JOEM!$E$48:$E$158,Report_For_Each_Project_JOEM!C15)-SUM(SUMIFS(Merged_JOEM!$X$48:$X$158,Merged_JOEM!$D$48:$D$158,Table!$D$3,Merged_JOEM!$AA$48:$AA$158,{"Ongoing","N/A",""},Merged_JOEM!$E$48:$E$158,Report_For_Each_Project_JOEM!C15))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3" sId="5" odxf="1" dxf="1">
    <nc r="G22">
      <f>1/8*(SUMIFS(Merged_JOEM!$Y$48:$Y$158,Merged_JOEM!$D$48:$D$158,Table!$D$3,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4" sId="5" odxf="1" dxf="1">
    <nc r="H22">
      <f>1/8*(SUMIFS(Merged_JOEM!$Z$48:$Z$158,Merged_JOEM!$D$48:$D$158,Table!$D$3, Merged_JOEM!$E$48:$E$158,Report_For_Each_Project_JOEM!C15)-SUM(SUMIFS(Merged_JOEM!$Z$48:$Z$158,Merged_JOEM!$D$48:$D$158,Table!$D$3,Merged_JOEM!$AA$48:$AA$158,{"Ongoing","N/A",""},Merged_JOEM!$E$48:$E$158,Report_For_Each_Project_JOEM!C15)))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5" sId="5" odxf="1" dxf="1">
    <nc r="I22">
      <f>IFERROR(F22/E22,"N/A")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06" sId="5" odxf="1" dxf="1">
    <nc r="C23">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507" sId="5" odxf="1" dxf="1">
    <nc r="D23"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8" sId="5" odxf="1" dxf="1">
    <nc r="E23">
      <f>SUMIFS(Merged_JOEM!$W$48:$W$158,Merged_JOEM!$D$48:$D$158,Table!$C$3,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09" sId="5" odxf="1" dxf="1">
    <nc r="F23">
      <f>SUMIFS(Merged_JOEM!$X$48:$X$158,Merged_JOEM!$D$48:$D$158,Table!$C$3, Merged_JOEM!$E$48:$E$158,Report_For_Each_Project_JOEM!C15)-SUM(SUMIFS(Merged_JOEM!$X$48:$X$158,Merged_JOEM!$D$48:$D$158,Table!$C$3,Merged_JOEM!$AA$48:$AA$158,{"Ongoing","N/A",""},Merged_JOEM!$E$48:$E$158,Report_For_Each_Project_JOEM!C15))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0" sId="5" odxf="1" dxf="1">
    <nc r="G23">
      <f>1/8*(SUMIFS(Merged_JOEM!$Y$48:$Y$158,Merged_JOEM!$D$48:$D$158,Table!$C$3, 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1" sId="5" odxf="1" dxf="1">
    <nc r="H23">
      <f>1/8*(SUMIFS(Merged_JOEM!$Z$48:$Z$158,Merged_JOEM!$D$48:$D$158,Table!$C$3, Merged_JOEM!$E$48:$E$158,Report_For_Each_Project_JOEM!C15)-SUM(SUMIFS(Merged_JOEM!$Z$48:$Z$158,Merged_JOEM!$D$48:$D$158,Table!$C$3,Merged_JOEM!$AA$48:$AA$158,{"Ongoing","N/A",""},Merged_JOEM!$E$48:$E$158,Report_For_Each_Project_JOEM!C15)))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512" sId="5" odxf="1" dxf="1">
    <nc r="I23">
      <f>IFERROR(F23/E23,"N/A")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513" sId="5">
    <nc r="C25" t="inlineStr">
      <is>
        <t>Brief Description:</t>
      </is>
    </nc>
  </rcc>
  <rcc rId="514" sId="5">
    <nc r="D26" t="inlineStr">
      <is>
        <t>- No comment</t>
      </is>
    </nc>
  </rcc>
  <rcc rId="515" sId="5">
    <nc r="C15" t="inlineStr">
      <is>
        <t>HONDA_iB2_1401_BL09_Sprint02</t>
      </is>
    </nc>
  </rcc>
  <rcc rId="516" sId="5">
    <nc r="A15">
      <v>2</v>
    </nc>
  </rcc>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7" sId="5" numFmtId="19">
    <oc r="F17">
      <v>43948</v>
    </oc>
    <nc r="F17">
      <v>43957</v>
    </nc>
  </rcc>
  <rcc rId="518" sId="5" numFmtId="19">
    <oc r="F18">
      <v>43948</v>
    </oc>
    <nc r="F18">
      <v>43957</v>
    </nc>
  </rcc>
  <rcc rId="519" sId="5">
    <oc r="E17" t="inlineStr">
      <is>
        <t>9h00</t>
      </is>
    </oc>
    <nc r="E17" t="inlineStr">
      <is>
        <t>16h00</t>
      </is>
    </nc>
  </rcc>
  <rcc rId="520" sId="5">
    <oc r="E18" t="inlineStr">
      <is>
        <t>9h00</t>
      </is>
    </oc>
    <nc r="E18" t="inlineStr">
      <is>
        <t>16h00</t>
      </is>
    </nc>
  </rcc>
  <rcc rId="521" sId="5">
    <oc r="C17">
      <f>SUM(INT((WEEKDAY(F17-{2,3,4,5,6})+H17-F17)/7))-2</f>
    </oc>
    <nc r="C17">
      <f>SUM(INT((WEEKDAY(F17-{2,3,4,5,6})+H17-F17)/7))</f>
    </nc>
  </rcc>
  <rcc rId="522" sId="5">
    <oc r="C18">
      <f>SUM(INT((WEEKDAY(F18-{2,3,4,5,6})+H18-F18)/7))-2</f>
    </oc>
    <nc r="C18">
      <f>SUM(INT((WEEKDAY(F18-{2,3,4,5,6})+H18-F18)/7))</f>
    </nc>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3" sId="5" numFmtId="19">
    <oc r="H17">
      <v>43958</v>
    </oc>
    <nc r="H17">
      <v>43959</v>
    </nc>
  </rcc>
  <rcc rId="524" sId="5" numFmtId="19">
    <oc r="H18">
      <v>43958</v>
    </oc>
    <nc r="H18">
      <v>43959</v>
    </nc>
  </rcc>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5" sId="1" numFmtId="19">
    <nc r="AE123">
      <v>43957</v>
    </nc>
  </rcc>
  <rcc rId="526" sId="1" numFmtId="19">
    <nc r="AF123">
      <v>43957</v>
    </nc>
  </rcc>
  <rcc rId="527" sId="1">
    <nc r="AG123" t="inlineStr">
      <is>
        <t>OK</t>
      </is>
    </nc>
  </rcc>
  <rcc rId="528" sId="1" numFmtId="14">
    <nc r="AH123">
      <v>1</v>
    </nc>
  </rcc>
  <rcc rId="529" sId="1" numFmtId="14">
    <nc r="AI123">
      <v>1</v>
    </nc>
  </rcc>
  <rcc rId="530" sId="1" numFmtId="14">
    <nc r="AJ123">
      <v>1</v>
    </nc>
  </rcc>
  <rcc rId="531" sId="1">
    <nc r="AK123" t="inlineStr">
      <is>
        <t>None</t>
      </is>
    </nc>
  </rcc>
  <rcc rId="532" sId="1" numFmtId="19">
    <nc r="AE124">
      <v>43957</v>
    </nc>
  </rcc>
  <rcc rId="533" sId="1" numFmtId="19">
    <nc r="AF124">
      <v>43957</v>
    </nc>
  </rcc>
  <rcc rId="534" sId="1">
    <nc r="AG124" t="inlineStr">
      <is>
        <t>OK</t>
      </is>
    </nc>
  </rcc>
  <rcc rId="535" sId="1" numFmtId="14">
    <nc r="AH124">
      <v>1</v>
    </nc>
  </rcc>
  <rcc rId="536" sId="1" numFmtId="14">
    <nc r="AI124">
      <v>1</v>
    </nc>
  </rcc>
  <rcc rId="537" sId="1" numFmtId="14">
    <nc r="AJ124">
      <v>1</v>
    </nc>
  </rcc>
  <rcc rId="538" sId="1">
    <nc r="AK124" t="inlineStr">
      <is>
        <t>None</t>
      </is>
    </nc>
  </rcc>
  <rcc rId="539" sId="1">
    <nc r="X123">
      <f>W123</f>
    </nc>
  </rcc>
  <rcc rId="540" sId="1">
    <nc r="X124">
      <f>W124</f>
    </nc>
  </rcc>
  <rcc rId="541" sId="1">
    <nc r="Z123">
      <v>0.5</v>
    </nc>
  </rcc>
  <rcc rId="542" sId="1">
    <nc r="Z124">
      <v>0.5</v>
    </nc>
  </rcc>
  <rcc rId="543" sId="1">
    <oc r="AN67" t="inlineStr">
      <is>
        <t>Waiting owner reply</t>
      </is>
    </oc>
    <nc r="AN67" t="inlineStr">
      <is>
        <t>Owner confirm it's need to do UT</t>
      </is>
    </nc>
  </rcc>
  <rcc rId="544" sId="1">
    <oc r="AK67" t="inlineStr">
      <is>
        <t>OPL</t>
      </is>
    </oc>
    <nc r="AK67" t="inlineStr">
      <is>
        <t>None</t>
      </is>
    </nc>
  </rc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7" sId="1" quotePrefix="1">
    <oc r="F114" t="inlineStr">
      <is>
        <t>MainstreamF30/rba/Bldr/config/ApplicationLayer/rba_BldrCmp/src/</t>
      </is>
    </oc>
    <nc r="F114" t="inlineStr">
      <is>
        <t>MainstreamF30\rba\Bldr\config\ApplicationLayer\rba_BldrCmp\src\</t>
      </is>
    </nc>
  </rcc>
  <rcc rId="548" sId="1" quotePrefix="1">
    <oc r="F115" t="inlineStr">
      <is>
        <t>MainstreamF30/rba/Bldr/config/Infrastruct/rba_AS_HWProt/src/</t>
      </is>
    </oc>
    <nc r="F115" t="inlineStr">
      <is>
        <t>MainstreamF30\rba\Bldr\config\Infrastruct\rba_AS_HWProt\src\</t>
      </is>
    </nc>
  </rcc>
  <rcc rId="549" sId="1" quotePrefix="1">
    <oc r="F116" t="inlineStr">
      <is>
        <t>/MainstreamF30/rb/as/geely/project/app/dsm/RBHMI/src</t>
      </is>
    </oc>
    <nc r="F116" t="inlineStr">
      <is>
        <t>\MainstreamF30\rb\as\geely\project\app\dsm\RBHMI\src</t>
      </is>
    </nc>
  </rcc>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0" sId="1" quotePrefix="1">
    <oc r="F117" t="inlineStr">
      <is>
        <t>rba.Bldr_FAW.\config\ApplicationLayer\rba_BldrCmp\src</t>
      </is>
    </oc>
    <nc r="F117" t="inlineStr">
      <is>
        <t>rba\Bldr_FAW\config\ApplicationLayer\rba_BldrCmp\src</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5" sId="1" xfDxf="1" dxf="1" quotePrefix="1">
    <oc r="F114" t="inlineStr">
      <is>
        <t>MainstreamF30\rba\Bldr\config\ApplicationLayer\rba_BldrCmp\src\</t>
      </is>
    </oc>
    <nc r="F114" t="inlineStr">
      <is>
        <t>SAIC_A_ARCH_CMP_ESP93_RBVH_Carbon_Int/MainstreamF30/rba/Bldr/config/ApplicationLayer/rba_BldrCmp/src/rba_BldrCmp_Cfg_FlashIf.c</t>
      </is>
    </nc>
    <ndxf>
      <alignment horizontal="left" vertical="top" readingOrder="0"/>
      <border outline="0">
        <left style="thin">
          <color indexed="64"/>
        </left>
        <right style="thin">
          <color indexed="64"/>
        </right>
        <top style="thin">
          <color indexed="64"/>
        </top>
        <bottom style="thin">
          <color indexed="64"/>
        </bottom>
      </border>
    </ndxf>
  </rcc>
  <rcc rId="556" sId="1" xfDxf="1" dxf="1" quotePrefix="1">
    <oc r="F115" t="inlineStr">
      <is>
        <t>MainstreamF30\rba\Bldr\config\Infrastruct\rba_AS_HWProt\src\</t>
      </is>
    </oc>
    <nc r="F115" t="inlineStr">
      <is>
        <t>SAIC_A_ARCH_CMP_ESP93_RBVH_Carbon_Int/MainstreamF30/rba/Bldr/config/Infrastruct/rba_AS_HWProt/src/rba_AS_HWProt.c</t>
      </is>
    </nc>
    <ndxf>
      <alignment horizontal="left" vertical="top" readingOrder="0"/>
      <border outline="0">
        <left style="thin">
          <color indexed="64"/>
        </left>
        <right style="thin">
          <color indexed="64"/>
        </right>
        <top style="thin">
          <color indexed="64"/>
        </top>
        <bottom style="thin">
          <color indexed="64"/>
        </bottom>
      </border>
    </ndxf>
  </rcc>
  <rcc rId="557" sId="1" xfDxf="1" dxf="1" quotePrefix="1">
    <oc r="F116" t="inlineStr">
      <is>
        <t>\MainstreamF30\rb\as\geely\project\app\dsm\RBHMI\src</t>
      </is>
    </oc>
    <nc r="F116" t="inlineStr">
      <is>
        <t>Geely_Beryllium2_Int/MainstreamF30/rb/as/geely/project/app/dsm/RBHMI/src/RBHMI_Synchronisation_F30.C</t>
      </is>
    </nc>
    <ndxf>
      <alignment horizontal="left" vertical="top" readingOrder="0"/>
      <border outline="0">
        <left style="thin">
          <color indexed="64"/>
        </left>
        <right style="thin">
          <color indexed="64"/>
        </right>
        <top style="thin">
          <color indexed="64"/>
        </top>
        <bottom style="thin">
          <color indexed="64"/>
        </bottom>
      </border>
    </ndxf>
  </rcc>
  <rfmt sheetId="1" sqref="F117">
    <dxf>
      <fill>
        <patternFill patternType="solid">
          <bgColor rgb="FFFF0000"/>
        </patternFill>
      </fill>
    </dxf>
  </rfmt>
  <rcc rId="558" sId="1" xfDxf="1" dxf="1" quotePrefix="1">
    <oc r="F118" t="inlineStr">
      <is>
        <t>rb\as\baic\core\app\dcom\RBAPLCust\src</t>
      </is>
    </oc>
    <nc r="F118" t="inlineStr">
      <is>
        <t>BAIC_ESP93CPi_RC_Init/MainstreamF30/rb/as/baic/core/app/dcom/RBAPLCust/src/RBAPLCUST_RBDI_NVMData.c</t>
      </is>
    </nc>
    <ndxf>
      <alignment horizontal="left" vertical="top" readingOrder="0"/>
      <border outline="0">
        <left style="thin">
          <color indexed="64"/>
        </left>
        <right style="thin">
          <color indexed="64"/>
        </right>
        <top style="thin">
          <color indexed="64"/>
        </top>
        <bottom style="thin">
          <color indexed="64"/>
        </bottom>
      </border>
    </ndxf>
  </rcc>
  <rcc rId="559" sId="1" xfDxf="1" dxf="1" quotePrefix="1">
    <oc r="F119" t="inlineStr">
      <is>
        <t>rb\as\baic\core\app\dcom\RBAPLCust\src</t>
      </is>
    </oc>
    <nc r="F119" t="inlineStr">
      <is>
        <t>BAIC_ESP93CPi_RC_Init/MainstreamF30/rb/as/baic/core/app/dcom/RBAPLCust/src/RBAPLCUST_WDBI_NVMData.c</t>
      </is>
    </nc>
    <ndxf>
      <alignment horizontal="left" vertical="top" readingOrder="0"/>
      <border outline="0">
        <left style="thin">
          <color indexed="64"/>
        </left>
        <right style="thin">
          <color indexed="64"/>
        </right>
        <top style="thin">
          <color indexed="64"/>
        </top>
        <bottom style="thin">
          <color indexed="64"/>
        </bottom>
      </border>
    </ndxf>
  </rcc>
  <rcc rId="560" sId="1" xfDxf="1" dxf="1" quotePrefix="1">
    <oc r="F120" t="inlineStr">
      <is>
        <t>rb\as\baic\CpiwAPB\app\dsm\RBVAR\src\</t>
      </is>
    </oc>
    <nc r="F120" t="inlineStr">
      <is>
        <t>BAIC_ESP93CPi_RC_Init/MainstreamF30/rb/as/baic/CpiwAPB/app/dsm/RBVAR/src/RBVAR_OutputDriver_PROJECT.c</t>
      </is>
    </nc>
    <ndxf>
      <alignment horizontal="left" vertical="top" readingOrder="0"/>
      <border outline="0">
        <left style="thin">
          <color indexed="64"/>
        </left>
        <right style="thin">
          <color indexed="64"/>
        </right>
        <top style="thin">
          <color indexed="64"/>
        </top>
        <bottom style="thin">
          <color indexed="64"/>
        </bottom>
      </border>
    </ndxf>
  </rcc>
  <rcc rId="561" sId="1" xfDxf="1" dxf="1" quotePrefix="1">
    <oc r="F121" t="inlineStr">
      <is>
        <t>rb\as\baic\CpiwAPB\app\net\RbNetPrj\RBNet_Can\src\</t>
      </is>
    </oc>
    <nc r="F121" t="inlineStr">
      <is>
        <t>BAIC_ESP93CPi_RC_Init/MainstreamF30/rb/as/baic/CpiwAPB/app/net/RbNetPrj/RBNet_Can/src/NET_AliveCounterLib_CNMS.c</t>
      </is>
    </nc>
    <ndxf>
      <alignment horizontal="left" vertical="top" readingOrder="0"/>
      <border outline="0">
        <left style="thin">
          <color indexed="64"/>
        </left>
        <right style="thin">
          <color indexed="64"/>
        </right>
        <top style="thin">
          <color indexed="64"/>
        </top>
        <bottom style="thin">
          <color indexed="64"/>
        </bottom>
      </border>
    </ndxf>
  </rcc>
  <rcc rId="562" sId="1" xfDxf="1" dxf="1" quotePrefix="1">
    <oc r="F122" t="inlineStr">
      <is>
        <t>rb\as\baic\CpiwAPB\app\net\RbNetPrj\RBNet_Can\src\</t>
      </is>
    </oc>
    <nc r="F122" t="inlineStr">
      <is>
        <t>BAIC_ESP93CPi_RC_Init/MainstreamF30/rb/as/baic/CpiwAPB/app/net/RbNetPrj/RBNet_Can/src/NET_CheckSumLib_CNMS.c</t>
      </is>
    </nc>
    <ndxf>
      <alignment horizontal="left" vertical="top" readingOrder="0"/>
      <border outline="0">
        <left style="thin">
          <color indexed="64"/>
        </left>
        <right style="thin">
          <color indexed="64"/>
        </right>
        <top style="thin">
          <color indexed="64"/>
        </top>
        <bottom style="thin">
          <color indexed="64"/>
        </bottom>
      </border>
    </ndxf>
  </rcc>
  <rcc rId="563" sId="1" xfDxf="1" dxf="1" quotePrefix="1">
    <oc r="F123" t="inlineStr">
      <is>
        <t>rb\as\baic\CpiwAPB\app\net\RbNetPrj\RBNet_Can\src\</t>
      </is>
    </oc>
    <nc r="F123" t="inlineStr">
      <is>
        <t>BAIC_ESP93CPi_RC_Init/MainstreamF30/rb/as/baic/CpiwAPB/app/net/RbNetPrj/RBNet_Can/src/NET_MonitoringClasses_F30.c</t>
      </is>
    </nc>
    <ndxf>
      <alignment horizontal="left" vertical="top" readingOrder="0"/>
      <border outline="0">
        <left style="thin">
          <color indexed="64"/>
        </left>
        <right style="thin">
          <color indexed="64"/>
        </right>
        <top style="thin">
          <color indexed="64"/>
        </top>
        <bottom style="thin">
          <color indexed="64"/>
        </bottom>
      </border>
    </ndxf>
  </rcc>
  <rcc rId="564" sId="1" xfDxf="1" dxf="1" quotePrefix="1">
    <oc r="F124" t="inlineStr">
      <is>
        <t>rb\as\baic\CpiwAPB\app\net\RBScl\src\</t>
      </is>
    </oc>
    <nc r="F124" t="inlineStr">
      <is>
        <t>BAIC_ESP93CPi_RC_Init/MainstreamF30/rb/as/baic/CpiwAPB/app/net/RBScl/src/NET_SCL_Rx.c</t>
      </is>
    </nc>
    <ndxf>
      <alignment horizontal="left" vertical="top" readingOrder="0"/>
      <border outline="0">
        <left style="thin">
          <color indexed="64"/>
        </left>
        <right style="thin">
          <color indexed="64"/>
        </right>
        <top style="thin">
          <color indexed="64"/>
        </top>
        <bottom style="thin">
          <color indexed="64"/>
        </bottom>
      </border>
    </ndxf>
  </rcc>
  <rcc rId="565" sId="1" xfDxf="1" dxf="1" quotePrefix="1">
    <oc r="F125" t="inlineStr">
      <is>
        <t>rb\as\baic\CpiwAPB\app\net\RBScl\src\</t>
      </is>
    </oc>
    <nc r="F125" t="inlineStr">
      <is>
        <t>BAIC_ESP93CPi_RC_Init/MainstreamF30/rb/as/baic/CpiwAPB/app/net/RBScl/src/NET_SCL_Tx_APA.c</t>
      </is>
    </nc>
    <ndxf>
      <alignment horizontal="left" vertical="top" readingOrder="0"/>
      <border outline="0">
        <left style="thin">
          <color indexed="64"/>
        </left>
        <right style="thin">
          <color indexed="64"/>
        </right>
        <top style="thin">
          <color indexed="64"/>
        </top>
        <bottom style="thin">
          <color indexed="64"/>
        </bottom>
      </border>
    </ndxf>
  </rcc>
  <rcc rId="566" sId="1" xfDxf="1" dxf="1" quotePrefix="1">
    <oc r="F126" t="inlineStr">
      <is>
        <t>rb\as\baic\CpiwAPB\app\net\RBScl\src\</t>
      </is>
    </oc>
    <nc r="F126" t="inlineStr">
      <is>
        <t>BAIC_ESP93CPi_RC_Init/MainstreamF30/rb/as/baic/CpiwAPB/app/net/RBScl/src/NET_SCL_Tx_APBMi_PRJ.c</t>
      </is>
    </nc>
    <ndxf>
      <alignment horizontal="left" vertical="top" readingOrder="0"/>
      <border outline="0">
        <left style="thin">
          <color indexed="64"/>
        </left>
        <right style="thin">
          <color indexed="64"/>
        </right>
        <top style="thin">
          <color indexed="64"/>
        </top>
        <bottom style="thin">
          <color indexed="64"/>
        </bottom>
      </border>
    </ndxf>
  </rcc>
  <rcc rId="567" sId="1" xfDxf="1" dxf="1" quotePrefix="1">
    <oc r="F127" t="inlineStr">
      <is>
        <t>rb\as\baic\CpiwAPB\app\net\RBScl\src\</t>
      </is>
    </oc>
    <nc r="F127" t="inlineStr">
      <is>
        <t>BAIC_ESP93CPi_RC_Init/MainstreamF30/rb/as/baic/CpiwAPB/app/net/RBScl/src/NET_SCL_Tx_WheelPulse_APA.c</t>
      </is>
    </nc>
    <ndxf>
      <alignment horizontal="left" vertical="top" readingOrder="0"/>
      <border outline="0">
        <left style="thin">
          <color indexed="64"/>
        </left>
        <right style="thin">
          <color indexed="64"/>
        </right>
        <top style="thin">
          <color indexed="64"/>
        </top>
        <bottom style="thin">
          <color indexed="64"/>
        </bottom>
      </border>
    </ndxf>
  </rcc>
  <rcc rId="568" sId="1" xfDxf="1" dxf="1" quotePrefix="1">
    <oc r="F128" t="inlineStr">
      <is>
        <t>rb\as\baic\CpiwAPB\dsmpr\src\</t>
      </is>
    </oc>
    <nc r="F128" t="inlineStr">
      <is>
        <t>BAIC_ESP93CPi_RC_Init/MainstreamF30/rb/as/baic/CpiwAPB/dsmpr/src/RBPduHandler_Callouts.c</t>
      </is>
    </nc>
    <ndxf>
      <alignment horizontal="left" vertical="top" readingOrder="0"/>
      <border outline="0">
        <left style="thin">
          <color indexed="64"/>
        </left>
        <right style="thin">
          <color indexed="64"/>
        </right>
        <top style="thin">
          <color indexed="64"/>
        </top>
        <bottom style="thin">
          <color indexed="64"/>
        </bottom>
      </border>
    </ndxf>
  </rcc>
  <rfmt sheetId="1" sqref="F118:F128" start="0" length="2147483647">
    <dxf>
      <font>
        <b/>
      </font>
    </dxf>
  </rfmt>
  <rfmt sheetId="1" sqref="F114:F116" start="0" length="2147483647">
    <dxf>
      <font>
        <b/>
      </font>
    </dxf>
  </rfmt>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Merged_COEM!$B$47:$AN$128</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1" sId="1">
    <nc r="AA123" t="inlineStr">
      <is>
        <t>Ready for review</t>
      </is>
    </nc>
  </rcc>
  <rcc rId="572" sId="1">
    <nc r="AA124" t="inlineStr">
      <is>
        <t>Ready for review</t>
      </is>
    </nc>
  </rc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Merged_COEM!$B$47:$AN$128</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7" sId="1" xfDxf="1" dxf="1">
    <nc r="E129" t="inlineStr">
      <is>
        <t>GAC_220680_Carbon_A18_ESPHevx_FPA/RPA_BL04</t>
      </is>
    </nc>
    <ndxf>
      <alignment horizontal="left" vertical="top" readingOrder="0"/>
      <border outline="0">
        <left style="thin">
          <color indexed="64"/>
        </left>
        <right style="thin">
          <color indexed="64"/>
        </right>
        <top style="thin">
          <color indexed="64"/>
        </top>
        <bottom style="thin">
          <color indexed="64"/>
        </bottom>
      </border>
    </ndxf>
  </rcc>
  <rcc rId="578" sId="1" xfDxf="1" dxf="1">
    <nc r="E130" t="inlineStr">
      <is>
        <t>GAC_Carbon_RPA_ESPHevx_Mainpath_BL05</t>
      </is>
    </nc>
    <ndxf>
      <alignment horizontal="left" vertical="top" readingOrder="0"/>
      <border outline="0">
        <left style="thin">
          <color indexed="64"/>
        </left>
        <right style="thin">
          <color indexed="64"/>
        </right>
        <top style="thin">
          <color indexed="64"/>
        </top>
        <bottom style="thin">
          <color indexed="64"/>
        </bottom>
      </border>
    </ndxf>
  </rcc>
  <rcc rId="579" sId="1" xfDxf="1" dxf="1">
    <nc r="E131" t="inlineStr">
      <is>
        <t>GAC_Carbon_RPA_ESPHevx_Mainpath_BL05</t>
      </is>
    </nc>
    <ndxf>
      <alignment horizontal="left" vertical="top" readingOrder="0"/>
      <border outline="0">
        <left style="thin">
          <color indexed="64"/>
        </left>
        <right style="thin">
          <color indexed="64"/>
        </right>
        <top style="thin">
          <color indexed="64"/>
        </top>
        <bottom style="thin">
          <color indexed="64"/>
        </bottom>
      </border>
    </ndxf>
  </rcc>
  <rcc rId="580" sId="1" xfDxf="1" dxf="1">
    <nc r="E132"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1" sId="1" xfDxf="1" dxf="1">
    <nc r="E133"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2" sId="1" xfDxf="1" dxf="1">
    <nc r="E134"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3" sId="1" xfDxf="1" dxf="1">
    <nc r="E135"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4" sId="1" xfDxf="1" dxf="1">
    <nc r="E136"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5" sId="1" xfDxf="1" dxf="1">
    <nc r="E137"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6" sId="1" xfDxf="1" dxf="1">
    <nc r="E138"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7" sId="1" xfDxf="1" dxf="1">
    <nc r="E139"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8" sId="1" xfDxf="1" dxf="1">
    <nc r="E140" t="inlineStr">
      <is>
        <t>GAC_Carbon_Stream_ESPCP_BL05</t>
      </is>
    </nc>
    <ndxf>
      <alignment horizontal="left" vertical="top" readingOrder="0"/>
      <border outline="0">
        <left style="thin">
          <color indexed="64"/>
        </left>
        <right style="thin">
          <color indexed="64"/>
        </right>
        <top style="thin">
          <color indexed="64"/>
        </top>
        <bottom style="thin">
          <color indexed="64"/>
        </bottom>
      </border>
    </ndxf>
  </rcc>
  <rcc rId="589" sId="1">
    <nc r="C129">
      <v>20200506</v>
    </nc>
  </rcc>
  <rcc rId="590" sId="1">
    <nc r="C130">
      <v>20200506</v>
    </nc>
  </rcc>
  <rcc rId="591" sId="1">
    <nc r="C131">
      <v>20200506</v>
    </nc>
  </rcc>
  <rcc rId="592" sId="1">
    <nc r="C132">
      <v>20200506</v>
    </nc>
  </rcc>
  <rcc rId="593" sId="1">
    <nc r="C133">
      <v>20200506</v>
    </nc>
  </rcc>
  <rcc rId="594" sId="1">
    <nc r="C134">
      <v>20200506</v>
    </nc>
  </rcc>
  <rcc rId="595" sId="1">
    <nc r="C135">
      <v>20200506</v>
    </nc>
  </rcc>
  <rcc rId="596" sId="1">
    <nc r="C136">
      <v>20200506</v>
    </nc>
  </rcc>
  <rcc rId="597" sId="1">
    <nc r="C137">
      <v>20200506</v>
    </nc>
  </rcc>
  <rcc rId="598" sId="1">
    <nc r="C138">
      <v>20200506</v>
    </nc>
  </rcc>
  <rcc rId="599" sId="1">
    <nc r="C139">
      <v>20200506</v>
    </nc>
  </rcc>
  <rcc rId="600" sId="1">
    <nc r="C140">
      <v>20200506</v>
    </nc>
  </rcc>
  <rcc rId="601" sId="1">
    <nc r="D129" t="inlineStr">
      <is>
        <t>PSW</t>
      </is>
    </nc>
  </rcc>
  <rcc rId="602" sId="1">
    <nc r="D130" t="inlineStr">
      <is>
        <t>PSW</t>
      </is>
    </nc>
  </rcc>
  <rcc rId="603" sId="1">
    <nc r="D131" t="inlineStr">
      <is>
        <t>PSW</t>
      </is>
    </nc>
  </rcc>
  <rcc rId="604" sId="1">
    <nc r="D132" t="inlineStr">
      <is>
        <t>PSW</t>
      </is>
    </nc>
  </rcc>
  <rcc rId="605" sId="1">
    <nc r="D133" t="inlineStr">
      <is>
        <t>PSW</t>
      </is>
    </nc>
  </rcc>
  <rcc rId="606" sId="1">
    <nc r="D134" t="inlineStr">
      <is>
        <t>PSW</t>
      </is>
    </nc>
  </rcc>
  <rcc rId="607" sId="1">
    <nc r="D135" t="inlineStr">
      <is>
        <t>PSW</t>
      </is>
    </nc>
  </rcc>
  <rcc rId="608" sId="1">
    <nc r="D136" t="inlineStr">
      <is>
        <t>PSW</t>
      </is>
    </nc>
  </rcc>
  <rcc rId="609" sId="1">
    <nc r="D137" t="inlineStr">
      <is>
        <t>PSW</t>
      </is>
    </nc>
  </rcc>
  <rcc rId="610" sId="1">
    <nc r="D138" t="inlineStr">
      <is>
        <t>PSW</t>
      </is>
    </nc>
  </rcc>
  <rcc rId="611" sId="1">
    <nc r="D139" t="inlineStr">
      <is>
        <t>PSW</t>
      </is>
    </nc>
  </rcc>
  <rcc rId="612" sId="1">
    <nc r="D140" t="inlineStr">
      <is>
        <t>PSW</t>
      </is>
    </nc>
  </rcc>
  <rcc rId="613" sId="1">
    <nc r="B129">
      <f>B128+1</f>
    </nc>
  </rcc>
  <rcc rId="614" sId="1">
    <nc r="B130">
      <f>B129+1</f>
    </nc>
  </rcc>
  <rcc rId="615" sId="1">
    <nc r="B131">
      <f>B130+1</f>
    </nc>
  </rcc>
  <rcc rId="616" sId="1">
    <nc r="B132">
      <f>B131+1</f>
    </nc>
  </rcc>
  <rcc rId="617" sId="1">
    <nc r="B133">
      <f>B132+1</f>
    </nc>
  </rcc>
  <rcc rId="618" sId="1">
    <nc r="B134">
      <f>B133+1</f>
    </nc>
  </rcc>
  <rcc rId="619" sId="1">
    <nc r="B135">
      <f>B134+1</f>
    </nc>
  </rcc>
  <rcc rId="620" sId="1">
    <nc r="B136">
      <f>B135+1</f>
    </nc>
  </rcc>
  <rcc rId="621" sId="1">
    <nc r="B137">
      <f>B136+1</f>
    </nc>
  </rcc>
  <rcc rId="622" sId="1">
    <nc r="B138">
      <f>B137+1</f>
    </nc>
  </rcc>
  <rcc rId="623" sId="1">
    <nc r="B139">
      <f>B138+1</f>
    </nc>
  </rcc>
  <rcc rId="624" sId="1">
    <nc r="B140">
      <f>B139+1</f>
    </nc>
  </rcc>
  <rfmt sheetId="1" sqref="B129:B140">
    <dxf>
      <fill>
        <patternFill patternType="solid">
          <bgColor rgb="FFFFFF00"/>
        </patternFill>
      </fill>
    </dxf>
  </rfmt>
  <rcc rId="625" sId="1" xfDxf="1" dxf="1" quotePrefix="1">
    <nc r="F129" t="inlineStr">
      <is>
        <t>rb/as/gaig/core/app/net/RBScl/src</t>
      </is>
    </nc>
    <ndxf>
      <alignment horizontal="left" vertical="top" readingOrder="0"/>
      <border outline="0">
        <left style="thin">
          <color indexed="64"/>
        </left>
        <right style="thin">
          <color indexed="64"/>
        </right>
        <top style="thin">
          <color indexed="64"/>
        </top>
        <bottom style="thin">
          <color indexed="64"/>
        </bottom>
      </border>
    </ndxf>
  </rcc>
  <rcc rId="626" sId="1" xfDxf="1" dxf="1" quotePrefix="1">
    <nc r="F130"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c rId="627" sId="1" xfDxf="1" dxf="1" quotePrefix="1">
    <nc r="F131" t="inlineStr">
      <is>
        <t>rb/as/gaig/core/app/net/RBScl/src</t>
      </is>
    </nc>
    <ndxf>
      <alignment horizontal="left" vertical="top" readingOrder="0"/>
      <border outline="0">
        <left style="thin">
          <color indexed="64"/>
        </left>
        <right style="thin">
          <color indexed="64"/>
        </right>
        <top style="thin">
          <color indexed="64"/>
        </top>
        <bottom style="thin">
          <color indexed="64"/>
        </bottom>
      </border>
    </ndxf>
  </rcc>
  <rcc rId="628" sId="1" xfDxf="1" dxf="1" quotePrefix="1">
    <nc r="F132" t="inlineStr">
      <is>
        <t>rb/as/gaig/A12ESP/app/net/RBScl/RBScl_GAC/src/NET_SCL_EngineIntervention_Torq_GAC.c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29" sId="1" xfDxf="1" dxf="1" quotePrefix="1">
    <nc r="F133" t="inlineStr">
      <is>
        <t>rb/as/gaig/A12ESP/app/net/RBScl/RBScl_GAC/src/NET_SCL_GAC_OBD.c</t>
      </is>
    </nc>
    <ndxf>
      <alignment horizontal="left" vertical="top" readingOrder="0"/>
      <border outline="0">
        <left style="thin">
          <color indexed="64"/>
        </left>
        <right style="thin">
          <color indexed="64"/>
        </right>
        <top style="thin">
          <color indexed="64"/>
        </top>
        <bottom style="thin">
          <color indexed="64"/>
        </bottom>
      </border>
    </ndxf>
  </rcc>
  <rcc rId="630" sId="1" xfDxf="1" dxf="1" quotePrefix="1">
    <nc r="F134" t="inlineStr">
      <is>
        <t>rb/as/gaig/A12ESP/app/net/RBScl/RBScl_GAC/src/RB_DNC_SCL_RX_TPMF.c</t>
      </is>
    </nc>
    <ndxf>
      <alignment horizontal="left" vertical="top" readingOrder="0"/>
      <border outline="0">
        <left style="thin">
          <color indexed="64"/>
        </left>
        <right style="thin">
          <color indexed="64"/>
        </right>
        <top style="thin">
          <color indexed="64"/>
        </top>
        <bottom style="thin">
          <color indexed="64"/>
        </bottom>
      </border>
    </ndxf>
  </rcc>
  <rcc rId="631" sId="1" xfDxf="1" dxf="1" quotePrefix="1">
    <nc r="F135" t="inlineStr">
      <is>
        <t>rb/as/gaig/A12ESP/app/net/RBScl/RBScl_GAC/src/NET_SCL_GAC_Complex_function.c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32" sId="1" xfDxf="1" dxf="1" quotePrefix="1">
    <nc r="F136" t="inlineStr">
      <is>
        <t>rb/as/cnms_core/app/net/scl_callout/src/RBA_NDS_SystemInfo.c</t>
      </is>
    </nc>
    <ndxf>
      <alignment horizontal="left" vertical="top" readingOrder="0"/>
      <border outline="0">
        <left style="thin">
          <color indexed="64"/>
        </left>
        <right style="thin">
          <color indexed="64"/>
        </right>
        <top style="thin">
          <color indexed="64"/>
        </top>
        <bottom style="thin">
          <color indexed="64"/>
        </bottom>
      </border>
    </ndxf>
  </rcc>
  <rcc rId="633" sId="1" xfDxf="1" dxf="1" quotePrefix="1">
    <nc r="F137" t="inlineStr">
      <is>
        <t>rb/as/cnms_core/app/net/scl/Sensors/Steering/src/SAS_LWS_Standard.c</t>
      </is>
    </nc>
    <ndxf>
      <alignment horizontal="left" vertical="top" readingOrder="0"/>
      <border outline="0">
        <left style="thin">
          <color indexed="64"/>
        </left>
        <right style="thin">
          <color indexed="64"/>
        </right>
        <top style="thin">
          <color indexed="64"/>
        </top>
        <bottom style="thin">
          <color indexed="64"/>
        </bottom>
      </border>
    </ndxf>
  </rcc>
  <rcc rId="634" sId="1" xfDxf="1" dxf="1" quotePrefix="1">
    <nc r="F138" t="inlineStr">
      <is>
        <t>rb/as/gaig/core/app/itpms/TPMS_Common_CN/SRC/TPMS_PSW_Interface_COMMON_CN.c</t>
      </is>
    </nc>
    <ndxf>
      <alignment horizontal="left" vertical="top" readingOrder="0"/>
      <border outline="0">
        <left style="thin">
          <color indexed="64"/>
        </left>
        <right style="thin">
          <color indexed="64"/>
        </right>
        <top style="thin">
          <color indexed="64"/>
        </top>
        <bottom style="thin">
          <color indexed="64"/>
        </bottom>
      </border>
    </ndxf>
  </rcc>
  <rcc rId="635" sId="1" xfDxf="1" dxf="1" quotePrefix="1">
    <nc r="F139" t="inlineStr">
      <is>
        <t>rb/as/gaig/core/app/itpms/TPMS_Common_CN/SRC/TPMS_Handler_COMMON_CN.c</t>
      </is>
    </nc>
    <ndxf>
      <alignment horizontal="left" vertical="top" readingOrder="0"/>
      <border outline="0">
        <left style="thin">
          <color indexed="64"/>
        </left>
        <right style="thin">
          <color indexed="64"/>
        </right>
        <top style="thin">
          <color indexed="64"/>
        </top>
        <bottom style="thin">
          <color indexed="64"/>
        </bottom>
      </border>
    </ndxf>
  </rcc>
  <rcc rId="636" sId="1" xfDxf="1" dxf="1" quotePrefix="1">
    <nc r="F140" t="inlineStr">
      <is>
        <t>rb/as/gaig/core/app/itpms/TPMS_Common_CN/SIM/SRC/WSSALLTIMESTMPS_SIM_CN.c</t>
      </is>
    </nc>
    <ndxf>
      <alignment horizontal="left" vertical="top" readingOrder="0"/>
      <border outline="0">
        <left style="thin">
          <color indexed="64"/>
        </left>
        <right style="thin">
          <color indexed="64"/>
        </right>
        <top style="thin">
          <color indexed="64"/>
        </top>
        <bottom style="thin">
          <color indexed="64"/>
        </bottom>
      </border>
    </ndxf>
  </rcc>
  <rcc rId="637" sId="1" xfDxf="1" dxf="1">
    <nc r="G129">
      <v>1433783</v>
    </nc>
    <ndxf>
      <alignment horizontal="left" vertical="top" readingOrder="0"/>
      <border outline="0">
        <left style="thin">
          <color indexed="64"/>
        </left>
        <right style="thin">
          <color indexed="64"/>
        </right>
        <top style="thin">
          <color indexed="64"/>
        </top>
        <bottom style="thin">
          <color indexed="64"/>
        </bottom>
      </border>
    </ndxf>
  </rcc>
  <rcc rId="638" sId="1" xfDxf="1" dxf="1">
    <nc r="G130">
      <v>1445651</v>
    </nc>
    <ndxf>
      <alignment horizontal="left" vertical="top" readingOrder="0"/>
      <border outline="0">
        <left style="thin">
          <color indexed="64"/>
        </left>
        <right style="thin">
          <color indexed="64"/>
        </right>
        <top style="thin">
          <color indexed="64"/>
        </top>
        <bottom style="thin">
          <color indexed="64"/>
        </bottom>
      </border>
    </ndxf>
  </rcc>
  <rcc rId="639" sId="1" xfDxf="1" dxf="1">
    <nc r="G131">
      <v>1445651</v>
    </nc>
    <ndxf>
      <alignment horizontal="left" vertical="top" readingOrder="0"/>
      <border outline="0">
        <left style="thin">
          <color indexed="64"/>
        </left>
        <right style="thin">
          <color indexed="64"/>
        </right>
        <top style="thin">
          <color indexed="64"/>
        </top>
        <bottom style="thin">
          <color indexed="64"/>
        </bottom>
      </border>
    </ndxf>
  </rcc>
  <rcc rId="640" sId="1" xfDxf="1" dxf="1">
    <nc r="G132">
      <v>1405044</v>
    </nc>
    <ndxf>
      <alignment horizontal="left" vertical="top" readingOrder="0"/>
      <border outline="0">
        <left style="thin">
          <color indexed="64"/>
        </left>
        <right style="thin">
          <color indexed="64"/>
        </right>
        <top style="thin">
          <color indexed="64"/>
        </top>
        <bottom style="thin">
          <color indexed="64"/>
        </bottom>
      </border>
    </ndxf>
  </rcc>
  <rcc rId="641" sId="1" xfDxf="1" dxf="1">
    <nc r="G133">
      <v>1405044</v>
    </nc>
    <ndxf>
      <alignment horizontal="left" vertical="top" readingOrder="0"/>
      <border outline="0">
        <left style="thin">
          <color indexed="64"/>
        </left>
        <right style="thin">
          <color indexed="64"/>
        </right>
        <top style="thin">
          <color indexed="64"/>
        </top>
        <bottom style="thin">
          <color indexed="64"/>
        </bottom>
      </border>
    </ndxf>
  </rcc>
  <rcc rId="642" sId="1" xfDxf="1" dxf="1">
    <nc r="G134">
      <v>1405044</v>
    </nc>
    <ndxf>
      <alignment horizontal="left" vertical="top" readingOrder="0"/>
      <border outline="0">
        <left style="thin">
          <color indexed="64"/>
        </left>
        <right style="thin">
          <color indexed="64"/>
        </right>
        <top style="thin">
          <color indexed="64"/>
        </top>
        <bottom style="thin">
          <color indexed="64"/>
        </bottom>
      </border>
    </ndxf>
  </rcc>
  <rcc rId="643" sId="1" xfDxf="1" dxf="1">
    <nc r="G135">
      <v>1405044</v>
    </nc>
    <ndxf>
      <alignment horizontal="left" vertical="top" readingOrder="0"/>
      <border outline="0">
        <left style="thin">
          <color indexed="64"/>
        </left>
        <right style="thin">
          <color indexed="64"/>
        </right>
        <top style="thin">
          <color indexed="64"/>
        </top>
        <bottom style="thin">
          <color indexed="64"/>
        </bottom>
      </border>
    </ndxf>
  </rcc>
  <rcc rId="644" sId="1" xfDxf="1" dxf="1">
    <nc r="G136">
      <v>1405044</v>
    </nc>
    <ndxf>
      <alignment horizontal="left" vertical="top" readingOrder="0"/>
      <border outline="0">
        <left style="thin">
          <color indexed="64"/>
        </left>
        <right style="thin">
          <color indexed="64"/>
        </right>
        <top style="thin">
          <color indexed="64"/>
        </top>
        <bottom style="thin">
          <color indexed="64"/>
        </bottom>
      </border>
    </ndxf>
  </rcc>
  <rcc rId="645" sId="1" xfDxf="1" dxf="1">
    <nc r="G137">
      <v>1405044</v>
    </nc>
    <ndxf>
      <alignment horizontal="left" vertical="top" readingOrder="0"/>
      <border outline="0">
        <left style="thin">
          <color indexed="64"/>
        </left>
        <right style="thin">
          <color indexed="64"/>
        </right>
        <top style="thin">
          <color indexed="64"/>
        </top>
        <bottom style="thin">
          <color indexed="64"/>
        </bottom>
      </border>
    </ndxf>
  </rcc>
  <rcc rId="646" sId="1" xfDxf="1" dxf="1">
    <nc r="G138">
      <v>1405044</v>
    </nc>
    <ndxf>
      <alignment horizontal="left" vertical="top" readingOrder="0"/>
      <border outline="0">
        <left style="thin">
          <color indexed="64"/>
        </left>
        <right style="thin">
          <color indexed="64"/>
        </right>
        <top style="thin">
          <color indexed="64"/>
        </top>
        <bottom style="thin">
          <color indexed="64"/>
        </bottom>
      </border>
    </ndxf>
  </rcc>
  <rcc rId="647" sId="1" xfDxf="1" dxf="1">
    <nc r="G139">
      <v>1405044</v>
    </nc>
    <ndxf>
      <alignment horizontal="left" vertical="top" readingOrder="0"/>
      <border outline="0">
        <left style="thin">
          <color indexed="64"/>
        </left>
        <right style="thin">
          <color indexed="64"/>
        </right>
        <top style="thin">
          <color indexed="64"/>
        </top>
        <bottom style="thin">
          <color indexed="64"/>
        </bottom>
      </border>
    </ndxf>
  </rcc>
  <rcc rId="648" sId="1" xfDxf="1" dxf="1">
    <nc r="G140">
      <v>1405044</v>
    </nc>
    <ndxf>
      <alignment horizontal="left" vertical="top" readingOrder="0"/>
      <border outline="0">
        <left style="thin">
          <color indexed="64"/>
        </left>
        <right style="thin">
          <color indexed="64"/>
        </right>
        <top style="thin">
          <color indexed="64"/>
        </top>
        <bottom style="thin">
          <color indexed="64"/>
        </bottom>
      </border>
    </ndxf>
  </rcc>
  <rcc rId="649" sId="1" odxf="1" dxf="1" quotePrefix="1">
    <nc r="H129" t="inlineStr">
      <is>
        <t>-</t>
      </is>
    </nc>
    <odxf>
      <fill>
        <patternFill patternType="none">
          <bgColor indexed="65"/>
        </patternFill>
      </fill>
    </odxf>
    <ndxf>
      <fill>
        <patternFill patternType="solid">
          <bgColor theme="0" tint="-0.499984740745262"/>
        </patternFill>
      </fill>
    </ndxf>
  </rcc>
  <rcc rId="650" sId="1" odxf="1" dxf="1" quotePrefix="1">
    <nc r="H130" t="inlineStr">
      <is>
        <t>-</t>
      </is>
    </nc>
    <odxf>
      <fill>
        <patternFill patternType="none">
          <bgColor indexed="65"/>
        </patternFill>
      </fill>
    </odxf>
    <ndxf>
      <fill>
        <patternFill patternType="solid">
          <bgColor theme="0" tint="-0.499984740745262"/>
        </patternFill>
      </fill>
    </ndxf>
  </rcc>
  <rcc rId="651" sId="1" odxf="1" dxf="1" quotePrefix="1">
    <nc r="H131" t="inlineStr">
      <is>
        <t>-</t>
      </is>
    </nc>
    <odxf>
      <fill>
        <patternFill patternType="none">
          <bgColor indexed="65"/>
        </patternFill>
      </fill>
    </odxf>
    <ndxf>
      <fill>
        <patternFill patternType="solid">
          <bgColor theme="0" tint="-0.499984740745262"/>
        </patternFill>
      </fill>
    </ndxf>
  </rcc>
  <rcc rId="652" sId="1" odxf="1" dxf="1" quotePrefix="1">
    <nc r="H132" t="inlineStr">
      <is>
        <t>-</t>
      </is>
    </nc>
    <odxf>
      <fill>
        <patternFill patternType="none">
          <bgColor indexed="65"/>
        </patternFill>
      </fill>
    </odxf>
    <ndxf>
      <fill>
        <patternFill patternType="solid">
          <bgColor theme="0" tint="-0.499984740745262"/>
        </patternFill>
      </fill>
    </ndxf>
  </rcc>
  <rcc rId="653" sId="1" odxf="1" dxf="1" quotePrefix="1">
    <nc r="H133" t="inlineStr">
      <is>
        <t>-</t>
      </is>
    </nc>
    <odxf>
      <fill>
        <patternFill patternType="none">
          <bgColor indexed="65"/>
        </patternFill>
      </fill>
    </odxf>
    <ndxf>
      <fill>
        <patternFill patternType="solid">
          <bgColor theme="0" tint="-0.499984740745262"/>
        </patternFill>
      </fill>
    </ndxf>
  </rcc>
  <rcc rId="654" sId="1" odxf="1" dxf="1" quotePrefix="1">
    <nc r="H134" t="inlineStr">
      <is>
        <t>-</t>
      </is>
    </nc>
    <odxf>
      <fill>
        <patternFill patternType="none">
          <bgColor indexed="65"/>
        </patternFill>
      </fill>
    </odxf>
    <ndxf>
      <fill>
        <patternFill patternType="solid">
          <bgColor theme="0" tint="-0.499984740745262"/>
        </patternFill>
      </fill>
    </ndxf>
  </rcc>
  <rcc rId="655" sId="1" odxf="1" dxf="1" quotePrefix="1">
    <nc r="H135" t="inlineStr">
      <is>
        <t>-</t>
      </is>
    </nc>
    <odxf>
      <fill>
        <patternFill patternType="none">
          <bgColor indexed="65"/>
        </patternFill>
      </fill>
    </odxf>
    <ndxf>
      <fill>
        <patternFill patternType="solid">
          <bgColor theme="0" tint="-0.499984740745262"/>
        </patternFill>
      </fill>
    </ndxf>
  </rcc>
  <rcc rId="656" sId="1" odxf="1" dxf="1" quotePrefix="1">
    <nc r="H136" t="inlineStr">
      <is>
        <t>-</t>
      </is>
    </nc>
    <odxf>
      <fill>
        <patternFill patternType="none">
          <bgColor indexed="65"/>
        </patternFill>
      </fill>
    </odxf>
    <ndxf>
      <fill>
        <patternFill patternType="solid">
          <bgColor theme="0" tint="-0.499984740745262"/>
        </patternFill>
      </fill>
    </ndxf>
  </rcc>
  <rcc rId="657" sId="1" odxf="1" dxf="1" quotePrefix="1">
    <nc r="H137" t="inlineStr">
      <is>
        <t>-</t>
      </is>
    </nc>
    <odxf>
      <fill>
        <patternFill patternType="none">
          <bgColor indexed="65"/>
        </patternFill>
      </fill>
    </odxf>
    <ndxf>
      <fill>
        <patternFill patternType="solid">
          <bgColor theme="0" tint="-0.499984740745262"/>
        </patternFill>
      </fill>
    </ndxf>
  </rcc>
  <rcc rId="658" sId="1" odxf="1" dxf="1" quotePrefix="1">
    <nc r="H138" t="inlineStr">
      <is>
        <t>-</t>
      </is>
    </nc>
    <odxf>
      <fill>
        <patternFill patternType="none">
          <bgColor indexed="65"/>
        </patternFill>
      </fill>
    </odxf>
    <ndxf>
      <fill>
        <patternFill patternType="solid">
          <bgColor theme="0" tint="-0.499984740745262"/>
        </patternFill>
      </fill>
    </ndxf>
  </rcc>
  <rcc rId="659" sId="1" odxf="1" dxf="1" quotePrefix="1">
    <nc r="H139" t="inlineStr">
      <is>
        <t>-</t>
      </is>
    </nc>
    <odxf>
      <fill>
        <patternFill patternType="none">
          <bgColor indexed="65"/>
        </patternFill>
      </fill>
    </odxf>
    <ndxf>
      <fill>
        <patternFill patternType="solid">
          <bgColor theme="0" tint="-0.499984740745262"/>
        </patternFill>
      </fill>
    </ndxf>
  </rcc>
  <rcc rId="660" sId="1" odxf="1" dxf="1" quotePrefix="1">
    <nc r="H140" t="inlineStr">
      <is>
        <t>-</t>
      </is>
    </nc>
    <odxf>
      <fill>
        <patternFill patternType="none">
          <bgColor indexed="65"/>
        </patternFill>
      </fill>
    </odxf>
    <ndxf>
      <fill>
        <patternFill patternType="solid">
          <bgColor theme="0" tint="-0.499984740745262"/>
        </patternFill>
      </fill>
    </ndxf>
  </rcc>
  <rcc rId="661" sId="1" xfDxf="1" dxf="1">
    <nc r="I129" t="inlineStr">
      <is>
        <t>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62" sId="1" xfDxf="1" dxf="1">
    <nc r="I130"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663" sId="1" xfDxf="1" dxf="1">
    <nc r="I131"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64" sId="1" xfDxf="1" dxf="1">
    <nc r="I132"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665" sId="1" xfDxf="1" dxf="1">
    <nc r="I133" t="inlineStr">
      <is>
        <t>NET_SCL_GAC_OBD.c</t>
      </is>
    </nc>
    <ndxf>
      <alignment horizontal="left" vertical="top" readingOrder="0"/>
      <border outline="0">
        <left style="thin">
          <color indexed="64"/>
        </left>
        <right style="thin">
          <color indexed="64"/>
        </right>
        <top style="thin">
          <color indexed="64"/>
        </top>
        <bottom style="thin">
          <color indexed="64"/>
        </bottom>
      </border>
    </ndxf>
  </rcc>
  <rcc rId="666" sId="1" xfDxf="1" dxf="1">
    <nc r="I134" t="inlineStr">
      <is>
        <t>RB_DNC_SCL_RX_TPMF.c</t>
      </is>
    </nc>
    <ndxf>
      <alignment horizontal="left" vertical="top" readingOrder="0"/>
      <border outline="0">
        <left style="thin">
          <color indexed="64"/>
        </left>
        <right style="thin">
          <color indexed="64"/>
        </right>
        <top style="thin">
          <color indexed="64"/>
        </top>
        <bottom style="thin">
          <color indexed="64"/>
        </bottom>
      </border>
    </ndxf>
  </rcc>
  <rcc rId="667" sId="1" xfDxf="1" dxf="1">
    <nc r="I135" t="inlineStr">
      <is>
        <t>NET_SCL_GAC_Complex_function.c</t>
      </is>
    </nc>
    <ndxf>
      <alignment horizontal="left" vertical="top" readingOrder="0"/>
      <border outline="0">
        <left style="thin">
          <color indexed="64"/>
        </left>
        <right style="thin">
          <color indexed="64"/>
        </right>
        <top style="thin">
          <color indexed="64"/>
        </top>
        <bottom style="thin">
          <color indexed="64"/>
        </bottom>
      </border>
    </ndxf>
  </rcc>
  <rcc rId="668" sId="1" xfDxf="1" dxf="1">
    <nc r="I136"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669" sId="1" xfDxf="1" dxf="1">
    <nc r="I137"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670" sId="1" xfDxf="1" dxf="1">
    <nc r="I138" t="inlineStr">
      <is>
        <t>TPMS_PSW_Interface_COMMON_CN.c</t>
      </is>
    </nc>
    <ndxf>
      <alignment horizontal="left" vertical="top" readingOrder="0"/>
      <border outline="0">
        <left style="thin">
          <color indexed="64"/>
        </left>
        <right style="thin">
          <color indexed="64"/>
        </right>
        <top style="thin">
          <color indexed="64"/>
        </top>
        <bottom style="thin">
          <color indexed="64"/>
        </bottom>
      </border>
    </ndxf>
  </rcc>
  <rcc rId="671" sId="1" xfDxf="1" dxf="1">
    <nc r="I139" t="inlineStr">
      <is>
        <t>TPMS_Handler_COMMON_CN.c</t>
      </is>
    </nc>
    <ndxf>
      <alignment horizontal="left" vertical="top" readingOrder="0"/>
      <border outline="0">
        <left style="thin">
          <color indexed="64"/>
        </left>
        <right style="thin">
          <color indexed="64"/>
        </right>
        <top style="thin">
          <color indexed="64"/>
        </top>
        <bottom style="thin">
          <color indexed="64"/>
        </bottom>
      </border>
    </ndxf>
  </rcc>
  <rcc rId="672" sId="1" xfDxf="1" dxf="1">
    <nc r="I140" t="inlineStr">
      <is>
        <t>WSSALLTIMESTMPS_SIM_CN.c</t>
      </is>
    </nc>
    <ndxf>
      <alignment horizontal="left" vertical="top" readingOrder="0"/>
      <border outline="0">
        <left style="thin">
          <color indexed="64"/>
        </left>
        <right style="thin">
          <color indexed="64"/>
        </right>
        <top style="thin">
          <color indexed="64"/>
        </top>
        <bottom style="thin">
          <color indexed="64"/>
        </bottom>
      </border>
    </ndxf>
  </rcc>
  <rcc rId="673" sId="1" odxf="1" dxf="1" quotePrefix="1">
    <nc r="J129" t="inlineStr">
      <is>
        <t>-</t>
      </is>
    </nc>
    <odxf>
      <fill>
        <patternFill patternType="none">
          <bgColor indexed="65"/>
        </patternFill>
      </fill>
    </odxf>
    <ndxf>
      <fill>
        <patternFill patternType="solid">
          <bgColor theme="0" tint="-0.499984740745262"/>
        </patternFill>
      </fill>
    </ndxf>
  </rcc>
  <rcc rId="674" sId="1" odxf="1" dxf="1" quotePrefix="1">
    <nc r="J130" t="inlineStr">
      <is>
        <t>-</t>
      </is>
    </nc>
    <odxf>
      <fill>
        <patternFill patternType="none">
          <bgColor indexed="65"/>
        </patternFill>
      </fill>
    </odxf>
    <ndxf>
      <fill>
        <patternFill patternType="solid">
          <bgColor theme="0" tint="-0.499984740745262"/>
        </patternFill>
      </fill>
    </ndxf>
  </rcc>
  <rcc rId="675" sId="1" odxf="1" dxf="1" quotePrefix="1">
    <nc r="J131" t="inlineStr">
      <is>
        <t>-</t>
      </is>
    </nc>
    <odxf>
      <fill>
        <patternFill patternType="none">
          <bgColor indexed="65"/>
        </patternFill>
      </fill>
    </odxf>
    <ndxf>
      <fill>
        <patternFill patternType="solid">
          <bgColor theme="0" tint="-0.499984740745262"/>
        </patternFill>
      </fill>
    </ndxf>
  </rcc>
  <rcc rId="676" sId="1" odxf="1" dxf="1" quotePrefix="1">
    <nc r="J132" t="inlineStr">
      <is>
        <t>-</t>
      </is>
    </nc>
    <odxf>
      <fill>
        <patternFill patternType="none">
          <bgColor indexed="65"/>
        </patternFill>
      </fill>
    </odxf>
    <ndxf>
      <fill>
        <patternFill patternType="solid">
          <bgColor theme="0" tint="-0.499984740745262"/>
        </patternFill>
      </fill>
    </ndxf>
  </rcc>
  <rcc rId="677" sId="1" odxf="1" dxf="1" quotePrefix="1">
    <nc r="J133" t="inlineStr">
      <is>
        <t>-</t>
      </is>
    </nc>
    <odxf>
      <fill>
        <patternFill patternType="none">
          <bgColor indexed="65"/>
        </patternFill>
      </fill>
    </odxf>
    <ndxf>
      <fill>
        <patternFill patternType="solid">
          <bgColor theme="0" tint="-0.499984740745262"/>
        </patternFill>
      </fill>
    </ndxf>
  </rcc>
  <rcc rId="678" sId="1" odxf="1" dxf="1" quotePrefix="1">
    <nc r="J134" t="inlineStr">
      <is>
        <t>-</t>
      </is>
    </nc>
    <odxf>
      <fill>
        <patternFill patternType="none">
          <bgColor indexed="65"/>
        </patternFill>
      </fill>
    </odxf>
    <ndxf>
      <fill>
        <patternFill patternType="solid">
          <bgColor theme="0" tint="-0.499984740745262"/>
        </patternFill>
      </fill>
    </ndxf>
  </rcc>
  <rcc rId="679" sId="1" odxf="1" dxf="1" quotePrefix="1">
    <nc r="J135" t="inlineStr">
      <is>
        <t>-</t>
      </is>
    </nc>
    <odxf>
      <fill>
        <patternFill patternType="none">
          <bgColor indexed="65"/>
        </patternFill>
      </fill>
    </odxf>
    <ndxf>
      <fill>
        <patternFill patternType="solid">
          <bgColor theme="0" tint="-0.499984740745262"/>
        </patternFill>
      </fill>
    </ndxf>
  </rcc>
  <rcc rId="680" sId="1" odxf="1" dxf="1" quotePrefix="1">
    <nc r="J136" t="inlineStr">
      <is>
        <t>-</t>
      </is>
    </nc>
    <odxf>
      <fill>
        <patternFill patternType="none">
          <bgColor indexed="65"/>
        </patternFill>
      </fill>
    </odxf>
    <ndxf>
      <fill>
        <patternFill patternType="solid">
          <bgColor theme="0" tint="-0.499984740745262"/>
        </patternFill>
      </fill>
    </ndxf>
  </rcc>
  <rcc rId="681" sId="1" odxf="1" dxf="1" quotePrefix="1">
    <nc r="J137" t="inlineStr">
      <is>
        <t>-</t>
      </is>
    </nc>
    <odxf>
      <fill>
        <patternFill patternType="none">
          <bgColor indexed="65"/>
        </patternFill>
      </fill>
    </odxf>
    <ndxf>
      <fill>
        <patternFill patternType="solid">
          <bgColor theme="0" tint="-0.499984740745262"/>
        </patternFill>
      </fill>
    </ndxf>
  </rcc>
  <rcc rId="682" sId="1" odxf="1" dxf="1" quotePrefix="1">
    <nc r="J138" t="inlineStr">
      <is>
        <t>-</t>
      </is>
    </nc>
    <odxf>
      <fill>
        <patternFill patternType="none">
          <bgColor indexed="65"/>
        </patternFill>
      </fill>
    </odxf>
    <ndxf>
      <fill>
        <patternFill patternType="solid">
          <bgColor theme="0" tint="-0.499984740745262"/>
        </patternFill>
      </fill>
    </ndxf>
  </rcc>
  <rcc rId="683" sId="1" odxf="1" dxf="1" quotePrefix="1">
    <nc r="J139" t="inlineStr">
      <is>
        <t>-</t>
      </is>
    </nc>
    <odxf>
      <fill>
        <patternFill patternType="none">
          <bgColor indexed="65"/>
        </patternFill>
      </fill>
    </odxf>
    <ndxf>
      <fill>
        <patternFill patternType="solid">
          <bgColor theme="0" tint="-0.499984740745262"/>
        </patternFill>
      </fill>
    </ndxf>
  </rcc>
  <rcc rId="684" sId="1" odxf="1" dxf="1" quotePrefix="1">
    <nc r="J140" t="inlineStr">
      <is>
        <t>-</t>
      </is>
    </nc>
    <odxf>
      <fill>
        <patternFill patternType="none">
          <bgColor indexed="65"/>
        </patternFill>
      </fill>
    </odxf>
    <ndxf>
      <fill>
        <patternFill patternType="solid">
          <bgColor theme="0" tint="-0.499984740745262"/>
        </patternFill>
      </fill>
    </ndxf>
  </rcc>
  <rcc rId="685" sId="1">
    <nc r="K129" t="inlineStr">
      <is>
        <t>Auto</t>
      </is>
    </nc>
  </rcc>
  <rcc rId="686" sId="1">
    <nc r="K130" t="inlineStr">
      <is>
        <t>Auto</t>
      </is>
    </nc>
  </rcc>
  <rcc rId="687" sId="1">
    <nc r="K131" t="inlineStr">
      <is>
        <t>Auto</t>
      </is>
    </nc>
  </rcc>
  <rcc rId="688" sId="1">
    <nc r="K132" t="inlineStr">
      <is>
        <t>Auto</t>
      </is>
    </nc>
  </rcc>
  <rcc rId="689" sId="1">
    <nc r="K133" t="inlineStr">
      <is>
        <t>Auto</t>
      </is>
    </nc>
  </rcc>
  <rcc rId="690" sId="1">
    <nc r="K134" t="inlineStr">
      <is>
        <t>Auto</t>
      </is>
    </nc>
  </rcc>
  <rcc rId="691" sId="1">
    <nc r="K135" t="inlineStr">
      <is>
        <t>Auto</t>
      </is>
    </nc>
  </rcc>
  <rcc rId="692" sId="1">
    <nc r="K136" t="inlineStr">
      <is>
        <t>Auto</t>
      </is>
    </nc>
  </rcc>
  <rcc rId="693" sId="1">
    <nc r="K137" t="inlineStr">
      <is>
        <t>Auto</t>
      </is>
    </nc>
  </rcc>
  <rcc rId="694" sId="1">
    <nc r="K138" t="inlineStr">
      <is>
        <t>Auto</t>
      </is>
    </nc>
  </rcc>
  <rcc rId="695" sId="1">
    <nc r="K139" t="inlineStr">
      <is>
        <t>Auto</t>
      </is>
    </nc>
  </rcc>
  <rcc rId="696" sId="1">
    <nc r="K140" t="inlineStr">
      <is>
        <t>Auto</t>
      </is>
    </nc>
  </rcc>
  <rcv guid="{7E0EA425-A420-4443-B9E0-CDF0AA9E5D09}" action="delete"/>
  <rdn rId="0" localSheetId="1" customView="1" name="Z_7E0EA425_A420_4443_B9E0_CDF0AA9E5D09_.wvu.FilterData" hidden="1" oldHidden="1">
    <formula>Merged_COEM!$B$47:$AN$128</formula>
    <oldFormula>Merged_COEM!$B$47:$AN$113</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99" sId="1">
    <nc r="L132" t="inlineStr">
      <is>
        <t>BB81262 / BB81708</t>
      </is>
    </nc>
  </rcc>
  <rcc rId="700" sId="1">
    <nc r="L133" t="inlineStr">
      <is>
        <t>BB81262 / BB81709</t>
      </is>
    </nc>
  </rcc>
  <rcc rId="701" sId="1">
    <nc r="L134" t="inlineStr">
      <is>
        <t>BB81262 / BB81710</t>
      </is>
    </nc>
  </rcc>
  <rcc rId="702" sId="1">
    <nc r="L135" t="inlineStr">
      <is>
        <t>BB81262 / BB81711</t>
      </is>
    </nc>
  </rcc>
  <rcc rId="703" sId="1">
    <nc r="L136" t="inlineStr">
      <is>
        <t>BB81262 / BB81712</t>
      </is>
    </nc>
  </rcc>
  <rcc rId="704" sId="1">
    <nc r="L137" t="inlineStr">
      <is>
        <t>BB81262 / BB81713</t>
      </is>
    </nc>
  </rcc>
  <rcc rId="705" sId="1">
    <nc r="L138" t="inlineStr">
      <is>
        <t>BB81262 / BB81714</t>
      </is>
    </nc>
  </rcc>
  <rcc rId="706" sId="1">
    <nc r="L139" t="inlineStr">
      <is>
        <t>BB81262 / BB81715</t>
      </is>
    </nc>
  </rcc>
  <rcc rId="707" sId="1">
    <nc r="L140" t="inlineStr">
      <is>
        <t>BB81262 / BB81716</t>
      </is>
    </nc>
  </rcc>
  <rcc rId="708" sId="1">
    <oc r="M118" t="inlineStr">
      <is>
        <t>BL1</t>
      </is>
    </oc>
    <nc r="M118" t="inlineStr">
      <is>
        <t>BL01</t>
      </is>
    </nc>
  </rcc>
  <rcc rId="709" sId="1">
    <oc r="M119" t="inlineStr">
      <is>
        <t>BL2</t>
      </is>
    </oc>
    <nc r="M119" t="inlineStr">
      <is>
        <t>BL01</t>
      </is>
    </nc>
  </rcc>
  <rcc rId="710" sId="1">
    <oc r="M120" t="inlineStr">
      <is>
        <t>BL3</t>
      </is>
    </oc>
    <nc r="M120" t="inlineStr">
      <is>
        <t>BL01</t>
      </is>
    </nc>
  </rcc>
  <rcc rId="711" sId="1">
    <oc r="M121" t="inlineStr">
      <is>
        <t>BL4</t>
      </is>
    </oc>
    <nc r="M121" t="inlineStr">
      <is>
        <t>BL01</t>
      </is>
    </nc>
  </rcc>
  <rcc rId="712" sId="1">
    <oc r="M122" t="inlineStr">
      <is>
        <t>BL5</t>
      </is>
    </oc>
    <nc r="M122" t="inlineStr">
      <is>
        <t>BL01</t>
      </is>
    </nc>
  </rcc>
  <rcc rId="713" sId="1">
    <oc r="M123" t="inlineStr">
      <is>
        <t>BL6</t>
      </is>
    </oc>
    <nc r="M123" t="inlineStr">
      <is>
        <t>BL01</t>
      </is>
    </nc>
  </rcc>
  <rcc rId="714" sId="1">
    <oc r="M124" t="inlineStr">
      <is>
        <t>BL7</t>
      </is>
    </oc>
    <nc r="M124" t="inlineStr">
      <is>
        <t>BL01</t>
      </is>
    </nc>
  </rcc>
  <rcc rId="715" sId="1">
    <oc r="M125" t="inlineStr">
      <is>
        <t>BL8</t>
      </is>
    </oc>
    <nc r="M125" t="inlineStr">
      <is>
        <t>BL01</t>
      </is>
    </nc>
  </rcc>
  <rcc rId="716" sId="1">
    <oc r="M126" t="inlineStr">
      <is>
        <t>BL9</t>
      </is>
    </oc>
    <nc r="M126" t="inlineStr">
      <is>
        <t>BL01</t>
      </is>
    </nc>
  </rcc>
  <rcc rId="717" sId="1">
    <oc r="M127" t="inlineStr">
      <is>
        <t>BL10</t>
      </is>
    </oc>
    <nc r="M127" t="inlineStr">
      <is>
        <t>BL01</t>
      </is>
    </nc>
  </rcc>
  <rcc rId="718" sId="1">
    <oc r="M128" t="inlineStr">
      <is>
        <t>BL11</t>
      </is>
    </oc>
    <nc r="M128" t="inlineStr">
      <is>
        <t>BL01</t>
      </is>
    </nc>
  </rcc>
  <rcc rId="719" sId="1">
    <nc r="L129" t="inlineStr">
      <is>
        <t>None</t>
      </is>
    </nc>
  </rcc>
  <rcc rId="720" sId="1">
    <nc r="L130" t="inlineStr">
      <is>
        <t>None</t>
      </is>
    </nc>
  </rcc>
  <rcc rId="721" sId="1">
    <nc r="L131" t="inlineStr">
      <is>
        <t>None</t>
      </is>
    </nc>
  </rcc>
  <rcc rId="722" sId="1">
    <nc r="M129" t="inlineStr">
      <is>
        <t>BL04</t>
      </is>
    </nc>
  </rcc>
  <rcc rId="723" sId="1">
    <nc r="M130" t="inlineStr">
      <is>
        <t>BL05</t>
      </is>
    </nc>
  </rcc>
  <rcc rId="724" sId="1">
    <nc r="M131" t="inlineStr">
      <is>
        <t>BL05</t>
      </is>
    </nc>
  </rcc>
  <rcc rId="725" sId="1">
    <nc r="M132" t="inlineStr">
      <is>
        <t>BL05</t>
      </is>
    </nc>
  </rcc>
  <rcc rId="726" sId="1">
    <nc r="M133" t="inlineStr">
      <is>
        <t>BL05</t>
      </is>
    </nc>
  </rcc>
  <rcc rId="727" sId="1">
    <nc r="M134" t="inlineStr">
      <is>
        <t>BL05</t>
      </is>
    </nc>
  </rcc>
  <rcc rId="728" sId="1">
    <nc r="M135" t="inlineStr">
      <is>
        <t>BL05</t>
      </is>
    </nc>
  </rcc>
  <rcc rId="729" sId="1">
    <nc r="M136" t="inlineStr">
      <is>
        <t>BL05</t>
      </is>
    </nc>
  </rcc>
  <rcc rId="730" sId="1">
    <nc r="M137" t="inlineStr">
      <is>
        <t>BL05</t>
      </is>
    </nc>
  </rcc>
  <rcc rId="731" sId="1">
    <nc r="M138" t="inlineStr">
      <is>
        <t>BL05</t>
      </is>
    </nc>
  </rcc>
  <rcc rId="732" sId="1">
    <nc r="M139" t="inlineStr">
      <is>
        <t>BL05</t>
      </is>
    </nc>
  </rcc>
  <rcc rId="733" sId="1">
    <nc r="M140" t="inlineStr">
      <is>
        <t>BL05</t>
      </is>
    </nc>
  </rcc>
  <rcc rId="734" sId="1" xfDxf="1" dxf="1">
    <nc r="N131" t="inlineStr">
      <is>
        <t>GAC_ESPHevX_HADHAP_Int</t>
      </is>
    </nc>
    <ndxf>
      <alignment horizontal="left" vertical="top" readingOrder="0"/>
      <border outline="0">
        <left style="thin">
          <color indexed="64"/>
        </left>
        <right style="thin">
          <color indexed="64"/>
        </right>
        <top style="thin">
          <color indexed="64"/>
        </top>
        <bottom style="thin">
          <color indexed="64"/>
        </bottom>
      </border>
    </ndxf>
  </rcc>
  <rcc rId="735" sId="1" xfDxf="1" dxf="1">
    <nc r="N132"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736" sId="1">
    <nc r="N129" t="inlineStr">
      <is>
        <t>GAC_ESPHevX_HADHAP_Int</t>
      </is>
    </nc>
  </rcc>
  <rcc rId="737" sId="1">
    <nc r="N130" t="inlineStr">
      <is>
        <t>GAC_ESPHevX_HADHAP_Int</t>
      </is>
    </nc>
  </rcc>
  <rcc rId="738" sId="1">
    <nc r="N133" t="inlineStr">
      <is>
        <t>GAC_ESP93CP_Carbon_Int</t>
      </is>
    </nc>
  </rcc>
  <rcc rId="739" sId="1">
    <nc r="N134" t="inlineStr">
      <is>
        <t>GAC_ESP93CP_Carbon_Int</t>
      </is>
    </nc>
  </rcc>
  <rcc rId="740" sId="1">
    <nc r="N135" t="inlineStr">
      <is>
        <t>GAC_ESP93CP_Carbon_Int</t>
      </is>
    </nc>
  </rcc>
  <rcc rId="741" sId="1">
    <nc r="N136" t="inlineStr">
      <is>
        <t>GAC_ESP93CP_Carbon_Int</t>
      </is>
    </nc>
  </rcc>
  <rcc rId="742" sId="1">
    <nc r="N137" t="inlineStr">
      <is>
        <t>GAC_ESP93CP_Carbon_Int</t>
      </is>
    </nc>
  </rcc>
  <rcc rId="743" sId="1">
    <nc r="N138" t="inlineStr">
      <is>
        <t>GAC_ESP93CP_Carbon_Int</t>
      </is>
    </nc>
  </rcc>
  <rcc rId="744" sId="1">
    <nc r="N139" t="inlineStr">
      <is>
        <t>GAC_ESP93CP_Carbon_Int</t>
      </is>
    </nc>
  </rcc>
  <rcc rId="745" sId="1">
    <nc r="N140" t="inlineStr">
      <is>
        <t>GAC_ESP93CP_Carbon_Int</t>
      </is>
    </nc>
  </rcc>
  <rcc rId="746" sId="1" quotePrefix="1">
    <nc r="O129" t="inlineStr">
      <is>
        <t>-</t>
      </is>
    </nc>
  </rcc>
  <rcc rId="747" sId="1" quotePrefix="1">
    <nc r="O130" t="inlineStr">
      <is>
        <t>-</t>
      </is>
    </nc>
  </rcc>
  <rcc rId="748" sId="1" quotePrefix="1">
    <nc r="O131" t="inlineStr">
      <is>
        <t>-</t>
      </is>
    </nc>
  </rcc>
  <rcc rId="749" sId="1" quotePrefix="1">
    <nc r="O132" t="inlineStr">
      <is>
        <t>-</t>
      </is>
    </nc>
  </rcc>
  <rcc rId="750" sId="1" quotePrefix="1">
    <nc r="O133" t="inlineStr">
      <is>
        <t>-</t>
      </is>
    </nc>
  </rcc>
  <rcc rId="751" sId="1" quotePrefix="1">
    <nc r="O134" t="inlineStr">
      <is>
        <t>-</t>
      </is>
    </nc>
  </rcc>
  <rcc rId="752" sId="1" quotePrefix="1">
    <nc r="O135" t="inlineStr">
      <is>
        <t>-</t>
      </is>
    </nc>
  </rcc>
  <rcc rId="753" sId="1" quotePrefix="1">
    <nc r="O136" t="inlineStr">
      <is>
        <t>-</t>
      </is>
    </nc>
  </rcc>
  <rcc rId="754" sId="1" quotePrefix="1">
    <nc r="O137" t="inlineStr">
      <is>
        <t>-</t>
      </is>
    </nc>
  </rcc>
  <rcc rId="755" sId="1" quotePrefix="1">
    <nc r="O138" t="inlineStr">
      <is>
        <t>-</t>
      </is>
    </nc>
  </rcc>
  <rcc rId="756" sId="1" quotePrefix="1">
    <nc r="O139" t="inlineStr">
      <is>
        <t>-</t>
      </is>
    </nc>
  </rcc>
  <rcc rId="757" sId="1" quotePrefix="1">
    <nc r="O140" t="inlineStr">
      <is>
        <t>-</t>
      </is>
    </nc>
  </rcc>
  <rcc rId="758" sId="1" xfDxf="1" dxf="1" quotePrefix="1">
    <nc r="P131" t="inlineStr">
      <is>
        <t>ZHOU Xiaoxi (CC-AS/EVA-SW31-CN)</t>
      </is>
    </nc>
    <ndxf>
      <alignment horizontal="left" vertical="top" readingOrder="0"/>
      <border outline="0">
        <left style="thin">
          <color indexed="64"/>
        </left>
        <right style="thin">
          <color indexed="64"/>
        </right>
        <top style="thin">
          <color indexed="64"/>
        </top>
        <bottom style="thin">
          <color indexed="64"/>
        </bottom>
      </border>
    </ndxf>
  </rcc>
  <rcc rId="759" sId="1" xfDxf="1" dxf="1" quotePrefix="1">
    <nc r="P132" t="inlineStr">
      <is>
        <t>CAI Tantan (CC-AS/EVA-SW31-CN)</t>
      </is>
    </nc>
    <ndxf>
      <alignment horizontal="left" vertical="top" readingOrder="0"/>
      <border outline="0">
        <left style="thin">
          <color indexed="64"/>
        </left>
        <right style="thin">
          <color indexed="64"/>
        </right>
        <top style="thin">
          <color indexed="64"/>
        </top>
        <bottom style="thin">
          <color indexed="64"/>
        </bottom>
      </border>
    </ndxf>
  </rcc>
  <rcc rId="760" sId="1" quotePrefix="1">
    <nc r="P129" t="inlineStr">
      <is>
        <t>ZHOU Xiaoxi (CC-AS/EVA-SW31-CN)</t>
      </is>
    </nc>
  </rcc>
  <rcc rId="761" sId="1" quotePrefix="1">
    <nc r="P130" t="inlineStr">
      <is>
        <t>ZHOU Xiaoxi (CC-AS/EVA-SW31-CN)</t>
      </is>
    </nc>
  </rcc>
  <rcc rId="762" sId="1" quotePrefix="1">
    <nc r="P133" t="inlineStr">
      <is>
        <t>CAI Tantan (CC-AS/EVA-SW31-CN)</t>
      </is>
    </nc>
  </rcc>
  <rcc rId="763" sId="1" quotePrefix="1">
    <nc r="P134" t="inlineStr">
      <is>
        <t>CAI Tantan (CC-AS/EVA-SW31-CN)</t>
      </is>
    </nc>
  </rcc>
  <rcc rId="764" sId="1" quotePrefix="1">
    <nc r="P135" t="inlineStr">
      <is>
        <t>CAI Tantan (CC-AS/EVA-SW31-CN)</t>
      </is>
    </nc>
  </rcc>
  <rcc rId="765" sId="1" quotePrefix="1">
    <nc r="P136" t="inlineStr">
      <is>
        <t>CAI Tantan (CC-AS/EVA-SW31-CN)</t>
      </is>
    </nc>
  </rcc>
  <rcc rId="766" sId="1" quotePrefix="1">
    <nc r="P137" t="inlineStr">
      <is>
        <t>CAI Tantan (CC-AS/EVA-SW31-CN)</t>
      </is>
    </nc>
  </rcc>
  <rcc rId="767" sId="1" quotePrefix="1">
    <nc r="P138" t="inlineStr">
      <is>
        <t>CAI Tantan (CC-AS/EVA-SW31-CN)</t>
      </is>
    </nc>
  </rcc>
  <rcc rId="768" sId="1" quotePrefix="1">
    <nc r="P139" t="inlineStr">
      <is>
        <t>CAI Tantan (CC-AS/EVA-SW31-CN)</t>
      </is>
    </nc>
  </rcc>
  <rcc rId="769" sId="1" quotePrefix="1">
    <nc r="P140" t="inlineStr">
      <is>
        <t>CAI Tantan (CC-AS/EVA-SW31-CN)</t>
      </is>
    </nc>
  </rcc>
  <rcc rId="770" sId="1" odxf="1" dxf="1" quotePrefix="1">
    <nc r="R129" t="inlineStr">
      <is>
        <t>-</t>
      </is>
    </nc>
    <odxf>
      <fill>
        <patternFill patternType="none">
          <bgColor indexed="65"/>
        </patternFill>
      </fill>
    </odxf>
    <ndxf>
      <fill>
        <patternFill patternType="solid">
          <bgColor theme="0" tint="-0.499984740745262"/>
        </patternFill>
      </fill>
    </ndxf>
  </rcc>
  <rcc rId="771" sId="1" odxf="1" dxf="1" quotePrefix="1">
    <nc r="R130" t="inlineStr">
      <is>
        <t>-</t>
      </is>
    </nc>
    <odxf>
      <fill>
        <patternFill patternType="none">
          <bgColor indexed="65"/>
        </patternFill>
      </fill>
    </odxf>
    <ndxf>
      <fill>
        <patternFill patternType="solid">
          <bgColor theme="0" tint="-0.499984740745262"/>
        </patternFill>
      </fill>
    </ndxf>
  </rcc>
  <rcc rId="772" sId="1" odxf="1" dxf="1" quotePrefix="1">
    <nc r="R131" t="inlineStr">
      <is>
        <t>-</t>
      </is>
    </nc>
    <odxf>
      <fill>
        <patternFill patternType="none">
          <bgColor indexed="65"/>
        </patternFill>
      </fill>
    </odxf>
    <ndxf>
      <fill>
        <patternFill patternType="solid">
          <bgColor theme="0" tint="-0.499984740745262"/>
        </patternFill>
      </fill>
    </ndxf>
  </rcc>
  <rcc rId="773" sId="1" odxf="1" dxf="1" quotePrefix="1">
    <nc r="R132" t="inlineStr">
      <is>
        <t>-</t>
      </is>
    </nc>
    <odxf>
      <fill>
        <patternFill patternType="none">
          <bgColor indexed="65"/>
        </patternFill>
      </fill>
    </odxf>
    <ndxf>
      <fill>
        <patternFill patternType="solid">
          <bgColor theme="0" tint="-0.499984740745262"/>
        </patternFill>
      </fill>
    </ndxf>
  </rcc>
  <rcc rId="774" sId="1" odxf="1" dxf="1" quotePrefix="1">
    <nc r="R133" t="inlineStr">
      <is>
        <t>-</t>
      </is>
    </nc>
    <odxf>
      <fill>
        <patternFill patternType="none">
          <bgColor indexed="65"/>
        </patternFill>
      </fill>
    </odxf>
    <ndxf>
      <fill>
        <patternFill patternType="solid">
          <bgColor theme="0" tint="-0.499984740745262"/>
        </patternFill>
      </fill>
    </ndxf>
  </rcc>
  <rcc rId="775" sId="1" odxf="1" dxf="1" quotePrefix="1">
    <nc r="R134" t="inlineStr">
      <is>
        <t>-</t>
      </is>
    </nc>
    <odxf>
      <fill>
        <patternFill patternType="none">
          <bgColor indexed="65"/>
        </patternFill>
      </fill>
    </odxf>
    <ndxf>
      <fill>
        <patternFill patternType="solid">
          <bgColor theme="0" tint="-0.499984740745262"/>
        </patternFill>
      </fill>
    </ndxf>
  </rcc>
  <rcc rId="776" sId="1" odxf="1" dxf="1" quotePrefix="1">
    <nc r="R135" t="inlineStr">
      <is>
        <t>-</t>
      </is>
    </nc>
    <odxf>
      <fill>
        <patternFill patternType="none">
          <bgColor indexed="65"/>
        </patternFill>
      </fill>
    </odxf>
    <ndxf>
      <fill>
        <patternFill patternType="solid">
          <bgColor theme="0" tint="-0.499984740745262"/>
        </patternFill>
      </fill>
    </ndxf>
  </rcc>
  <rcc rId="777" sId="1" odxf="1" dxf="1" quotePrefix="1">
    <nc r="R136" t="inlineStr">
      <is>
        <t>-</t>
      </is>
    </nc>
    <odxf>
      <fill>
        <patternFill patternType="none">
          <bgColor indexed="65"/>
        </patternFill>
      </fill>
    </odxf>
    <ndxf>
      <fill>
        <patternFill patternType="solid">
          <bgColor theme="0" tint="-0.499984740745262"/>
        </patternFill>
      </fill>
    </ndxf>
  </rcc>
  <rcc rId="778" sId="1" odxf="1" dxf="1" quotePrefix="1">
    <nc r="R137" t="inlineStr">
      <is>
        <t>-</t>
      </is>
    </nc>
    <odxf>
      <fill>
        <patternFill patternType="none">
          <bgColor indexed="65"/>
        </patternFill>
      </fill>
    </odxf>
    <ndxf>
      <fill>
        <patternFill patternType="solid">
          <bgColor theme="0" tint="-0.499984740745262"/>
        </patternFill>
      </fill>
    </ndxf>
  </rcc>
  <rcc rId="779" sId="1" odxf="1" dxf="1" quotePrefix="1">
    <nc r="R138" t="inlineStr">
      <is>
        <t>-</t>
      </is>
    </nc>
    <odxf>
      <fill>
        <patternFill patternType="none">
          <bgColor indexed="65"/>
        </patternFill>
      </fill>
    </odxf>
    <ndxf>
      <fill>
        <patternFill patternType="solid">
          <bgColor theme="0" tint="-0.499984740745262"/>
        </patternFill>
      </fill>
    </ndxf>
  </rcc>
  <rcc rId="780" sId="1" odxf="1" dxf="1" quotePrefix="1">
    <nc r="R139" t="inlineStr">
      <is>
        <t>-</t>
      </is>
    </nc>
    <odxf>
      <fill>
        <patternFill patternType="none">
          <bgColor indexed="65"/>
        </patternFill>
      </fill>
    </odxf>
    <ndxf>
      <fill>
        <patternFill patternType="solid">
          <bgColor theme="0" tint="-0.499984740745262"/>
        </patternFill>
      </fill>
    </ndxf>
  </rcc>
  <rcc rId="781" sId="1" odxf="1" dxf="1" quotePrefix="1">
    <nc r="R140" t="inlineStr">
      <is>
        <t>-</t>
      </is>
    </nc>
    <odxf>
      <fill>
        <patternFill patternType="none">
          <bgColor indexed="65"/>
        </patternFill>
      </fill>
    </odxf>
    <ndxf>
      <fill>
        <patternFill patternType="solid">
          <bgColor theme="0" tint="-0.499984740745262"/>
        </patternFill>
      </fill>
    </ndxf>
  </rcc>
  <rcc rId="782" sId="1" xfDxf="1" dxf="1">
    <nc r="V129">
      <v>1009</v>
    </nc>
    <ndxf>
      <alignment horizontal="left" vertical="top" readingOrder="0"/>
      <border outline="0">
        <left style="thin">
          <color indexed="64"/>
        </left>
        <right style="thin">
          <color indexed="64"/>
        </right>
        <top style="thin">
          <color indexed="64"/>
        </top>
        <bottom style="thin">
          <color indexed="64"/>
        </bottom>
      </border>
    </ndxf>
  </rcc>
  <rcc rId="783" sId="1" xfDxf="1" dxf="1">
    <nc r="V130">
      <v>290</v>
    </nc>
    <ndxf>
      <alignment horizontal="left" vertical="top" readingOrder="0"/>
      <border outline="0">
        <left style="thin">
          <color indexed="64"/>
        </left>
        <right style="thin">
          <color indexed="64"/>
        </right>
        <top style="thin">
          <color indexed="64"/>
        </top>
        <bottom style="thin">
          <color indexed="64"/>
        </bottom>
      </border>
    </ndxf>
  </rcc>
  <rcc rId="784" sId="1" xfDxf="1" dxf="1">
    <nc r="V131">
      <v>456</v>
    </nc>
    <ndxf>
      <alignment horizontal="left" vertical="top" readingOrder="0"/>
      <border outline="0">
        <left style="thin">
          <color indexed="64"/>
        </left>
        <right style="thin">
          <color indexed="64"/>
        </right>
        <top style="thin">
          <color indexed="64"/>
        </top>
        <bottom style="thin">
          <color indexed="64"/>
        </bottom>
      </border>
    </ndxf>
  </rcc>
  <rcc rId="785" sId="1" xfDxf="1" dxf="1">
    <nc r="V132">
      <v>456</v>
    </nc>
    <ndxf>
      <alignment horizontal="left" vertical="top" readingOrder="0"/>
      <border outline="0">
        <left style="thin">
          <color indexed="64"/>
        </left>
        <right style="thin">
          <color indexed="64"/>
        </right>
        <top style="thin">
          <color indexed="64"/>
        </top>
        <bottom style="thin">
          <color indexed="64"/>
        </bottom>
      </border>
    </ndxf>
  </rcc>
  <rcc rId="786" sId="1" xfDxf="1" dxf="1">
    <nc r="V133">
      <v>91</v>
    </nc>
    <ndxf>
      <alignment horizontal="left" vertical="top" readingOrder="0"/>
      <border outline="0">
        <left style="thin">
          <color indexed="64"/>
        </left>
        <right style="thin">
          <color indexed="64"/>
        </right>
        <top style="thin">
          <color indexed="64"/>
        </top>
        <bottom style="thin">
          <color indexed="64"/>
        </bottom>
      </border>
    </ndxf>
  </rcc>
  <rcc rId="787" sId="1" xfDxf="1" dxf="1">
    <nc r="V134">
      <v>576</v>
    </nc>
    <ndxf>
      <alignment horizontal="left" vertical="top" readingOrder="0"/>
      <border outline="0">
        <left style="thin">
          <color indexed="64"/>
        </left>
        <right style="thin">
          <color indexed="64"/>
        </right>
        <top style="thin">
          <color indexed="64"/>
        </top>
        <bottom style="thin">
          <color indexed="64"/>
        </bottom>
      </border>
    </ndxf>
  </rcc>
  <rcc rId="788" sId="1" xfDxf="1" dxf="1">
    <nc r="V135">
      <v>1009</v>
    </nc>
    <ndxf>
      <alignment horizontal="left" vertical="top" readingOrder="0"/>
      <border outline="0">
        <left style="thin">
          <color indexed="64"/>
        </left>
        <right style="thin">
          <color indexed="64"/>
        </right>
        <top style="thin">
          <color indexed="64"/>
        </top>
        <bottom style="thin">
          <color indexed="64"/>
        </bottom>
      </border>
    </ndxf>
  </rcc>
  <rcc rId="789" sId="1" xfDxf="1" dxf="1">
    <nc r="V136">
      <v>290</v>
    </nc>
    <ndxf>
      <alignment horizontal="left" vertical="top" readingOrder="0"/>
      <border outline="0">
        <left style="thin">
          <color indexed="64"/>
        </left>
        <right style="thin">
          <color indexed="64"/>
        </right>
        <top style="thin">
          <color indexed="64"/>
        </top>
        <bottom style="thin">
          <color indexed="64"/>
        </bottom>
      </border>
    </ndxf>
  </rcc>
  <rcc rId="790" sId="1" xfDxf="1" dxf="1">
    <nc r="V137">
      <v>236</v>
    </nc>
    <ndxf>
      <alignment horizontal="left" vertical="top" readingOrder="0"/>
      <border outline="0">
        <left style="thin">
          <color indexed="64"/>
        </left>
        <right style="thin">
          <color indexed="64"/>
        </right>
        <top style="thin">
          <color indexed="64"/>
        </top>
        <bottom style="thin">
          <color indexed="64"/>
        </bottom>
      </border>
    </ndxf>
  </rcc>
  <rcc rId="791" sId="1" xfDxf="1" dxf="1">
    <nc r="V138">
      <v>588</v>
    </nc>
    <ndxf>
      <alignment horizontal="left" vertical="top" readingOrder="0"/>
      <border outline="0">
        <left style="thin">
          <color indexed="64"/>
        </left>
        <right style="thin">
          <color indexed="64"/>
        </right>
        <top style="thin">
          <color indexed="64"/>
        </top>
        <bottom style="thin">
          <color indexed="64"/>
        </bottom>
      </border>
    </ndxf>
  </rcc>
  <rcc rId="792" sId="1" xfDxf="1" dxf="1">
    <nc r="V139">
      <v>2042</v>
    </nc>
    <ndxf>
      <alignment horizontal="left" vertical="top" readingOrder="0"/>
      <border outline="0">
        <left style="thin">
          <color indexed="64"/>
        </left>
        <right style="thin">
          <color indexed="64"/>
        </right>
        <top style="thin">
          <color indexed="64"/>
        </top>
        <bottom style="thin">
          <color indexed="64"/>
        </bottom>
      </border>
    </ndxf>
  </rcc>
  <rcc rId="793" sId="1" xfDxf="1" dxf="1">
    <nc r="V140">
      <v>103</v>
    </nc>
    <ndxf>
      <alignment horizontal="left" vertical="top" readingOrder="0"/>
      <border outline="0">
        <left style="thin">
          <color indexed="64"/>
        </left>
        <right style="thin">
          <color indexed="64"/>
        </right>
        <top style="thin">
          <color indexed="64"/>
        </top>
        <bottom style="thin">
          <color indexed="64"/>
        </bottom>
      </border>
    </ndxf>
  </rcc>
  <rcc rId="794" sId="1">
    <nc r="W129">
      <f>V129</f>
    </nc>
  </rcc>
  <rcc rId="795" sId="1">
    <nc r="W130">
      <f>V130</f>
    </nc>
  </rcc>
  <rcc rId="796" sId="1">
    <nc r="W131">
      <f>V131</f>
    </nc>
  </rcc>
  <rcc rId="797" sId="1">
    <nc r="W132">
      <f>V132</f>
    </nc>
  </rcc>
  <rcc rId="798" sId="1">
    <nc r="W133">
      <f>V133</f>
    </nc>
  </rcc>
  <rcc rId="799" sId="1">
    <nc r="W134">
      <f>V134</f>
    </nc>
  </rcc>
  <rcc rId="800" sId="1">
    <nc r="W135">
      <f>V135</f>
    </nc>
  </rcc>
  <rcc rId="801" sId="1">
    <nc r="W136">
      <f>V136</f>
    </nc>
  </rcc>
  <rcc rId="802" sId="1">
    <nc r="W137">
      <f>V137</f>
    </nc>
  </rcc>
  <rcc rId="803" sId="1">
    <nc r="W138">
      <f>V138</f>
    </nc>
  </rcc>
  <rcc rId="804" sId="1">
    <nc r="W139">
      <f>V139</f>
    </nc>
  </rcc>
  <rcc rId="805" sId="1">
    <nc r="W140">
      <f>V140</f>
    </nc>
  </rcc>
  <rcc rId="806" sId="1">
    <nc r="Y129">
      <f>ROUNDDOWN(W129/HLOOKUP(D129,Table!$C$3:$D$4,2,0)*8,2)</f>
    </nc>
  </rcc>
  <rcc rId="807" sId="1">
    <nc r="Y130">
      <f>ROUNDDOWN(W130/HLOOKUP(D130,Table!$C$3:$D$4,2,0)*8,2)</f>
    </nc>
  </rcc>
  <rcc rId="808" sId="1">
    <nc r="Y131">
      <f>ROUNDDOWN(W131/HLOOKUP(D131,Table!$C$3:$D$4,2,0)*8,2)</f>
    </nc>
  </rcc>
  <rcc rId="809" sId="1">
    <nc r="Y132">
      <f>ROUNDDOWN(W132/HLOOKUP(D132,Table!$C$3:$D$4,2,0)*8,2)</f>
    </nc>
  </rcc>
  <rcc rId="810" sId="1">
    <nc r="Y133">
      <f>ROUNDDOWN(W133/HLOOKUP(D133,Table!$C$3:$D$4,2,0)*8,2)</f>
    </nc>
  </rcc>
  <rcc rId="811" sId="1">
    <nc r="Y134">
      <f>ROUNDDOWN(W134/HLOOKUP(D134,Table!$C$3:$D$4,2,0)*8,2)</f>
    </nc>
  </rcc>
  <rcc rId="812" sId="1">
    <nc r="Y135">
      <f>ROUNDDOWN(W135/HLOOKUP(D135,Table!$C$3:$D$4,2,0)*8,2)</f>
    </nc>
  </rcc>
  <rcc rId="813" sId="1">
    <nc r="Y136">
      <f>ROUNDDOWN(W136/HLOOKUP(D136,Table!$C$3:$D$4,2,0)*8,2)</f>
    </nc>
  </rcc>
  <rcc rId="814" sId="1">
    <nc r="Y137">
      <f>ROUNDDOWN(W137/HLOOKUP(D137,Table!$C$3:$D$4,2,0)*8,2)</f>
    </nc>
  </rcc>
  <rcc rId="815" sId="1">
    <nc r="Y138">
      <f>ROUNDDOWN(W138/HLOOKUP(D138,Table!$C$3:$D$4,2,0)*8,2)</f>
    </nc>
  </rcc>
  <rcc rId="816" sId="1">
    <nc r="Y139">
      <f>ROUNDDOWN(W139/HLOOKUP(D139,Table!$C$3:$D$4,2,0)*8,2)</f>
    </nc>
  </rcc>
  <rcc rId="817" sId="1">
    <nc r="Y140">
      <f>ROUNDDOWN(W140/HLOOKUP(D140,Table!$C$3:$D$4,2,0)*8,2)</f>
    </nc>
  </rcc>
  <rcc rId="818" sId="1" numFmtId="19">
    <nc r="AC129">
      <v>43957</v>
    </nc>
  </rcc>
  <rcc rId="819" sId="1" numFmtId="19">
    <nc r="AC130">
      <v>43957</v>
    </nc>
  </rcc>
  <rcc rId="820" sId="1" numFmtId="19">
    <nc r="AC131">
      <v>43957</v>
    </nc>
  </rcc>
  <rcc rId="821" sId="1" numFmtId="19">
    <nc r="AC132">
      <v>43957</v>
    </nc>
  </rcc>
  <rcc rId="822" sId="1" numFmtId="19">
    <nc r="AC133">
      <v>43957</v>
    </nc>
  </rcc>
  <rcc rId="823" sId="1" numFmtId="19">
    <nc r="AC134">
      <v>43957</v>
    </nc>
  </rcc>
  <rcc rId="824" sId="1" numFmtId="19">
    <nc r="AC135">
      <v>43957</v>
    </nc>
  </rcc>
  <rcc rId="825" sId="1" numFmtId="19">
    <nc r="AC136">
      <v>43957</v>
    </nc>
  </rcc>
  <rcc rId="826" sId="1" numFmtId="19">
    <nc r="AC137">
      <v>43957</v>
    </nc>
  </rcc>
  <rcc rId="827" sId="1" numFmtId="19">
    <nc r="AC138">
      <v>43957</v>
    </nc>
  </rcc>
  <rcc rId="828" sId="1" numFmtId="19">
    <nc r="AC139">
      <v>43957</v>
    </nc>
  </rcc>
  <rcc rId="829" sId="1" numFmtId="19">
    <nc r="AC140">
      <v>43957</v>
    </nc>
  </rcc>
  <rcc rId="830" sId="1" numFmtId="19">
    <nc r="AD129">
      <v>43958</v>
    </nc>
  </rcc>
  <rcc rId="831" sId="1" numFmtId="19">
    <nc r="AD130">
      <v>43958</v>
    </nc>
  </rcc>
  <rcc rId="832" sId="1" numFmtId="19">
    <nc r="AD131">
      <v>43958</v>
    </nc>
  </rcc>
  <rcc rId="833" sId="1" numFmtId="19">
    <nc r="AD132">
      <v>43964</v>
    </nc>
  </rcc>
  <rcc rId="834" sId="1" numFmtId="19">
    <nc r="AD133">
      <v>43964</v>
    </nc>
  </rcc>
  <rcc rId="835" sId="1" numFmtId="19">
    <nc r="AD134">
      <v>43964</v>
    </nc>
  </rcc>
  <rcc rId="836" sId="1" numFmtId="19">
    <nc r="AD135">
      <v>43964</v>
    </nc>
  </rcc>
  <rcc rId="837" sId="1" numFmtId="19">
    <nc r="AD136">
      <v>43964</v>
    </nc>
  </rcc>
  <rcc rId="838" sId="1" numFmtId="19">
    <nc r="AD137">
      <v>43964</v>
    </nc>
  </rcc>
  <rcc rId="839" sId="1" numFmtId="19">
    <nc r="AD138">
      <v>43964</v>
    </nc>
  </rcc>
  <rcc rId="840" sId="1" numFmtId="19">
    <nc r="AD139">
      <v>43964</v>
    </nc>
  </rcc>
  <rcc rId="841" sId="1" numFmtId="19">
    <nc r="AD140">
      <v>43964</v>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4" sId="1">
    <nc r="S129" t="inlineStr">
      <is>
        <t>duong.nguyen</t>
      </is>
    </nc>
  </rcc>
  <rcc rId="845" sId="1">
    <nc r="S131" t="inlineStr">
      <is>
        <t>chung.ly</t>
      </is>
    </nc>
  </rcc>
  <rcc rId="846" sId="1">
    <nc r="S132" t="inlineStr">
      <is>
        <t>chung.ly</t>
      </is>
    </nc>
  </rcc>
  <rcc rId="847" sId="1">
    <nc r="S133" t="inlineStr">
      <is>
        <t>thanh.nguyen-kim</t>
      </is>
    </nc>
  </rcc>
  <rcc rId="848" sId="1">
    <nc r="S134" t="inlineStr">
      <is>
        <t>thanh.nguyen-kim</t>
      </is>
    </nc>
  </rcc>
  <rcc rId="849" sId="1">
    <nc r="S135" t="inlineStr">
      <is>
        <t>loc.do-phu</t>
      </is>
    </nc>
  </rcc>
  <rcc rId="850" sId="1">
    <nc r="S140" t="inlineStr">
      <is>
        <t>thanh.nguyen-kim</t>
      </is>
    </nc>
  </rcc>
  <rcc rId="851" sId="1">
    <nc r="S138" t="inlineStr">
      <is>
        <t>chung.ly</t>
      </is>
    </nc>
  </rcc>
  <rcc rId="852" sId="1">
    <nc r="S136" t="inlineStr">
      <is>
        <t>loc.do-phu</t>
      </is>
    </nc>
  </rcc>
  <rcc rId="853" sId="1">
    <nc r="S130" t="inlineStr">
      <is>
        <t>thanh.nguyen-kim</t>
      </is>
    </nc>
  </rcc>
  <rcc rId="854" sId="1">
    <nc r="S137" t="inlineStr">
      <is>
        <t>duong.nguyen</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 sId="1" quotePrefix="1">
    <oc r="F129" t="inlineStr">
      <is>
        <t>rb/as/gaig/core/app/net/RBScl/src</t>
      </is>
    </oc>
    <nc r="F129" t="inlineStr">
      <is>
        <t>GAC_ESPHevX_HADHAP_Int\CNMSHevXHADHAP\rb\as\gaig\core\app\net\RBScl\src\</t>
      </is>
    </nc>
  </rcc>
  <rfmt sheetId="1" sqref="F129" start="0" length="2147483647">
    <dxf>
      <font>
        <b/>
      </font>
    </dxf>
  </rfmt>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29" start="0" length="2147483647">
    <dxf>
      <font>
        <b val="0"/>
      </font>
    </dxf>
  </rfmt>
  <rcc rId="860" sId="1">
    <oc r="AA112" t="inlineStr">
      <is>
        <t>Ready for PLC</t>
      </is>
    </oc>
    <nc r="AA112" t="inlineStr">
      <is>
        <t>Complete &amp; Closed</t>
      </is>
    </nc>
  </rcc>
  <rcc rId="861" sId="1">
    <oc r="AA113" t="inlineStr">
      <is>
        <t>Ready for PLC</t>
      </is>
    </oc>
    <nc r="AA113" t="inlineStr">
      <is>
        <t>Complete &amp; Closed</t>
      </is>
    </nc>
  </rcc>
  <rcc rId="862" sId="1" quotePrefix="1">
    <oc r="F129" t="inlineStr">
      <is>
        <t>GAC_ESPHevX_HADHAP_Int\CNMSHevXHADHAP\rb\as\gaig\core\app\net\RBScl\src\</t>
      </is>
    </oc>
    <nc r="F129" t="inlineStr">
      <is>
        <t>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5" sId="1" quotePrefix="1">
    <oc r="F130" t="inlineStr">
      <is>
        <t>rb/as/cnms_core/app/net/scl_callout/src</t>
      </is>
    </oc>
    <nc r="F130" t="inlineStr">
      <is>
        <t>GAC_ESPHevX_HADHAP_Int\CNMSHevXHADHAP\rb\as\cnms_core\app\net\scl_callout\src</t>
      </is>
    </nc>
  </rcc>
  <rcc rId="866" sId="1" quotePrefix="1">
    <oc r="F129" t="inlineStr">
      <is>
        <t>rb/as/gaig/core/app/net/RBScl/src</t>
      </is>
    </oc>
    <nc r="F129" t="inlineStr">
      <is>
        <t>GAC_ESPHevX_HADHAP_Int\CNMSHevXHADHAP\rb\as\gaig\core\app\net\RBScl\src</t>
      </is>
    </nc>
  </rcc>
  <rcc rId="867" sId="1" quotePrefix="1">
    <oc r="F131" t="inlineStr">
      <is>
        <t>rb/as/gaig/core/app/net/RBScl/src</t>
      </is>
    </oc>
    <nc r="F131" t="inlineStr">
      <is>
        <t>GAC_ESPHevX_HADHAP_Int\CNMSHevXHADHAP\rb\as\gaig\core\app\net\RBScl\src</t>
      </is>
    </nc>
  </rcc>
  <rfmt sheetId="1" sqref="F129:F131" start="0" length="2147483647">
    <dxf>
      <font>
        <b/>
      </font>
    </dxf>
  </rfmt>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8" sId="1" quotePrefix="1">
    <oc r="F129" t="inlineStr">
      <is>
        <t>GAC_ESPHevX_HADHAP_Int\CNMSHevXHADHAP\rb\as\gaig\core\app\net\RBScl\src</t>
      </is>
    </oc>
    <nc r="F129" t="inlineStr">
      <is>
        <t>GAC_ESPHevX_HADHAP_Int/CNMSHevXHADHAP/rb/as/gaig/core/app/net/RBScl/src</t>
      </is>
    </nc>
  </rcc>
  <rcc rId="869" sId="1" quotePrefix="1">
    <oc r="F130" t="inlineStr">
      <is>
        <t>GAC_ESPHevX_HADHAP_Int\CNMSHevXHADHAP\rb\as\cnms_core\app\net\scl_callout\src</t>
      </is>
    </oc>
    <nc r="F130" t="inlineStr">
      <is>
        <t>GAC_ESPHevX_HADHAP_Int/CNMSHevXHADHAP/rb/as/cnms_core/app/net/scl_callout/src</t>
      </is>
    </nc>
  </rcc>
  <rcc rId="870" sId="1" quotePrefix="1">
    <oc r="F131" t="inlineStr">
      <is>
        <t>GAC_ESPHevX_HADHAP_Int\CNMSHevXHADHAP\rb\as\gaig\core\app\net\RBScl\src</t>
      </is>
    </oc>
    <nc r="F131" t="inlineStr">
      <is>
        <t>GAC_ESPHevX_HADHAP_Int/CNMSHevXHADHAP/rb/as/gaig/core/app/net/RBScl/src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3" sId="1">
    <oc r="S135" t="inlineStr">
      <is>
        <t>loc.do-phu</t>
      </is>
    </oc>
    <nc r="S135" t="inlineStr">
      <is>
        <t>duong.nguyen</t>
      </is>
    </nc>
  </rcc>
  <rcc rId="874" sId="1">
    <nc r="S139" t="inlineStr">
      <is>
        <t>loc.do-phu</t>
      </is>
    </nc>
  </rcc>
  <rcc rId="875" sId="1">
    <oc r="S136" t="inlineStr">
      <is>
        <t>loc.do-phu</t>
      </is>
    </oc>
    <nc r="S136" t="inlineStr">
      <is>
        <t>thanh.nguyen-kim</t>
      </is>
    </nc>
  </rcc>
  <rcc rId="876" sId="1">
    <oc r="S137" t="inlineStr">
      <is>
        <t>duong.nguyen</t>
      </is>
    </oc>
    <nc r="S137" t="inlineStr">
      <is>
        <t>thanh.nguyen-kim</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32" start="0" length="0">
    <dxf>
      <alignment horizontal="left" vertical="top" readingOrder="0"/>
      <border outline="0">
        <left style="thin">
          <color indexed="64"/>
        </left>
        <right style="thin">
          <color indexed="64"/>
        </right>
        <top style="thin">
          <color indexed="64"/>
        </top>
        <bottom style="thin">
          <color indexed="64"/>
        </bottom>
      </border>
    </dxf>
  </rfmt>
  <rfmt sheetId="1" sqref="F132:F135" start="0" length="2147483647">
    <dxf>
      <font>
        <b/>
      </font>
    </dxf>
  </rfmt>
  <rcc rId="879" sId="1" quotePrefix="1">
    <oc r="F129" t="inlineStr">
      <is>
        <t>GAC_ESPHevX_HADHAP_Int/CNMSHevXHADHAP/rb/as/gaig/core/app/net/RBScl/src</t>
      </is>
    </oc>
    <nc r="F129" t="inlineStr">
      <is>
        <t>GAC_ESPHevX_HADHAP_Int/CNMSHevXHADHAP/rb/as/gaig/core/app/net/RBScl/src/</t>
      </is>
    </nc>
  </rcc>
  <rcc rId="880" sId="1" quotePrefix="1">
    <oc r="F130" t="inlineStr">
      <is>
        <t>GAC_ESPHevX_HADHAP_Int/CNMSHevXHADHAP/rb/as/cnms_core/app/net/scl_callout/src</t>
      </is>
    </oc>
    <nc r="F130" t="inlineStr">
      <is>
        <t>GAC_ESPHevX_HADHAP_Int/CNMSHevXHADHAP/rb/as/cnms_core/app/net/scl_callout/src/</t>
      </is>
    </nc>
  </rcc>
  <rcc rId="881" sId="1" quotePrefix="1">
    <oc r="F131" t="inlineStr">
      <is>
        <t>GAC_ESPHevX_HADHAP_Int/CNMSHevXHADHAP/rb/as/gaig/core/app/net/RBScl/src</t>
      </is>
    </oc>
    <nc r="F131" t="inlineStr">
      <is>
        <t>GAC_ESPHevX_HADHAP_Int/CNMSHevXHADHAP/rb/as/gaig/core/app/net/RBScl/src/</t>
      </is>
    </nc>
  </rcc>
  <rcc rId="882" sId="1" quotePrefix="1">
    <oc r="F132" t="inlineStr">
      <is>
        <t>rb/as/gaig/A12ESP/app/net/RBScl/RBScl_GAC/src/NET_SCL_EngineIntervention_Torq_GAC.c</t>
      </is>
    </oc>
    <nc r="F132" t="inlineStr">
      <is>
        <t>GAC_ESP93CP_Carbon_Int/MainstreamF30/rb/as/gaig/A12ESP/app/net/RBScl/RBScl_GAC/src/</t>
      </is>
    </nc>
  </rcc>
  <rcc rId="883" sId="1" quotePrefix="1">
    <oc r="F133" t="inlineStr">
      <is>
        <t>rb/as/gaig/A12ESP/app/net/RBScl/RBScl_GAC/src/NET_SCL_GAC_OBD.c</t>
      </is>
    </oc>
    <nc r="F133" t="inlineStr">
      <is>
        <t>GAC_ESP93CP_Carbon_Int/MainstreamF30/rb/as/gaig/A12ESP/app/net/RBScl/RBScl_GAC/src/</t>
      </is>
    </nc>
  </rcc>
  <rcc rId="884" sId="1" quotePrefix="1">
    <oc r="F134" t="inlineStr">
      <is>
        <t>rb/as/gaig/A12ESP/app/net/RBScl/RBScl_GAC/src/RB_DNC_SCL_RX_TPMF.c</t>
      </is>
    </oc>
    <nc r="F134" t="inlineStr">
      <is>
        <t>GAC_ESP93CP_Carbon_Int/MainstreamF30/rb/as/gaig/A12ESP/app/net/RBScl/RBScl_GAC/src/</t>
      </is>
    </nc>
  </rcc>
  <rcc rId="885" sId="1" quotePrefix="1">
    <oc r="F135" t="inlineStr">
      <is>
        <t>rb/as/gaig/A12ESP/app/net/RBScl/RBScl_GAC/src/NET_SCL_GAC_Complex_function.c</t>
      </is>
    </oc>
    <nc r="F135" t="inlineStr">
      <is>
        <t>GAC_ESP93CP_Carbon_Int/MainstreamF30/rb/as/gaig/A12ESP/app/net/RBScl/RBScl_GAC/src/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36" start="0" length="0">
    <dxf>
      <alignment horizontal="left" vertical="top" readingOrder="0"/>
      <border outline="0">
        <left style="thin">
          <color indexed="64"/>
        </left>
        <right style="thin">
          <color indexed="64"/>
        </right>
        <top style="thin">
          <color indexed="64"/>
        </top>
        <bottom style="thin">
          <color indexed="64"/>
        </bottom>
      </border>
    </dxf>
  </rfmt>
  <rfmt sheetId="1" xfDxf="1" sqref="F137" start="0" length="0">
    <dxf>
      <alignment horizontal="left" vertical="top" readingOrder="0"/>
      <border outline="0">
        <left style="thin">
          <color indexed="64"/>
        </left>
        <right style="thin">
          <color indexed="64"/>
        </right>
        <top style="thin">
          <color indexed="64"/>
        </top>
        <bottom style="thin">
          <color indexed="64"/>
        </bottom>
      </border>
    </dxf>
  </rfmt>
  <rfmt sheetId="1" xfDxf="1" sqref="F138"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0" start="0" length="0">
    <dxf>
      <alignment horizontal="left" vertical="top" readingOrder="0"/>
      <border outline="0">
        <left style="thin">
          <color indexed="64"/>
        </left>
        <right style="thin">
          <color indexed="64"/>
        </right>
        <top style="thin">
          <color indexed="64"/>
        </top>
        <bottom style="thin">
          <color indexed="64"/>
        </bottom>
      </border>
    </dxf>
  </rfmt>
  <rcc rId="888" sId="1" quotePrefix="1">
    <oc r="F136" t="inlineStr">
      <is>
        <t>rb/as/cnms_core/app/net/scl_callout/src/RBA_NDS_SystemInfo.c</t>
      </is>
    </oc>
    <nc r="F136" t="inlineStr">
      <is>
        <t>GAC_ESP93CP_Carbon_Int/MainstreamF30/rb/as/cnms_core/app/net/scl_callout/src/</t>
      </is>
    </nc>
  </rcc>
  <rcc rId="889" sId="1" quotePrefix="1">
    <oc r="F137" t="inlineStr">
      <is>
        <t>rb/as/cnms_core/app/net/scl/Sensors/Steering/src/SAS_LWS_Standard.c</t>
      </is>
    </oc>
    <nc r="F137" t="inlineStr">
      <is>
        <t>GAC_ESP93CP_Carbon_Int/MainstreamF30/rb/as/cnms_core/app/net/scl/Sensors/Steering/src/</t>
      </is>
    </nc>
  </rcc>
  <rcc rId="890" sId="1" quotePrefix="1">
    <oc r="F138" t="inlineStr">
      <is>
        <t>rb/as/gaig/core/app/itpms/TPMS_Common_CN/SRC/TPMS_PSW_Interface_COMMON_CN.c</t>
      </is>
    </oc>
    <nc r="F138" t="inlineStr">
      <is>
        <t>GAC_ESP93CP_Carbon_Int/MainstreamF30/rb/as/gaig/core/app/itpms/TPMS_Common_CN/SRC/</t>
      </is>
    </nc>
  </rcc>
  <rcc rId="891" sId="1" quotePrefix="1">
    <oc r="F139" t="inlineStr">
      <is>
        <t>rb/as/gaig/core/app/itpms/TPMS_Common_CN/SRC/TPMS_Handler_COMMON_CN.c</t>
      </is>
    </oc>
    <nc r="F139" t="inlineStr">
      <is>
        <t>GAC_ESP93CP_Carbon_Int/MainstreamF30/rb/as/gaig/core/app/itpms/TPMS_Common_CN/SRC/</t>
      </is>
    </nc>
  </rcc>
  <rcc rId="892" sId="1" quotePrefix="1">
    <oc r="F140" t="inlineStr">
      <is>
        <t>rb/as/gaig/core/app/itpms/TPMS_Common_CN/SIM/SRC/WSSALLTIMESTMPS_SIM_CN.c</t>
      </is>
    </oc>
    <nc r="F140" t="inlineStr">
      <is>
        <t>GAC_ESP93CP_Carbon_Int/MainstreamF30/rb/as/gaig/core/app/itpms/TPMS_Common_CN/SIM/SRC/</t>
      </is>
    </nc>
  </rcc>
  <rfmt sheetId="1" sqref="F136:F140" start="0" length="2147483647">
    <dxf>
      <font>
        <b/>
      </font>
    </dxf>
  </rfmt>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Merged_COEM!$A$47:$AN$128</formula>
    <oldFormula>Merged_COEM!$A$47:$AN$128</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Merged_COEM!$B$47:$AN$128</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1" sId="1">
    <oc r="AN67" t="inlineStr">
      <is>
        <t>Owner confirm it's need to do UT</t>
      </is>
    </oc>
    <nc r="AN67" t="inlineStr">
      <is>
        <t>Owner confirm it isn't need to do UT</t>
      </is>
    </nc>
  </rcc>
  <rcv guid="{3B3E6719-EACB-4D2C-89C1-05FFAB6020FD}" action="delete"/>
  <rdn rId="0" localSheetId="1" customView="1" name="Z_3B3E6719_EACB_4D2C_89C1_05FFAB6020FD_.wvu.FilterData" hidden="1" oldHidden="1">
    <formula>Merged_COEM!$B$47:$AN$140</formula>
    <oldFormula>Merged_COEM!$B$47:$AN$128</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4" sId="1" odxf="1" dxf="1">
    <oc r="AN67" t="inlineStr">
      <is>
        <t>Owner confirm it isn't need to do UT</t>
      </is>
    </oc>
    <nc r="AN67" t="inlineStr">
      <is>
        <t>Owner confirm it isn't need to do UT
It’s OK, this part is followed CNMS</t>
      </is>
    </nc>
    <odxf>
      <alignment wrapText="0" readingOrder="0"/>
    </odxf>
    <ndxf>
      <alignment wrapText="1" readingOrder="0"/>
    </ndxf>
  </rcc>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5" sId="1" quotePrefix="1">
    <oc r="F114" t="inlineStr">
      <is>
        <t>SAIC_A_ARCH_CMP_ESP93_RBVH_Carbon_Int/MainstreamF30/rba/Bldr/config/ApplicationLayer/rba_BldrCmp/src/rba_BldrCmp_Cfg_FlashIf.c</t>
      </is>
    </oc>
    <nc r="F114" t="inlineStr">
      <is>
        <t>SAIC_A_ARCH_CMP_ESP93_RBVH_Carbon_Int\MainstreamF30\rba\Bldr\config\ApplicationLayer\rba_BldrCmp\src\rba_BldrCmp_Cfg_FlashIf.c</t>
      </is>
    </nc>
  </rcc>
  <rcc rId="906" sId="1" quotePrefix="1">
    <oc r="F115" t="inlineStr">
      <is>
        <t>SAIC_A_ARCH_CMP_ESP93_RBVH_Carbon_Int/MainstreamF30/rba/Bldr/config/Infrastruct/rba_AS_HWProt/src/rba_AS_HWProt.c</t>
      </is>
    </oc>
    <nc r="F115" t="inlineStr">
      <is>
        <t>SAIC_A_ARCH_CMP_ESP93_RBVH_Carbon_Int\MainstreamF30\rba\Bldr\config\Infrastruct\rba_AS_HWProt\src\rba_AS_HWProt.c</t>
      </is>
    </nc>
  </rcc>
  <rcc rId="907" sId="1" quotePrefix="1">
    <oc r="F116" t="inlineStr">
      <is>
        <t>Geely_Beryllium2_Int/MainstreamF30/rb/as/geely/project/app/dsm/RBHMI/src/RBHMI_Synchronisation_F30.C</t>
      </is>
    </oc>
    <nc r="F116" t="inlineStr">
      <is>
        <t>Geely_Beryllium2_Int\MainstreamF30\rb\as\geely\project\app\dsm\RBHMI\src\RBHMI_Synchronisation_F30.C</t>
      </is>
    </nc>
  </rcc>
  <rcc rId="908" sId="1" quotePrefix="1">
    <oc r="F118" t="inlineStr">
      <is>
        <t>BAIC_ESP93CPi_RC_Init/MainstreamF30/rb/as/baic/core/app/dcom/RBAPLCust/src/RBAPLCUST_RBDI_NVMData.c</t>
      </is>
    </oc>
    <nc r="F118" t="inlineStr">
      <is>
        <t>BAIC_ESP93CPi_RC_Init\MainstreamF30\rb\as\baic\core\app\dcom\RBAPLCust\src\RBAPLCUST_RBDI_NVMData.c</t>
      </is>
    </nc>
  </rcc>
  <rcc rId="909" sId="1" quotePrefix="1">
    <oc r="F119" t="inlineStr">
      <is>
        <t>BAIC_ESP93CPi_RC_Init/MainstreamF30/rb/as/baic/core/app/dcom/RBAPLCust/src/RBAPLCUST_WDBI_NVMData.c</t>
      </is>
    </oc>
    <nc r="F119" t="inlineStr">
      <is>
        <t>BAIC_ESP93CPi_RC_Init\MainstreamF30\rb\as\baic\core\app\dcom\RBAPLCust\src\RBAPLCUST_WDBI_NVMData.c</t>
      </is>
    </nc>
  </rcc>
  <rcc rId="910" sId="1" quotePrefix="1">
    <oc r="F120" t="inlineStr">
      <is>
        <t>BAIC_ESP93CPi_RC_Init/MainstreamF30/rb/as/baic/CpiwAPB/app/dsm/RBVAR/src/RBVAR_OutputDriver_PROJECT.c</t>
      </is>
    </oc>
    <nc r="F120" t="inlineStr">
      <is>
        <t>BAIC_ESP93CPi_RC_Init\MainstreamF30\rb\as\baic\CpiwAPB\app\dsm\RBVAR\src\RBVAR_OutputDriver_PROJECT.c</t>
      </is>
    </nc>
  </rcc>
  <rcc rId="911" sId="1" quotePrefix="1">
    <oc r="F121" t="inlineStr">
      <is>
        <t>BAIC_ESP93CPi_RC_Init/MainstreamF30/rb/as/baic/CpiwAPB/app/net/RbNetPrj/RBNet_Can/src/NET_AliveCounterLib_CNMS.c</t>
      </is>
    </oc>
    <nc r="F121" t="inlineStr">
      <is>
        <t>BAIC_ESP93CPi_RC_Init\MainstreamF30\rb\as\baic\CpiwAPB\app\net\RbNetPrj\RBNet_Can\src\NET_AliveCounterLib_CNMS.c</t>
      </is>
    </nc>
  </rcc>
  <rcc rId="912" sId="1" quotePrefix="1">
    <oc r="F122" t="inlineStr">
      <is>
        <t>BAIC_ESP93CPi_RC_Init/MainstreamF30/rb/as/baic/CpiwAPB/app/net/RbNetPrj/RBNet_Can/src/NET_CheckSumLib_CNMS.c</t>
      </is>
    </oc>
    <nc r="F122" t="inlineStr">
      <is>
        <t>BAIC_ESP93CPi_RC_Init\MainstreamF30\rb\as\baic\CpiwAPB\app\net\RbNetPrj\RBNet_Can\src\NET_CheckSumLib_CNMS.c</t>
      </is>
    </nc>
  </rcc>
  <rcc rId="913" sId="1" quotePrefix="1">
    <oc r="F123" t="inlineStr">
      <is>
        <t>BAIC_ESP93CPi_RC_Init/MainstreamF30/rb/as/baic/CpiwAPB/app/net/RbNetPrj/RBNet_Can/src/NET_MonitoringClasses_F30.c</t>
      </is>
    </oc>
    <nc r="F123" t="inlineStr">
      <is>
        <t>BAIC_ESP93CPi_RC_Init\MainstreamF30\rb\as\baic\CpiwAPB\app\net\RbNetPrj\RBNet_Can\src\NET_MonitoringClasses_F30.c</t>
      </is>
    </nc>
  </rcc>
  <rcc rId="914" sId="1" quotePrefix="1">
    <oc r="F124" t="inlineStr">
      <is>
        <t>BAIC_ESP93CPi_RC_Init/MainstreamF30/rb/as/baic/CpiwAPB/app/net/RBScl/src/NET_SCL_Rx.c</t>
      </is>
    </oc>
    <nc r="F124" t="inlineStr">
      <is>
        <t>BAIC_ESP93CPi_RC_Init\MainstreamF30\rb\as\baic\CpiwAPB\app\net\RBScl\src\NET_SCL_Rx.c</t>
      </is>
    </nc>
  </rcc>
  <rcc rId="915" sId="1" quotePrefix="1">
    <oc r="F125" t="inlineStr">
      <is>
        <t>BAIC_ESP93CPi_RC_Init/MainstreamF30/rb/as/baic/CpiwAPB/app/net/RBScl/src/NET_SCL_Tx_APA.c</t>
      </is>
    </oc>
    <nc r="F125" t="inlineStr">
      <is>
        <t>BAIC_ESP93CPi_RC_Init\MainstreamF30\rb\as\baic\CpiwAPB\app\net\RBScl\src\NET_SCL_Tx_APA.c</t>
      </is>
    </nc>
  </rcc>
  <rcc rId="916" sId="1" quotePrefix="1">
    <oc r="F126" t="inlineStr">
      <is>
        <t>BAIC_ESP93CPi_RC_Init/MainstreamF30/rb/as/baic/CpiwAPB/app/net/RBScl/src/NET_SCL_Tx_APBMi_PRJ.c</t>
      </is>
    </oc>
    <nc r="F126" t="inlineStr">
      <is>
        <t>BAIC_ESP93CPi_RC_Init\MainstreamF30\rb\as\baic\CpiwAPB\app\net\RBScl\src\NET_SCL_Tx_APBMi_PRJ.c</t>
      </is>
    </nc>
  </rcc>
  <rcc rId="917" sId="1" quotePrefix="1">
    <oc r="F127" t="inlineStr">
      <is>
        <t>BAIC_ESP93CPi_RC_Init/MainstreamF30/rb/as/baic/CpiwAPB/app/net/RBScl/src/NET_SCL_Tx_WheelPulse_APA.c</t>
      </is>
    </oc>
    <nc r="F127" t="inlineStr">
      <is>
        <t>BAIC_ESP93CPi_RC_Init\MainstreamF30\rb\as\baic\CpiwAPB\app\net\RBScl\src\NET_SCL_Tx_WheelPulse_APA.c</t>
      </is>
    </nc>
  </rcc>
  <rcc rId="918" sId="1" quotePrefix="1">
    <oc r="F128" t="inlineStr">
      <is>
        <t>BAIC_ESP93CPi_RC_Init/MainstreamF30/rb/as/baic/CpiwAPB/dsmpr/src/RBPduHandler_Callouts.c</t>
      </is>
    </oc>
    <nc r="F128" t="inlineStr">
      <is>
        <t>BAIC_ESP93CPi_RC_Init\MainstreamF30\rb\as\baic\CpiwAPB\dsmpr\src\RBPduHandler_Callouts.c</t>
      </is>
    </nc>
  </rcc>
  <rcc rId="919" sId="1" quotePrefix="1">
    <oc r="F129" t="inlineStr">
      <is>
        <t>GAC_ESPHevX_HADHAP_Int/CNMSHevXHADHAP/rb/as/gaig/core/app/net/RBScl/src/</t>
      </is>
    </oc>
    <nc r="F129" t="inlineStr">
      <is>
        <t>GAC_ESPHevX_HADHAP_Int\CNMSHevXHADHAP\rb\as\gaig\core\app\net\RBScl\src\</t>
      </is>
    </nc>
  </rcc>
  <rcc rId="920" sId="1" quotePrefix="1">
    <oc r="F130" t="inlineStr">
      <is>
        <t>GAC_ESPHevX_HADHAP_Int/CNMSHevXHADHAP/rb/as/cnms_core/app/net/scl_callout/src/</t>
      </is>
    </oc>
    <nc r="F130" t="inlineStr">
      <is>
        <t>GAC_ESPHevX_HADHAP_Int\CNMSHevXHADHAP\rb\as\cnms_core\app\net\scl_callout\src\</t>
      </is>
    </nc>
  </rcc>
  <rcc rId="921" sId="1" quotePrefix="1">
    <oc r="F131" t="inlineStr">
      <is>
        <t>GAC_ESPHevX_HADHAP_Int/CNMSHevXHADHAP/rb/as/gaig/core/app/net/RBScl/src/</t>
      </is>
    </oc>
    <nc r="F131" t="inlineStr">
      <is>
        <t>GAC_ESPHevX_HADHAP_Int\CNMSHevXHADHAP\rb\as\gaig\core\app\net\RBScl\src\</t>
      </is>
    </nc>
  </rcc>
  <rcc rId="922" sId="1" quotePrefix="1">
    <oc r="F132" t="inlineStr">
      <is>
        <t>GAC_ESP93CP_Carbon_Int/MainstreamF30/rb/as/gaig/A12ESP/app/net/RBScl/RBScl_GAC/src/</t>
      </is>
    </oc>
    <nc r="F132" t="inlineStr">
      <is>
        <t>GAC_ESP93CP_Carbon_Int\MainstreamF30\rb\as\gaig\A12ESP\app\net\RBScl\RBScl_GAC\src\</t>
      </is>
    </nc>
  </rcc>
  <rcc rId="923" sId="1" quotePrefix="1">
    <oc r="F133" t="inlineStr">
      <is>
        <t>GAC_ESP93CP_Carbon_Int/MainstreamF30/rb/as/gaig/A12ESP/app/net/RBScl/RBScl_GAC/src/</t>
      </is>
    </oc>
    <nc r="F133" t="inlineStr">
      <is>
        <t>GAC_ESP93CP_Carbon_Int\MainstreamF30\rb\as\gaig\A12ESP\app\net\RBScl\RBScl_GAC\src\</t>
      </is>
    </nc>
  </rcc>
  <rcc rId="924" sId="1" quotePrefix="1">
    <oc r="F134" t="inlineStr">
      <is>
        <t>GAC_ESP93CP_Carbon_Int/MainstreamF30/rb/as/gaig/A12ESP/app/net/RBScl/RBScl_GAC/src/</t>
      </is>
    </oc>
    <nc r="F134" t="inlineStr">
      <is>
        <t>GAC_ESP93CP_Carbon_Int\MainstreamF30\rb\as\gaig\A12ESP\app\net\RBScl\RBScl_GAC\src\</t>
      </is>
    </nc>
  </rcc>
  <rcc rId="925" sId="1" quotePrefix="1">
    <oc r="F135" t="inlineStr">
      <is>
        <t>GAC_ESP93CP_Carbon_Int/MainstreamF30/rb/as/gaig/A12ESP/app/net/RBScl/RBScl_GAC/src/</t>
      </is>
    </oc>
    <nc r="F135" t="inlineStr">
      <is>
        <t>GAC_ESP93CP_Carbon_Int\MainstreamF30\rb\as\gaig\A12ESP\app\net\RBScl\RBScl_GAC\src\</t>
      </is>
    </nc>
  </rcc>
  <rcc rId="926" sId="1" quotePrefix="1">
    <oc r="F136" t="inlineStr">
      <is>
        <t>GAC_ESP93CP_Carbon_Int/MainstreamF30/rb/as/cnms_core/app/net/scl_callout/src/</t>
      </is>
    </oc>
    <nc r="F136" t="inlineStr">
      <is>
        <t>GAC_ESP93CP_Carbon_Int\MainstreamF30\rb\as\cnms_core\app\net\scl_callout\src\</t>
      </is>
    </nc>
  </rcc>
  <rcc rId="927" sId="1" quotePrefix="1">
    <oc r="F137" t="inlineStr">
      <is>
        <t>GAC_ESP93CP_Carbon_Int/MainstreamF30/rb/as/cnms_core/app/net/scl/Sensors/Steering/src/</t>
      </is>
    </oc>
    <nc r="F137" t="inlineStr">
      <is>
        <t>GAC_ESP93CP_Carbon_Int\MainstreamF30\rb\as\cnms_core\app\net\scl\Sensors\Steering\src\</t>
      </is>
    </nc>
  </rcc>
  <rcc rId="928" sId="1" quotePrefix="1">
    <oc r="F138" t="inlineStr">
      <is>
        <t>GAC_ESP93CP_Carbon_Int/MainstreamF30/rb/as/gaig/core/app/itpms/TPMS_Common_CN/SRC/</t>
      </is>
    </oc>
    <nc r="F138" t="inlineStr">
      <is>
        <t>GAC_ESP93CP_Carbon_Int\MainstreamF30\rb\as\gaig\core\app\itpms\TPMS_Common_CN\SRC\</t>
      </is>
    </nc>
  </rcc>
  <rcc rId="929" sId="1" quotePrefix="1">
    <oc r="F139" t="inlineStr">
      <is>
        <t>GAC_ESP93CP_Carbon_Int/MainstreamF30/rb/as/gaig/core/app/itpms/TPMS_Common_CN/SRC/</t>
      </is>
    </oc>
    <nc r="F139" t="inlineStr">
      <is>
        <t>GAC_ESP93CP_Carbon_Int\MainstreamF30\rb\as\gaig\core\app\itpms\TPMS_Common_CN\SRC\</t>
      </is>
    </nc>
  </rcc>
  <rcc rId="930" sId="1" quotePrefix="1">
    <oc r="F140" t="inlineStr">
      <is>
        <t>GAC_ESP93CP_Carbon_Int/MainstreamF30/rb/as/gaig/core/app/itpms/TPMS_Common_CN/SIM/SRC/</t>
      </is>
    </oc>
    <nc r="F140" t="inlineStr">
      <is>
        <t>GAC_ESP93CP_Carbon_Int\MainstreamF30\rb\as\gaig\core\app\itpms\TPMS_Common_CN\SIM\SRC\</t>
      </is>
    </nc>
  </rcc>
  <rcc rId="931" sId="1" odxf="1" dxf="1" quotePrefix="1">
    <oc r="F117" t="inlineStr">
      <is>
        <t>rba\Bldr_FAW\config\ApplicationLayer\rba_BldrCmp\src</t>
      </is>
    </oc>
    <nc r="F117" t="inlineStr">
      <is>
        <t>FAW_MainPath_Int\MainstreamFAW\rba\Bldr\config\ApplicationLayer\rba_BldrCmp\src\rba_BldrCmp_Cfg_CheckMem.c</t>
      </is>
    </nc>
    <ndxf>
      <font>
        <b/>
        <sz val="11"/>
        <color theme="1"/>
        <name val="Calibri"/>
        <scheme val="minor"/>
      </font>
      <fill>
        <patternFill patternType="none">
          <bgColor indexed="65"/>
        </patternFill>
      </fill>
    </ndxf>
  </rcc>
  <rcv guid="{250915DF-0B97-45D7-B29D-7EED4C89C1C1}" action="delete"/>
  <rdn rId="0" localSheetId="1" customView="1" name="Z_250915DF_0B97_45D7_B29D_7EED4C89C1C1_.wvu.FilterData" hidden="1" oldHidden="1">
    <formula>Merged_COEM!$B$47:$AN$140</formula>
    <oldFormula>Merged_COEM!$B$47:$AN$128</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6" sId="2">
    <nc r="AA100" t="inlineStr">
      <is>
        <t>Ready for review</t>
      </is>
    </nc>
  </rcc>
  <rcc rId="937" sId="2">
    <nc r="AA105" t="inlineStr">
      <is>
        <t>Ready for review</t>
      </is>
    </nc>
  </rc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dxf>
      <alignment wrapText="0" readingOrder="0"/>
    </dxf>
  </rfmt>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2" sId="1">
    <oc r="AN67" t="inlineStr">
      <is>
        <t>Owner confirm it isn't need to do UT
It’s OK, this part is followed CNMS</t>
      </is>
    </oc>
    <nc r="AN67" t="inlineStr">
      <is>
        <t>Owner confirm it isn't need to do UT
It’s OK, this part is followed CNMS
WT was updated</t>
      </is>
    </nc>
  </rcc>
  <rcv guid="{3B3E6719-EACB-4D2C-89C1-05FFAB6020FD}" action="delete"/>
  <rdn rId="0" localSheetId="1" customView="1" name="Z_3B3E6719_EACB_4D2C_89C1_05FFAB6020FD_.wvu.FilterData" hidden="1" oldHidden="1">
    <formula>Merged_COEM!$B$47:$AN$140</formula>
    <oldFormula>Merged_COEM!$B$47:$AN$140</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start="0" length="0">
    <dxf>
      <alignment wrapText="1" readingOrder="0"/>
    </dxf>
  </rfmt>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Merged_COEM!$B$47:$AN$140</formula>
    <oldFormula>Merged_COEM!$B$47:$AN$140</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9" sId="1">
    <oc r="AG68" t="inlineStr">
      <is>
        <t>OK</t>
      </is>
    </oc>
    <nc r="AG68" t="inlineStr">
      <is>
        <t>NG</t>
      </is>
    </nc>
  </rcc>
  <rcv guid="{72A6EB0A-84D5-4B8A-AC51-54CCD061630B}" action="delete"/>
  <rdn rId="0" localSheetId="1" customView="1" name="Z_72A6EB0A_84D5_4B8A_AC51_54CCD061630B_.wvu.FilterData" hidden="1" oldHidden="1">
    <formula>Merged_COEM!$B$47:$AN$140</formula>
    <oldFormula>Merged_COEM!$B$47:$AN$128</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2" sId="1">
    <nc r="X130">
      <f>W130</f>
    </nc>
  </rcc>
  <rcc rId="953" sId="1">
    <nc r="Z130">
      <v>2</v>
    </nc>
  </rcc>
  <rcc rId="954" sId="1">
    <nc r="AA130" t="inlineStr">
      <is>
        <t>Ready for review</t>
      </is>
    </nc>
  </rcc>
  <rcc rId="955" sId="1" numFmtId="19">
    <nc r="AE130">
      <v>43958</v>
    </nc>
  </rcc>
  <rcc rId="956" sId="1" numFmtId="19">
    <nc r="AF130">
      <v>43958</v>
    </nc>
  </rcc>
  <rcc rId="957" sId="1">
    <nc r="AG130" t="inlineStr">
      <is>
        <t>OK</t>
      </is>
    </nc>
  </rcc>
  <rcc rId="958" sId="1" numFmtId="14">
    <nc r="AH130">
      <v>1</v>
    </nc>
  </rcc>
  <rcc rId="959" sId="1" numFmtId="14">
    <nc r="AI130">
      <v>1</v>
    </nc>
  </rcc>
  <rcc rId="960" sId="1" numFmtId="14">
    <nc r="AJ130">
      <v>1</v>
    </nc>
  </rcc>
  <rcc rId="961" sId="1">
    <nc r="AK130" t="inlineStr">
      <is>
        <t>None</t>
      </is>
    </nc>
  </rcc>
  <rcc rId="962" sId="1">
    <nc r="AL130" t="inlineStr">
      <is>
        <t>-</t>
      </is>
    </nc>
  </rcc>
  <rcc rId="963" sId="1">
    <nc r="AM130" t="inlineStr">
      <is>
        <t>-</t>
      </is>
    </nc>
  </rcc>
  <rcc rId="964" sId="1">
    <nc r="AN130" t="inlineStr">
      <is>
        <t>-</t>
      </is>
    </nc>
  </rcc>
  <rcv guid="{4E06BDBF-2CED-473B-850B-2A6C7311FF41}" action="delete"/>
  <rdn rId="0" localSheetId="1" customView="1" name="Z_4E06BDBF_2CED_473B_850B_2A6C7311FF41_.wvu.FilterData" hidden="1" oldHidden="1">
    <formula>Merged_COEM!$A$47:$AN$140</formula>
    <oldFormula>Merged_COEM!$A$47:$AN$128</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7" sId="1">
    <oc r="Z130">
      <v>2</v>
    </oc>
    <nc r="Z130">
      <v>3</v>
    </nc>
  </rcc>
  <rcv guid="{4E06BDBF-2CED-473B-850B-2A6C7311FF41}" action="delete"/>
  <rdn rId="0" localSheetId="1" customView="1" name="Z_4E06BDBF_2CED_473B_850B_2A6C7311FF41_.wvu.FilterData" hidden="1" oldHidden="1">
    <formula>Merged_COEM!$A$47:$AN$140</formula>
    <oldFormula>Merged_COEM!$A$47:$AN$140</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70" sId="1">
    <nc r="X125">
      <f>W125</f>
    </nc>
  </rcc>
  <rcc rId="971" sId="1">
    <nc r="Z125">
      <v>1.5</v>
    </nc>
  </rcc>
  <rcc rId="972" sId="1">
    <nc r="AA125" t="inlineStr">
      <is>
        <t>Ready for review</t>
      </is>
    </nc>
  </rcc>
  <rcc rId="973" sId="1" numFmtId="19">
    <nc r="AE125">
      <v>43958</v>
    </nc>
  </rcc>
  <rcc rId="974" sId="1" numFmtId="19">
    <nc r="AF125">
      <v>43958</v>
    </nc>
  </rcc>
  <rcc rId="975" sId="1">
    <nc r="AG125" t="inlineStr">
      <is>
        <t>OK</t>
      </is>
    </nc>
  </rcc>
  <rcc rId="976" sId="1" numFmtId="14">
    <nc r="AH125">
      <v>1</v>
    </nc>
  </rcc>
  <rcc rId="977" sId="1" numFmtId="14">
    <nc r="AI125">
      <v>1</v>
    </nc>
  </rcc>
  <rcc rId="978" sId="1" numFmtId="14">
    <nc r="AJ125">
      <v>1</v>
    </nc>
  </rcc>
  <rcc rId="979" sId="1">
    <nc r="AK125" t="inlineStr">
      <is>
        <t>None</t>
      </is>
    </nc>
  </rcc>
  <rcv guid="{3B3E6719-EACB-4D2C-89C1-05FFAB6020FD}" action="delete"/>
  <rdn rId="0" localSheetId="1" customView="1" name="Z_3B3E6719_EACB_4D2C_89C1_05FFAB6020FD_.wvu.FilterData" hidden="1" oldHidden="1">
    <formula>Merged_COEM!$B$47:$AN$140</formula>
    <oldFormula>Merged_COEM!$B$47:$AN$140</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82" sId="1" ref="A132:XFD132" action="insertRow"/>
  <rcc rId="983" sId="1">
    <oc r="B130">
      <f>B129+1</f>
    </oc>
    <nc r="B130">
      <f>B129+1</f>
    </nc>
  </rcc>
  <rcc rId="984" sId="1">
    <oc r="B131">
      <f>B130+1</f>
    </oc>
    <nc r="B131">
      <f>B130+1</f>
    </nc>
  </rcc>
  <rcc rId="985" sId="1">
    <nc r="B132">
      <f>B131+1</f>
    </nc>
  </rcc>
  <rcc rId="986" sId="1">
    <oc r="B133">
      <f>B131+1</f>
    </oc>
    <nc r="B133">
      <f>B132+1</f>
    </nc>
  </rcc>
  <rcc rId="987" sId="1">
    <oc r="B134">
      <f>B133+1</f>
    </oc>
    <nc r="B134">
      <f>B133+1</f>
    </nc>
  </rcc>
  <rcc rId="988" sId="1">
    <oc r="B135">
      <f>B134+1</f>
    </oc>
    <nc r="B135">
      <f>B134+1</f>
    </nc>
  </rcc>
  <rcc rId="989" sId="1">
    <oc r="B136">
      <f>B135+1</f>
    </oc>
    <nc r="B136">
      <f>B135+1</f>
    </nc>
  </rcc>
  <rcc rId="990" sId="1">
    <oc r="B137">
      <f>B136+1</f>
    </oc>
    <nc r="B137">
      <f>B136+1</f>
    </nc>
  </rcc>
  <rcc rId="991" sId="1">
    <oc r="B138">
      <f>B137+1</f>
    </oc>
    <nc r="B138">
      <f>B137+1</f>
    </nc>
  </rcc>
  <rcc rId="992" sId="1">
    <oc r="B139">
      <f>B138+1</f>
    </oc>
    <nc r="B139">
      <f>B138+1</f>
    </nc>
  </rcc>
  <rcc rId="993" sId="1">
    <oc r="B140">
      <f>B139+1</f>
    </oc>
    <nc r="B140">
      <f>B139+1</f>
    </nc>
  </rcc>
  <rcc rId="994" sId="1">
    <oc r="B141">
      <f>B140+1</f>
    </oc>
    <nc r="B141">
      <f>B140+1</f>
    </nc>
  </rcc>
  <rcc rId="995" sId="1">
    <nc r="C132">
      <v>20200506</v>
    </nc>
  </rcc>
  <rcc rId="996" sId="1">
    <nc r="D132" t="inlineStr">
      <is>
        <t>PSW</t>
      </is>
    </nc>
  </rcc>
  <rcc rId="997" sId="1" xfDxf="1" dxf="1">
    <nc r="E132" t="inlineStr">
      <is>
        <t>GAC_Carbon_RPA_ESPHevx_Mainpath_BL04</t>
      </is>
    </nc>
    <ndxf>
      <alignment horizontal="left" vertical="top" readingOrder="0"/>
      <border outline="0">
        <left style="thin">
          <color indexed="64"/>
        </left>
        <right style="thin">
          <color indexed="64"/>
        </right>
        <top style="thin">
          <color indexed="64"/>
        </top>
        <bottom style="thin">
          <color indexed="64"/>
        </bottom>
      </border>
    </ndxf>
  </rcc>
  <rfmt sheetId="1" xfDxf="1" sqref="F132" start="0" length="0">
    <dxf>
      <font>
        <b/>
      </font>
      <alignment horizontal="left" vertical="top" readingOrder="0"/>
      <border outline="0">
        <left style="thin">
          <color indexed="64"/>
        </left>
        <right style="thin">
          <color indexed="64"/>
        </right>
        <top style="thin">
          <color indexed="64"/>
        </top>
        <bottom style="thin">
          <color indexed="64"/>
        </bottom>
      </border>
    </dxf>
  </rfmt>
  <rcc rId="998" sId="1" quotePrefix="1">
    <nc r="F132" t="inlineStr">
      <is>
        <t>rb/as/gaig/core/app/net/RBScl/src</t>
      </is>
    </nc>
  </rcc>
  <rcc rId="999" sId="1" xfDxf="1" dxf="1">
    <nc r="G132">
      <v>1455113</v>
    </nc>
    <ndxf>
      <alignment horizontal="left" vertical="top" readingOrder="0"/>
      <border outline="0">
        <left style="thin">
          <color indexed="64"/>
        </left>
        <right style="thin">
          <color indexed="64"/>
        </right>
        <top style="thin">
          <color indexed="64"/>
        </top>
        <bottom style="thin">
          <color indexed="64"/>
        </bottom>
      </border>
    </ndxf>
  </rcc>
  <rcc rId="1000" sId="1" quotePrefix="1">
    <nc r="H132" t="inlineStr">
      <is>
        <t>-</t>
      </is>
    </nc>
  </rcc>
  <rcc rId="1001" sId="1" xfDxf="1" dxf="1">
    <nc r="I132" t="inlineStr">
      <is>
        <t>NET_SCL_EngineIntervention_Torq_GAC.c</t>
      </is>
    </nc>
    <ndxf>
      <alignment horizontal="left" vertical="top" readingOrder="0"/>
      <border outline="0">
        <left style="thin">
          <color indexed="64"/>
        </left>
        <right style="thin">
          <color indexed="64"/>
        </right>
        <top style="thin">
          <color indexed="64"/>
        </top>
        <bottom style="thin">
          <color indexed="64"/>
        </bottom>
      </border>
    </ndxf>
  </rcc>
  <rcc rId="1002" sId="1">
    <nc r="K132" t="inlineStr">
      <is>
        <t>Auto</t>
      </is>
    </nc>
  </rcc>
  <rcc rId="1003" sId="1" xfDxf="1" dxf="1">
    <nc r="L132" t="inlineStr">
      <is>
        <t>BB99308</t>
      </is>
    </nc>
    <ndxf>
      <alignment horizontal="left" vertical="top" readingOrder="0"/>
      <border outline="0">
        <left style="thin">
          <color indexed="64"/>
        </left>
        <right style="thin">
          <color indexed="64"/>
        </right>
        <top style="thin">
          <color indexed="64"/>
        </top>
        <bottom style="thin">
          <color indexed="64"/>
        </bottom>
      </border>
    </ndxf>
  </rcc>
  <rcc rId="1004" sId="1">
    <nc r="M132" t="inlineStr">
      <is>
        <t>BL04</t>
      </is>
    </nc>
  </rcc>
  <rcc rId="1005" sId="1">
    <nc r="N132" t="inlineStr">
      <is>
        <t>GAC_ESPHevX_HADHAP_Int</t>
      </is>
    </nc>
  </rcc>
  <rcc rId="1006" sId="1" quotePrefix="1">
    <nc r="O132" t="inlineStr">
      <is>
        <t>-</t>
      </is>
    </nc>
  </rcc>
  <rcc rId="1007" sId="1" quotePrefix="1">
    <nc r="P132" t="inlineStr">
      <is>
        <t>ZHOU Xiaoxi (CC-AS/EVA-SW31-CN)</t>
      </is>
    </nc>
  </rcc>
  <rcc rId="1008" sId="1" quotePrefix="1">
    <nc r="R132" t="inlineStr">
      <is>
        <t>-</t>
      </is>
    </nc>
  </rcc>
  <rcc rId="1009" sId="1">
    <nc r="S132" t="inlineStr">
      <is>
        <t>chung.ly</t>
      </is>
    </nc>
  </rcc>
  <rcc rId="1010" sId="1">
    <nc r="V132">
      <v>456</v>
    </nc>
  </rcc>
  <rcc rId="1011" sId="1">
    <nc r="W132">
      <f>V132</f>
    </nc>
  </rcc>
  <rcc rId="1012" sId="1">
    <nc r="Y132">
      <f>ROUNDDOWN(W132/HLOOKUP(D132,Table!$C$3:$D$4,2,0)*8,2)</f>
    </nc>
  </rcc>
  <rcc rId="1013" sId="1" numFmtId="19">
    <nc r="AC132">
      <v>43957</v>
    </nc>
  </rcc>
  <rcc rId="1014" sId="1" numFmtId="19">
    <nc r="AD132">
      <v>43958</v>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17" sId="1" quotePrefix="1">
    <oc r="F132" t="inlineStr">
      <is>
        <t>rb/as/gaig/core/app/net/RBScl/src</t>
      </is>
    </oc>
    <nc r="F132" t="inlineStr">
      <is>
        <t>rb\as\gaig\core\app\net\RBScl\src</t>
      </is>
    </nc>
  </rcc>
  <rcv guid="{7E0EA425-A420-4443-B9E0-CDF0AA9E5D09}" action="delete"/>
  <rdn rId="0" localSheetId="1" customView="1" name="Z_7E0EA425_A420_4443_B9E0_CDF0AA9E5D09_.wvu.FilterData" hidden="1" oldHidden="1">
    <formula>Merged_COEM!$B$47:$AN$128</formula>
    <oldFormula>Merged_COEM!$B$47:$AN$128</oldFormula>
  </rdn>
  <rdn rId="0" localSheetId="2" customView="1" name="Z_7E0EA425_A420_4443_B9E0_CDF0AA9E5D09_.wvu.FilterData" hidden="1" oldHidden="1">
    <formula>Merged_JOEM!$B$47:$AN$108</formula>
    <oldFormula>Merged_JOEM!$B$47:$AN$108</oldFormula>
  </rdn>
  <rcv guid="{7E0EA425-A420-4443-B9E0-CDF0AA9E5D09}"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0" sId="1">
    <nc r="X134">
      <f>W134</f>
    </nc>
  </rcc>
  <rcc rId="1021" sId="1">
    <nc r="Z134">
      <v>1</v>
    </nc>
  </rcc>
  <rcc rId="1022" sId="1">
    <nc r="AA134" t="inlineStr">
      <is>
        <t>Ready for review</t>
      </is>
    </nc>
  </rcc>
  <rcc rId="1023" sId="1" numFmtId="19">
    <nc r="AE134">
      <v>43958</v>
    </nc>
  </rcc>
  <rcc rId="1024" sId="1" numFmtId="19">
    <nc r="AF134">
      <v>43958</v>
    </nc>
  </rcc>
  <rcc rId="1025" sId="1">
    <nc r="AG134" t="inlineStr">
      <is>
        <t>OK</t>
      </is>
    </nc>
  </rcc>
  <rcc rId="1026" sId="1" numFmtId="14">
    <nc r="AH134">
      <v>1</v>
    </nc>
  </rcc>
  <rcc rId="1027" sId="1" numFmtId="14">
    <nc r="AI134">
      <v>1</v>
    </nc>
  </rcc>
  <rcc rId="1028" sId="1" numFmtId="14">
    <nc r="AJ134">
      <v>1</v>
    </nc>
  </rcc>
  <rcc rId="1029" sId="1">
    <nc r="AK134" t="inlineStr">
      <is>
        <t>None</t>
      </is>
    </nc>
  </rcc>
  <rcc rId="1030" sId="1">
    <nc r="AL134" t="inlineStr">
      <is>
        <t>-</t>
      </is>
    </nc>
  </rcc>
  <rcc rId="1031" sId="1">
    <nc r="AM134" t="inlineStr">
      <is>
        <t>-</t>
      </is>
    </nc>
  </rcc>
  <rcc rId="1032" sId="1">
    <nc r="AN134"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Merged_COEM!$B$47:$AN$141</formula>
    <oldFormula>Merged_COEM!$B$47:$AN$113</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7" sId="1">
    <nc r="X140">
      <f>W140</f>
    </nc>
  </rcc>
  <rcc rId="1038" sId="1">
    <nc r="AA140" t="inlineStr">
      <is>
        <t>Ready for review</t>
      </is>
    </nc>
  </rcc>
  <rcc rId="1039" sId="1">
    <nc r="Z140">
      <v>16</v>
    </nc>
  </rcc>
  <rcc rId="1040" sId="1" numFmtId="19">
    <nc r="AE140">
      <v>43958</v>
    </nc>
  </rcc>
  <rcc rId="1041" sId="1" numFmtId="19">
    <nc r="AF140">
      <v>43959</v>
    </nc>
  </rcc>
  <rcc rId="1042" sId="1">
    <nc r="AG140" t="inlineStr">
      <is>
        <t>OK</t>
      </is>
    </nc>
  </rcc>
  <rcc rId="1043" sId="1" numFmtId="14">
    <nc r="AH140">
      <v>1</v>
    </nc>
  </rcc>
  <rcc rId="1044" sId="1" numFmtId="14">
    <nc r="AI140">
      <v>1</v>
    </nc>
  </rcc>
  <rcc rId="1045" sId="1" numFmtId="14">
    <nc r="AJ140">
      <v>1</v>
    </nc>
  </rcc>
  <rcc rId="1046" sId="1">
    <nc r="AK140" t="inlineStr">
      <is>
        <t>None</t>
      </is>
    </nc>
  </rcc>
  <rcc rId="1047" sId="1">
    <nc r="AL140" t="inlineStr">
      <is>
        <t>-</t>
      </is>
    </nc>
  </rcc>
  <rcc rId="1048" sId="1">
    <nc r="AM140" t="inlineStr">
      <is>
        <t>-</t>
      </is>
    </nc>
  </rcc>
  <rcc rId="1049" sId="1">
    <nc r="AN140"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2" sId="1">
    <nc r="X141">
      <f>W141</f>
    </nc>
  </rcc>
  <rcc rId="1053" sId="1">
    <nc r="Z141">
      <v>1</v>
    </nc>
  </rcc>
  <rcc rId="1054" sId="1">
    <nc r="AA141" t="inlineStr">
      <is>
        <t>Ready for review</t>
      </is>
    </nc>
  </rcc>
  <rcc rId="1055" sId="1" numFmtId="19">
    <nc r="AE141">
      <v>43958</v>
    </nc>
  </rcc>
  <rcc rId="1056" sId="1" numFmtId="19">
    <nc r="AF141">
      <v>43958</v>
    </nc>
  </rcc>
  <rcc rId="1057" sId="1">
    <nc r="AG141" t="inlineStr">
      <is>
        <t>OK</t>
      </is>
    </nc>
  </rcc>
  <rcc rId="1058" sId="1" numFmtId="14">
    <nc r="AH141">
      <v>1</v>
    </nc>
  </rcc>
  <rcc rId="1059" sId="1" numFmtId="14">
    <nc r="AI141">
      <v>1</v>
    </nc>
  </rcc>
  <rcc rId="1060" sId="1" numFmtId="14">
    <nc r="AJ141">
      <v>1</v>
    </nc>
  </rcc>
  <rcc rId="1061" sId="1">
    <nc r="AK141" t="inlineStr">
      <is>
        <t>None</t>
      </is>
    </nc>
  </rcc>
  <rcc rId="1062" sId="1">
    <nc r="AL141" t="inlineStr">
      <is>
        <t>-</t>
      </is>
    </nc>
  </rcc>
  <rcc rId="1063" sId="1">
    <nc r="AM141" t="inlineStr">
      <is>
        <t>-</t>
      </is>
    </nc>
  </rcc>
  <rcc rId="1064" sId="1">
    <nc r="AN141"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7" sId="1">
    <nc r="Z131">
      <v>4</v>
    </nc>
  </rcc>
  <rcc rId="1068" sId="1" numFmtId="14">
    <nc r="AH131">
      <v>0.97</v>
    </nc>
  </rcc>
  <rcc rId="1069" sId="1" numFmtId="14">
    <nc r="AI131">
      <v>0.95</v>
    </nc>
  </rcc>
  <rcc rId="1070" sId="1" numFmtId="14">
    <nc r="AJ131">
      <v>1</v>
    </nc>
  </rcc>
  <rcc rId="1071" sId="1">
    <nc r="AG131" t="inlineStr">
      <is>
        <t>NG</t>
      </is>
    </nc>
  </rcc>
  <rcc rId="1072" sId="1" numFmtId="19">
    <nc r="AE131">
      <v>43958</v>
    </nc>
  </rcc>
  <rcc rId="1073" sId="1" numFmtId="19">
    <nc r="AF131">
      <v>43958</v>
    </nc>
  </rcc>
  <rcc rId="1074" sId="1">
    <nc r="AA131" t="inlineStr">
      <is>
        <t>Ready for review</t>
      </is>
    </nc>
  </rcc>
  <rcc rId="1075" sId="1">
    <nc r="AK131" t="inlineStr">
      <is>
        <t>OPL</t>
      </is>
    </nc>
  </rcc>
  <rcc rId="1076" sId="1" odxf="1" dxf="1" quotePrefix="1">
    <nc r="AL131" t="inlineStr">
      <is>
        <t>-I can’t coverage the false case of l_MMotRedFast_SW &lt; 0   and l_MMotRedSlow_SW &lt; 0   because NETBOUND always make l_MMotRedFast_SW and l_MMotRedSlow_SW     into 0x00 and 0xff</t>
      </is>
    </nc>
    <odxf/>
    <ndxf/>
  </rcc>
  <rcc rId="1077" sId="1">
    <nc r="AM131" t="inlineStr">
      <is>
        <t>-</t>
      </is>
    </nc>
  </rcc>
  <rcc rId="1078" sId="1">
    <nc r="AN131" t="inlineStr">
      <is>
        <t>-</t>
      </is>
    </nc>
  </rcc>
  <rcc rId="1079" sId="1">
    <nc r="Z132">
      <v>0.5</v>
    </nc>
  </rcc>
  <rcc rId="1080" sId="1">
    <nc r="AA132" t="inlineStr">
      <is>
        <t>Ready for review</t>
      </is>
    </nc>
  </rcc>
  <rcc rId="1081" sId="1" numFmtId="19">
    <nc r="AE132">
      <v>43958</v>
    </nc>
  </rcc>
  <rcc rId="1082" sId="1" numFmtId="19">
    <nc r="AF132">
      <v>43958</v>
    </nc>
  </rcc>
  <rcc rId="1083" sId="1">
    <nc r="AG132" t="inlineStr">
      <is>
        <t>NG</t>
      </is>
    </nc>
  </rcc>
  <rcc rId="1084" sId="1" numFmtId="14">
    <nc r="AH132">
      <v>0.97</v>
    </nc>
  </rcc>
  <rcc rId="1085" sId="1" numFmtId="14">
    <nc r="AI132">
      <v>0.95</v>
    </nc>
  </rcc>
  <rcc rId="1086" sId="1" numFmtId="14">
    <nc r="AJ132">
      <v>1</v>
    </nc>
  </rcc>
  <rcc rId="1087" sId="1">
    <nc r="AK132" t="inlineStr">
      <is>
        <t>OPL</t>
      </is>
    </nc>
  </rcc>
  <rcc rId="1088" sId="1" odxf="1" dxf="1" quotePrefix="1">
    <nc r="AL132" t="inlineStr">
      <is>
        <t>-I can’t coverage the false case of l_MMotRedFast_SW &lt; 0   and l_MMotRedSlow_SW &lt; 0   because NETBOUND always make l_MMotRedFast_SW and l_MMotRedSlow_SW     into 0x00 and 0xff</t>
      </is>
    </nc>
    <odxf/>
    <ndxf/>
  </rcc>
  <rcc rId="1089" sId="1">
    <nc r="AM132" t="inlineStr">
      <is>
        <t>-</t>
      </is>
    </nc>
  </rcc>
  <rcc rId="1090" sId="1">
    <nc r="AN132"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3" sId="1">
    <nc r="X126">
      <f>W126</f>
    </nc>
  </rcc>
  <rcc rId="1094" sId="1">
    <nc r="Z126">
      <v>1</v>
    </nc>
  </rcc>
  <rcc rId="1095" sId="1">
    <nc r="AA126" t="inlineStr">
      <is>
        <t>Ready for review</t>
      </is>
    </nc>
  </rcc>
  <rcc rId="1096" sId="1" numFmtId="19">
    <nc r="AE126">
      <v>43958</v>
    </nc>
  </rcc>
  <rcc rId="1097" sId="1" numFmtId="19">
    <nc r="AF126">
      <v>43958</v>
    </nc>
  </rcc>
  <rcc rId="1098" sId="1">
    <nc r="AG126" t="inlineStr">
      <is>
        <t>OK</t>
      </is>
    </nc>
  </rcc>
  <rcc rId="1099" sId="1" numFmtId="14">
    <nc r="AH126">
      <v>1</v>
    </nc>
  </rcc>
  <rcc rId="1100" sId="1" numFmtId="14">
    <nc r="AI126">
      <v>1</v>
    </nc>
  </rcc>
  <rcc rId="1101" sId="1" numFmtId="14">
    <nc r="AJ126">
      <v>1</v>
    </nc>
  </rcc>
  <rcc rId="1102" sId="1">
    <nc r="AK126" t="inlineStr">
      <is>
        <t>None</t>
      </is>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5" sId="1">
    <oc r="Z125">
      <v>1.5</v>
    </oc>
    <nc r="Z125">
      <v>2</v>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8" sId="1">
    <nc r="X131">
      <f>W131</f>
    </nc>
  </rcc>
  <rcc rId="1109" sId="1">
    <nc r="X132">
      <f>W132</f>
    </nc>
  </rcc>
  <rcc rId="1110" sId="1">
    <nc r="X133">
      <f>W133</f>
    </nc>
  </rcc>
  <rcc rId="1111" sId="1">
    <nc r="X139">
      <f>W139</f>
    </nc>
  </rcc>
  <rcc rId="1112" sId="1">
    <nc r="Z133">
      <v>0.5</v>
    </nc>
  </rcc>
  <rcc rId="1113" sId="1">
    <nc r="AA133" t="inlineStr">
      <is>
        <t>Ready for review</t>
      </is>
    </nc>
  </rcc>
  <rcc rId="1114" sId="1" numFmtId="19">
    <nc r="AE133">
      <v>43958</v>
    </nc>
  </rcc>
  <rcc rId="1115" sId="1" numFmtId="19">
    <nc r="AF133">
      <v>43958</v>
    </nc>
  </rcc>
  <rcc rId="1116" sId="1">
    <nc r="AG133" t="inlineStr">
      <is>
        <t>OK</t>
      </is>
    </nc>
  </rcc>
  <rcc rId="1117" sId="1" numFmtId="14">
    <nc r="AH133">
      <v>1</v>
    </nc>
  </rcc>
  <rcc rId="1118" sId="1" numFmtId="14">
    <nc r="AI133">
      <v>1</v>
    </nc>
  </rcc>
  <rcc rId="1119" sId="1" numFmtId="14">
    <nc r="AJ133">
      <v>1</v>
    </nc>
  </rcc>
  <rcc rId="1120" sId="1">
    <nc r="AK133" t="inlineStr">
      <is>
        <t>None</t>
      </is>
    </nc>
  </rcc>
  <rcc rId="1121" sId="1" odxf="1" dxf="1" quotePrefix="1">
    <nc r="AL133" t="inlineStr">
      <is>
        <t>-</t>
      </is>
    </nc>
    <odxf/>
    <ndxf/>
  </rcc>
  <rcc rId="1122" sId="1">
    <nc r="AM133" t="inlineStr">
      <is>
        <t>-</t>
      </is>
    </nc>
  </rcc>
  <rcc rId="1123" sId="1">
    <nc r="AN133"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6" sId="1">
    <oc r="AL67" t="inlineStr">
      <is>
        <t>Cn't cover full MCDCs at line #102, line #112 and #133 because all of them are macros, thus if statements are always TRUE</t>
      </is>
    </oc>
    <nc r="AL67" t="inlineStr">
      <is>
        <t>Can't cover full MCDCs at line #102, line #112 and #133 because all of them are macros, thus if statements are always TRUE</t>
      </is>
    </nc>
  </rc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9" sId="1">
    <nc r="X118">
      <f>W118</f>
    </nc>
  </rcc>
  <rcc rId="1130" sId="1">
    <nc r="Z118">
      <v>2</v>
    </nc>
  </rcc>
  <rcc rId="1131" sId="1">
    <nc r="AA118" t="inlineStr">
      <is>
        <t>Ready for review</t>
      </is>
    </nc>
  </rcc>
  <rcc rId="1132" sId="1" numFmtId="19">
    <nc r="AE118">
      <v>43958</v>
    </nc>
  </rcc>
  <rcc rId="1133" sId="1" numFmtId="19">
    <nc r="AF118">
      <v>43958</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6" sId="1">
    <nc r="AG118" t="inlineStr">
      <is>
        <t>OK</t>
      </is>
    </nc>
  </rcc>
  <rcc rId="1137" sId="1" numFmtId="14">
    <nc r="AH118">
      <v>1</v>
    </nc>
  </rcc>
  <rcc rId="1138" sId="1" numFmtId="14">
    <nc r="AI118">
      <v>1</v>
    </nc>
  </rcc>
  <rcc rId="1139" sId="1" numFmtId="14">
    <nc r="AJ118">
      <v>1</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4" sId="1">
    <nc r="Z139">
      <v>1</v>
    </nc>
  </rcc>
  <rcc rId="1145" sId="1">
    <nc r="AA139" t="inlineStr">
      <is>
        <t>Ready for review</t>
      </is>
    </nc>
  </rcc>
  <rcc rId="1146" sId="1" numFmtId="19">
    <nc r="AE139">
      <v>43958</v>
    </nc>
  </rcc>
  <rcc rId="1147" sId="1" numFmtId="19">
    <nc r="AF139">
      <v>43958</v>
    </nc>
  </rcc>
  <rcc rId="1148" sId="1">
    <nc r="AG139" t="inlineStr">
      <is>
        <t>OK</t>
      </is>
    </nc>
  </rcc>
  <rcc rId="1149" sId="1" numFmtId="14">
    <nc r="AH139">
      <v>1</v>
    </nc>
  </rcc>
  <rcc rId="1150" sId="1" numFmtId="14">
    <nc r="AI139">
      <v>1</v>
    </nc>
  </rcc>
  <rcc rId="1151" sId="1" numFmtId="14">
    <nc r="AJ139">
      <v>1</v>
    </nc>
  </rcc>
  <rcc rId="1152" sId="1">
    <nc r="AK139" t="inlineStr">
      <is>
        <t>None</t>
      </is>
    </nc>
  </rcc>
  <rcc rId="1153" sId="1" odxf="1" dxf="1" quotePrefix="1">
    <nc r="AL139" t="inlineStr">
      <is>
        <t>-</t>
      </is>
    </nc>
    <odxf/>
    <ndxf/>
  </rcc>
  <rcc rId="1154" sId="1">
    <nc r="AM139" t="inlineStr">
      <is>
        <t>-</t>
      </is>
    </nc>
  </rcc>
  <rcc rId="1155" sId="1">
    <nc r="AN139" t="inlineStr">
      <is>
        <t>-</t>
      </is>
    </nc>
  </rcc>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158" sheetId="1" source="AL148:AN157" destination="AL144:AN153" sourceSheetId="1">
    <rfmt sheetId="1" sqref="AL144" start="0" length="0">
      <dxf>
        <alignment horizontal="left" vertical="top" readingOrder="0"/>
        <border outline="0">
          <left style="thin">
            <color indexed="64"/>
          </left>
          <right style="thin">
            <color indexed="64"/>
          </right>
          <top style="thin">
            <color indexed="64"/>
          </top>
          <bottom style="thin">
            <color indexed="64"/>
          </bottom>
        </border>
      </dxf>
    </rfmt>
    <rfmt sheetId="1" sqref="AM144" start="0" length="0">
      <dxf>
        <alignment horizontal="left" vertical="top" readingOrder="0"/>
        <border outline="0">
          <left style="thin">
            <color indexed="64"/>
          </left>
          <right style="thin">
            <color indexed="64"/>
          </right>
          <top style="thin">
            <color indexed="64"/>
          </top>
          <bottom style="thin">
            <color indexed="64"/>
          </bottom>
        </border>
      </dxf>
    </rfmt>
    <rfmt sheetId="1" sqref="AN144" start="0" length="0">
      <dxf>
        <alignment horizontal="left" vertical="top" readingOrder="0"/>
        <border outline="0">
          <left style="thin">
            <color indexed="64"/>
          </left>
          <right style="thin">
            <color indexed="64"/>
          </right>
          <top style="thin">
            <color indexed="64"/>
          </top>
          <bottom style="thin">
            <color indexed="64"/>
          </bottom>
        </border>
      </dxf>
    </rfmt>
    <rfmt sheetId="1" sqref="AL145" start="0" length="0">
      <dxf>
        <alignment horizontal="left" vertical="top" readingOrder="0"/>
        <border outline="0">
          <left style="thin">
            <color indexed="64"/>
          </left>
          <right style="thin">
            <color indexed="64"/>
          </right>
          <top style="thin">
            <color indexed="64"/>
          </top>
          <bottom style="thin">
            <color indexed="64"/>
          </bottom>
        </border>
      </dxf>
    </rfmt>
    <rfmt sheetId="1" sqref="AM145" start="0" length="0">
      <dxf>
        <alignment horizontal="left" vertical="top" readingOrder="0"/>
        <border outline="0">
          <left style="thin">
            <color indexed="64"/>
          </left>
          <right style="thin">
            <color indexed="64"/>
          </right>
          <top style="thin">
            <color indexed="64"/>
          </top>
          <bottom style="thin">
            <color indexed="64"/>
          </bottom>
        </border>
      </dxf>
    </rfmt>
    <rfmt sheetId="1" sqref="AN145" start="0" length="0">
      <dxf>
        <alignment horizontal="left" vertical="top" readingOrder="0"/>
        <border outline="0">
          <left style="thin">
            <color indexed="64"/>
          </left>
          <right style="thin">
            <color indexed="64"/>
          </right>
          <top style="thin">
            <color indexed="64"/>
          </top>
          <bottom style="thin">
            <color indexed="64"/>
          </bottom>
        </border>
      </dxf>
    </rfmt>
    <rfmt sheetId="1" sqref="AL146" start="0" length="0">
      <dxf>
        <alignment horizontal="left" vertical="top" readingOrder="0"/>
        <border outline="0">
          <left style="thin">
            <color indexed="64"/>
          </left>
          <right style="thin">
            <color indexed="64"/>
          </right>
          <top style="thin">
            <color indexed="64"/>
          </top>
          <bottom style="thin">
            <color indexed="64"/>
          </bottom>
        </border>
      </dxf>
    </rfmt>
    <rfmt sheetId="1" sqref="AM146" start="0" length="0">
      <dxf>
        <alignment horizontal="left" vertical="top" readingOrder="0"/>
        <border outline="0">
          <left style="thin">
            <color indexed="64"/>
          </left>
          <right style="thin">
            <color indexed="64"/>
          </right>
          <top style="thin">
            <color indexed="64"/>
          </top>
          <bottom style="thin">
            <color indexed="64"/>
          </bottom>
        </border>
      </dxf>
    </rfmt>
    <rfmt sheetId="1" sqref="AN146" start="0" length="0">
      <dxf>
        <alignment horizontal="left" vertical="top" readingOrder="0"/>
        <border outline="0">
          <left style="thin">
            <color indexed="64"/>
          </left>
          <right style="thin">
            <color indexed="64"/>
          </right>
          <top style="thin">
            <color indexed="64"/>
          </top>
          <bottom style="thin">
            <color indexed="64"/>
          </bottom>
        </border>
      </dxf>
    </rfmt>
    <rfmt sheetId="1" sqref="AL147" start="0" length="0">
      <dxf>
        <alignment horizontal="left" vertical="top" readingOrder="0"/>
        <border outline="0">
          <left style="thin">
            <color indexed="64"/>
          </left>
          <right style="thin">
            <color indexed="64"/>
          </right>
          <top style="thin">
            <color indexed="64"/>
          </top>
          <bottom style="thin">
            <color indexed="64"/>
          </bottom>
        </border>
      </dxf>
    </rfmt>
    <rfmt sheetId="1" sqref="AM147" start="0" length="0">
      <dxf>
        <alignment horizontal="left" vertical="top" readingOrder="0"/>
        <border outline="0">
          <left style="thin">
            <color indexed="64"/>
          </left>
          <right style="thin">
            <color indexed="64"/>
          </right>
          <top style="thin">
            <color indexed="64"/>
          </top>
          <bottom style="thin">
            <color indexed="64"/>
          </bottom>
        </border>
      </dxf>
    </rfmt>
    <rfmt sheetId="1" sqref="AN147" start="0" length="0">
      <dxf>
        <alignment horizontal="left" vertical="top" readingOrder="0"/>
        <border outline="0">
          <left style="thin">
            <color indexed="64"/>
          </left>
          <right style="thin">
            <color indexed="64"/>
          </right>
          <top style="thin">
            <color indexed="64"/>
          </top>
          <bottom style="thin">
            <color indexed="64"/>
          </bottom>
        </border>
      </dxf>
    </rfmt>
  </rm>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 sId="1">
    <nc r="AM118" t="inlineStr">
      <is>
        <t>Duplicate</t>
      </is>
    </nc>
  </rcc>
  <rcc rId="1164" sId="1">
    <nc r="X122">
      <f>W122</f>
    </nc>
  </rcc>
  <rcc rId="1165" sId="1">
    <nc r="Z122">
      <v>1</v>
    </nc>
  </rcc>
  <rcc rId="1166" sId="1">
    <nc r="AA122" t="inlineStr">
      <is>
        <t>Ready for review</t>
      </is>
    </nc>
  </rcc>
  <rcc rId="1167" sId="1" numFmtId="19">
    <nc r="AE122">
      <v>43958</v>
    </nc>
  </rcc>
  <rcc rId="1168" sId="1" numFmtId="19">
    <nc r="AF122">
      <v>43958</v>
    </nc>
  </rcc>
  <rcc rId="1169" sId="1">
    <nc r="AG122" t="inlineStr">
      <is>
        <t>OK</t>
      </is>
    </nc>
  </rcc>
  <rcc rId="1170" sId="1" numFmtId="14">
    <nc r="AH122">
      <v>1</v>
    </nc>
  </rcc>
  <rcc rId="1171" sId="1" numFmtId="14">
    <nc r="AI122">
      <v>1</v>
    </nc>
  </rcc>
  <rcc rId="1172" sId="1" numFmtId="14">
    <nc r="AJ122">
      <v>1</v>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7" sId="1">
    <nc r="AN71" t="inlineStr">
      <is>
        <t>Owner confirm it not affect.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2" sId="1">
    <nc r="X138">
      <f>W138</f>
    </nc>
  </rcc>
  <rcc rId="1183" sId="1">
    <nc r="Z138">
      <v>2</v>
    </nc>
  </rcc>
  <rcc rId="1184" sId="1">
    <nc r="AA138" t="inlineStr">
      <is>
        <t>Ready for review</t>
      </is>
    </nc>
  </rcc>
  <rcc rId="1185" sId="1" numFmtId="19">
    <nc r="AE138">
      <v>43958</v>
    </nc>
  </rcc>
  <rcc rId="1186" sId="1" numFmtId="19">
    <nc r="AF138">
      <v>43958</v>
    </nc>
  </rcc>
  <rcc rId="1187" sId="1">
    <nc r="AG138" t="inlineStr">
      <is>
        <t>OK</t>
      </is>
    </nc>
  </rcc>
  <rcc rId="1188" sId="1" numFmtId="14">
    <nc r="AH138">
      <v>1</v>
    </nc>
  </rcc>
  <rcc rId="1189" sId="1" numFmtId="14">
    <nc r="AI138">
      <v>1</v>
    </nc>
  </rcc>
  <rcc rId="1190" sId="1" numFmtId="14">
    <nc r="AJ138">
      <v>1</v>
    </nc>
  </rcc>
  <rcc rId="1191" sId="1">
    <nc r="AK138" t="inlineStr">
      <is>
        <t>None</t>
      </is>
    </nc>
  </rcc>
  <rcc rId="1192" sId="1">
    <nc r="AL138" t="inlineStr">
      <is>
        <t>-</t>
      </is>
    </nc>
  </rcc>
  <rcc rId="1193" sId="1">
    <nc r="AM138" t="inlineStr">
      <is>
        <t>-</t>
      </is>
    </nc>
  </rcc>
  <rcc rId="1194" sId="1">
    <nc r="AN138"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97" sId="1">
    <nc r="X137">
      <f>W137</f>
    </nc>
  </rcc>
  <rcc rId="1198" sId="1">
    <nc r="Z137">
      <v>1</v>
    </nc>
  </rcc>
  <rcc rId="1199" sId="1">
    <nc r="AA137" t="inlineStr">
      <is>
        <t>Ready for review</t>
      </is>
    </nc>
  </rcc>
  <rcc rId="1200" sId="1" numFmtId="19">
    <nc r="AE137">
      <v>43958</v>
    </nc>
  </rcc>
  <rcc rId="1201" sId="1" numFmtId="19">
    <nc r="AF137">
      <v>43958</v>
    </nc>
  </rcc>
  <rcc rId="1202" sId="1">
    <nc r="AG137" t="inlineStr">
      <is>
        <t>OK</t>
      </is>
    </nc>
  </rcc>
  <rcc rId="1203" sId="1" numFmtId="14">
    <nc r="AH137">
      <v>1</v>
    </nc>
  </rcc>
  <rcc rId="1204" sId="1" numFmtId="14">
    <nc r="AI137">
      <v>1</v>
    </nc>
  </rcc>
  <rcc rId="1205" sId="1" numFmtId="14">
    <nc r="AJ137">
      <v>1</v>
    </nc>
  </rcc>
  <rcc rId="1206" sId="1">
    <nc r="AK137" t="inlineStr">
      <is>
        <t>None</t>
      </is>
    </nc>
  </rcc>
  <rcc rId="1207" sId="1">
    <nc r="AL137" t="inlineStr">
      <is>
        <t>-</t>
      </is>
    </nc>
  </rcc>
  <rcc rId="1208" sId="1">
    <nc r="AM137" t="inlineStr">
      <is>
        <t>-</t>
      </is>
    </nc>
  </rcc>
  <rcc rId="1209" sId="1">
    <nc r="AN137" t="inlineStr">
      <is>
        <t>-</t>
      </is>
    </nc>
  </rcc>
  <rcv guid="{4E06BDBF-2CED-473B-850B-2A6C7311FF41}" action="delete"/>
  <rdn rId="0" localSheetId="1" customView="1" name="Z_4E06BDBF_2CED_473B_850B_2A6C7311FF41_.wvu.FilterData" hidden="1" oldHidden="1">
    <formula>Merged_COEM!$A$47:$AN$141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214" sheetId="2" source="N22:N30" destination="M22:M30" sourceSheetId="2"/>
  <rm rId="1215" sheetId="2" source="M22:M30" destination="N22:N30" sourceSheetId="2"/>
  <rm rId="1216" sheetId="2" source="M22:N29" destination="M24:N31" sourceSheetId="2"/>
  <rcv guid="{60D2C030-4E31-4E07-8E1C-44D2EE84B177}" action="delete"/>
  <rdn rId="0" localSheetId="1" customView="1" name="Z_60D2C030_4E31_4E07_8E1C_44D2EE84B177_.wvu.FilterData" hidden="1" oldHidden="1">
    <formula>Merged_COEM!$B$47:$AN$141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99">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99">
    <dxf>
      <font>
        <b val="0"/>
        <i val="0"/>
        <strike val="0"/>
        <condense val="0"/>
        <extend val="0"/>
        <outline val="0"/>
        <shadow val="0"/>
        <u val="none"/>
        <vertAlign val="baseline"/>
        <sz val="10"/>
        <color rgb="FF006100"/>
        <name val="Arial"/>
        <scheme val="none"/>
      </font>
      <fill>
        <patternFill patternType="solid">
          <fgColor indexed="65"/>
          <bgColor rgb="FFC6EFCE"/>
        </patternFill>
      </fill>
    </dxf>
  </rfmt>
  <rfmt sheetId="1" sqref="I10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99" start="0" length="0">
    <dxf>
      <font>
        <sz val="11"/>
        <color theme="1"/>
        <name val="Calibri"/>
        <scheme val="minor"/>
      </font>
      <fill>
        <patternFill patternType="none">
          <bgColor indexed="65"/>
        </patternFill>
      </fill>
    </dxf>
  </rfmt>
  <rfmt sheetId="1" sqref="I101" start="0" length="0">
    <dxf>
      <font>
        <sz val="11"/>
        <color theme="1"/>
        <name val="Calibri"/>
        <scheme val="minor"/>
      </font>
      <fill>
        <patternFill patternType="none">
          <bgColor indexed="65"/>
        </patternFill>
      </fill>
    </dxf>
  </rfmt>
  <rcc rId="1219" sId="1">
    <nc r="X99">
      <f>W99</f>
    </nc>
  </rcc>
  <rcc rId="1220" sId="1">
    <nc r="Z99">
      <v>2</v>
    </nc>
  </rcc>
  <rcc rId="1221" sId="1">
    <nc r="AA99" t="inlineStr">
      <is>
        <t>Ready for review</t>
      </is>
    </nc>
  </rcc>
  <rcc rId="1222" sId="1" numFmtId="19">
    <nc r="AE99">
      <v>43958</v>
    </nc>
  </rcc>
  <rcc rId="1223" sId="1" numFmtId="19">
    <nc r="AF99">
      <v>43958</v>
    </nc>
  </rcc>
  <rcc rId="1224" sId="1">
    <nc r="AG99" t="inlineStr">
      <is>
        <t>OK</t>
      </is>
    </nc>
  </rcc>
  <rcc rId="1225" sId="1" numFmtId="14">
    <nc r="AH99">
      <v>1</v>
    </nc>
  </rcc>
  <rcc rId="1226" sId="1" numFmtId="14">
    <nc r="AI99">
      <v>1</v>
    </nc>
  </rcc>
  <rcc rId="1227" sId="1" numFmtId="14">
    <nc r="AJ99">
      <v>1</v>
    </nc>
  </rcc>
  <rcc rId="1228" sId="1">
    <nc r="AK99" t="inlineStr">
      <is>
        <t>None</t>
      </is>
    </nc>
  </rcc>
  <rcc rId="1229" sId="1">
    <nc r="AL99" t="inlineStr">
      <is>
        <t>-</t>
      </is>
    </nc>
  </rcc>
  <rcc rId="1230" sId="1">
    <nc r="AM99" t="inlineStr">
      <is>
        <t>-</t>
      </is>
    </nc>
  </rcc>
  <rcc rId="1231" sId="1">
    <nc r="AN99"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4" sId="1">
    <nc r="X127">
      <f>W127</f>
    </nc>
  </rcc>
  <rcc rId="1235" sId="1">
    <nc r="Z127">
      <v>1</v>
    </nc>
  </rcc>
  <rcc rId="1236" sId="1">
    <nc r="AA127" t="inlineStr">
      <is>
        <t>Ready for review</t>
      </is>
    </nc>
  </rcc>
  <rcc rId="1237" sId="1" numFmtId="19">
    <nc r="AE127">
      <v>43958</v>
    </nc>
  </rcc>
  <rcc rId="1238" sId="1" numFmtId="19">
    <nc r="AF127">
      <v>43958</v>
    </nc>
  </rcc>
  <rcc rId="1239" sId="1">
    <nc r="AG127" t="inlineStr">
      <is>
        <t>OK</t>
      </is>
    </nc>
  </rcc>
  <rcc rId="1240" sId="1" numFmtId="14">
    <nc r="AH127">
      <v>1</v>
    </nc>
  </rcc>
  <rcc rId="1241" sId="1" numFmtId="14">
    <nc r="AI127">
      <v>1</v>
    </nc>
  </rcc>
  <rcc rId="1242" sId="1" numFmtId="14">
    <nc r="AJ127">
      <v>1</v>
    </nc>
  </rcc>
  <rcc rId="1243" sId="1">
    <nc r="AK127"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246" sId="1">
    <oc r="AK73" t="inlineStr">
      <is>
        <t>None</t>
      </is>
    </oc>
    <nc r="AK73" t="inlineStr">
      <is>
        <t>OPL</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1" sId="1">
    <nc r="X128">
      <f>W128</f>
    </nc>
  </rcc>
  <rcc rId="1252" sId="1">
    <nc r="Z128">
      <v>2</v>
    </nc>
  </rcc>
  <rcc rId="1253" sId="1">
    <nc r="AA128" t="inlineStr">
      <is>
        <t>Ready for review</t>
      </is>
    </nc>
  </rcc>
  <rcc rId="1254" sId="1" numFmtId="19">
    <nc r="AE128">
      <v>43958</v>
    </nc>
  </rcc>
  <rcc rId="1255" sId="1" numFmtId="19">
    <nc r="AF128">
      <v>43958</v>
    </nc>
  </rcc>
  <rcc rId="1256" sId="1">
    <nc r="AG128" t="inlineStr">
      <is>
        <t>OK</t>
      </is>
    </nc>
  </rcc>
  <rcc rId="1257" sId="1" numFmtId="14">
    <nc r="AH128">
      <v>1</v>
    </nc>
  </rcc>
  <rcc rId="1258" sId="1" numFmtId="14">
    <nc r="AI128">
      <v>1</v>
    </nc>
  </rcc>
  <rcc rId="1259" sId="1" numFmtId="14">
    <nc r="AJ128">
      <v>1</v>
    </nc>
  </rcc>
  <rcc rId="1260" sId="1">
    <nc r="AK128"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3" sId="1">
    <nc r="X101">
      <f>W101</f>
    </nc>
  </rcc>
  <rcc rId="1264" sId="1">
    <nc r="Z101">
      <v>1</v>
    </nc>
  </rcc>
  <rcc rId="1265" sId="1">
    <nc r="AA101" t="inlineStr">
      <is>
        <t>Ready for review</t>
      </is>
    </nc>
  </rcc>
  <rcc rId="1266" sId="1" numFmtId="19">
    <nc r="AE101">
      <v>43958</v>
    </nc>
  </rcc>
  <rcc rId="1267" sId="1" numFmtId="19">
    <nc r="AF101">
      <v>43958</v>
    </nc>
  </rcc>
  <rcc rId="1268" sId="1">
    <nc r="AG101" t="inlineStr">
      <is>
        <t>OK</t>
      </is>
    </nc>
  </rcc>
  <rcc rId="1269" sId="1" numFmtId="14">
    <nc r="AH101">
      <v>1</v>
    </nc>
  </rcc>
  <rcc rId="1270" sId="1" numFmtId="14">
    <nc r="AI101">
      <v>1</v>
    </nc>
  </rcc>
  <rcc rId="1271" sId="1" numFmtId="14">
    <nc r="AJ101">
      <v>1</v>
    </nc>
  </rcc>
  <rcc rId="1272" sId="1">
    <nc r="AK101" t="inlineStr">
      <is>
        <t>None</t>
      </is>
    </nc>
  </rcc>
  <rcc rId="1273" sId="1">
    <nc r="AL101" t="inlineStr">
      <is>
        <t>-</t>
      </is>
    </nc>
  </rcc>
  <rcc rId="1274" sId="1">
    <nc r="AM101" t="inlineStr">
      <is>
        <t>-</t>
      </is>
    </nc>
  </rcc>
  <rcc rId="1275" sId="1">
    <nc r="AN101" t="inlineStr">
      <is>
        <t>-</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4">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101"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2" sId="2">
    <oc r="R111" t="inlineStr">
      <is>
        <t>T2xx</t>
      </is>
    </oc>
    <nc r="R111" t="inlineStr">
      <is>
        <t>T200</t>
      </is>
    </nc>
  </rcc>
  <rcc rId="1283" sId="2">
    <oc r="R112" t="inlineStr">
      <is>
        <t>T2xx</t>
      </is>
    </oc>
    <nc r="R112" t="inlineStr">
      <is>
        <t>T200</t>
      </is>
    </nc>
  </rcc>
  <rcc rId="1284" sId="2">
    <oc r="R113" t="inlineStr">
      <is>
        <t>T2xx</t>
      </is>
    </oc>
    <nc r="R113" t="inlineStr">
      <is>
        <t>T200</t>
      </is>
    </nc>
  </rcc>
  <rcc rId="1285" sId="2">
    <oc r="R114" t="inlineStr">
      <is>
        <t>T2xx</t>
      </is>
    </oc>
    <nc r="R114" t="inlineStr">
      <is>
        <t>T200</t>
      </is>
    </nc>
  </rcc>
  <rcc rId="1286" sId="2">
    <oc r="R115" t="inlineStr">
      <is>
        <t>T2xx</t>
      </is>
    </oc>
    <nc r="R115" t="inlineStr">
      <is>
        <t>T200</t>
      </is>
    </nc>
  </rcc>
  <rcc rId="1287" sId="2">
    <nc r="S111" t="inlineStr">
      <is>
        <t>dac.luu-cong</t>
      </is>
    </nc>
  </rcc>
  <rcc rId="1288" sId="2">
    <nc r="S112" t="inlineStr">
      <is>
        <t>dac.luu-cong</t>
      </is>
    </nc>
  </rcc>
  <rcc rId="1289" sId="2">
    <nc r="S113" t="inlineStr">
      <is>
        <t>dac.luu-cong</t>
      </is>
    </nc>
  </rcc>
  <rcc rId="1290" sId="2">
    <nc r="S114" t="inlineStr">
      <is>
        <t>dac.luu-cong</t>
      </is>
    </nc>
  </rcc>
  <rcc rId="1291" sId="2">
    <nc r="S115" t="inlineStr">
      <is>
        <t>dac.luu-cong</t>
      </is>
    </nc>
  </rcc>
  <rcc rId="1292" sId="2">
    <oc r="R109" t="inlineStr">
      <is>
        <t>T2xx</t>
      </is>
    </oc>
    <nc r="R109" t="inlineStr">
      <is>
        <t>T201</t>
      </is>
    </nc>
  </rcc>
  <rcc rId="1293" sId="2">
    <oc r="R110" t="inlineStr">
      <is>
        <t>T2xx</t>
      </is>
    </oc>
    <nc r="R110" t="inlineStr">
      <is>
        <t>T201</t>
      </is>
    </nc>
  </rcc>
  <rcc rId="1294" sId="2">
    <oc r="R116" t="inlineStr">
      <is>
        <t>T2xx</t>
      </is>
    </oc>
    <nc r="R116" t="inlineStr">
      <is>
        <t>T201</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Merged_JOEM!$B$47:$AN$108</oldFormula>
  </rdn>
  <rcv guid="{250915DF-0B97-45D7-B29D-7EED4C89C1C1}"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7" sId="2">
    <nc r="S109" t="inlineStr">
      <is>
        <t>huy.do-anh</t>
      </is>
    </nc>
  </rcc>
  <rcc rId="1298" sId="2">
    <nc r="S110" t="inlineStr">
      <is>
        <t>huy.do-anh</t>
      </is>
    </nc>
  </rcc>
  <rcc rId="1299" sId="2">
    <nc r="S116" t="inlineStr">
      <is>
        <t>huy.do-anh</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04" sId="1">
    <nc r="C142">
      <v>20200507</v>
    </nc>
  </rcc>
  <rcc rId="1305" sId="1">
    <nc r="E142" t="inlineStr">
      <is>
        <t>EC_245950_NIO_ESX_ESPHevX_DTC_</t>
      </is>
    </nc>
  </rcc>
  <rcc rId="1306" sId="1">
    <nc r="E143" t="inlineStr">
      <is>
        <t>EC_245950_NIO_ESX_ESPHevX_DTC</t>
      </is>
    </nc>
  </rcc>
  <rcc rId="1307" sId="1">
    <nc r="E144" t="inlineStr">
      <is>
        <t>EC_245950_NIO_ESX_ESPHevX_DTC</t>
      </is>
    </nc>
  </rcc>
  <rcc rId="1308" sId="1">
    <nc r="E145" t="inlineStr">
      <is>
        <t>DFN_ESP_Gen9.3_534_238307_BS03SP03</t>
      </is>
    </nc>
  </rcc>
  <rcc rId="1309" sId="1">
    <nc r="E146" t="inlineStr">
      <is>
        <t>DFN_ESP_Gen9.3_534_238307_BS03SP03</t>
      </is>
    </nc>
  </rcc>
  <rcc rId="1310" sId="1">
    <nc r="E147" t="inlineStr">
      <is>
        <t>DFN_ESP_Gen9.3_534_238307_BS03SP03</t>
      </is>
    </nc>
  </rcc>
  <rcc rId="1311" sId="1">
    <nc r="E148" t="inlineStr">
      <is>
        <t>DFN_ESP_Gen9.3_534_238307_BS03SP03</t>
      </is>
    </nc>
  </rcc>
  <rcc rId="1312" sId="1">
    <nc r="E149" t="inlineStr">
      <is>
        <t>DFN_ESP_Gen9.3_534_238307_BS03SP03</t>
      </is>
    </nc>
  </rcc>
  <rcc rId="1313" sId="1">
    <nc r="E150" t="inlineStr">
      <is>
        <t>DFN_ESP_Gen9.3_534_238307_BS03SP03</t>
      </is>
    </nc>
  </rcc>
  <rcc rId="1314" sId="1">
    <nc r="E151" t="inlineStr">
      <is>
        <t>206370_BYD_ESP9.3_New_Hybrid_MS15.1_BSS18</t>
      </is>
    </nc>
  </rcc>
  <rcc rId="1315" sId="1">
    <nc r="D142" t="inlineStr">
      <is>
        <t>PSW</t>
      </is>
    </nc>
  </rcc>
  <rcc rId="1316" sId="1">
    <nc r="D143" t="inlineStr">
      <is>
        <t>PSW</t>
      </is>
    </nc>
  </rcc>
  <rcc rId="1317" sId="1">
    <nc r="D144" t="inlineStr">
      <is>
        <t>PSW</t>
      </is>
    </nc>
  </rcc>
  <rcc rId="1318" sId="1">
    <nc r="D145" t="inlineStr">
      <is>
        <t>PSW</t>
      </is>
    </nc>
  </rcc>
  <rcc rId="1319" sId="1">
    <nc r="D146" t="inlineStr">
      <is>
        <t>PSW</t>
      </is>
    </nc>
  </rcc>
  <rcc rId="1320" sId="1">
    <nc r="D147" t="inlineStr">
      <is>
        <t>PSW</t>
      </is>
    </nc>
  </rcc>
  <rcc rId="1321" sId="1">
    <nc r="D148" t="inlineStr">
      <is>
        <t>PSW</t>
      </is>
    </nc>
  </rcc>
  <rcc rId="1322" sId="1">
    <nc r="D149" t="inlineStr">
      <is>
        <t>PSW</t>
      </is>
    </nc>
  </rcc>
  <rcc rId="1323" sId="1">
    <nc r="D150" t="inlineStr">
      <is>
        <t>PSW</t>
      </is>
    </nc>
  </rcc>
  <rcc rId="1324" sId="1">
    <nc r="D151" t="inlineStr">
      <is>
        <t>PSW</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7" sId="1">
    <nc r="M142" t="inlineStr">
      <is>
        <t>BSS04_SP02</t>
      </is>
    </nc>
  </rcc>
  <rcc rId="1328" sId="1">
    <nc r="M143" t="inlineStr">
      <is>
        <t>BSS04_SP02</t>
      </is>
    </nc>
  </rcc>
  <rcc rId="1329" sId="1">
    <nc r="M144" t="inlineStr">
      <is>
        <t>BSS04_SP02</t>
      </is>
    </nc>
  </rcc>
  <rcc rId="1330" sId="1">
    <nc r="M145" t="inlineStr">
      <is>
        <t>BS03SP03</t>
      </is>
    </nc>
  </rcc>
  <rcc rId="1331" sId="1">
    <nc r="M146" t="inlineStr">
      <is>
        <t>BS03SP03</t>
      </is>
    </nc>
  </rcc>
  <rcc rId="1332" sId="1">
    <nc r="M147" t="inlineStr">
      <is>
        <t>BS03SP03</t>
      </is>
    </nc>
  </rcc>
  <rcc rId="1333" sId="1">
    <nc r="M148" t="inlineStr">
      <is>
        <t>BS03SP03</t>
      </is>
    </nc>
  </rcc>
  <rcc rId="1334" sId="1">
    <nc r="M149" t="inlineStr">
      <is>
        <t>BS03SP03</t>
      </is>
    </nc>
  </rcc>
  <rcc rId="1335" sId="1">
    <nc r="M150" t="inlineStr">
      <is>
        <t>BS03SP03</t>
      </is>
    </nc>
  </rcc>
  <rcc rId="1336" sId="1">
    <nc r="M151" t="inlineStr">
      <is>
        <t>BSS18</t>
      </is>
    </nc>
  </rcc>
  <rcc rId="1337" sId="1" quotePrefix="1">
    <nc r="F142" t="inlineStr">
      <is>
        <t>rb\as\nio\prj\dsmpr\tst\Sim\STMComponents\</t>
      </is>
    </nc>
  </rcc>
  <rcc rId="1338" sId="1" quotePrefix="1">
    <nc r="F143" t="inlineStr">
      <is>
        <t>rb\as\nio\core\app\net\RBScl\src\</t>
      </is>
    </nc>
  </rcc>
  <rcc rId="1339" sId="1" quotePrefix="1">
    <nc r="F144" t="inlineStr">
      <is>
        <t>rb\as\nio\core\app\net\RBScl\src\</t>
      </is>
    </nc>
  </rcc>
  <rcc rId="1340" sId="1" quotePrefix="1">
    <nc r="F145" t="inlineStr">
      <is>
        <t>rb/as/core/app/dcom/RBAPLEOL/src/RBAPLEOL_ActuatorTest.c</t>
      </is>
    </nc>
  </rcc>
  <rcc rId="1341" sId="1" quotePrefix="1">
    <nc r="F146" t="inlineStr">
      <is>
        <t>rb/as/core/app/dcom/RBAPLEOL/src/RBAPLEOL_ESPDynamicTest.c</t>
      </is>
    </nc>
  </rcc>
  <rcc rId="1342" sId="1" quotePrefix="1">
    <nc r="F147" t="inlineStr">
      <is>
        <t>rb/as/core/app/dcom/RBAPLEOL/src/RBAPLEOL_ExtendedDynamicTest.c</t>
      </is>
    </nc>
  </rcc>
  <rcc rId="1343" sId="1" quotePrefix="1">
    <nc r="F148" t="inlineStr">
      <is>
        <t>rb/as/core/app/dcom/RBAPLEOL/src/RBAPLEOL_PumpMotorErrorState.c</t>
      </is>
    </nc>
  </rcc>
  <rcc rId="1344" sId="1" quotePrefix="1">
    <nc r="F149" t="inlineStr">
      <is>
        <t>rb/as/core/app/dcom/RBAPLEOL/src/RBAPLEOL_PumpSDTimeTest.c</t>
      </is>
    </nc>
  </rcc>
  <rcc rId="1345" sId="1" quotePrefix="1">
    <nc r="F150" t="inlineStr">
      <is>
        <t>rb/as/core/app/dcom/RBAPLEOL/src/RBAPLEOL_ValvesToggling.c</t>
      </is>
    </nc>
  </rcc>
  <rcc rId="1346" sId="1" quotePrefix="1">
    <nc r="F151" t="inlineStr">
      <is>
        <t>\MainstreamF30\rb\as\BYD\Mainstream151\app\net\RbNetPrj\RBNet_Can\src\rba_SCL_Settings.c</t>
      </is>
    </nc>
  </rcc>
  <rcc rId="1347" sId="1">
    <nc r="G142">
      <v>1455207</v>
    </nc>
  </rcc>
  <rcc rId="1348" sId="1">
    <nc r="G143">
      <v>1444993</v>
    </nc>
  </rcc>
  <rcc rId="1349" sId="1">
    <nc r="G144">
      <v>1444993</v>
    </nc>
  </rcc>
  <rcc rId="1350" sId="1">
    <nc r="G145">
      <v>1453050</v>
    </nc>
  </rcc>
  <rcc rId="1351" sId="1">
    <nc r="G146">
      <v>1453050</v>
    </nc>
  </rcc>
  <rcc rId="1352" sId="1">
    <nc r="G147">
      <v>1453050</v>
    </nc>
  </rcc>
  <rcc rId="1353" sId="1">
    <nc r="G148">
      <v>1453050</v>
    </nc>
  </rcc>
  <rcc rId="1354" sId="1">
    <nc r="G149">
      <v>1453050</v>
    </nc>
  </rcc>
  <rcc rId="1355" sId="1">
    <nc r="G150">
      <v>1453050</v>
    </nc>
  </rcc>
  <rcc rId="1356" sId="1">
    <nc r="G151">
      <v>1444374</v>
    </nc>
  </rcc>
  <rcc rId="1357" sId="1">
    <nc r="I142" t="inlineStr">
      <is>
        <t>RBDSM_SWT_DTC.c</t>
      </is>
    </nc>
  </rcc>
  <rcc rId="1358" sId="1">
    <nc r="I143" t="inlineStr">
      <is>
        <t>NET_SCL_Rx_PEUF_VCU_84_NextEV.c</t>
      </is>
    </nc>
  </rcc>
  <rcc rId="1359" sId="1">
    <nc r="I144" t="inlineStr">
      <is>
        <t>NET_SCL_Rx_PEUR_VCU_8C_NextEV.c</t>
      </is>
    </nc>
  </rcc>
  <rcc rId="1360" sId="1">
    <nc r="I145" t="inlineStr">
      <is>
        <t>RBAPLEOL_ActuatorTest.c</t>
      </is>
    </nc>
  </rcc>
  <rcc rId="1361" sId="1">
    <nc r="I146" t="inlineStr">
      <is>
        <t>RBAPLEOL_ESPDynamicTest.c</t>
      </is>
    </nc>
  </rcc>
  <rcc rId="1362" sId="1">
    <nc r="I147" t="inlineStr">
      <is>
        <t>RBAPLEOL_ExtendedDynamicTest.c</t>
      </is>
    </nc>
  </rcc>
  <rcc rId="1363" sId="1">
    <nc r="I148" t="inlineStr">
      <is>
        <t>RBAPLEOL_PumpMotorErrorState.c</t>
      </is>
    </nc>
  </rcc>
  <rcc rId="1364" sId="1">
    <nc r="I149" t="inlineStr">
      <is>
        <t>RBAPLEOL_PumpSDTimeTest.c</t>
      </is>
    </nc>
  </rcc>
  <rcc rId="1365" sId="1">
    <nc r="I150" t="inlineStr">
      <is>
        <t>RBAPLEOL_ValvesToggling.c</t>
      </is>
    </nc>
  </rcc>
  <rcc rId="1366" sId="1">
    <nc r="I151" t="inlineStr">
      <is>
        <t>rba_SCL_Settings.c</t>
      </is>
    </nc>
  </rcc>
  <rcc rId="1367" sId="1">
    <nc r="V142">
      <v>20</v>
    </nc>
  </rcc>
  <rcc rId="1368" sId="1">
    <nc r="V143">
      <v>149</v>
    </nc>
  </rcc>
  <rcc rId="1369" sId="1">
    <nc r="V144">
      <v>173</v>
    </nc>
  </rcc>
  <rcc rId="1370" sId="1">
    <nc r="V145">
      <v>132</v>
    </nc>
  </rcc>
  <rcc rId="1371" sId="1">
    <nc r="V146">
      <v>156</v>
    </nc>
  </rcc>
  <rcc rId="1372" sId="1">
    <nc r="V147">
      <v>309</v>
    </nc>
  </rcc>
  <rcc rId="1373" sId="1">
    <nc r="V148">
      <v>25</v>
    </nc>
  </rcc>
  <rcc rId="1374" sId="1">
    <nc r="V149">
      <v>215</v>
    </nc>
  </rcc>
  <rcc rId="1375" sId="1">
    <nc r="V150">
      <v>1703</v>
    </nc>
  </rcc>
  <rcc rId="1376" sId="1">
    <nc r="V151">
      <v>1193</v>
    </nc>
  </rcc>
  <rcc rId="1377" sId="1" quotePrefix="1">
    <nc r="P142" t="inlineStr">
      <is>
        <t>LI Joe (CC-AS/EVA-SW32-CN)</t>
      </is>
    </nc>
  </rcc>
  <rcc rId="1378" sId="1" quotePrefix="1">
    <nc r="P143" t="inlineStr">
      <is>
        <t>LI Jiaxing (CC-AS/EVA-SW32-CN)</t>
      </is>
    </nc>
  </rcc>
  <rcc rId="1379" sId="1" quotePrefix="1">
    <nc r="P144" t="inlineStr">
      <is>
        <t>LI Jiaxing (CC-AS/EVA-SW32-CN)</t>
      </is>
    </nc>
  </rcc>
  <rcc rId="1380" sId="1" quotePrefix="1">
    <nc r="P145" t="inlineStr">
      <is>
        <t>LI Zhiyuan (CC-AS/EVA-SW31-CN)</t>
      </is>
    </nc>
  </rcc>
  <rcc rId="1381" sId="1" quotePrefix="1">
    <nc r="P146" t="inlineStr">
      <is>
        <t>LI Zhiyuan (CC-AS/EVA-SW31-CN)</t>
      </is>
    </nc>
  </rcc>
  <rcc rId="1382" sId="1" quotePrefix="1">
    <nc r="P147" t="inlineStr">
      <is>
        <t>LI Zhiyuan (CC-AS/EVA-SW31-CN)</t>
      </is>
    </nc>
  </rcc>
  <rcc rId="1383" sId="1" quotePrefix="1">
    <nc r="P148" t="inlineStr">
      <is>
        <t>LI Zhiyuan (CC-AS/EVA-SW31-CN)</t>
      </is>
    </nc>
  </rcc>
  <rcc rId="1384" sId="1" quotePrefix="1">
    <nc r="P149" t="inlineStr">
      <is>
        <t>LI Zhiyuan (CC-AS/EVA-SW31-CN)</t>
      </is>
    </nc>
  </rcc>
  <rcc rId="1385" sId="1" quotePrefix="1">
    <nc r="P150" t="inlineStr">
      <is>
        <t>LI Zhiyuan (CC-AS/EVA-SW31-CN)</t>
      </is>
    </nc>
  </rcc>
  <rcc rId="1386" sId="1" quotePrefix="1">
    <nc r="P151" t="inlineStr">
      <is>
        <t>VENKATESAN Azhaku Sathya Narayanan (CC-AS/EVA-SW32-CN)</t>
      </is>
    </nc>
  </rcc>
  <rcc rId="1387" sId="1">
    <nc r="L142" t="inlineStr">
      <is>
        <t>BB82090</t>
      </is>
    </nc>
  </rcc>
  <rcc rId="1388" sId="1">
    <nc r="L143" t="inlineStr">
      <is>
        <t>BB82090</t>
      </is>
    </nc>
  </rcc>
  <rcc rId="1389" sId="1">
    <nc r="L144" t="inlineStr">
      <is>
        <t>BB82090</t>
      </is>
    </nc>
  </rcc>
  <rcc rId="1390" sId="1">
    <nc r="L145" t="inlineStr">
      <is>
        <t>BB80912</t>
      </is>
    </nc>
  </rcc>
  <rcc rId="1391" sId="1">
    <nc r="L146" t="inlineStr">
      <is>
        <t>BB80912</t>
      </is>
    </nc>
  </rcc>
  <rcc rId="1392" sId="1">
    <nc r="L147" t="inlineStr">
      <is>
        <t>BB80912</t>
      </is>
    </nc>
  </rcc>
  <rcc rId="1393" sId="1">
    <nc r="L148" t="inlineStr">
      <is>
        <t>BB80912</t>
      </is>
    </nc>
  </rcc>
  <rcc rId="1394" sId="1">
    <nc r="L149" t="inlineStr">
      <is>
        <t>BB80912</t>
      </is>
    </nc>
  </rcc>
  <rcc rId="1395" sId="1">
    <nc r="L150" t="inlineStr">
      <is>
        <t>BB80912</t>
      </is>
    </nc>
  </rcc>
  <rcc rId="1396" sId="1">
    <nc r="L151" t="inlineStr">
      <is>
        <t>BB81615</t>
      </is>
    </nc>
  </rcc>
  <rcc rId="1397" sId="1">
    <nc r="N142" t="inlineStr">
      <is>
        <t>NextEV_ESPHevX_Int</t>
      </is>
    </nc>
  </rcc>
  <rcc rId="1398" sId="1">
    <nc r="N143" t="inlineStr">
      <is>
        <t>NextEV_ESPHevX_Int</t>
      </is>
    </nc>
  </rcc>
  <rcc rId="1399" sId="1">
    <nc r="N144" t="inlineStr">
      <is>
        <t>NextEV_ESPHevX_Int</t>
      </is>
    </nc>
  </rcc>
  <rcc rId="1400" sId="1">
    <nc r="N145" t="inlineStr">
      <is>
        <t>BYD_ESP93_Int</t>
      </is>
    </nc>
  </rcc>
  <rcc rId="1401" sId="1">
    <nc r="N146" t="inlineStr">
      <is>
        <t>BYD_ESP93_Int</t>
      </is>
    </nc>
  </rcc>
  <rcc rId="1402" sId="1">
    <nc r="N147" t="inlineStr">
      <is>
        <t>BYD_ESP93_Int</t>
      </is>
    </nc>
  </rcc>
  <rcc rId="1403" sId="1">
    <nc r="N148" t="inlineStr">
      <is>
        <t>BYD_ESP93_Int</t>
      </is>
    </nc>
  </rcc>
  <rcc rId="1404" sId="1">
    <nc r="N149" t="inlineStr">
      <is>
        <t>BYD_ESP93_Int</t>
      </is>
    </nc>
  </rcc>
  <rcc rId="1405" sId="1">
    <nc r="N150" t="inlineStr">
      <is>
        <t>BYD_ESP93_Int</t>
      </is>
    </nc>
  </rcc>
  <rcc rId="1406" sId="1">
    <nc r="N151" t="inlineStr">
      <is>
        <t>DFN_Venucia_ESP93_Carbon_Int</t>
      </is>
    </nc>
  </rcc>
  <rcc rId="1407" sId="1" numFmtId="19">
    <nc r="AD142">
      <v>43963</v>
    </nc>
  </rcc>
  <rcc rId="1408" sId="1" numFmtId="19">
    <nc r="AD143">
      <v>43963</v>
    </nc>
  </rcc>
  <rcc rId="1409" sId="1" numFmtId="19">
    <nc r="AD144">
      <v>43963</v>
    </nc>
  </rcc>
  <rcc rId="1410" sId="1" numFmtId="19">
    <nc r="AD145">
      <v>43963</v>
    </nc>
  </rcc>
  <rcc rId="1411" sId="1" numFmtId="19">
    <nc r="AD146">
      <v>43963</v>
    </nc>
  </rcc>
  <rcc rId="1412" sId="1" numFmtId="19">
    <nc r="AD147">
      <v>43963</v>
    </nc>
  </rcc>
  <rcc rId="1413" sId="1" numFmtId="19">
    <nc r="AD148">
      <v>43963</v>
    </nc>
  </rcc>
  <rcc rId="1414" sId="1" numFmtId="19">
    <nc r="AD149">
      <v>43963</v>
    </nc>
  </rcc>
  <rcc rId="1415" sId="1" numFmtId="19">
    <nc r="AD150">
      <v>43963</v>
    </nc>
  </rcc>
  <rcc rId="1416" sId="1" numFmtId="19">
    <nc r="AD151">
      <v>43963</v>
    </nc>
  </rcc>
  <rcc rId="1417" sId="1">
    <nc r="Y142">
      <f>ROUNDDOWN(W142/HLOOKUP(D142,Table!$C$3:$D$4,2,0)*8,2)</f>
    </nc>
  </rcc>
  <rcc rId="1418" sId="1">
    <nc r="Y143">
      <f>ROUNDDOWN(W143/HLOOKUP(D143,Table!$C$3:$D$4,2,0)*8,2)</f>
    </nc>
  </rcc>
  <rcc rId="1419" sId="1">
    <nc r="Y144">
      <f>ROUNDDOWN(W144/HLOOKUP(D144,Table!$C$3:$D$4,2,0)*8,2)</f>
    </nc>
  </rcc>
  <rcc rId="1420" sId="1">
    <nc r="Y145">
      <f>ROUNDDOWN(W145/HLOOKUP(D145,Table!$C$3:$D$4,2,0)*8,2)</f>
    </nc>
  </rcc>
  <rcc rId="1421" sId="1">
    <nc r="Y146">
      <f>ROUNDDOWN(W146/HLOOKUP(D146,Table!$C$3:$D$4,2,0)*8,2)</f>
    </nc>
  </rcc>
  <rcc rId="1422" sId="1">
    <nc r="Y147">
      <f>ROUNDDOWN(W147/HLOOKUP(D147,Table!$C$3:$D$4,2,0)*8,2)</f>
    </nc>
  </rcc>
  <rcc rId="1423" sId="1">
    <nc r="Y148">
      <f>ROUNDDOWN(W148/HLOOKUP(D148,Table!$C$3:$D$4,2,0)*8,2)</f>
    </nc>
  </rcc>
  <rcc rId="1424" sId="1">
    <nc r="Y149">
      <f>ROUNDDOWN(W149/HLOOKUP(D149,Table!$C$3:$D$4,2,0)*8,2)</f>
    </nc>
  </rcc>
  <rcc rId="1425" sId="1">
    <nc r="Y150">
      <f>ROUNDDOWN(W150/HLOOKUP(D150,Table!$C$3:$D$4,2,0)*8,2)</f>
    </nc>
  </rcc>
  <rcc rId="1426" sId="1">
    <nc r="Y151">
      <f>ROUNDDOWN(W151/HLOOKUP(D151,Table!$C$3:$D$4,2,0)*8,2)</f>
    </nc>
  </rcc>
  <rcc rId="1427" sId="1">
    <nc r="W142">
      <f>V142</f>
    </nc>
  </rcc>
  <rcc rId="1428" sId="1">
    <nc r="W143">
      <f>V143</f>
    </nc>
  </rcc>
  <rcc rId="1429" sId="1">
    <nc r="W144">
      <f>V144</f>
    </nc>
  </rcc>
  <rcc rId="1430" sId="1">
    <nc r="W145">
      <f>V145</f>
    </nc>
  </rcc>
  <rcc rId="1431" sId="1">
    <nc r="W146">
      <f>V146</f>
    </nc>
  </rcc>
  <rcc rId="1432" sId="1">
    <nc r="W147">
      <f>V147</f>
    </nc>
  </rcc>
  <rcc rId="1433" sId="1">
    <nc r="W148">
      <f>V148</f>
    </nc>
  </rcc>
  <rcc rId="1434" sId="1">
    <nc r="W149">
      <f>V149</f>
    </nc>
  </rcc>
  <rcc rId="1435" sId="1">
    <nc r="W150">
      <f>V150</f>
    </nc>
  </rcc>
  <rcc rId="1436" sId="1">
    <nc r="W151">
      <f>V151</f>
    </nc>
  </rcc>
  <rcc rId="1437" sId="1" odxf="1" dxf="1" quotePrefix="1">
    <nc r="J142" t="inlineStr">
      <is>
        <t>-</t>
      </is>
    </nc>
    <odxf>
      <fill>
        <patternFill patternType="none">
          <bgColor indexed="65"/>
        </patternFill>
      </fill>
    </odxf>
    <ndxf>
      <fill>
        <patternFill patternType="solid">
          <bgColor theme="0" tint="-0.499984740745262"/>
        </patternFill>
      </fill>
    </ndxf>
  </rcc>
  <rcc rId="1438" sId="1" odxf="1" dxf="1" quotePrefix="1">
    <nc r="J143" t="inlineStr">
      <is>
        <t>-</t>
      </is>
    </nc>
    <odxf>
      <fill>
        <patternFill patternType="none">
          <bgColor indexed="65"/>
        </patternFill>
      </fill>
    </odxf>
    <ndxf>
      <fill>
        <patternFill patternType="solid">
          <bgColor theme="0" tint="-0.499984740745262"/>
        </patternFill>
      </fill>
    </ndxf>
  </rcc>
  <rcc rId="1439" sId="1" odxf="1" dxf="1" quotePrefix="1">
    <nc r="J144" t="inlineStr">
      <is>
        <t>-</t>
      </is>
    </nc>
    <odxf>
      <fill>
        <patternFill patternType="none">
          <bgColor indexed="65"/>
        </patternFill>
      </fill>
    </odxf>
    <ndxf>
      <fill>
        <patternFill patternType="solid">
          <bgColor theme="0" tint="-0.499984740745262"/>
        </patternFill>
      </fill>
    </ndxf>
  </rcc>
  <rcc rId="1440" sId="1" odxf="1" dxf="1" quotePrefix="1">
    <nc r="J145" t="inlineStr">
      <is>
        <t>-</t>
      </is>
    </nc>
    <odxf>
      <fill>
        <patternFill patternType="none">
          <bgColor indexed="65"/>
        </patternFill>
      </fill>
    </odxf>
    <ndxf>
      <fill>
        <patternFill patternType="solid">
          <bgColor theme="0" tint="-0.499984740745262"/>
        </patternFill>
      </fill>
    </ndxf>
  </rcc>
  <rcc rId="1441" sId="1" odxf="1" dxf="1" quotePrefix="1">
    <nc r="J146" t="inlineStr">
      <is>
        <t>-</t>
      </is>
    </nc>
    <odxf>
      <fill>
        <patternFill patternType="none">
          <bgColor indexed="65"/>
        </patternFill>
      </fill>
    </odxf>
    <ndxf>
      <fill>
        <patternFill patternType="solid">
          <bgColor theme="0" tint="-0.499984740745262"/>
        </patternFill>
      </fill>
    </ndxf>
  </rcc>
  <rcc rId="1442" sId="1" odxf="1" dxf="1" quotePrefix="1">
    <nc r="J147" t="inlineStr">
      <is>
        <t>-</t>
      </is>
    </nc>
    <odxf>
      <fill>
        <patternFill patternType="none">
          <bgColor indexed="65"/>
        </patternFill>
      </fill>
    </odxf>
    <ndxf>
      <fill>
        <patternFill patternType="solid">
          <bgColor theme="0" tint="-0.499984740745262"/>
        </patternFill>
      </fill>
    </ndxf>
  </rcc>
  <rcc rId="1443" sId="1" odxf="1" dxf="1" quotePrefix="1">
    <nc r="J148" t="inlineStr">
      <is>
        <t>-</t>
      </is>
    </nc>
    <odxf>
      <fill>
        <patternFill patternType="none">
          <bgColor indexed="65"/>
        </patternFill>
      </fill>
    </odxf>
    <ndxf>
      <fill>
        <patternFill patternType="solid">
          <bgColor theme="0" tint="-0.499984740745262"/>
        </patternFill>
      </fill>
    </ndxf>
  </rcc>
  <rcc rId="1444" sId="1" odxf="1" dxf="1" quotePrefix="1">
    <nc r="J149" t="inlineStr">
      <is>
        <t>-</t>
      </is>
    </nc>
    <odxf>
      <fill>
        <patternFill patternType="none">
          <bgColor indexed="65"/>
        </patternFill>
      </fill>
    </odxf>
    <ndxf>
      <fill>
        <patternFill patternType="solid">
          <bgColor theme="0" tint="-0.499984740745262"/>
        </patternFill>
      </fill>
    </ndxf>
  </rcc>
  <rcc rId="1445" sId="1" odxf="1" dxf="1" quotePrefix="1">
    <nc r="J150" t="inlineStr">
      <is>
        <t>-</t>
      </is>
    </nc>
    <odxf>
      <fill>
        <patternFill patternType="none">
          <bgColor indexed="65"/>
        </patternFill>
      </fill>
    </odxf>
    <ndxf>
      <fill>
        <patternFill patternType="solid">
          <bgColor theme="0" tint="-0.499984740745262"/>
        </patternFill>
      </fill>
    </ndxf>
  </rcc>
  <rcc rId="1446" sId="1" odxf="1" dxf="1" quotePrefix="1">
    <nc r="J151" t="inlineStr">
      <is>
        <t>-</t>
      </is>
    </nc>
    <odxf>
      <fill>
        <patternFill patternType="none">
          <bgColor indexed="65"/>
        </patternFill>
      </fill>
    </odxf>
    <ndxf>
      <fill>
        <patternFill patternType="solid">
          <bgColor theme="0" tint="-0.499984740745262"/>
        </patternFill>
      </fill>
    </ndxf>
  </rcc>
  <rcc rId="1447" sId="1" odxf="1" dxf="1" quotePrefix="1">
    <nc r="H142" t="inlineStr">
      <is>
        <t>-</t>
      </is>
    </nc>
    <odxf>
      <fill>
        <patternFill patternType="none">
          <bgColor indexed="65"/>
        </patternFill>
      </fill>
    </odxf>
    <ndxf>
      <fill>
        <patternFill patternType="solid">
          <bgColor theme="0" tint="-0.499984740745262"/>
        </patternFill>
      </fill>
    </ndxf>
  </rcc>
  <rcc rId="1448" sId="1" odxf="1" dxf="1" quotePrefix="1">
    <nc r="H143" t="inlineStr">
      <is>
        <t>-</t>
      </is>
    </nc>
    <odxf>
      <fill>
        <patternFill patternType="none">
          <bgColor indexed="65"/>
        </patternFill>
      </fill>
    </odxf>
    <ndxf>
      <fill>
        <patternFill patternType="solid">
          <bgColor theme="0" tint="-0.499984740745262"/>
        </patternFill>
      </fill>
    </ndxf>
  </rcc>
  <rcc rId="1449" sId="1" odxf="1" dxf="1" quotePrefix="1">
    <nc r="H144" t="inlineStr">
      <is>
        <t>-</t>
      </is>
    </nc>
    <odxf>
      <fill>
        <patternFill patternType="none">
          <bgColor indexed="65"/>
        </patternFill>
      </fill>
    </odxf>
    <ndxf>
      <fill>
        <patternFill patternType="solid">
          <bgColor theme="0" tint="-0.499984740745262"/>
        </patternFill>
      </fill>
    </ndxf>
  </rcc>
  <rcc rId="1450" sId="1" odxf="1" dxf="1" quotePrefix="1">
    <nc r="H145" t="inlineStr">
      <is>
        <t>-</t>
      </is>
    </nc>
    <odxf>
      <fill>
        <patternFill patternType="none">
          <bgColor indexed="65"/>
        </patternFill>
      </fill>
    </odxf>
    <ndxf>
      <fill>
        <patternFill patternType="solid">
          <bgColor theme="0" tint="-0.499984740745262"/>
        </patternFill>
      </fill>
    </ndxf>
  </rcc>
  <rcc rId="1451" sId="1" odxf="1" dxf="1" quotePrefix="1">
    <nc r="H146" t="inlineStr">
      <is>
        <t>-</t>
      </is>
    </nc>
    <odxf>
      <fill>
        <patternFill patternType="none">
          <bgColor indexed="65"/>
        </patternFill>
      </fill>
    </odxf>
    <ndxf>
      <fill>
        <patternFill patternType="solid">
          <bgColor theme="0" tint="-0.499984740745262"/>
        </patternFill>
      </fill>
    </ndxf>
  </rcc>
  <rcc rId="1452" sId="1" odxf="1" dxf="1" quotePrefix="1">
    <nc r="H147" t="inlineStr">
      <is>
        <t>-</t>
      </is>
    </nc>
    <odxf>
      <fill>
        <patternFill patternType="none">
          <bgColor indexed="65"/>
        </patternFill>
      </fill>
    </odxf>
    <ndxf>
      <fill>
        <patternFill patternType="solid">
          <bgColor theme="0" tint="-0.499984740745262"/>
        </patternFill>
      </fill>
    </ndxf>
  </rcc>
  <rcc rId="1453" sId="1" odxf="1" dxf="1" quotePrefix="1">
    <nc r="H148" t="inlineStr">
      <is>
        <t>-</t>
      </is>
    </nc>
    <odxf>
      <fill>
        <patternFill patternType="none">
          <bgColor indexed="65"/>
        </patternFill>
      </fill>
    </odxf>
    <ndxf>
      <fill>
        <patternFill patternType="solid">
          <bgColor theme="0" tint="-0.499984740745262"/>
        </patternFill>
      </fill>
    </ndxf>
  </rcc>
  <rcc rId="1454" sId="1" odxf="1" dxf="1" quotePrefix="1">
    <nc r="H149" t="inlineStr">
      <is>
        <t>-</t>
      </is>
    </nc>
    <odxf>
      <fill>
        <patternFill patternType="none">
          <bgColor indexed="65"/>
        </patternFill>
      </fill>
    </odxf>
    <ndxf>
      <fill>
        <patternFill patternType="solid">
          <bgColor theme="0" tint="-0.499984740745262"/>
        </patternFill>
      </fill>
    </ndxf>
  </rcc>
  <rcc rId="1455" sId="1" odxf="1" dxf="1" quotePrefix="1">
    <nc r="H150" t="inlineStr">
      <is>
        <t>-</t>
      </is>
    </nc>
    <odxf>
      <fill>
        <patternFill patternType="none">
          <bgColor indexed="65"/>
        </patternFill>
      </fill>
    </odxf>
    <ndxf>
      <fill>
        <patternFill patternType="solid">
          <bgColor theme="0" tint="-0.499984740745262"/>
        </patternFill>
      </fill>
    </ndxf>
  </rcc>
  <rcc rId="1456" sId="1" odxf="1" dxf="1" quotePrefix="1">
    <nc r="H151" t="inlineStr">
      <is>
        <t>-</t>
      </is>
    </nc>
    <odxf>
      <fill>
        <patternFill patternType="none">
          <bgColor indexed="65"/>
        </patternFill>
      </fill>
    </odxf>
    <ndxf>
      <fill>
        <patternFill patternType="solid">
          <bgColor theme="0" tint="-0.499984740745262"/>
        </patternFill>
      </fill>
    </ndxf>
  </rcc>
  <rcc rId="1457" sId="1">
    <nc r="K142" t="inlineStr">
      <is>
        <t>Auto</t>
      </is>
    </nc>
  </rcc>
  <rcc rId="1458" sId="1">
    <nc r="K143" t="inlineStr">
      <is>
        <t>Auto</t>
      </is>
    </nc>
  </rcc>
  <rcc rId="1459" sId="1">
    <nc r="K144" t="inlineStr">
      <is>
        <t>Auto</t>
      </is>
    </nc>
  </rcc>
  <rcc rId="1460" sId="1">
    <nc r="K145" t="inlineStr">
      <is>
        <t>Auto</t>
      </is>
    </nc>
  </rcc>
  <rcc rId="1461" sId="1">
    <nc r="K146" t="inlineStr">
      <is>
        <t>Auto</t>
      </is>
    </nc>
  </rcc>
  <rcc rId="1462" sId="1">
    <nc r="K147" t="inlineStr">
      <is>
        <t>Auto</t>
      </is>
    </nc>
  </rcc>
  <rcc rId="1463" sId="1">
    <nc r="K148" t="inlineStr">
      <is>
        <t>Auto</t>
      </is>
    </nc>
  </rcc>
  <rcc rId="1464" sId="1">
    <nc r="K149" t="inlineStr">
      <is>
        <t>Auto</t>
      </is>
    </nc>
  </rcc>
  <rcc rId="1465" sId="1">
    <nc r="K150" t="inlineStr">
      <is>
        <t>Auto</t>
      </is>
    </nc>
  </rcc>
  <rcc rId="1466" sId="1">
    <nc r="K151" t="inlineStr">
      <is>
        <t>Auto</t>
      </is>
    </nc>
  </rcc>
  <rcc rId="1467" sId="1" odxf="1" dxf="1" quotePrefix="1">
    <nc r="R142" t="inlineStr">
      <is>
        <t>-</t>
      </is>
    </nc>
    <odxf>
      <fill>
        <patternFill patternType="none">
          <bgColor indexed="65"/>
        </patternFill>
      </fill>
    </odxf>
    <ndxf>
      <fill>
        <patternFill patternType="solid">
          <bgColor theme="0" tint="-0.499984740745262"/>
        </patternFill>
      </fill>
    </ndxf>
  </rcc>
  <rcc rId="1468" sId="1" odxf="1" dxf="1" quotePrefix="1">
    <nc r="R143" t="inlineStr">
      <is>
        <t>-</t>
      </is>
    </nc>
    <odxf>
      <fill>
        <patternFill patternType="none">
          <bgColor indexed="65"/>
        </patternFill>
      </fill>
    </odxf>
    <ndxf>
      <fill>
        <patternFill patternType="solid">
          <bgColor theme="0" tint="-0.499984740745262"/>
        </patternFill>
      </fill>
    </ndxf>
  </rcc>
  <rcc rId="1469" sId="1" odxf="1" dxf="1" quotePrefix="1">
    <nc r="R144" t="inlineStr">
      <is>
        <t>-</t>
      </is>
    </nc>
    <odxf>
      <fill>
        <patternFill patternType="none">
          <bgColor indexed="65"/>
        </patternFill>
      </fill>
    </odxf>
    <ndxf>
      <fill>
        <patternFill patternType="solid">
          <bgColor theme="0" tint="-0.499984740745262"/>
        </patternFill>
      </fill>
    </ndxf>
  </rcc>
  <rcc rId="1470" sId="1" odxf="1" dxf="1" quotePrefix="1">
    <nc r="R145" t="inlineStr">
      <is>
        <t>-</t>
      </is>
    </nc>
    <odxf>
      <fill>
        <patternFill patternType="none">
          <bgColor indexed="65"/>
        </patternFill>
      </fill>
    </odxf>
    <ndxf>
      <fill>
        <patternFill patternType="solid">
          <bgColor theme="0" tint="-0.499984740745262"/>
        </patternFill>
      </fill>
    </ndxf>
  </rcc>
  <rcc rId="1471" sId="1" odxf="1" dxf="1" quotePrefix="1">
    <nc r="R146" t="inlineStr">
      <is>
        <t>-</t>
      </is>
    </nc>
    <odxf>
      <fill>
        <patternFill patternType="none">
          <bgColor indexed="65"/>
        </patternFill>
      </fill>
    </odxf>
    <ndxf>
      <fill>
        <patternFill patternType="solid">
          <bgColor theme="0" tint="-0.499984740745262"/>
        </patternFill>
      </fill>
    </ndxf>
  </rcc>
  <rcc rId="1472" sId="1" odxf="1" dxf="1" quotePrefix="1">
    <nc r="R147" t="inlineStr">
      <is>
        <t>-</t>
      </is>
    </nc>
    <odxf>
      <fill>
        <patternFill patternType="none">
          <bgColor indexed="65"/>
        </patternFill>
      </fill>
    </odxf>
    <ndxf>
      <fill>
        <patternFill patternType="solid">
          <bgColor theme="0" tint="-0.499984740745262"/>
        </patternFill>
      </fill>
    </ndxf>
  </rcc>
  <rcc rId="1473" sId="1" odxf="1" dxf="1" quotePrefix="1">
    <nc r="R148" t="inlineStr">
      <is>
        <t>-</t>
      </is>
    </nc>
    <odxf>
      <fill>
        <patternFill patternType="none">
          <bgColor indexed="65"/>
        </patternFill>
      </fill>
    </odxf>
    <ndxf>
      <fill>
        <patternFill patternType="solid">
          <bgColor theme="0" tint="-0.499984740745262"/>
        </patternFill>
      </fill>
    </ndxf>
  </rcc>
  <rcc rId="1474" sId="1" odxf="1" dxf="1" quotePrefix="1">
    <nc r="R149" t="inlineStr">
      <is>
        <t>-</t>
      </is>
    </nc>
    <odxf>
      <fill>
        <patternFill patternType="none">
          <bgColor indexed="65"/>
        </patternFill>
      </fill>
    </odxf>
    <ndxf>
      <fill>
        <patternFill patternType="solid">
          <bgColor theme="0" tint="-0.499984740745262"/>
        </patternFill>
      </fill>
    </ndxf>
  </rcc>
  <rcc rId="1475" sId="1" odxf="1" dxf="1" quotePrefix="1">
    <nc r="R150" t="inlineStr">
      <is>
        <t>-</t>
      </is>
    </nc>
    <odxf>
      <fill>
        <patternFill patternType="none">
          <bgColor indexed="65"/>
        </patternFill>
      </fill>
    </odxf>
    <ndxf>
      <fill>
        <patternFill patternType="solid">
          <bgColor theme="0" tint="-0.499984740745262"/>
        </patternFill>
      </fill>
    </ndxf>
  </rcc>
  <rcc rId="1476" sId="1" odxf="1" dxf="1" quotePrefix="1">
    <nc r="R151" t="inlineStr">
      <is>
        <t>-</t>
      </is>
    </nc>
    <odxf>
      <fill>
        <patternFill patternType="none">
          <bgColor indexed="65"/>
        </patternFill>
      </fill>
    </odxf>
    <ndxf>
      <fill>
        <patternFill patternType="solid">
          <bgColor theme="0" tint="-0.499984740745262"/>
        </patternFill>
      </fill>
    </ndxf>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79" sId="1" numFmtId="19">
    <nc r="AC142">
      <v>43958</v>
    </nc>
  </rcc>
  <rcc rId="1480" sId="1" numFmtId="19">
    <nc r="AC143">
      <v>43958</v>
    </nc>
  </rcc>
  <rcc rId="1481" sId="1" numFmtId="19">
    <nc r="AC144">
      <v>43958</v>
    </nc>
  </rcc>
  <rcc rId="1482" sId="1" numFmtId="19">
    <nc r="AC145">
      <v>43958</v>
    </nc>
  </rcc>
  <rcc rId="1483" sId="1" numFmtId="19">
    <nc r="AC146">
      <v>43958</v>
    </nc>
  </rcc>
  <rcc rId="1484" sId="1" numFmtId="19">
    <nc r="AC147">
      <v>43958</v>
    </nc>
  </rcc>
  <rcc rId="1485" sId="1" numFmtId="19">
    <nc r="AC148">
      <v>43958</v>
    </nc>
  </rcc>
  <rcc rId="1486" sId="1" numFmtId="19">
    <nc r="AC149">
      <v>43958</v>
    </nc>
  </rcc>
  <rcc rId="1487" sId="1" numFmtId="19">
    <nc r="AC150">
      <v>43958</v>
    </nc>
  </rcc>
  <rcc rId="1488" sId="1" numFmtId="19">
    <nc r="AC151">
      <v>43958</v>
    </nc>
  </rcc>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9" sId="1">
    <nc r="C143">
      <v>20200507</v>
    </nc>
  </rcc>
  <rcc rId="1490" sId="1">
    <nc r="C144">
      <v>20200507</v>
    </nc>
  </rcc>
  <rcc rId="1491" sId="1">
    <nc r="C145">
      <v>20200507</v>
    </nc>
  </rcc>
  <rcc rId="1492" sId="1">
    <nc r="C146">
      <v>20200507</v>
    </nc>
  </rcc>
  <rcc rId="1493" sId="1">
    <nc r="C147">
      <v>20200507</v>
    </nc>
  </rcc>
  <rcc rId="1494" sId="1">
    <nc r="C148">
      <v>20200507</v>
    </nc>
  </rcc>
  <rcc rId="1495" sId="1">
    <nc r="C149">
      <v>20200507</v>
    </nc>
  </rcc>
  <rcc rId="1496" sId="1">
    <nc r="C150">
      <v>20200507</v>
    </nc>
  </rcc>
  <rcc rId="1497" sId="1">
    <nc r="C151">
      <v>20200507</v>
    </nc>
  </rcc>
  <rcc rId="1498" sId="1">
    <nc r="B142">
      <f>B141+1</f>
    </nc>
  </rcc>
  <rcc rId="1499" sId="1">
    <nc r="B143">
      <f>B142+1</f>
    </nc>
  </rcc>
  <rcc rId="1500" sId="1">
    <nc r="B144">
      <f>B143+1</f>
    </nc>
  </rcc>
  <rcc rId="1501" sId="1">
    <nc r="B145">
      <f>B144+1</f>
    </nc>
  </rcc>
  <rcc rId="1502" sId="1">
    <nc r="B146">
      <f>B145+1</f>
    </nc>
  </rcc>
  <rcc rId="1503" sId="1">
    <nc r="B147">
      <f>B146+1</f>
    </nc>
  </rcc>
  <rcc rId="1504" sId="1">
    <nc r="B148">
      <f>B147+1</f>
    </nc>
  </rcc>
  <rcc rId="1505" sId="1">
    <nc r="B149">
      <f>B148+1</f>
    </nc>
  </rcc>
  <rcc rId="1506" sId="1">
    <nc r="B150">
      <f>B149+1</f>
    </nc>
  </rcc>
  <rcc rId="1507" sId="1">
    <nc r="B151">
      <f>B150+1</f>
    </nc>
  </rcc>
  <rfmt sheetId="1" sqref="B142:B151">
    <dxf>
      <fill>
        <patternFill patternType="solid">
          <bgColor theme="3" tint="0.39997558519241921"/>
        </patternFill>
      </fill>
    </dxf>
  </rfmt>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8" sId="1">
    <nc r="S150" t="inlineStr">
      <is>
        <t>hieu.nguyen-trung</t>
      </is>
    </nc>
  </rcc>
  <rcc rId="1509" sId="1">
    <nc r="S151" t="inlineStr">
      <is>
        <t>hau.nguyen-tai</t>
      </is>
    </nc>
  </rcc>
  <rcc rId="1510" sId="1">
    <nc r="S142" t="inlineStr">
      <is>
        <t>phuong.nguyen-thanh</t>
      </is>
    </nc>
  </rcc>
  <rcc rId="1511" sId="1">
    <nc r="S143" t="inlineStr">
      <is>
        <t>phuong.nguyen-thanh</t>
      </is>
    </nc>
  </rcc>
  <rcc rId="1512" sId="1">
    <nc r="S144" t="inlineStr">
      <is>
        <t>phuong.nguyen-thanh</t>
      </is>
    </nc>
  </rcc>
  <rcc rId="1513" sId="1">
    <nc r="S145" t="inlineStr">
      <is>
        <t>phuong.nguyen-thanh</t>
      </is>
    </nc>
  </rcc>
  <rcc rId="1514" sId="1">
    <nc r="S146" t="inlineStr">
      <is>
        <t>phuong.nguyen-thanh</t>
      </is>
    </nc>
  </rcc>
  <rcc rId="1515" sId="1">
    <nc r="S147" t="inlineStr">
      <is>
        <t>bang.nguyen-duy</t>
      </is>
    </nc>
  </rcc>
  <rcc rId="1516" sId="1">
    <nc r="S148" t="inlineStr">
      <is>
        <t>bang.nguyen-duy</t>
      </is>
    </nc>
  </rcc>
  <rcc rId="1517" sId="1">
    <nc r="S149" t="inlineStr">
      <is>
        <t>bang.nguyen-duy</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0" sId="1">
    <oc r="AM118" t="inlineStr">
      <is>
        <t>Duplicate</t>
      </is>
    </oc>
    <nc r="AM118"/>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23" sId="1">
    <nc r="AK118" t="inlineStr">
      <is>
        <t>None</t>
      </is>
    </nc>
  </rcc>
  <rcc rId="1524" sId="1">
    <nc r="AK122" t="inlineStr">
      <is>
        <t>None</t>
      </is>
    </nc>
  </rcc>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154" start="0" length="0">
    <dxf>
      <alignment horizontal="left" vertical="top" readingOrder="0"/>
      <border outline="0">
        <left style="thin">
          <color indexed="64"/>
        </left>
        <right style="thin">
          <color indexed="64"/>
        </right>
        <top style="thin">
          <color indexed="64"/>
        </top>
        <bottom style="thin">
          <color indexed="64"/>
        </bottom>
      </border>
    </dxf>
  </rfmt>
  <rfmt sheetId="1" sqref="AM154" start="0" length="0">
    <dxf>
      <alignment horizontal="left" vertical="top" readingOrder="0"/>
      <border outline="0">
        <left style="thin">
          <color indexed="64"/>
        </left>
        <right style="thin">
          <color indexed="64"/>
        </right>
        <top style="thin">
          <color indexed="64"/>
        </top>
        <bottom style="thin">
          <color indexed="64"/>
        </bottom>
      </border>
    </dxf>
  </rfmt>
  <rfmt sheetId="1" sqref="AN154" start="0" length="0">
    <dxf>
      <alignment horizontal="left" vertical="top" readingOrder="0"/>
      <border outline="0">
        <left style="thin">
          <color indexed="64"/>
        </left>
        <right style="thin">
          <color indexed="64"/>
        </right>
        <top style="thin">
          <color indexed="64"/>
        </top>
        <bottom style="thin">
          <color indexed="64"/>
        </bottom>
      </border>
    </dxf>
  </rfmt>
  <rfmt sheetId="1" sqref="AL155" start="0" length="0">
    <dxf>
      <alignment horizontal="left" vertical="top" readingOrder="0"/>
      <border outline="0">
        <left style="thin">
          <color indexed="64"/>
        </left>
        <right style="thin">
          <color indexed="64"/>
        </right>
        <top style="thin">
          <color indexed="64"/>
        </top>
        <bottom style="thin">
          <color indexed="64"/>
        </bottom>
      </border>
    </dxf>
  </rfmt>
  <rfmt sheetId="1" sqref="AM155" start="0" length="0">
    <dxf>
      <alignment horizontal="left" vertical="top" readingOrder="0"/>
      <border outline="0">
        <left style="thin">
          <color indexed="64"/>
        </left>
        <right style="thin">
          <color indexed="64"/>
        </right>
        <top style="thin">
          <color indexed="64"/>
        </top>
        <bottom style="thin">
          <color indexed="64"/>
        </bottom>
      </border>
    </dxf>
  </rfmt>
  <rfmt sheetId="1" sqref="AN155" start="0" length="0">
    <dxf>
      <alignment horizontal="left" vertical="top" readingOrder="0"/>
      <border outline="0">
        <left style="thin">
          <color indexed="64"/>
        </left>
        <right style="thin">
          <color indexed="64"/>
        </right>
        <top style="thin">
          <color indexed="64"/>
        </top>
        <bottom style="thin">
          <color indexed="64"/>
        </bottom>
      </border>
    </dxf>
  </rfmt>
  <rfmt sheetId="1" sqref="AL156" start="0" length="0">
    <dxf>
      <alignment horizontal="left" vertical="top" readingOrder="0"/>
      <border outline="0">
        <left style="thin">
          <color indexed="64"/>
        </left>
        <right style="thin">
          <color indexed="64"/>
        </right>
        <top style="thin">
          <color indexed="64"/>
        </top>
        <bottom style="thin">
          <color indexed="64"/>
        </bottom>
      </border>
    </dxf>
  </rfmt>
  <rfmt sheetId="1" sqref="AM156" start="0" length="0">
    <dxf>
      <alignment horizontal="left" vertical="top" readingOrder="0"/>
      <border outline="0">
        <left style="thin">
          <color indexed="64"/>
        </left>
        <right style="thin">
          <color indexed="64"/>
        </right>
        <top style="thin">
          <color indexed="64"/>
        </top>
        <bottom style="thin">
          <color indexed="64"/>
        </bottom>
      </border>
    </dxf>
  </rfmt>
  <rfmt sheetId="1" sqref="AN156" start="0" length="0">
    <dxf>
      <alignment horizontal="left" vertical="top" readingOrder="0"/>
      <border outline="0">
        <left style="thin">
          <color indexed="64"/>
        </left>
        <right style="thin">
          <color indexed="64"/>
        </right>
        <top style="thin">
          <color indexed="64"/>
        </top>
        <bottom style="thin">
          <color indexed="64"/>
        </bottom>
      </border>
    </dxf>
  </rfmt>
  <rfmt sheetId="1" sqref="AL157" start="0" length="0">
    <dxf>
      <alignment horizontal="left" vertical="top" readingOrder="0"/>
      <border outline="0">
        <left style="thin">
          <color indexed="64"/>
        </left>
        <right style="thin">
          <color indexed="64"/>
        </right>
        <top style="thin">
          <color indexed="64"/>
        </top>
        <bottom style="thin">
          <color indexed="64"/>
        </bottom>
      </border>
    </dxf>
  </rfmt>
  <rfmt sheetId="1" sqref="AM157" start="0" length="0">
    <dxf>
      <alignment horizontal="left" vertical="top" readingOrder="0"/>
      <border outline="0">
        <left style="thin">
          <color indexed="64"/>
        </left>
        <right style="thin">
          <color indexed="64"/>
        </right>
        <top style="thin">
          <color indexed="64"/>
        </top>
        <bottom style="thin">
          <color indexed="64"/>
        </bottom>
      </border>
    </dxf>
  </rfmt>
  <rfmt sheetId="1" sqref="AN157" start="0" length="0">
    <dxf>
      <alignment horizontal="left" vertical="top" readingOrder="0"/>
      <border outline="0">
        <left style="thin">
          <color indexed="64"/>
        </left>
        <right style="thin">
          <color indexed="64"/>
        </right>
        <top style="thin">
          <color indexed="64"/>
        </top>
        <bottom style="thin">
          <color indexed="64"/>
        </bottom>
      </border>
    </dxf>
  </rfmt>
  <rcv guid="{250915DF-0B97-45D7-B29D-7EED4C89C1C1}" action="delete"/>
  <rdn rId="0" localSheetId="1" customView="1" name="Z_250915DF_0B97_45D7_B29D_7EED4C89C1C1_.wvu.FilterData" hidden="1" oldHidden="1">
    <formula>Merged_COEM!$B$47:$AN$141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Merged_COEM!$B$47:$AN$141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2" start="0" length="0">
    <dxf>
      <font>
        <sz val="11"/>
        <color theme="1"/>
        <name val="Calibri"/>
        <scheme val="minor"/>
      </font>
    </dxf>
  </rfmt>
  <rfmt sheetId="1" sqref="I103" start="0" length="0">
    <dxf>
      <font>
        <sz val="11"/>
        <color theme="1"/>
        <name val="Calibri"/>
        <scheme val="minor"/>
      </font>
    </dxf>
  </rfmt>
  <rfmt sheetId="1" sqref="I104" start="0" length="0">
    <dxf>
      <font>
        <sz val="10"/>
        <color rgb="FF9C6500"/>
        <name val="Arial"/>
        <scheme val="minor"/>
      </font>
      <fill>
        <patternFill patternType="none">
          <bgColor indexed="65"/>
        </patternFill>
      </fill>
    </dxf>
  </rfmt>
  <rfmt sheetId="1" sqref="I105" start="0" length="0">
    <dxf>
      <font>
        <sz val="11"/>
        <color theme="1"/>
        <name val="Calibri"/>
        <scheme val="minor"/>
      </font>
    </dxf>
  </rfmt>
  <rfmt sheetId="1" sqref="I106" start="0" length="0">
    <dxf>
      <font>
        <sz val="11"/>
        <color theme="1"/>
        <name val="Calibri"/>
        <scheme val="minor"/>
      </font>
    </dxf>
  </rfmt>
  <rfmt sheetId="1" sqref="I107" start="0" length="0">
    <dxf>
      <font>
        <sz val="11"/>
        <color theme="1"/>
        <name val="Calibri"/>
        <scheme val="minor"/>
      </font>
    </dxf>
  </rfmt>
  <rfmt sheetId="1" sqref="I108" start="0" length="0">
    <dxf>
      <font>
        <sz val="11"/>
        <color theme="1"/>
        <name val="Calibri"/>
        <scheme val="minor"/>
      </font>
    </dxf>
  </rfmt>
  <rfmt sheetId="1" sqref="I109" start="0" length="0">
    <dxf>
      <font>
        <sz val="11"/>
        <color theme="1"/>
        <name val="Calibri"/>
        <scheme val="minor"/>
      </font>
    </dxf>
  </rfmt>
  <rfmt sheetId="1" sqref="I110" start="0" length="0">
    <dxf>
      <font>
        <sz val="11"/>
        <color theme="1"/>
        <name val="Calibri"/>
        <scheme val="minor"/>
      </font>
    </dxf>
  </rfmt>
  <rfmt sheetId="1" sqref="I111" start="0" length="0">
    <dxf>
      <font>
        <sz val="11"/>
        <color theme="1"/>
        <name val="Calibri"/>
        <scheme val="minor"/>
      </font>
    </dxf>
  </rfmt>
  <rfmt sheetId="1" sqref="I112" start="0" length="0">
    <dxf>
      <font>
        <sz val="11"/>
        <color theme="1"/>
        <name val="Calibri"/>
        <scheme val="minor"/>
      </font>
    </dxf>
  </rfmt>
  <rfmt sheetId="1" sqref="I113" start="0" length="0">
    <dxf>
      <font>
        <sz val="11"/>
        <color theme="1"/>
        <name val="Calibri"/>
        <scheme val="minor"/>
      </font>
    </dxf>
  </rfmt>
  <rfmt sheetId="1" sqref="I114" start="0" length="0">
    <dxf>
      <font>
        <sz val="11"/>
        <color theme="1"/>
        <name val="Calibri"/>
        <scheme val="minor"/>
      </font>
    </dxf>
  </rfmt>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3">
    <dxf>
      <fill>
        <patternFill patternType="none">
          <bgColor auto="1"/>
        </patternFill>
      </fill>
    </dxf>
  </rfmt>
  <rfmt sheetId="1" sqref="F71" start="0" length="0">
    <dxf>
      <fill>
        <patternFill patternType="none">
          <bgColor indexed="65"/>
        </patternFill>
      </fill>
    </dxf>
  </rfmt>
  <rfmt sheetId="1" sqref="F72" start="0" length="0">
    <dxf>
      <fill>
        <patternFill patternType="none">
          <bgColor indexed="65"/>
        </patternFill>
      </fill>
    </dxf>
  </rfmt>
  <rfmt sheetId="1" sqref="F73" start="0" length="0">
    <dxf>
      <fill>
        <patternFill patternType="none">
          <bgColor indexed="65"/>
        </patternFill>
      </fill>
    </dxf>
  </rfmt>
  <rfmt sheetId="1" sqref="F74" start="0" length="0">
    <dxf>
      <fill>
        <patternFill patternType="none">
          <bgColor indexed="65"/>
        </patternFill>
      </fill>
    </dxf>
  </rfmt>
  <rfmt sheetId="1" sqref="F68" start="0" length="0">
    <dxf>
      <fill>
        <patternFill patternType="none">
          <bgColor indexed="65"/>
        </patternFill>
      </fill>
    </dxf>
  </rfmt>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31" sId="1" quotePrefix="1">
    <oc r="F145" t="inlineStr">
      <is>
        <t>rb/as/core/app/dcom/RBAPLEOL/src/RBAPLEOL_ActuatorTest.c</t>
      </is>
    </oc>
    <nc r="F145" t="inlineStr">
      <is>
        <t>rb\as\core\app\dcom\RBAPLEOL\src\RBAPLEOL_ActuatorTest.c</t>
      </is>
    </nc>
  </rcc>
  <rcc rId="1532" sId="1" quotePrefix="1">
    <oc r="F146" t="inlineStr">
      <is>
        <t>rb/as/core/app/dcom/RBAPLEOL/src/RBAPLEOL_ESPDynamicTest.c</t>
      </is>
    </oc>
    <nc r="F146" t="inlineStr">
      <is>
        <t>rb\as\core\app\dcom\RBAPLEOL\src\RBAPLEOL_ESPDynamicTest.c</t>
      </is>
    </nc>
  </rcc>
  <rcc rId="1533" sId="1" quotePrefix="1">
    <oc r="F147" t="inlineStr">
      <is>
        <t>rb/as/core/app/dcom/RBAPLEOL/src/RBAPLEOL_ExtendedDynamicTest.c</t>
      </is>
    </oc>
    <nc r="F147" t="inlineStr">
      <is>
        <t>rb\as\core\app\dcom\RBAPLEOL\src\RBAPLEOL_ExtendedDynamicTest.c</t>
      </is>
    </nc>
  </rcc>
  <rcc rId="1534" sId="1" quotePrefix="1">
    <oc r="F148" t="inlineStr">
      <is>
        <t>rb/as/core/app/dcom/RBAPLEOL/src/RBAPLEOL_PumpMotorErrorState.c</t>
      </is>
    </oc>
    <nc r="F148" t="inlineStr">
      <is>
        <t>rb\as\core\app\dcom\RBAPLEOL\src\RBAPLEOL_PumpMotorErrorState.c</t>
      </is>
    </nc>
  </rcc>
  <rcc rId="1535" sId="1" quotePrefix="1">
    <oc r="F149" t="inlineStr">
      <is>
        <t>rb/as/core/app/dcom/RBAPLEOL/src/RBAPLEOL_PumpSDTimeTest.c</t>
      </is>
    </oc>
    <nc r="F149" t="inlineStr">
      <is>
        <t>rb\as\core\app\dcom\RBAPLEOL\src\RBAPLEOL_PumpSDTimeTest.c</t>
      </is>
    </nc>
  </rcc>
  <rcc rId="1536" sId="1" quotePrefix="1">
    <oc r="F150" t="inlineStr">
      <is>
        <t>rb/as/core/app/dcom/RBAPLEOL/src/RBAPLEOL_ValvesToggling.c</t>
      </is>
    </oc>
    <nc r="F150" t="inlineStr">
      <is>
        <t>rb\as\core\app\dcom\RBAPLEOL\src\RBAPLEOL_ValvesToggling.c</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37" sId="1">
    <nc r="Z104">
      <v>1</v>
    </nc>
  </rcc>
  <rcc rId="1538" sId="1">
    <nc r="AA104" t="inlineStr">
      <is>
        <t>Ready for review</t>
      </is>
    </nc>
  </rcc>
  <rcc rId="1539" sId="1" numFmtId="19">
    <nc r="AE104">
      <v>43958</v>
    </nc>
  </rcc>
  <rcc rId="1540" sId="1" numFmtId="19">
    <nc r="AF104">
      <v>43958</v>
    </nc>
  </rcc>
  <rcc rId="1541" sId="1">
    <nc r="AG104" t="inlineStr">
      <is>
        <t>OK</t>
      </is>
    </nc>
  </rcc>
  <rcc rId="1542" sId="1" numFmtId="14">
    <nc r="AH104">
      <v>1</v>
    </nc>
  </rcc>
  <rcc rId="1543" sId="1" numFmtId="14">
    <nc r="AI104">
      <v>1</v>
    </nc>
  </rcc>
  <rcc rId="1544" sId="1" numFmtId="14">
    <nc r="AJ104">
      <v>1</v>
    </nc>
  </rcc>
  <rcc rId="1545" sId="1">
    <nc r="AK104" t="inlineStr">
      <is>
        <t>None</t>
      </is>
    </nc>
  </rcc>
  <rcv guid="{72A6EB0A-84D5-4B8A-AC51-54CCD061630B}" action="delete"/>
  <rdn rId="0" localSheetId="1" customView="1" name="Z_72A6EB0A_84D5_4B8A_AC51_54CCD061630B_.wvu.FilterData" hidden="1" oldHidden="1">
    <formula>Merged_COEM!$B$47:$AN$141</formula>
    <oldFormula>Merged_COEM!$B$47:$AN$141</oldFormula>
  </rdn>
  <rdn rId="0" localSheetId="2" customView="1" name="Z_72A6EB0A_84D5_4B8A_AC51_54CCD061630B_.wvu.FilterData" hidden="1" oldHidden="1">
    <formula>Merged_JOEM!$B$47:$AN$108</formula>
    <oldFormula>Merged_JOEM!$B$47:$AN$108</oldFormula>
  </rdn>
  <rcv guid="{72A6EB0A-84D5-4B8A-AC51-54CCD061630B}" action="add"/>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4" start="0" length="0">
    <dxf>
      <font>
        <sz val="11"/>
        <color theme="1"/>
        <name val="Calibri"/>
        <scheme val="minor"/>
      </font>
    </dxf>
  </rfmt>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Merged_COEM!$B$47:$AN$141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0" sId="2">
    <oc r="AN108" t="inlineStr">
      <is>
        <t>No function to test</t>
      </is>
    </oc>
    <nc r="AN108"/>
  </rcc>
  <rcc rId="1551" sId="2">
    <oc r="Z108">
      <v>0</v>
    </oc>
    <nc r="Z108">
      <v>0.5</v>
    </nc>
  </rcc>
  <rcc rId="1552" sId="2" numFmtId="14">
    <oc r="AH108" t="inlineStr">
      <is>
        <t>-</t>
      </is>
    </oc>
    <nc r="AH108">
      <v>0.68</v>
    </nc>
  </rcc>
  <rcc rId="1553" sId="2" numFmtId="14">
    <oc r="AI108" t="inlineStr">
      <is>
        <t>-</t>
      </is>
    </oc>
    <nc r="AI108">
      <v>0.6</v>
    </nc>
  </rcc>
  <rcc rId="1554" sId="2" numFmtId="14">
    <oc r="AJ108" t="inlineStr">
      <is>
        <t>-</t>
      </is>
    </oc>
    <nc r="AJ108">
      <v>1</v>
    </nc>
  </rcc>
  <rcc rId="1555" sId="2">
    <nc r="AL108" t="inlineStr">
      <is>
        <t>Can't cover function rba_Bmgr_main at line #45 because there is a endless loop at line #51</t>
      </is>
    </nc>
  </rcc>
  <rcv guid="{D33AC7AF-C8AB-4CE9-94C7-9237011A5FC3}" action="delete"/>
  <rdn rId="0" localSheetId="1" customView="1" name="Z_D33AC7AF_C8AB_4CE9_94C7_9237011A5FC3_.wvu.FilterData" hidden="1" oldHidden="1">
    <formula>Merged_COEM!$B$47:$AN$151</formula>
    <oldFormula>Merged_COEM!$B$47:$AN$113</oldFormula>
  </rdn>
  <rdn rId="0" localSheetId="2" customView="1" name="Z_D33AC7AF_C8AB_4CE9_94C7_9237011A5FC3_.wvu.FilterData" hidden="1" oldHidden="1">
    <formula>Merged_JOEM!$B$47:$AN$116</formula>
    <oldFormula>Merged_JOEM!$B$47:$AN$108</oldFormula>
  </rdn>
  <rcv guid="{D33AC7AF-C8AB-4CE9-94C7-9237011A5FC3}"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8" sId="1" numFmtId="14">
    <nc r="AH117">
      <v>1</v>
    </nc>
  </rcc>
  <rcc rId="1559" sId="1" numFmtId="14">
    <nc r="AI117">
      <v>0.98</v>
    </nc>
  </rcc>
  <rcc rId="1560" sId="1" numFmtId="14">
    <nc r="AJ117">
      <v>1</v>
    </nc>
  </rcc>
  <rcc rId="1561" sId="1">
    <nc r="AK117" t="inlineStr">
      <is>
        <t>OPL</t>
      </is>
    </nc>
  </rcc>
  <rcc rId="1562" sId="1">
    <nc r="AG117" t="inlineStr">
      <is>
        <t>OK</t>
      </is>
    </nc>
  </rcc>
  <rcc rId="1563" sId="1" numFmtId="19">
    <nc r="AE117">
      <v>43958</v>
    </nc>
  </rcc>
  <rcc rId="1564" sId="1" numFmtId="19">
    <nc r="AF117">
      <v>43958</v>
    </nc>
  </rcc>
  <rcc rId="1565" sId="1">
    <nc r="AA117" t="inlineStr">
      <is>
        <t>Ready for review</t>
      </is>
    </nc>
  </rcc>
  <rcv guid="{7ECC2B8E-6A82-42F5-8AB0-4A51C54EA5EC}" action="delete"/>
  <rdn rId="0" localSheetId="1" customView="1" name="Z_7ECC2B8E_6A82_42F5_8AB0_4A51C54EA5EC_.wvu.FilterData" hidden="1" oldHidden="1">
    <formula>Merged_COEM!$B$47:$AN$141</formula>
    <oldFormula>Merged_COEM!$B$47:$AN$128</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68" sId="1">
    <nc r="AL117" t="inlineStr">
      <is>
        <t>Can’t cover FALSE case at line #246. Because of when the condition at line #200 is FALSE, the condition at line #246 cannot be the FALSE case.</t>
      </is>
    </nc>
  </rcc>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69" sId="1">
    <nc r="X129">
      <f>W129</f>
    </nc>
  </rcc>
  <rcc rId="1570" sId="1">
    <nc r="Z129">
      <v>8</v>
    </nc>
  </rcc>
  <rcc rId="1571" sId="1">
    <nc r="AA129" t="inlineStr">
      <is>
        <t>Ready for review</t>
      </is>
    </nc>
  </rcc>
  <rcc rId="1572" sId="1" numFmtId="19">
    <nc r="AE129">
      <v>43958</v>
    </nc>
  </rcc>
  <rcc rId="1573" sId="1" numFmtId="19">
    <nc r="AF129">
      <v>43958</v>
    </nc>
  </rcc>
  <rcc rId="1574" sId="1">
    <nc r="AG129" t="inlineStr">
      <is>
        <t>NG</t>
      </is>
    </nc>
  </rcc>
  <rcc rId="1575" sId="1" numFmtId="14">
    <nc r="AH129">
      <v>0.99</v>
    </nc>
  </rcc>
  <rcc rId="1576" sId="1" numFmtId="14">
    <nc r="AI129">
      <v>0.98</v>
    </nc>
  </rcc>
  <rcc rId="1577" sId="1" numFmtId="14">
    <nc r="AJ129">
      <v>1</v>
    </nc>
  </rcc>
  <rcc rId="1578" sId="1">
    <nc r="AK129" t="inlineStr">
      <is>
        <t>OPL</t>
      </is>
    </nc>
  </rcc>
  <rfmt sheetId="1" sqref="AL129" start="0" length="0">
    <dxf/>
  </rfmt>
  <rcc rId="1579" sId="1">
    <nc r="AM129" t="inlineStr">
      <is>
        <t>-</t>
      </is>
    </nc>
  </rcc>
  <rfmt sheetId="1" sqref="A129:A132">
    <dxf>
      <fill>
        <patternFill patternType="solid">
          <bgColor theme="2" tint="-0.499984740745262"/>
        </patternFill>
      </fill>
    </dxf>
  </rfmt>
  <rcc rId="1580" sId="1" odxf="1" dxf="1" quotePrefix="1">
    <nc r="AN129" t="inlineStr">
      <is>
        <t xml:space="preserve">Owner confirm it's could be ignore </t>
      </is>
    </nc>
    <ndxf/>
  </rcc>
  <rcc rId="1581" sId="1" quotePrefix="1">
    <nc r="AL129" t="inlineStr">
      <is>
        <t>Cannot cover branch if lat line #1290 and line #1339</t>
      </is>
    </nc>
  </rcc>
  <rcv guid="{7E0EA425-A420-4443-B9E0-CDF0AA9E5D09}" action="delete"/>
  <rdn rId="0" localSheetId="1" customView="1" name="Z_7E0EA425_A420_4443_B9E0_CDF0AA9E5D09_.wvu.FilterData" hidden="1" oldHidden="1">
    <formula>Merged_COEM!$B$47:$AN$151</formula>
    <oldFormula>Merged_COEM!$B$47:$AN$128</oldFormula>
  </rdn>
  <rdn rId="0" localSheetId="2" customView="1" name="Z_7E0EA425_A420_4443_B9E0_CDF0AA9E5D09_.wvu.FilterData" hidden="1" oldHidden="1">
    <formula>Merged_JOEM!$B$47:$AN$116</formula>
    <oldFormula>Merged_JOEM!$B$47:$AN$108</oldFormula>
  </rdn>
  <rcv guid="{7E0EA425-A420-4443-B9E0-CDF0AA9E5D09}"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4" sId="1" quotePrefix="1">
    <oc r="AL129" t="inlineStr">
      <is>
        <t>Cannot cover branch if lat line #1290 and line #1339</t>
      </is>
    </oc>
    <nc r="AL129" t="inlineStr">
      <is>
        <t>Cannot cover branch if at line #1290 and line #1339</t>
      </is>
    </nc>
  </rcc>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5" sId="1" odxf="1" dxf="1" quotePrefix="1">
    <oc r="H38">
      <f>IF(ISERROR(E38/D38),"N/A",E38/D38)</f>
    </oc>
    <nc r="H38" t="inlineStr">
      <is>
        <t>C annot cover branch if at line #1290 and line #1339
=&gt; Owner confirm it couldbe ignore</t>
      </is>
    </nc>
    <odxf>
      <alignment wrapText="0" readingOrder="0"/>
    </odxf>
    <ndxf>
      <alignment wrapText="1" readingOrder="0"/>
    </ndxf>
  </rcc>
  <rfmt sheetId="1" sqref="A129" start="0" length="0">
    <dxf>
      <fill>
        <patternFill patternType="none">
          <bgColor indexed="65"/>
        </patternFill>
      </fill>
    </dxf>
  </rfmt>
  <rfmt sheetId="1" sqref="A130" start="0" length="0">
    <dxf>
      <fill>
        <patternFill patternType="none">
          <bgColor indexed="65"/>
        </patternFill>
      </fill>
    </dxf>
  </rfmt>
  <rfmt sheetId="1" sqref="A131" start="0" length="0">
    <dxf>
      <fill>
        <patternFill patternType="none">
          <bgColor indexed="65"/>
        </patternFill>
      </fill>
    </dxf>
  </rfmt>
  <rfmt sheetId="1" sqref="A132" start="0" length="0">
    <dxf>
      <fill>
        <patternFill patternType="none">
          <bgColor indexed="65"/>
        </patternFill>
      </fill>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8" sId="1" odxf="1" dxf="1">
    <oc r="H38" t="inlineStr">
      <is>
        <t>C annot cover branch if at line #1290 and line #1339
=&gt; Owner confirm it couldbe ignore</t>
      </is>
    </oc>
    <nc r="H38">
      <f>IF(ISERROR(E38/D38),"N/A",E38/D38)</f>
    </nc>
    <odxf>
      <alignment wrapText="1" readingOrder="0"/>
    </odxf>
    <ndxf>
      <alignment wrapText="0" readingOrder="0"/>
    </ndxf>
  </rcc>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9" sId="1">
    <nc r="AN78" t="inlineStr">
      <is>
        <t>Owner confirm it not affect.</t>
      </is>
    </nc>
  </rcc>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0" sId="1" numFmtId="19">
    <nc r="AE116">
      <v>43958</v>
    </nc>
  </rcc>
  <rcc rId="1591" sId="1" numFmtId="19">
    <nc r="AF116">
      <v>43958</v>
    </nc>
  </rcc>
  <rcc rId="1592" sId="1">
    <nc r="AG116" t="inlineStr">
      <is>
        <t>OK</t>
      </is>
    </nc>
  </rcc>
  <rcc rId="1593" sId="1" numFmtId="14">
    <nc r="AH116">
      <v>1</v>
    </nc>
  </rcc>
  <rcc rId="1594" sId="1" numFmtId="14">
    <nc r="AI116">
      <v>1</v>
    </nc>
  </rcc>
  <rcc rId="1595" sId="1" numFmtId="14">
    <nc r="AJ116">
      <v>1</v>
    </nc>
  </rcc>
  <rcc rId="1596" sId="1">
    <nc r="AK116" t="inlineStr">
      <is>
        <t>None</t>
      </is>
    </nc>
  </rcc>
  <rcc rId="1597" sId="1">
    <nc r="AA116" t="inlineStr">
      <is>
        <t>Ready for review</t>
      </is>
    </nc>
  </rcc>
  <rcv guid="{7ECC2B8E-6A82-42F5-8AB0-4A51C54EA5EC}" action="delete"/>
  <rdn rId="0" localSheetId="1" customView="1" name="Z_7ECC2B8E_6A82_42F5_8AB0_4A51C54EA5EC_.wvu.FilterData" hidden="1" oldHidden="1">
    <formula>Merged_COEM!$B$47:$AN$151</formula>
    <oldFormula>Merged_COEM!$B$47:$AN$141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0" sId="1">
    <nc r="X116">
      <f>W116</f>
    </nc>
  </rcc>
  <rcc rId="1601" sId="1">
    <nc r="X117">
      <f>W117</f>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4" sId="1">
    <nc r="Z116">
      <v>4</v>
    </nc>
  </rcc>
  <rcc rId="1605" sId="1">
    <nc r="Z117">
      <v>4</v>
    </nc>
  </rcc>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08" sId="1">
    <oc r="AN78" t="inlineStr">
      <is>
        <t>Owner confirm it not affect.</t>
      </is>
    </oc>
    <nc r="AN78"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Merged_COEM!$B$47:$AN$151</formula>
    <oldFormula>Merged_COEM!$B$47:$AN$141</oldFormula>
  </rdn>
  <rdn rId="0" localSheetId="2" customView="1" name="Z_60D2C030_4E31_4E07_8E1C_44D2EE84B177_.wvu.FilterData" hidden="1" oldHidden="1">
    <formula>Merged_JOEM!$B$47:$AN$108</formula>
    <oldFormula>Merged_JOEM!$B$47:$AN$108</oldFormula>
  </rdn>
  <rcv guid="{60D2C030-4E31-4E07-8E1C-44D2EE84B177}"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67">
    <dxf>
      <alignment wrapText="0" readingOrder="0"/>
    </dxf>
  </rfmt>
  <rcv guid="{250915DF-0B97-45D7-B29D-7EED4C89C1C1}" action="delete"/>
  <rdn rId="0" localSheetId="1" customView="1" name="Z_250915DF_0B97_45D7_B29D_7EED4C89C1C1_.wvu.FilterData" hidden="1" oldHidden="1">
    <formula>Merged_COEM!$A$47:$AN$151</formula>
    <oldFormula>Merged_COEM!$B$47:$AN$151</oldFormula>
  </rdn>
  <rdn rId="0" localSheetId="2" customView="1" name="Z_250915DF_0B97_45D7_B29D_7EED4C89C1C1_.wvu.FilterData" hidden="1" oldHidden="1">
    <formula>Merged_JOEM!$B$47:$AN$108</formula>
    <oldFormula>Merged_JOEM!$B$47:$AN$116</oldFormula>
  </rdn>
  <rcv guid="{250915DF-0B97-45D7-B29D-7EED4C89C1C1}"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5" sId="1" quotePrefix="1">
    <oc r="F132" t="inlineStr">
      <is>
        <t>rb\as\gaig\core\app\net\RBScl\src</t>
      </is>
    </oc>
    <nc r="F132" t="inlineStr">
      <is>
        <t>GAC_ESPHevX_HADHAP_Int\rb\as\gaig\core\app\net\RBScl\src</t>
      </is>
    </nc>
  </rcc>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95" start="0" length="0">
    <dxf>
      <alignment wrapText="1" readingOrder="0"/>
    </dxf>
  </rfmt>
  <rcc rId="1616" sId="1">
    <nc r="AL95" t="inlineStr">
      <is>
        <t>Cannot cover branch if (*length_pu16 &gt; maxLength_u16) at line #93
Cannot cover branch if (retValue == E_OK) at line #229</t>
      </is>
    </nc>
  </rcc>
  <rfmt sheetId="1" sqref="AL95">
    <dxf>
      <alignment wrapText="0" readingOrder="0"/>
    </dxf>
  </rfmt>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7" sId="1" quotePrefix="1">
    <oc r="F151" t="inlineStr">
      <is>
        <t>\MainstreamF30\rb\as\BYD\Mainstream151\app\net\RbNetPrj\RBNet_Can\src\rba_SCL_Settings.c</t>
      </is>
    </oc>
    <nc r="F151" t="inlineStr">
      <is>
        <t>MainstreamF30\rb\as\BYD\Mainstream151\app\net\RbNetPrj\RBNet_Can\src\rba_SCL_Settings.c</t>
      </is>
    </nc>
  </rcc>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8" sId="1">
    <nc r="X94">
      <f>W94</f>
    </nc>
  </rcc>
  <rcc rId="1619" sId="1">
    <nc r="X95">
      <f>W95</f>
    </nc>
  </rcc>
  <rcc rId="1620" sId="1">
    <nc r="Z94">
      <v>1.5</v>
    </nc>
  </rcc>
  <rcc rId="1621" sId="1">
    <nc r="Z95">
      <v>2</v>
    </nc>
  </rcc>
  <rcc rId="1622" sId="1">
    <nc r="AA94" t="inlineStr">
      <is>
        <t>Ready for review</t>
      </is>
    </nc>
  </rcc>
  <rcc rId="1623" sId="1">
    <nc r="AA95" t="inlineStr">
      <is>
        <t>Ready for review</t>
      </is>
    </nc>
  </rcc>
  <rcc rId="1624" sId="1" numFmtId="19">
    <nc r="AE94">
      <v>43959</v>
    </nc>
  </rcc>
  <rcc rId="1625" sId="1" numFmtId="19">
    <nc r="AF94">
      <v>43959</v>
    </nc>
  </rcc>
  <rcc rId="1626" sId="1" numFmtId="19">
    <nc r="AE95">
      <v>43959</v>
    </nc>
  </rcc>
  <rcc rId="1627" sId="1" numFmtId="19">
    <nc r="AF95">
      <v>43959</v>
    </nc>
  </rcc>
  <rcc rId="1628" sId="1">
    <nc r="AG94" t="inlineStr">
      <is>
        <t>OK</t>
      </is>
    </nc>
  </rcc>
  <rcc rId="1629" sId="1" numFmtId="14">
    <nc r="AH94">
      <v>1</v>
    </nc>
  </rcc>
  <rcc rId="1630" sId="1" numFmtId="14">
    <nc r="AI94">
      <v>1</v>
    </nc>
  </rcc>
  <rcc rId="1631" sId="1" numFmtId="14">
    <nc r="AJ94">
      <v>1</v>
    </nc>
  </rcc>
  <rcc rId="1632" sId="1">
    <nc r="AK94" t="inlineStr">
      <is>
        <t>None</t>
      </is>
    </nc>
  </rcc>
  <rcc rId="1633" sId="1">
    <nc r="AL94" t="inlineStr">
      <is>
        <t>-</t>
      </is>
    </nc>
  </rcc>
  <rcc rId="1634" sId="1">
    <nc r="AM94" t="inlineStr">
      <is>
        <t>-</t>
      </is>
    </nc>
  </rcc>
  <rcc rId="1635" sId="1">
    <nc r="AN94" t="inlineStr">
      <is>
        <t>-</t>
      </is>
    </nc>
  </rcc>
  <rcc rId="1636" sId="1">
    <nc r="AG95" t="inlineStr">
      <is>
        <t>NG</t>
      </is>
    </nc>
  </rcc>
  <rcc rId="1637" sId="1" numFmtId="14">
    <nc r="AH95">
      <v>0.93</v>
    </nc>
  </rcc>
  <rcc rId="1638" sId="1" numFmtId="14">
    <nc r="AI95">
      <v>0.85</v>
    </nc>
  </rcc>
  <rcc rId="1639" sId="1" numFmtId="14">
    <nc r="AJ95">
      <v>1</v>
    </nc>
  </rcc>
  <rcc rId="1640" sId="1">
    <nc r="AK95" t="inlineStr">
      <is>
        <t>OPL</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5" sId="1" odxf="1" dxf="1">
    <oc r="AL95" t="inlineStr">
      <is>
        <t>Cannot cover branch if (*length_pu16 &gt; maxLength_u16) at line #93
Cannot cover branch if (retValue == E_OK) at line #229</t>
      </is>
    </oc>
    <nc r="AL95" t="inlineStr">
      <is>
        <t>Cannot cover branch if (*length_pu16 &gt; maxLength_u16) at line #93, 
Cannot cover branch if (retValue == E_OK) at line #229</t>
      </is>
    </nc>
    <odxf>
      <alignment wrapText="0" readingOrder="0"/>
    </odxf>
    <ndxf>
      <alignment wrapText="1" readingOrder="0"/>
    </ndxf>
  </rcc>
  <rfmt sheetId="1" sqref="AL95">
    <dxf>
      <alignment wrapText="0" readingOrder="0"/>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8" sId="1">
    <nc r="X104">
      <f>W104</f>
    </nc>
  </rcc>
  <rfmt sheetId="1" sqref="I10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649" sId="1">
    <nc r="X105">
      <f>W105</f>
    </nc>
  </rcc>
  <rcc rId="1650" sId="1">
    <nc r="Z105">
      <v>1</v>
    </nc>
  </rcc>
  <rcc rId="1651" sId="1">
    <nc r="AA105" t="inlineStr">
      <is>
        <t>Ready for review</t>
      </is>
    </nc>
  </rcc>
  <rcc rId="1652" sId="1" numFmtId="19">
    <nc r="AE105">
      <v>43959</v>
    </nc>
  </rcc>
  <rcc rId="1653" sId="1" numFmtId="19">
    <nc r="AF105">
      <v>43959</v>
    </nc>
  </rcc>
  <rcc rId="1654" sId="1">
    <nc r="AG105" t="inlineStr">
      <is>
        <t>OK</t>
      </is>
    </nc>
  </rcc>
  <rcc rId="1655" sId="1" numFmtId="14">
    <nc r="AH105">
      <v>1</v>
    </nc>
  </rcc>
  <rcc rId="1656" sId="1" numFmtId="14">
    <nc r="AI105">
      <v>1</v>
    </nc>
  </rcc>
  <rcc rId="1657" sId="1" numFmtId="14">
    <nc r="AJ105">
      <v>1</v>
    </nc>
  </rcc>
  <rcc rId="1658" sId="1">
    <nc r="AK105" t="inlineStr">
      <is>
        <t>None</t>
      </is>
    </nc>
  </rcc>
  <rcv guid="{72A6EB0A-84D5-4B8A-AC51-54CCD061630B}" action="delete"/>
  <rdn rId="0" localSheetId="1" customView="1" name="Z_72A6EB0A_84D5_4B8A_AC51_54CCD061630B_.wvu.FilterData" hidden="1" oldHidden="1">
    <formula>Merged_COEM!$B$47:$AN$151</formula>
    <oldFormula>Merged_COEM!$B$47:$AN$141</oldFormula>
  </rdn>
  <rdn rId="0" localSheetId="2" customView="1" name="Z_72A6EB0A_84D5_4B8A_AC51_54CCD061630B_.wvu.FilterData" hidden="1" oldHidden="1">
    <formula>Merged_JOEM!$B$47:$AN$116</formula>
    <oldFormula>Merged_JOEM!$B$47:$AN$108</oldFormula>
  </rdn>
  <rcv guid="{72A6EB0A-84D5-4B8A-AC51-54CCD061630B}"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name val="Arial"/>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63" sId="1">
    <nc r="X142">
      <f>W142</f>
    </nc>
  </rcc>
  <rcc rId="1664" sId="1">
    <nc r="Z142">
      <v>0.12</v>
    </nc>
  </rcc>
  <rcc rId="1665" sId="1">
    <nc r="AA142" t="inlineStr">
      <is>
        <t>Ready for review</t>
      </is>
    </nc>
  </rcc>
  <rcc rId="1666" sId="1" numFmtId="19">
    <nc r="AE142">
      <v>43959</v>
    </nc>
  </rcc>
  <rcc rId="1667" sId="1" numFmtId="19">
    <nc r="AF142">
      <v>43959</v>
    </nc>
  </rcc>
  <rcc rId="1668" sId="1">
    <nc r="AG142" t="inlineStr">
      <is>
        <t>OK</t>
      </is>
    </nc>
  </rcc>
  <rcc rId="1669" sId="1" numFmtId="14">
    <nc r="AH142">
      <v>1</v>
    </nc>
  </rcc>
  <rcc rId="1670" sId="1" numFmtId="14">
    <nc r="AI142">
      <v>1</v>
    </nc>
  </rcc>
  <rcc rId="1671" sId="1" numFmtId="14">
    <nc r="AJ142">
      <v>1</v>
    </nc>
  </rcc>
  <rcc rId="1672" sId="1">
    <nc r="AK142" t="inlineStr">
      <is>
        <t>None</t>
      </is>
    </nc>
  </rcc>
  <rcv guid="{3B3E6719-EACB-4D2C-89C1-05FFAB6020FD}" action="delete"/>
  <rdn rId="0" localSheetId="1" customView="1" name="Z_3B3E6719_EACB_4D2C_89C1_05FFAB6020FD_.wvu.FilterData" hidden="1" oldHidden="1">
    <formula>Merged_COEM!$B$47:$AN$151</formula>
    <oldFormula>Merged_COEM!$B$47:$AN$141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75" sId="1">
    <nc r="X135">
      <f>W135</f>
    </nc>
  </rcc>
  <rcc rId="1676" sId="1">
    <nc r="Z135">
      <v>8</v>
    </nc>
  </rcc>
  <rcc rId="1677" sId="1">
    <nc r="AA135" t="inlineStr">
      <is>
        <t>Ready for review</t>
      </is>
    </nc>
  </rcc>
  <rcc rId="1678" sId="1" numFmtId="19">
    <nc r="AE135">
      <v>43959</v>
    </nc>
  </rcc>
  <rcc rId="1679" sId="1" numFmtId="19">
    <nc r="AF135">
      <v>43959</v>
    </nc>
  </rcc>
  <rcc rId="1680" sId="1">
    <nc r="AG135" t="inlineStr">
      <is>
        <t>OK</t>
      </is>
    </nc>
  </rcc>
  <rcc rId="1681" sId="1" numFmtId="14">
    <nc r="AH135">
      <v>1</v>
    </nc>
  </rcc>
  <rcc rId="1682" sId="1" numFmtId="14">
    <nc r="AI135">
      <v>1</v>
    </nc>
  </rcc>
  <rcc rId="1683" sId="1" numFmtId="14">
    <nc r="AJ135">
      <v>1</v>
    </nc>
  </rcc>
  <rcc rId="1684" sId="1">
    <nc r="AK135" t="inlineStr">
      <is>
        <t>None</t>
      </is>
    </nc>
  </rcc>
  <rcc rId="1685" sId="1">
    <nc r="AL135" t="inlineStr">
      <is>
        <t>-</t>
      </is>
    </nc>
  </rcc>
  <rcc rId="1686" sId="1">
    <nc r="AM135" t="inlineStr">
      <is>
        <t>-</t>
      </is>
    </nc>
  </rcc>
  <rcc rId="1687" sId="1">
    <nc r="AN135" t="inlineStr">
      <is>
        <t>-</t>
      </is>
    </nc>
  </rcc>
  <rcv guid="{4E06BDBF-2CED-473B-850B-2A6C7311FF41}" action="delete"/>
  <rdn rId="0" localSheetId="1" customView="1" name="Z_4E06BDBF_2CED_473B_850B_2A6C7311FF41_.wvu.FilterData" hidden="1" oldHidden="1">
    <formula>Merged_COEM!$A$47:$AN$151</formula>
    <oldFormula>Merged_COEM!$A$47:$AN$141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90" sId="1">
    <oc r="N151" t="inlineStr">
      <is>
        <t>DFN_Venucia_ESP93_Carbon_Int</t>
      </is>
    </oc>
    <nc r="N151" t="inlineStr">
      <is>
        <t>BYD_ESP93_Int</t>
      </is>
    </nc>
  </rcc>
  <rcc rId="1691" sId="1">
    <oc r="N145" t="inlineStr">
      <is>
        <t>BYD_ESP93_Int</t>
      </is>
    </oc>
    <nc r="N145" t="inlineStr">
      <is>
        <t>DFN_Venucia_ESP93_Carbon_Int</t>
      </is>
    </nc>
  </rcc>
  <rcc rId="1692" sId="1">
    <oc r="N146" t="inlineStr">
      <is>
        <t>BYD_ESP93_Int</t>
      </is>
    </oc>
    <nc r="N146" t="inlineStr">
      <is>
        <t>DFN_Venucia_ESP93_Carbon_Int</t>
      </is>
    </nc>
  </rcc>
  <rcc rId="1693" sId="1">
    <oc r="N147" t="inlineStr">
      <is>
        <t>BYD_ESP93_Int</t>
      </is>
    </oc>
    <nc r="N147" t="inlineStr">
      <is>
        <t>DFN_Venucia_ESP93_Carbon_Int</t>
      </is>
    </nc>
  </rcc>
  <rcc rId="1694" sId="1">
    <oc r="N148" t="inlineStr">
      <is>
        <t>BYD_ESP93_Int</t>
      </is>
    </oc>
    <nc r="N148" t="inlineStr">
      <is>
        <t>DFN_Venucia_ESP93_Carbon_Int</t>
      </is>
    </nc>
  </rcc>
  <rcc rId="1695" sId="1">
    <oc r="N149" t="inlineStr">
      <is>
        <t>BYD_ESP93_Int</t>
      </is>
    </oc>
    <nc r="N149" t="inlineStr">
      <is>
        <t>DFN_Venucia_ESP93_Carbon_Int</t>
      </is>
    </nc>
  </rcc>
  <rcc rId="1696" sId="1">
    <oc r="N150" t="inlineStr">
      <is>
        <t>BYD_ESP93_Int</t>
      </is>
    </oc>
    <nc r="N150" t="inlineStr">
      <is>
        <t>DFN_Venucia_ESP93_Carbon_Int</t>
      </is>
    </nc>
  </rcc>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42"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3"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4"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5"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6"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7"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8" start="0" length="0">
    <dxf>
      <alignment horizontal="left" vertical="top" readingOrder="0"/>
      <border outline="0">
        <left style="thin">
          <color indexed="64"/>
        </left>
        <right style="thin">
          <color indexed="64"/>
        </right>
        <top style="thin">
          <color indexed="64"/>
        </top>
        <bottom style="thin">
          <color indexed="64"/>
        </bottom>
      </border>
    </dxf>
  </rfmt>
  <rfmt sheetId="1" xfDxf="1" sqref="F149" start="0" length="0">
    <dxf>
      <alignment horizontal="left" vertical="top" readingOrder="0"/>
      <border outline="0">
        <left style="thin">
          <color indexed="64"/>
        </left>
        <right style="thin">
          <color indexed="64"/>
        </right>
        <top style="thin">
          <color indexed="64"/>
        </top>
        <bottom style="thin">
          <color indexed="64"/>
        </bottom>
      </border>
    </dxf>
  </rfmt>
  <rfmt sheetId="1" xfDxf="1" sqref="F150" start="0" length="0">
    <dxf>
      <alignment horizontal="left" vertical="top" readingOrder="0"/>
      <border outline="0">
        <left style="thin">
          <color indexed="64"/>
        </left>
        <right style="thin">
          <color indexed="64"/>
        </right>
        <top style="thin">
          <color indexed="64"/>
        </top>
        <bottom style="thin">
          <color indexed="64"/>
        </bottom>
      </border>
    </dxf>
  </rfmt>
  <rfmt sheetId="1" xfDxf="1" sqref="F151" start="0" length="0">
    <dxf>
      <alignment horizontal="left" vertical="top" readingOrder="0"/>
      <border outline="0">
        <left style="thin">
          <color indexed="64"/>
        </left>
        <right style="thin">
          <color indexed="64"/>
        </right>
        <top style="thin">
          <color indexed="64"/>
        </top>
        <bottom style="thin">
          <color indexed="64"/>
        </bottom>
      </border>
    </dxf>
  </rfmt>
  <rcc rId="1697" sId="1" quotePrefix="1">
    <oc r="F142" t="inlineStr">
      <is>
        <t>rb\as\nio\prj\dsmpr\tst\Sim\STMComponents\</t>
      </is>
    </oc>
    <nc r="F142" t="inlineStr">
      <is>
        <t>NextEV_ESPHevX_Int\CNMSESPHevX\rb\as\nio\prj\dsmpr\tst\Sim\STMComponents\RBDSM_SWT_DTC.c</t>
      </is>
    </nc>
  </rcc>
  <rcc rId="1698" sId="1" quotePrefix="1">
    <oc r="F143" t="inlineStr">
      <is>
        <t>rb\as\nio\core\app\net\RBScl\src\</t>
      </is>
    </oc>
    <nc r="F143" t="inlineStr">
      <is>
        <t>NextEV_ESPHevX_Int\CNMSESPHevX\rb\as\nio\core\app\net\RBScl\src\NET_SCL_Rx_PEUF_VCU_84_NextEV.c</t>
      </is>
    </nc>
  </rcc>
  <rcc rId="1699" sId="1" quotePrefix="1">
    <oc r="F144" t="inlineStr">
      <is>
        <t>rb\as\nio\core\app\net\RBScl\src\</t>
      </is>
    </oc>
    <nc r="F144" t="inlineStr">
      <is>
        <t>NextEV_ESPHevX_Int\CNMSESPHevX\rb\as\nio\core\app\net\RBScl\src\NET_SCL_Rx_PEUR_VCU_8C_NextEV.c</t>
      </is>
    </nc>
  </rcc>
  <rcc rId="1700" sId="1" quotePrefix="1">
    <oc r="F145" t="inlineStr">
      <is>
        <t>rb\as\core\app\dcom\RBAPLEOL\src\RBAPLEOL_ActuatorTest.c</t>
      </is>
    </oc>
    <nc r="F145" t="inlineStr">
      <is>
        <t>DFN_Venucia_ESP93_Carbon_Int\MainstreamF30\rb\as\core\app\dcom\RBAPLEOL\src\RBAPLEOL_ActuatorTest.c</t>
      </is>
    </nc>
  </rcc>
  <rcc rId="1701" sId="1" quotePrefix="1">
    <oc r="F146" t="inlineStr">
      <is>
        <t>rb\as\core\app\dcom\RBAPLEOL\src\RBAPLEOL_ESPDynamicTest.c</t>
      </is>
    </oc>
    <nc r="F146" t="inlineStr">
      <is>
        <t>DFN_Venucia_ESP93_Carbon_Int\MainstreamF30\rb\as\core\app\dcom\RBAPLEOL\src\RBAPLEOL_ESPDynamicTest.c</t>
      </is>
    </nc>
  </rcc>
  <rcc rId="1702" sId="1" quotePrefix="1">
    <oc r="F147" t="inlineStr">
      <is>
        <t>rb\as\core\app\dcom\RBAPLEOL\src\RBAPLEOL_ExtendedDynamicTest.c</t>
      </is>
    </oc>
    <nc r="F147" t="inlineStr">
      <is>
        <t>DFN_Venucia_ESP93_Carbon_Int\MainstreamF30\rb\as\core\app\dcom\RBAPLEOL\src\RBAPLEOL_ExtendedDynamicTest.c</t>
      </is>
    </nc>
  </rcc>
  <rcc rId="1703" sId="1" quotePrefix="1">
    <oc r="F148" t="inlineStr">
      <is>
        <t>rb\as\core\app\dcom\RBAPLEOL\src\RBAPLEOL_PumpMotorErrorState.c</t>
      </is>
    </oc>
    <nc r="F148" t="inlineStr">
      <is>
        <t>DFN_Venucia_ESP93_Carbon_Int\MainstreamF30\rb\as\core\app\dcom\RBAPLEOL\src\RBAPLEOL_PumpMotorErrorState.c</t>
      </is>
    </nc>
  </rcc>
  <rcc rId="1704" sId="1" quotePrefix="1">
    <oc r="F149" t="inlineStr">
      <is>
        <t>rb\as\core\app\dcom\RBAPLEOL\src\RBAPLEOL_PumpSDTimeTest.c</t>
      </is>
    </oc>
    <nc r="F149" t="inlineStr">
      <is>
        <t>DFN_Venucia_ESP93_Carbon_Int\MainstreamF30\rb\as\core\app\dcom\RBAPLEOL\src\RBAPLEOL_PumpSDTimeTest.c</t>
      </is>
    </nc>
  </rcc>
  <rcc rId="1705" sId="1" quotePrefix="1">
    <oc r="F150" t="inlineStr">
      <is>
        <t>rb\as\core\app\dcom\RBAPLEOL\src\RBAPLEOL_ValvesToggling.c</t>
      </is>
    </oc>
    <nc r="F150" t="inlineStr">
      <is>
        <t>DFN_Venucia_ESP93_Carbon_Int\MainstreamF30\rb\as\core\app\dcom\RBAPLEOL\src\RBAPLEOL_ValvesToggling.c</t>
      </is>
    </nc>
  </rcc>
  <rcc rId="1706" sId="1" quotePrefix="1">
    <oc r="F151" t="inlineStr">
      <is>
        <t>MainstreamF30\rb\as\BYD\Mainstream151\app\net\RbNetPrj\RBNet_Can\src\rba_SCL_Settings.c</t>
      </is>
    </oc>
    <nc r="F151" t="inlineStr">
      <is>
        <t>BYD_ESP93_Int\MainstreamF30\rb\as\BYD\Mainstream151\app\net\RbNetPrj\RBNet_Can\src\rba_SCL_Settings.c</t>
      </is>
    </nc>
  </rcc>
  <rfmt sheetId="1" sqref="F142:F151" start="0" length="2147483647">
    <dxf>
      <font>
        <b/>
      </font>
    </dxf>
  </rfmt>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07" sId="1" quotePrefix="1">
    <nc r="O142" t="inlineStr">
      <is>
        <t>-</t>
      </is>
    </nc>
  </rcc>
  <rcc rId="1708" sId="1" quotePrefix="1">
    <nc r="O143" t="inlineStr">
      <is>
        <t>-</t>
      </is>
    </nc>
  </rcc>
  <rcc rId="1709" sId="1" quotePrefix="1">
    <nc r="O144" t="inlineStr">
      <is>
        <t>-</t>
      </is>
    </nc>
  </rcc>
  <rcc rId="1710" sId="1" quotePrefix="1">
    <nc r="O145" t="inlineStr">
      <is>
        <t>-</t>
      </is>
    </nc>
  </rcc>
  <rcc rId="1711" sId="1" quotePrefix="1">
    <nc r="O146" t="inlineStr">
      <is>
        <t>-</t>
      </is>
    </nc>
  </rcc>
  <rcc rId="1712" sId="1" quotePrefix="1">
    <nc r="O147" t="inlineStr">
      <is>
        <t>-</t>
      </is>
    </nc>
  </rcc>
  <rcc rId="1713" sId="1" quotePrefix="1">
    <nc r="O148" t="inlineStr">
      <is>
        <t>-</t>
      </is>
    </nc>
  </rcc>
  <rcc rId="1714" sId="1" quotePrefix="1">
    <nc r="O149" t="inlineStr">
      <is>
        <t>-</t>
      </is>
    </nc>
  </rcc>
  <rcc rId="1715" sId="1" quotePrefix="1">
    <nc r="O150" t="inlineStr">
      <is>
        <t>-</t>
      </is>
    </nc>
  </rcc>
  <rcc rId="1716" sId="1" quotePrefix="1">
    <nc r="O151" t="inlineStr">
      <is>
        <t>-</t>
      </is>
    </nc>
  </rcc>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17" sId="1" quotePrefix="1">
    <oc r="P151" t="inlineStr">
      <is>
        <t>VENKATESAN Azhaku Sathya Narayanan (CC-AS/EVA-SW32-CN)</t>
      </is>
    </oc>
    <nc r="P151" t="inlineStr">
      <is>
        <t>LI Zhiyuan (CC-AS/EVA-SW31-CN)</t>
      </is>
    </nc>
  </rcc>
  <rcc rId="1718" sId="1">
    <oc r="L145" t="inlineStr">
      <is>
        <t>BB80912</t>
      </is>
    </oc>
    <nc r="L145" t="inlineStr">
      <is>
        <t>BB81615</t>
      </is>
    </nc>
  </rcc>
  <rcc rId="1719" sId="1" quotePrefix="1">
    <oc r="P145" t="inlineStr">
      <is>
        <t>LI Zhiyuan (CC-AS/EVA-SW31-CN)</t>
      </is>
    </oc>
    <nc r="P145" t="inlineStr">
      <is>
        <t>VENKATESAN Azhaku Sathya Narayanan (CC-AS/EVA-SW32-CN)</t>
      </is>
    </nc>
  </rcc>
  <rcc rId="1720" sId="1">
    <oc r="L146" t="inlineStr">
      <is>
        <t>BB80912</t>
      </is>
    </oc>
    <nc r="L146" t="inlineStr">
      <is>
        <t>BB81615</t>
      </is>
    </nc>
  </rcc>
  <rcc rId="1721" sId="1" quotePrefix="1">
    <oc r="P146" t="inlineStr">
      <is>
        <t>LI Zhiyuan (CC-AS/EVA-SW31-CN)</t>
      </is>
    </oc>
    <nc r="P146" t="inlineStr">
      <is>
        <t>VENKATESAN Azhaku Sathya Narayanan (CC-AS/EVA-SW32-CN)</t>
      </is>
    </nc>
  </rcc>
  <rcc rId="1722" sId="1">
    <oc r="L147" t="inlineStr">
      <is>
        <t>BB80912</t>
      </is>
    </oc>
    <nc r="L147" t="inlineStr">
      <is>
        <t>BB81615</t>
      </is>
    </nc>
  </rcc>
  <rcc rId="1723" sId="1" quotePrefix="1">
    <oc r="P147" t="inlineStr">
      <is>
        <t>LI Zhiyuan (CC-AS/EVA-SW31-CN)</t>
      </is>
    </oc>
    <nc r="P147" t="inlineStr">
      <is>
        <t>VENKATESAN Azhaku Sathya Narayanan (CC-AS/EVA-SW32-CN)</t>
      </is>
    </nc>
  </rcc>
  <rcc rId="1724" sId="1">
    <oc r="L148" t="inlineStr">
      <is>
        <t>BB80912</t>
      </is>
    </oc>
    <nc r="L148" t="inlineStr">
      <is>
        <t>BB81615</t>
      </is>
    </nc>
  </rcc>
  <rcc rId="1725" sId="1" quotePrefix="1">
    <oc r="P148" t="inlineStr">
      <is>
        <t>LI Zhiyuan (CC-AS/EVA-SW31-CN)</t>
      </is>
    </oc>
    <nc r="P148" t="inlineStr">
      <is>
        <t>VENKATESAN Azhaku Sathya Narayanan (CC-AS/EVA-SW32-CN)</t>
      </is>
    </nc>
  </rcc>
  <rcc rId="1726" sId="1">
    <oc r="L149" t="inlineStr">
      <is>
        <t>BB80912</t>
      </is>
    </oc>
    <nc r="L149" t="inlineStr">
      <is>
        <t>BB81615</t>
      </is>
    </nc>
  </rcc>
  <rcc rId="1727" sId="1" quotePrefix="1">
    <oc r="P149" t="inlineStr">
      <is>
        <t>LI Zhiyuan (CC-AS/EVA-SW31-CN)</t>
      </is>
    </oc>
    <nc r="P149" t="inlineStr">
      <is>
        <t>VENKATESAN Azhaku Sathya Narayanan (CC-AS/EVA-SW32-CN)</t>
      </is>
    </nc>
  </rcc>
  <rcc rId="1728" sId="1">
    <oc r="L150" t="inlineStr">
      <is>
        <t>BB80912</t>
      </is>
    </oc>
    <nc r="L150" t="inlineStr">
      <is>
        <t>BB81615</t>
      </is>
    </nc>
  </rcc>
  <rcc rId="1729" sId="1" quotePrefix="1">
    <oc r="P150" t="inlineStr">
      <is>
        <t>LI Zhiyuan (CC-AS/EVA-SW31-CN)</t>
      </is>
    </oc>
    <nc r="P150" t="inlineStr">
      <is>
        <t>VENKATESAN Azhaku Sathya Narayanan (CC-AS/EVA-SW32-CN)</t>
      </is>
    </nc>
  </rcc>
  <rcc rId="1730" sId="1">
    <oc r="L151" t="inlineStr">
      <is>
        <t>BB81615</t>
      </is>
    </oc>
    <nc r="L151" t="inlineStr">
      <is>
        <t>BB80912</t>
      </is>
    </nc>
  </rcc>
  <rcv guid="{250915DF-0B97-45D7-B29D-7EED4C89C1C1}" action="delete"/>
  <rdn rId="0" localSheetId="1" customView="1" name="Z_250915DF_0B97_45D7_B29D_7EED4C89C1C1_.wvu.FilterData" hidden="1" oldHidden="1">
    <formula>Merged_COEM!$A$47:$AN$151</formula>
    <oldFormula>Merged_COEM!$A$47:$AN$151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Merged_COEM!$A$47:$AN$151</formula>
    <oldFormula>Merged_COEM!$A$47:$AN$151</oldFormula>
  </rdn>
  <rdn rId="0" localSheetId="2" customView="1" name="Z_250915DF_0B97_45D7_B29D_7EED4C89C1C1_.wvu.FilterData" hidden="1" oldHidden="1">
    <formula>Merged_JOEM!$B$47:$AN$108</formula>
    <oldFormula>Merged_JOEM!$B$47:$AN$108</oldFormula>
  </rdn>
  <rcv guid="{250915DF-0B97-45D7-B29D-7EED4C89C1C1}" action="add"/>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Merged_JOEM!$B$47:$AN$116</formula>
    <oldFormula>Merged_JOEM!$B$47:$AN$108</oldFormula>
  </rdn>
  <rcv guid="{7ECC2B8E-6A82-42F5-8AB0-4A51C54EA5EC}" action="add"/>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39" sId="1">
    <oc r="I116" t="inlineStr">
      <is>
        <t>RBHMI_Synchronisation_F30.C</t>
      </is>
    </oc>
    <nc r="I116" t="inlineStr">
      <is>
        <t>RBHMI_Synchronisation_F30.c</t>
      </is>
    </nc>
  </rcc>
  <rcv guid="{7ECC2B8E-6A82-42F5-8AB0-4A51C54EA5EC}" action="delete"/>
  <rdn rId="0" localSheetId="1" customView="1" name="Z_7ECC2B8E_6A82_42F5_8AB0_4A51C54EA5EC_.wvu.FilterData" hidden="1" oldHidden="1">
    <formula>Merged_COEM!$A$47:$AN$151</formula>
    <oldFormula>Merged_COEM!$B$47:$AN$151</oldFormula>
  </rdn>
  <rdn rId="0" localSheetId="2" customView="1" name="Z_7ECC2B8E_6A82_42F5_8AB0_4A51C54EA5EC_.wvu.FilterData" hidden="1" oldHidden="1">
    <formula>Merged_JOEM!$B$47:$AN$108</formula>
    <oldFormula>Merged_JOEM!$B$47:$AN$116</oldFormula>
  </rdn>
  <rcv guid="{7ECC2B8E-6A82-42F5-8AB0-4A51C54EA5EC}" action="add"/>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2" sId="1">
    <nc r="AN117" t="inlineStr">
      <is>
        <t>Waiting for dev confim</t>
      </is>
    </nc>
  </rcc>
  <rcv guid="{7ECC2B8E-6A82-42F5-8AB0-4A51C54EA5EC}" action="delete"/>
  <rdn rId="0" localSheetId="1" customView="1" name="Z_7ECC2B8E_6A82_42F5_8AB0_4A51C54EA5EC_.wvu.FilterData" hidden="1" oldHidden="1">
    <formula>Merged_COEM!$B$47:$AN$151</formula>
    <oldFormula>Merged_COEM!$A$47:$AN$151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5" sId="1">
    <nc r="X143">
      <f>W143</f>
    </nc>
  </rcc>
  <rcc rId="1746" sId="1">
    <nc r="Z143">
      <v>1</v>
    </nc>
  </rcc>
  <rcc rId="1747" sId="1">
    <nc r="AA143" t="inlineStr">
      <is>
        <t>Ready for review</t>
      </is>
    </nc>
  </rcc>
  <rcc rId="1748" sId="1" numFmtId="19">
    <nc r="AE143">
      <v>43959</v>
    </nc>
  </rcc>
  <rcc rId="1749" sId="1" numFmtId="19">
    <nc r="AF143">
      <v>43959</v>
    </nc>
  </rcc>
  <rcc rId="1750" sId="1">
    <nc r="AG143" t="inlineStr">
      <is>
        <t>OK</t>
      </is>
    </nc>
  </rcc>
  <rcc rId="1751" sId="1" numFmtId="14">
    <nc r="AH143">
      <v>1</v>
    </nc>
  </rcc>
  <rcc rId="1752" sId="1" numFmtId="14">
    <nc r="AI143">
      <v>1</v>
    </nc>
  </rcc>
  <rcc rId="1753" sId="1" numFmtId="14">
    <nc r="AJ143">
      <v>1</v>
    </nc>
  </rcc>
  <rcc rId="1754" sId="1">
    <nc r="AK143" t="inlineStr">
      <is>
        <t>None</t>
      </is>
    </nc>
  </rcc>
  <rcc rId="1755" sId="1" numFmtId="19">
    <nc r="AE144">
      <v>43959</v>
    </nc>
  </rcc>
  <rcc rId="1756" sId="1" numFmtId="19">
    <nc r="AF144">
      <v>43959</v>
    </nc>
  </rcc>
  <rcc rId="1757" sId="1">
    <nc r="AG144" t="inlineStr">
      <is>
        <t>OK</t>
      </is>
    </nc>
  </rcc>
  <rcc rId="1758" sId="1" numFmtId="14">
    <nc r="AH144">
      <v>1</v>
    </nc>
  </rcc>
  <rcc rId="1759" sId="1" numFmtId="14">
    <nc r="AI144">
      <v>1</v>
    </nc>
  </rcc>
  <rcc rId="1760" sId="1" numFmtId="14">
    <nc r="AJ144">
      <v>1</v>
    </nc>
  </rcc>
  <rcc rId="1761" sId="1">
    <nc r="AK144"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64" sId="1">
    <nc r="X144">
      <f>W144</f>
    </nc>
  </rcc>
  <rcc rId="1765" sId="1">
    <nc r="Z144">
      <v>1</v>
    </nc>
  </rcc>
  <rcc rId="1766" sId="1">
    <nc r="AA144" t="inlineStr">
      <is>
        <t>Ready for review</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Merged_COEM!$A$47:$AN$151</formula>
    <oldFormula>Merged_COEM!$A$47:$AN$151</oldFormula>
  </rdn>
  <rdn rId="0" localSheetId="2" customView="1" name="Z_4E06BDBF_2CED_473B_850B_2A6C7311FF41_.wvu.FilterData" hidden="1" oldHidden="1">
    <formula>Merged_JOEM!$B$47:$AN$108</formula>
    <oldFormula>Merged_JOEM!$B$47:$AN$108</oldFormula>
  </rdn>
  <rcv guid="{4E06BDBF-2CED-473B-850B-2A6C7311FF41}"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75" sId="1">
    <oc r="AK51" t="inlineStr">
      <is>
        <t>OPL</t>
      </is>
    </oc>
    <nc r="AK51" t="inlineStr">
      <is>
        <t>Defect</t>
      </is>
    </nc>
  </rcc>
  <rcc rId="1776" sId="1">
    <oc r="AK48" t="inlineStr">
      <is>
        <t>OPL</t>
      </is>
    </oc>
    <nc r="AK48" t="inlineStr">
      <is>
        <t>Defect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8" start="0" length="0">
    <dxf>
      <alignment horizontal="general" vertical="bottom" readingOrder="0"/>
      <border outline="0">
        <left/>
        <right/>
        <top/>
        <bottom/>
      </border>
    </dxf>
  </rfmt>
  <rfmt sheetId="1" xfDxf="1" sqref="AN48" start="0" length="0">
    <dxf>
      <font>
        <sz val="10"/>
        <color rgb="FF000000"/>
        <name val="Segoe UI"/>
        <scheme val="none"/>
      </font>
      <alignment vertical="center" readingOrder="0"/>
    </dxf>
  </rfmt>
  <rfmt sheetId="1" sqref="AN51" start="0" length="0">
    <dxf>
      <alignment horizontal="general" vertical="bottom" readingOrder="0"/>
      <border outline="0">
        <left/>
        <right/>
        <top/>
        <bottom/>
      </border>
    </dxf>
  </rfmt>
  <rfmt sheetId="1" xfDxf="1" sqref="AN51" start="0" length="0">
    <dxf>
      <font>
        <sz val="10"/>
        <color rgb="FF000000"/>
        <name val="Segoe UI"/>
        <scheme val="none"/>
      </font>
      <alignment vertical="center" readingOrder="0"/>
    </dxf>
  </rfmt>
  <rcc rId="1779" sId="1">
    <oc r="AN48" t="inlineStr">
      <is>
        <t>Waiting owner</t>
      </is>
    </oc>
    <nc r="AN48" t="inlineStr">
      <is>
        <t>Raise email 3 time but Owner doesn't confirm</t>
      </is>
    </nc>
  </rcc>
  <rcc rId="1780" sId="1">
    <oc r="AN51" t="inlineStr">
      <is>
        <t>Waiting owner</t>
      </is>
    </oc>
    <nc r="AN51" t="inlineStr">
      <is>
        <t>Raise email 3 time but Owner doesn't confirm</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6:V106">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I106" start="0" length="0">
    <dxf>
      <font>
        <sz val="10"/>
        <color rgb="FF9C6500"/>
        <name val="Arial"/>
        <scheme val="minor"/>
      </font>
      <fill>
        <patternFill patternType="none">
          <bgColor indexed="65"/>
        </patternFill>
      </fill>
    </dxf>
  </rfmt>
  <rfmt sheetId="1" sqref="J106" start="0" length="0">
    <dxf>
      <font>
        <sz val="11"/>
        <color theme="1"/>
        <name val="Calibri"/>
        <scheme val="minor"/>
      </font>
      <fill>
        <patternFill>
          <bgColor theme="0" tint="-0.499984740745262"/>
        </patternFill>
      </fill>
    </dxf>
  </rfmt>
  <rfmt sheetId="1" sqref="K106" start="0" length="0">
    <dxf>
      <font>
        <sz val="11"/>
        <color theme="1"/>
        <name val="Calibri"/>
        <scheme val="minor"/>
      </font>
      <fill>
        <patternFill patternType="none">
          <bgColor indexed="65"/>
        </patternFill>
      </fill>
    </dxf>
  </rfmt>
  <rfmt sheetId="1" sqref="L106" start="0" length="0">
    <dxf>
      <font>
        <sz val="11"/>
        <color theme="1"/>
        <name val="Calibri"/>
        <scheme val="minor"/>
      </font>
      <fill>
        <patternFill patternType="none">
          <bgColor indexed="65"/>
        </patternFill>
      </fill>
    </dxf>
  </rfmt>
  <rfmt sheetId="1" sqref="M106" start="0" length="0">
    <dxf>
      <font>
        <sz val="11"/>
        <color theme="1"/>
        <name val="Calibri"/>
        <scheme val="minor"/>
      </font>
      <fill>
        <patternFill patternType="none">
          <bgColor indexed="65"/>
        </patternFill>
      </fill>
    </dxf>
  </rfmt>
  <rfmt sheetId="1" sqref="N106" start="0" length="0">
    <dxf>
      <font>
        <sz val="11"/>
        <color theme="1"/>
        <name val="Calibri"/>
        <scheme val="minor"/>
      </font>
      <fill>
        <patternFill patternType="none">
          <bgColor indexed="65"/>
        </patternFill>
      </fill>
    </dxf>
  </rfmt>
  <rfmt sheetId="1" sqref="O106" start="0" length="0">
    <dxf>
      <font>
        <sz val="11"/>
        <color theme="1"/>
        <name val="Calibri"/>
        <scheme val="minor"/>
      </font>
      <fill>
        <patternFill patternType="none">
          <bgColor indexed="65"/>
        </patternFill>
      </fill>
    </dxf>
  </rfmt>
  <rfmt sheetId="1" sqref="P106" start="0" length="0">
    <dxf>
      <font>
        <sz val="11"/>
        <color theme="1"/>
        <name val="Calibri"/>
        <scheme val="minor"/>
      </font>
      <fill>
        <patternFill patternType="none">
          <bgColor indexed="65"/>
        </patternFill>
      </fill>
    </dxf>
  </rfmt>
  <rfmt sheetId="1" sqref="Q106" start="0" length="0">
    <dxf>
      <font>
        <sz val="11"/>
        <color theme="1"/>
        <name val="Calibri"/>
        <scheme val="minor"/>
      </font>
      <fill>
        <patternFill>
          <bgColor rgb="FFFFFF00"/>
        </patternFill>
      </fill>
    </dxf>
  </rfmt>
  <rfmt sheetId="1" sqref="R106" start="0" length="0">
    <dxf>
      <font>
        <sz val="11"/>
        <color theme="1"/>
        <name val="Calibri"/>
        <scheme val="minor"/>
      </font>
      <fill>
        <patternFill>
          <bgColor theme="0" tint="-0.499984740745262"/>
        </patternFill>
      </fill>
    </dxf>
  </rfmt>
  <rfmt sheetId="1" sqref="S106" start="0" length="0">
    <dxf>
      <font>
        <sz val="11"/>
        <color theme="1"/>
        <name val="Calibri"/>
        <scheme val="minor"/>
      </font>
      <fill>
        <patternFill patternType="none">
          <bgColor indexed="65"/>
        </patternFill>
      </fill>
    </dxf>
  </rfmt>
  <rfmt sheetId="1" sqref="T106" start="0" length="0">
    <dxf>
      <font>
        <sz val="11"/>
        <color theme="1"/>
        <name val="Calibri"/>
        <scheme val="minor"/>
      </font>
      <fill>
        <patternFill patternType="none">
          <bgColor indexed="65"/>
        </patternFill>
      </fill>
    </dxf>
  </rfmt>
  <rfmt sheetId="1" sqref="U106" start="0" length="0">
    <dxf>
      <font>
        <sz val="11"/>
        <color theme="1"/>
        <name val="Calibri"/>
        <scheme val="minor"/>
      </font>
      <fill>
        <patternFill patternType="none">
          <bgColor indexed="65"/>
        </patternFill>
      </fill>
    </dxf>
  </rfmt>
  <rfmt sheetId="1" sqref="V106" start="0" length="0">
    <dxf>
      <font>
        <sz val="11"/>
        <color theme="1"/>
        <name val="Calibri"/>
        <scheme val="minor"/>
      </font>
      <fill>
        <patternFill patternType="none">
          <bgColor indexed="65"/>
        </patternFill>
      </fill>
    </dxf>
  </rfmt>
  <rcc rId="1783" sId="1">
    <nc r="X106">
      <f>W106</f>
    </nc>
  </rcc>
  <rcc rId="1784" sId="1">
    <nc r="Z106">
      <v>1</v>
    </nc>
  </rcc>
  <rcc rId="1785" sId="1">
    <nc r="AA106" t="inlineStr">
      <is>
        <t>Ready for review</t>
      </is>
    </nc>
  </rcc>
  <rcc rId="1786" sId="1" numFmtId="19">
    <nc r="AE106">
      <v>43959</v>
    </nc>
  </rcc>
  <rcc rId="1787" sId="1" numFmtId="19">
    <nc r="AF106">
      <v>43959</v>
    </nc>
  </rcc>
  <rcc rId="1788" sId="1">
    <nc r="AG106" t="inlineStr">
      <is>
        <t>OK</t>
      </is>
    </nc>
  </rcc>
  <rcc rId="1789" sId="1" numFmtId="14">
    <nc r="AH106">
      <v>1</v>
    </nc>
  </rcc>
  <rcc rId="1790" sId="1" numFmtId="14">
    <nc r="AI106">
      <v>1</v>
    </nc>
  </rcc>
  <rcc rId="1791" sId="1" numFmtId="14">
    <nc r="AJ106">
      <v>1</v>
    </nc>
  </rcc>
  <rcc rId="1792" sId="1">
    <nc r="AK106" t="inlineStr">
      <is>
        <t>None</t>
      </is>
    </nc>
  </rcc>
  <rcc rId="1793" sId="1">
    <nc r="AL104" t="inlineStr">
      <is>
        <t>-</t>
      </is>
    </nc>
  </rcc>
  <rcc rId="1794" sId="1">
    <nc r="AM104" t="inlineStr">
      <is>
        <t>-</t>
      </is>
    </nc>
  </rcc>
  <rcc rId="1795" sId="1">
    <nc r="AN104" t="inlineStr">
      <is>
        <t>-</t>
      </is>
    </nc>
  </rcc>
  <rcc rId="1796" sId="1">
    <nc r="AL105" t="inlineStr">
      <is>
        <t>-</t>
      </is>
    </nc>
  </rcc>
  <rcc rId="1797" sId="1">
    <nc r="AM105" t="inlineStr">
      <is>
        <t>-</t>
      </is>
    </nc>
  </rcc>
  <rcc rId="1798" sId="1">
    <nc r="AN105" t="inlineStr">
      <is>
        <t>-</t>
      </is>
    </nc>
  </rcc>
  <rcc rId="1799" sId="1">
    <nc r="AL106" t="inlineStr">
      <is>
        <t>-</t>
      </is>
    </nc>
  </rcc>
  <rcc rId="1800" sId="1">
    <nc r="AM106" t="inlineStr">
      <is>
        <t>-</t>
      </is>
    </nc>
  </rcc>
  <rcc rId="1801" sId="1">
    <nc r="AN106"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I107">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804" sId="1">
    <nc r="X107">
      <f>W107</f>
    </nc>
  </rcc>
  <rcc rId="1805" sId="1">
    <nc r="Z107">
      <v>1</v>
    </nc>
  </rcc>
  <rcc rId="1806" sId="1">
    <nc r="AA107" t="inlineStr">
      <is>
        <t>Ready for review</t>
      </is>
    </nc>
  </rcc>
  <rcc rId="1807" sId="1" numFmtId="19">
    <nc r="AE107">
      <v>43959</v>
    </nc>
  </rcc>
  <rcc rId="1808" sId="1" numFmtId="19">
    <nc r="AF107">
      <v>43959</v>
    </nc>
  </rcc>
  <rcc rId="1809" sId="1">
    <nc r="AG107" t="inlineStr">
      <is>
        <t>OK</t>
      </is>
    </nc>
  </rcc>
  <rcc rId="1810" sId="1" numFmtId="14">
    <nc r="AH107">
      <v>1</v>
    </nc>
  </rcc>
  <rcc rId="1811" sId="1" numFmtId="14">
    <nc r="AI107">
      <v>1</v>
    </nc>
  </rcc>
  <rcc rId="1812" sId="1" numFmtId="14">
    <nc r="AJ107">
      <v>1</v>
    </nc>
  </rcc>
  <rcc rId="1813" sId="1">
    <nc r="AK107" t="inlineStr">
      <is>
        <t>None</t>
      </is>
    </nc>
  </rcc>
  <rcc rId="1814" sId="1">
    <nc r="AL107" t="inlineStr">
      <is>
        <t>-</t>
      </is>
    </nc>
  </rcc>
  <rcc rId="1815" sId="1">
    <nc r="AM107" t="inlineStr">
      <is>
        <t>-</t>
      </is>
    </nc>
  </rcc>
  <rcc rId="1816" sId="1">
    <nc r="AN107"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 start="0" length="0">
    <dxf>
      <font>
        <b/>
        <sz val="10"/>
        <color rgb="FF9C6500"/>
        <name val="Arial"/>
        <scheme val="minor"/>
      </font>
      <fill>
        <patternFill patternType="none">
          <bgColor indexed="65"/>
        </patternFill>
      </fill>
    </dxf>
  </rfmt>
  <rfmt sheetId="1" sqref="G107" start="0" length="0">
    <dxf>
      <font>
        <sz val="11"/>
        <color theme="1"/>
        <name val="Calibri"/>
        <scheme val="minor"/>
      </font>
      <fill>
        <patternFill patternType="none">
          <bgColor indexed="65"/>
        </patternFill>
      </fill>
    </dxf>
  </rfmt>
  <rfmt sheetId="1" sqref="H107" start="0" length="0">
    <dxf>
      <font>
        <sz val="11"/>
        <color theme="1"/>
        <name val="Calibri"/>
        <scheme val="minor"/>
      </font>
      <fill>
        <patternFill>
          <bgColor theme="0" tint="-0.499984740745262"/>
        </patternFill>
      </fill>
    </dxf>
  </rfmt>
  <rfmt sheetId="1" sqref="I107" start="0" length="0">
    <dxf>
      <font>
        <sz val="10"/>
        <color rgb="FF9C6500"/>
        <name val="Arial"/>
        <scheme val="minor"/>
      </font>
      <fill>
        <patternFill patternType="none">
          <bgColor indexed="65"/>
        </patternFill>
      </fill>
    </dxf>
  </rfmt>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9" sId="1">
    <nc r="AL48" t="inlineStr">
      <is>
        <t>Casting wrong poniter format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2" sId="1">
    <oc r="AL48" t="inlineStr">
      <is>
        <t>Casting wrong poniter format</t>
      </is>
    </oc>
    <nc r="AL48" t="inlineStr">
      <is>
        <t>Casting wrong poniter format at line #215</t>
      </is>
    </nc>
  </rcc>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3" sId="1" odxf="1" dxf="1">
    <oc r="AM48" t="inlineStr">
      <is>
        <t>Because at line #152, variable  __ghs_BLDR_CUSInterfaceRef is defined as uint32, but, it's address was cast to (RBLCF_HexBlockStruct_t *) type. Thus testcase fail at line #324
If I comment line #324, the following result will be achieved.</t>
      </is>
    </oc>
    <nc r="AM48" t="inlineStr">
      <is>
        <t>Because at line #215, variable  __ghs_BLDR_CUSInterfaceRef is defined as uint32, but, it's address was cast to (RBLCF_HexBlockStruct_t *) type. Thus testcase fail at line #324
If I comment line #324, the following result will be achieved.</t>
      </is>
    </nc>
    <odxf>
      <alignment wrapText="0" readingOrder="0"/>
    </odxf>
    <ndxf>
      <alignment wrapText="1" readingOrder="0"/>
    </ndxf>
  </rcc>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4" sId="1">
    <nc r="X114">
      <f>W114</f>
    </nc>
  </rcc>
  <rcc rId="1825" sId="1">
    <nc r="X115">
      <f>W115</f>
    </nc>
  </rcc>
  <rcc rId="1826" sId="1">
    <nc r="X151">
      <f>W151</f>
    </nc>
  </rcc>
  <rcc rId="1827" sId="1">
    <nc r="Z151">
      <v>4</v>
    </nc>
  </rcc>
  <rcc rId="1828" sId="1">
    <nc r="AA151" t="inlineStr">
      <is>
        <t>Ready for review</t>
      </is>
    </nc>
  </rcc>
  <rcc rId="1829" sId="1" numFmtId="19">
    <nc r="AE151">
      <v>43959</v>
    </nc>
  </rcc>
  <rcc rId="1830" sId="1" numFmtId="19">
    <nc r="AF151">
      <v>43959</v>
    </nc>
  </rcc>
  <rcc rId="1831" sId="1">
    <nc r="AG151" t="inlineStr">
      <is>
        <t>OK</t>
      </is>
    </nc>
  </rcc>
  <rcc rId="1832" sId="1" numFmtId="14">
    <nc r="AH151">
      <v>1</v>
    </nc>
  </rcc>
  <rcc rId="1833" sId="1" numFmtId="14">
    <nc r="AI151">
      <v>1</v>
    </nc>
  </rcc>
  <rcc rId="1834" sId="1" numFmtId="14">
    <nc r="AJ151">
      <v>1</v>
    </nc>
  </rcc>
  <rcc rId="1835" sId="1">
    <nc r="AK151" t="inlineStr">
      <is>
        <t>None</t>
      </is>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Merged_JOEM!$B$47:$AN$108</formula>
    <oldFormula>Merged_JOEM!$B$47:$AN$108</oldFormula>
  </rdn>
  <rcv guid="{7ECC2B8E-6A82-42F5-8AB0-4A51C54EA5EC}" action="add"/>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1:I111">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1838" sId="1">
    <nc r="AK111" t="inlineStr">
      <is>
        <t>OPL</t>
      </is>
    </nc>
  </rcc>
  <rcc rId="1839" sId="1">
    <nc r="X111">
      <f>W111</f>
    </nc>
  </rcc>
  <rcc rId="1840" sId="1">
    <nc r="Z111">
      <v>1</v>
    </nc>
  </rcc>
  <rcc rId="1841" sId="1">
    <nc r="AA111" t="inlineStr">
      <is>
        <t>Ready for review</t>
      </is>
    </nc>
  </rcc>
  <rcc rId="1842" sId="1" numFmtId="14">
    <nc r="AH111">
      <v>0.71</v>
    </nc>
  </rcc>
  <rcc rId="1843" sId="1" numFmtId="14">
    <nc r="AI111">
      <v>0.6</v>
    </nc>
  </rcc>
  <rcc rId="1844" sId="1" numFmtId="14">
    <nc r="AJ111">
      <v>1</v>
    </nc>
  </rcc>
  <rcc rId="1845" sId="1">
    <nc r="AG111" t="inlineStr">
      <is>
        <t>NG</t>
      </is>
    </nc>
  </rcc>
  <rcc rId="1846" sId="1" numFmtId="19">
    <nc r="AE111">
      <v>43959</v>
    </nc>
  </rcc>
  <rcc rId="1847" sId="1" numFmtId="19">
    <nc r="AF111">
      <v>43959</v>
    </nc>
  </rcc>
  <rfmt sheetId="1" sqref="AL111" start="0" length="0">
    <dxf/>
  </rfmt>
  <rfmt sheetId="1" sqref="AL111" start="0" length="0">
    <dxf/>
  </rfmt>
  <rcc rId="1848" sId="1" odxf="1" dxf="1" quotePrefix="1">
    <nc r="AL111" t="inlineStr">
      <is>
        <t>- Can’t cover endless loop at line #64.</t>
      </is>
    </nc>
    <ndxf/>
  </rcc>
  <rcc rId="1849" sId="1">
    <nc r="AM111" t="inlineStr">
      <is>
        <t>-</t>
      </is>
    </nc>
  </rcc>
  <rcc rId="1850" sId="1">
    <nc r="AN111"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53" sId="1">
    <nc r="AL86" t="inlineStr">
      <is>
        <t>Cannot cover branch "else" at line #155</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56" sId="2">
    <nc r="X111">
      <f>W111</f>
    </nc>
  </rcc>
  <rcc rId="1857" sId="2">
    <nc r="X112">
      <f>W112</f>
    </nc>
  </rcc>
  <rcc rId="1858" sId="2">
    <nc r="X113">
      <f>W113</f>
    </nc>
  </rcc>
  <rcc rId="1859" sId="2">
    <nc r="X114">
      <f>W114</f>
    </nc>
  </rcc>
  <rcc rId="1860" sId="2">
    <nc r="X115">
      <f>W115</f>
    </nc>
  </rcc>
  <rcc rId="1861" sId="2">
    <nc r="AA111" t="inlineStr">
      <is>
        <t>Ready for review</t>
      </is>
    </nc>
  </rcc>
  <rcc rId="1862" sId="2">
    <nc r="AA112" t="inlineStr">
      <is>
        <t>Ready for review</t>
      </is>
    </nc>
  </rcc>
  <rcc rId="1863" sId="2">
    <nc r="AA113" t="inlineStr">
      <is>
        <t>Ready for review</t>
      </is>
    </nc>
  </rcc>
  <rcc rId="1864" sId="2">
    <nc r="AA114" t="inlineStr">
      <is>
        <t>Ready for review</t>
      </is>
    </nc>
  </rcc>
  <rcc rId="1865" sId="2">
    <nc r="AA115" t="inlineStr">
      <is>
        <t>Ready for review</t>
      </is>
    </nc>
  </rcc>
  <rcc rId="1866" sId="2" numFmtId="19">
    <nc r="AE111">
      <v>43959</v>
    </nc>
  </rcc>
  <rcc rId="1867" sId="2" numFmtId="19">
    <nc r="AF111">
      <v>43959</v>
    </nc>
  </rcc>
  <rcc rId="1868" sId="2" numFmtId="19">
    <nc r="AE112">
      <v>43959</v>
    </nc>
  </rcc>
  <rcc rId="1869" sId="2" numFmtId="19">
    <nc r="AF112">
      <v>43959</v>
    </nc>
  </rcc>
  <rcc rId="1870" sId="2" numFmtId="19">
    <nc r="AE113">
      <v>43959</v>
    </nc>
  </rcc>
  <rcc rId="1871" sId="2" numFmtId="19">
    <nc r="AF113">
      <v>43959</v>
    </nc>
  </rcc>
  <rcc rId="1872" sId="2" numFmtId="19">
    <nc r="AE114">
      <v>43959</v>
    </nc>
  </rcc>
  <rcc rId="1873" sId="2" numFmtId="19">
    <nc r="AF114">
      <v>43959</v>
    </nc>
  </rcc>
  <rcc rId="1874" sId="2" numFmtId="19">
    <nc r="AE115">
      <v>43959</v>
    </nc>
  </rcc>
  <rcc rId="1875" sId="2" numFmtId="19">
    <nc r="AF115">
      <v>43959</v>
    </nc>
  </rcc>
  <rcc rId="1876" sId="2">
    <nc r="AG111" t="inlineStr">
      <is>
        <t>OK</t>
      </is>
    </nc>
  </rcc>
  <rcc rId="1877" sId="2">
    <nc r="AG112" t="inlineStr">
      <is>
        <t>OK</t>
      </is>
    </nc>
  </rcc>
  <rcc rId="1878" sId="2">
    <nc r="AG113" t="inlineStr">
      <is>
        <t>OK</t>
      </is>
    </nc>
  </rcc>
  <rcc rId="1879" sId="2">
    <nc r="AG114" t="inlineStr">
      <is>
        <t>OK</t>
      </is>
    </nc>
  </rcc>
  <rcc rId="1880" sId="2">
    <nc r="AG115" t="inlineStr">
      <is>
        <t>OK</t>
      </is>
    </nc>
  </rcc>
  <rfmt sheetId="2" xfDxf="1" sqref="AH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1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881" sId="2" numFmtId="14">
    <nc r="AH111">
      <v>1</v>
    </nc>
  </rcc>
  <rcc rId="1882" sId="2" numFmtId="14">
    <nc r="AI111">
      <v>1</v>
    </nc>
  </rcc>
  <rcc rId="1883" sId="2" numFmtId="14">
    <nc r="AJ111">
      <v>0.75</v>
    </nc>
  </rcc>
  <rcc rId="1884" sId="2">
    <nc r="AH112" t="inlineStr">
      <is>
        <t>NA</t>
      </is>
    </nc>
  </rcc>
  <rcc rId="1885" sId="2">
    <nc r="AI112" t="inlineStr">
      <is>
        <t>NA</t>
      </is>
    </nc>
  </rcc>
  <rcc rId="1886" sId="2">
    <nc r="AJ112" t="inlineStr">
      <is>
        <t>NA</t>
      </is>
    </nc>
  </rcc>
  <rcc rId="1887" sId="2" numFmtId="14">
    <nc r="AH113">
      <v>1</v>
    </nc>
  </rcc>
  <rcc rId="1888" sId="2" numFmtId="14">
    <nc r="AI113">
      <v>1</v>
    </nc>
  </rcc>
  <rcc rId="1889" sId="2">
    <nc r="AJ113" t="inlineStr">
      <is>
        <t>NA</t>
      </is>
    </nc>
  </rcc>
  <rcc rId="1890" sId="2" numFmtId="14">
    <nc r="AH114">
      <v>1</v>
    </nc>
  </rcc>
  <rcc rId="1891" sId="2" numFmtId="14">
    <nc r="AI114">
      <v>1</v>
    </nc>
  </rcc>
  <rcc rId="1892" sId="2">
    <nc r="AJ114" t="inlineStr">
      <is>
        <t>NA</t>
      </is>
    </nc>
  </rcc>
  <rcc rId="1893" sId="2" numFmtId="14">
    <nc r="AH115">
      <v>1</v>
    </nc>
  </rcc>
  <rcc rId="1894" sId="2" numFmtId="14">
    <nc r="AI115">
      <v>1</v>
    </nc>
  </rcc>
  <rcc rId="1895" sId="2" numFmtId="14">
    <nc r="AJ115">
      <v>0.5</v>
    </nc>
  </rcc>
  <rcc rId="1896" sId="2">
    <nc r="AK112" t="inlineStr">
      <is>
        <t>None</t>
      </is>
    </nc>
  </rcc>
  <rcc rId="1897" sId="2">
    <nc r="AL112" t="inlineStr">
      <is>
        <t>Message Class</t>
      </is>
    </nc>
  </rcc>
  <rcv guid="{336B6883-2145-4B58-921E-CEC7185A847E}" action="delete"/>
  <rdn rId="0" localSheetId="1" customView="1" name="Z_336B6883_2145_4B58_921E_CEC7185A847E_.wvu.FilterData" hidden="1" oldHidden="1">
    <formula>Merged_COEM!$P$47:$P$194</formula>
    <oldFormula>Merged_COEM!$P$47:$P$194</oldFormula>
  </rdn>
  <rdn rId="0" localSheetId="2" customView="1" name="Z_336B6883_2145_4B58_921E_CEC7185A847E_.wvu.FilterData" hidden="1" oldHidden="1">
    <formula>Merged_JOEM!$B$47:$AN$116</formula>
    <oldFormula>Merged_JOEM!$B$47:$AN$108</oldFormula>
  </rdn>
  <rcv guid="{336B6883-2145-4B58-921E-CEC7185A847E}" action="add"/>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00" sId="2">
    <nc r="Z111">
      <v>1</v>
    </nc>
  </rcc>
  <rcc rId="1901" sId="2">
    <nc r="Z112">
      <v>1</v>
    </nc>
  </rcc>
  <rcc rId="1902" sId="2">
    <nc r="Z113">
      <v>1</v>
    </nc>
  </rcc>
  <rcc rId="1903" sId="2">
    <nc r="Z114">
      <v>1</v>
    </nc>
  </rcc>
  <rcc rId="1904" sId="2">
    <nc r="Z115">
      <v>1</v>
    </nc>
  </rcc>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05" sId="1">
    <nc r="X145">
      <f>W145</f>
    </nc>
  </rcc>
  <rcc rId="1906" sId="1">
    <nc r="Z145">
      <v>2</v>
    </nc>
  </rcc>
  <rcc rId="1907" sId="1">
    <nc r="AA145" t="inlineStr">
      <is>
        <t>Ready for review</t>
      </is>
    </nc>
  </rcc>
  <rcc rId="1908" sId="1" numFmtId="19">
    <nc r="AE145">
      <v>43959</v>
    </nc>
  </rcc>
  <rcc rId="1909" sId="1" numFmtId="19">
    <nc r="AF145">
      <v>43959</v>
    </nc>
  </rcc>
  <rcc rId="1910" sId="1">
    <nc r="AG145" t="inlineStr">
      <is>
        <t>OK</t>
      </is>
    </nc>
  </rcc>
  <rcc rId="1911" sId="1" numFmtId="14">
    <nc r="AH145">
      <v>1</v>
    </nc>
  </rcc>
  <rcc rId="1912" sId="1" numFmtId="14">
    <nc r="AI145">
      <v>1</v>
    </nc>
  </rcc>
  <rcc rId="1913" sId="1" numFmtId="14">
    <nc r="AJ145">
      <v>1</v>
    </nc>
  </rcc>
  <rcc rId="1914" sId="1">
    <nc r="AK145"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17" sId="1" numFmtId="19">
    <nc r="AB114">
      <v>43959</v>
    </nc>
  </rcc>
  <rcc rId="1918" sId="1" numFmtId="19">
    <nc r="AB115">
      <v>43959</v>
    </nc>
  </rcc>
  <rcc rId="1919" sId="1" numFmtId="19">
    <nc r="AB116">
      <v>43959</v>
    </nc>
  </rcc>
  <rcc rId="1920" sId="1" numFmtId="19">
    <nc r="AB117">
      <v>43959</v>
    </nc>
  </rcc>
  <rcc rId="1921" sId="1" numFmtId="19">
    <nc r="AB118">
      <v>43959</v>
    </nc>
  </rcc>
  <rcc rId="1922" sId="1" numFmtId="19">
    <nc r="AB119">
      <v>43959</v>
    </nc>
  </rcc>
  <rcc rId="1923" sId="1" numFmtId="19">
    <nc r="AB120">
      <v>43959</v>
    </nc>
  </rcc>
  <rcc rId="1924" sId="1" numFmtId="19">
    <nc r="AB121">
      <v>43959</v>
    </nc>
  </rcc>
  <rcc rId="1925" sId="1" numFmtId="19">
    <nc r="AB122">
      <v>43959</v>
    </nc>
  </rcc>
  <rcc rId="1926" sId="1" numFmtId="19">
    <nc r="AB123">
      <v>43959</v>
    </nc>
  </rcc>
  <rcc rId="1927" sId="1" numFmtId="19">
    <nc r="AB124">
      <v>43959</v>
    </nc>
  </rcc>
  <rcc rId="1928" sId="1" numFmtId="19">
    <nc r="AB125">
      <v>43959</v>
    </nc>
  </rcc>
  <rcc rId="1929" sId="1" numFmtId="19">
    <nc r="AB126">
      <v>43959</v>
    </nc>
  </rcc>
  <rcc rId="1930" sId="1" numFmtId="19">
    <nc r="AB127">
      <v>43959</v>
    </nc>
  </rcc>
  <rcc rId="1931" sId="1" numFmtId="19">
    <nc r="AB128">
      <v>43959</v>
    </nc>
  </rcc>
  <rcc rId="1932" sId="1">
    <oc r="AA114" t="inlineStr">
      <is>
        <t>Ready for review</t>
      </is>
    </oc>
    <nc r="AA114" t="inlineStr">
      <is>
        <t>Ready for PLC</t>
      </is>
    </nc>
  </rcc>
  <rcc rId="1933" sId="1">
    <oc r="AA115" t="inlineStr">
      <is>
        <t>Ready for review</t>
      </is>
    </oc>
    <nc r="AA115" t="inlineStr">
      <is>
        <t>Ready for PLC</t>
      </is>
    </nc>
  </rcc>
  <rcc rId="1934" sId="1">
    <oc r="AA116" t="inlineStr">
      <is>
        <t>Ready for review</t>
      </is>
    </oc>
    <nc r="AA116" t="inlineStr">
      <is>
        <t>Ready for PLC</t>
      </is>
    </nc>
  </rcc>
  <rcc rId="1935" sId="1">
    <oc r="AA118" t="inlineStr">
      <is>
        <t>Ready for review</t>
      </is>
    </oc>
    <nc r="AA118" t="inlineStr">
      <is>
        <t>Ready for PLC</t>
      </is>
    </nc>
  </rcc>
  <rcc rId="1936" sId="1">
    <oc r="AA119" t="inlineStr">
      <is>
        <t>Ready for review</t>
      </is>
    </oc>
    <nc r="AA119" t="inlineStr">
      <is>
        <t>Ready for PLC</t>
      </is>
    </nc>
  </rcc>
  <rcc rId="1937" sId="1">
    <oc r="AA120" t="inlineStr">
      <is>
        <t>Ready for review</t>
      </is>
    </oc>
    <nc r="AA120" t="inlineStr">
      <is>
        <t>Ready for PLC</t>
      </is>
    </nc>
  </rcc>
  <rcc rId="1938" sId="1">
    <oc r="AA121" t="inlineStr">
      <is>
        <t>Ready for review</t>
      </is>
    </oc>
    <nc r="AA121" t="inlineStr">
      <is>
        <t>Ready for PLC</t>
      </is>
    </nc>
  </rcc>
  <rcc rId="1939" sId="1">
    <oc r="AA122" t="inlineStr">
      <is>
        <t>Ready for review</t>
      </is>
    </oc>
    <nc r="AA122" t="inlineStr">
      <is>
        <t>Ready for PLC</t>
      </is>
    </nc>
  </rcc>
  <rcc rId="1940" sId="1">
    <oc r="AA123" t="inlineStr">
      <is>
        <t>Ready for review</t>
      </is>
    </oc>
    <nc r="AA123" t="inlineStr">
      <is>
        <t>Ready for PLC</t>
      </is>
    </nc>
  </rcc>
  <rcc rId="1941" sId="1">
    <oc r="AA124" t="inlineStr">
      <is>
        <t>Ready for review</t>
      </is>
    </oc>
    <nc r="AA124" t="inlineStr">
      <is>
        <t>Ready for PLC</t>
      </is>
    </nc>
  </rcc>
  <rcc rId="1942" sId="1">
    <oc r="AA125" t="inlineStr">
      <is>
        <t>Ready for review</t>
      </is>
    </oc>
    <nc r="AA125" t="inlineStr">
      <is>
        <t>Ready for PLC</t>
      </is>
    </nc>
  </rcc>
  <rcc rId="1943" sId="1">
    <oc r="AA126" t="inlineStr">
      <is>
        <t>Ready for review</t>
      </is>
    </oc>
    <nc r="AA126" t="inlineStr">
      <is>
        <t>Ready for PLC</t>
      </is>
    </nc>
  </rcc>
  <rcc rId="1944" sId="1">
    <oc r="AA127" t="inlineStr">
      <is>
        <t>Ready for review</t>
      </is>
    </oc>
    <nc r="AA127" t="inlineStr">
      <is>
        <t>Ready for PLC</t>
      </is>
    </nc>
  </rcc>
  <rcc rId="1945" sId="1">
    <oc r="AA128" t="inlineStr">
      <is>
        <t>Ready for review</t>
      </is>
    </oc>
    <nc r="AA128" t="inlineStr">
      <is>
        <t>Ready for PLC</t>
      </is>
    </nc>
  </rcc>
  <rcc rId="1946" sId="1">
    <oc r="AA117" t="inlineStr">
      <is>
        <t>Ready for review</t>
      </is>
    </oc>
    <nc r="AA117" t="inlineStr">
      <is>
        <t>Pending for OPL</t>
      </is>
    </nc>
  </rcc>
  <rcv guid="{250915DF-0B97-45D7-B29D-7EED4C89C1C1}" action="delete"/>
  <rdn rId="0" localSheetId="1" customView="1" name="Z_250915DF_0B97_45D7_B29D_7EED4C89C1C1_.wvu.FilterData" hidden="1" oldHidden="1">
    <formula>Merged_COEM!$B$47:$AN$151</formula>
    <oldFormula>Merged_COEM!$A$47:$AN$151</oldFormula>
  </rdn>
  <rdn rId="0" localSheetId="2" customView="1" name="Z_250915DF_0B97_45D7_B29D_7EED4C89C1C1_.wvu.FilterData" hidden="1" oldHidden="1">
    <formula>Merged_JOEM!$B$47:$AN$116</formula>
    <oldFormula>Merged_JOEM!$B$47:$AN$108</oldFormula>
  </rdn>
  <rcv guid="{250915DF-0B97-45D7-B29D-7EED4C89C1C1}" action="add"/>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1" sId="2">
    <nc r="X109">
      <v>765</v>
    </nc>
  </rcc>
  <rcc rId="1952" sId="2">
    <nc r="X110">
      <v>315</v>
    </nc>
  </rcc>
  <rcc rId="1953" sId="2">
    <nc r="X116">
      <v>540</v>
    </nc>
  </rcc>
  <rcc rId="1954" sId="2">
    <nc r="Z109">
      <v>5</v>
    </nc>
  </rcc>
  <rcc rId="1955" sId="2">
    <nc r="Z110">
      <v>3</v>
    </nc>
  </rcc>
  <rcc rId="1956" sId="2">
    <nc r="Z116">
      <v>5</v>
    </nc>
  </rcc>
  <rcc rId="1957" sId="2">
    <nc r="AA109" t="inlineStr">
      <is>
        <t>Ready for review</t>
      </is>
    </nc>
  </rcc>
  <rcc rId="1958" sId="2">
    <nc r="AA110" t="inlineStr">
      <is>
        <t>Ready for review</t>
      </is>
    </nc>
  </rcc>
  <rcc rId="1959" sId="2">
    <nc r="AA116" t="inlineStr">
      <is>
        <t>Ready for review</t>
      </is>
    </nc>
  </rcc>
  <rcc rId="1960" sId="2" numFmtId="19">
    <nc r="AF109">
      <v>43958</v>
    </nc>
  </rcc>
  <rcc rId="1961" sId="2" numFmtId="19">
    <nc r="AE109">
      <v>43958</v>
    </nc>
  </rcc>
  <rcc rId="1962" sId="2" numFmtId="19">
    <nc r="AE110">
      <v>43958</v>
    </nc>
  </rcc>
  <rcc rId="1963" sId="2" numFmtId="19">
    <nc r="AF110">
      <v>43958</v>
    </nc>
  </rcc>
  <rcc rId="1964" sId="2" numFmtId="19">
    <nc r="AE116">
      <v>43959</v>
    </nc>
  </rcc>
  <rcc rId="1965" sId="2" numFmtId="19">
    <nc r="AF116">
      <v>43959</v>
    </nc>
  </rcc>
  <rcc rId="1966" sId="2">
    <nc r="AG109" t="inlineStr">
      <is>
        <t>OK</t>
      </is>
    </nc>
  </rcc>
  <rcc rId="1967" sId="2">
    <nc r="AG110" t="inlineStr">
      <is>
        <t>OK</t>
      </is>
    </nc>
  </rcc>
  <rcc rId="1968" sId="2">
    <nc r="AG116" t="inlineStr">
      <is>
        <t>OK</t>
      </is>
    </nc>
  </rcc>
  <rcc rId="1969" sId="2" odxf="1" dxf="1">
    <oc r="AL98" t="inlineStr">
      <is>
        <t xml:space="preserve">Can't cover false case of for (i = 0; i &lt; RBA_BLDRCMP_ServiceCondCheck_ArrayLength ; i++) at line #47 because RBA_BLDRCMP_ServiceCondCheck_ArrayLength is a constant value
</t>
      </is>
    </oc>
    <nc r="AL98" t="inlineStr">
      <is>
        <t xml:space="preserve">
</t>
      </is>
    </nc>
    <odxf>
      <alignment wrapText="0" readingOrder="0"/>
    </odxf>
    <ndxf>
      <alignment wrapText="1" readingOrder="0"/>
    </ndxf>
  </rcc>
  <rcc rId="1970" sId="2" numFmtId="14">
    <oc r="AI98">
      <v>0.97</v>
    </oc>
    <nc r="AI98">
      <v>1</v>
    </nc>
  </rcc>
  <rcc rId="1971" sId="2" numFmtId="14">
    <nc r="AH109">
      <v>0.99</v>
    </nc>
  </rcc>
  <rcc rId="1972" sId="2" numFmtId="14">
    <nc r="AI109">
      <v>0.98</v>
    </nc>
  </rcc>
  <rcc rId="1973" sId="2" numFmtId="14">
    <nc r="AJ109">
      <v>0.86</v>
    </nc>
  </rcc>
  <rcc rId="1974" sId="2" numFmtId="14">
    <nc r="AH110">
      <v>1</v>
    </nc>
  </rcc>
  <rcc rId="1975" sId="2" numFmtId="14">
    <nc r="AI110">
      <v>1</v>
    </nc>
  </rcc>
  <rcc rId="1976" sId="2" numFmtId="14">
    <nc r="AH116">
      <v>1</v>
    </nc>
  </rcc>
  <rcc rId="1977" sId="2" numFmtId="14">
    <nc r="AI116">
      <v>1</v>
    </nc>
  </rcc>
  <rcc rId="1978" sId="2" numFmtId="14">
    <nc r="AJ110">
      <v>0.53</v>
    </nc>
  </rcc>
  <rcc rId="1979" sId="2" numFmtId="14">
    <nc r="AJ116">
      <v>0.33</v>
    </nc>
  </rcc>
  <rcc rId="1980" sId="2">
    <nc r="AK109" t="inlineStr">
      <is>
        <t>None</t>
      </is>
    </nc>
  </rcc>
  <rcc rId="1981" sId="2">
    <nc r="AK110" t="inlineStr">
      <is>
        <t>None</t>
      </is>
    </nc>
  </rcc>
  <rcc rId="1982" sId="2">
    <nc r="AK116" t="inlineStr">
      <is>
        <t>None</t>
      </is>
    </nc>
  </rcc>
  <rcc rId="1983" sId="2" odxf="1" dxf="1">
    <nc r="AL109" t="inlineStr">
      <is>
        <t xml:space="preserve">Can't cover case default for switch(DQ_index) at line #582 because array PSC_uDQ_DevCount[DQ_index] has only 2 items 0-1 (DQ_index only equals to 0 or 1)
</t>
      </is>
    </nc>
    <odxf>
      <alignment wrapText="0" readingOrder="0"/>
    </odxf>
    <ndxf>
      <alignment wrapText="1" readingOrder="0"/>
    </ndxf>
  </rcc>
  <rcv guid="{D33AC7AF-C8AB-4CE9-94C7-9237011A5FC3}" action="delete"/>
  <rdn rId="0" localSheetId="1" customView="1" name="Z_D33AC7AF_C8AB_4CE9_94C7_9237011A5FC3_.wvu.FilterData" hidden="1" oldHidden="1">
    <formula>Merged_COEM!$B$47:$AN$151</formula>
    <oldFormula>Merged_COEM!$B$47:$AN$151</oldFormula>
  </rdn>
  <rdn rId="0" localSheetId="2" customView="1" name="Z_D33AC7AF_C8AB_4CE9_94C7_9237011A5FC3_.wvu.FilterData" hidden="1" oldHidden="1">
    <formula>Merged_JOEM!$B$47:$AN$116</formula>
    <oldFormula>Merged_JOEM!$B$47:$AN$116</oldFormula>
  </rdn>
  <rcv guid="{D33AC7AF-C8AB-4CE9-94C7-9237011A5FC3}" action="add"/>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Merged_COEM!$B$47:$AN$151</formula>
    <oldFormula>Merged_COEM!$B$47:$AN$151</oldFormula>
  </rdn>
  <rdn rId="0" localSheetId="2" customView="1" name="Z_D33AC7AF_C8AB_4CE9_94C7_9237011A5FC3_.wvu.FilterData" hidden="1" oldHidden="1">
    <formula>Merged_JOEM!$B$47:$AN$116</formula>
    <oldFormula>Merged_JOEM!$B$47:$AN$116</oldFormula>
  </rdn>
  <rcv guid="{D33AC7AF-C8AB-4CE9-94C7-9237011A5FC3}" action="add"/>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88" sId="1">
    <nc r="X86">
      <f>W86</f>
    </nc>
  </rcc>
  <rcc rId="1989" sId="1">
    <nc r="Z86">
      <v>3.5</v>
    </nc>
  </rcc>
  <rcc rId="1990" sId="1">
    <nc r="AA86" t="inlineStr">
      <is>
        <t>Ready for review</t>
      </is>
    </nc>
  </rcc>
  <rcc rId="1991" sId="1" numFmtId="19">
    <nc r="AE86">
      <v>43959</v>
    </nc>
  </rcc>
  <rcc rId="1992" sId="1" numFmtId="19">
    <nc r="AF86">
      <v>43959</v>
    </nc>
  </rcc>
  <rcc rId="1993" sId="1">
    <nc r="AG86" t="inlineStr">
      <is>
        <t>NG</t>
      </is>
    </nc>
  </rcc>
  <rcc rId="1994" sId="1" numFmtId="14">
    <nc r="AH86">
      <v>0.98</v>
    </nc>
  </rcc>
  <rcc rId="1995" sId="1" numFmtId="14">
    <nc r="AI86">
      <v>0.97</v>
    </nc>
  </rcc>
  <rcc rId="1996" sId="1" numFmtId="14">
    <nc r="AJ86">
      <v>1</v>
    </nc>
  </rcc>
  <rcc rId="1997" sId="1">
    <nc r="AK86" t="inlineStr">
      <is>
        <t>OPL</t>
      </is>
    </nc>
  </rcc>
  <rcc rId="1998" sId="1">
    <nc r="AM86" t="inlineStr">
      <is>
        <t>-</t>
      </is>
    </nc>
  </rcc>
  <rcc rId="1999" sId="1">
    <nc r="AN8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1" start="0" length="0">
    <dxf>
      <font>
        <b/>
        <sz val="10"/>
        <color rgb="FF9C6500"/>
        <name val="Arial"/>
        <scheme val="minor"/>
      </font>
      <fill>
        <patternFill patternType="none">
          <bgColor indexed="65"/>
        </patternFill>
      </fill>
    </dxf>
  </rfmt>
  <rfmt sheetId="1" sqref="G111" start="0" length="0">
    <dxf>
      <font>
        <sz val="11"/>
        <color theme="1"/>
        <name val="Calibri"/>
        <scheme val="minor"/>
      </font>
      <fill>
        <patternFill patternType="none">
          <bgColor indexed="65"/>
        </patternFill>
      </fill>
    </dxf>
  </rfmt>
  <rfmt sheetId="1" sqref="H111" start="0" length="0">
    <dxf>
      <font>
        <sz val="11"/>
        <color theme="1"/>
        <name val="Calibri"/>
        <scheme val="minor"/>
      </font>
      <fill>
        <patternFill>
          <bgColor theme="0" tint="-0.499984740745262"/>
        </patternFill>
      </fill>
    </dxf>
  </rfmt>
  <rfmt sheetId="1" sqref="I111" start="0" length="0">
    <dxf>
      <font>
        <sz val="10"/>
        <color rgb="FF9C6500"/>
        <name val="Arial"/>
        <scheme val="minor"/>
      </font>
      <fill>
        <patternFill patternType="none">
          <bgColor indexed="65"/>
        </patternFill>
      </fill>
    </dxf>
  </rfmt>
  <rfmt sheetId="1" sqref="F75:V7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F75" start="0" length="0">
    <dxf>
      <font>
        <b/>
        <sz val="10"/>
        <color rgb="FF9C6500"/>
        <name val="Arial"/>
        <scheme val="minor"/>
      </font>
      <fill>
        <patternFill patternType="none">
          <bgColor indexed="65"/>
        </patternFill>
      </fill>
    </dxf>
  </rfmt>
  <rfmt sheetId="1" sqref="G75" start="0" length="0">
    <dxf>
      <font>
        <sz val="11"/>
        <color theme="1"/>
        <name val="Calibri"/>
        <scheme val="minor"/>
      </font>
      <fill>
        <patternFill patternType="none">
          <bgColor indexed="65"/>
        </patternFill>
      </fill>
    </dxf>
  </rfmt>
  <rfmt sheetId="1" sqref="H75" start="0" length="0">
    <dxf>
      <font>
        <sz val="11"/>
        <color theme="1"/>
        <name val="Calibri"/>
        <scheme val="minor"/>
      </font>
      <fill>
        <patternFill>
          <bgColor theme="0" tint="-0.499984740745262"/>
        </patternFill>
      </fill>
    </dxf>
  </rfmt>
  <rfmt sheetId="1" sqref="I75" start="0" length="0">
    <dxf>
      <font>
        <sz val="11"/>
        <color theme="1"/>
        <name val="Calibri"/>
        <scheme val="minor"/>
      </font>
      <fill>
        <patternFill patternType="none">
          <bgColor indexed="65"/>
        </patternFill>
      </fill>
    </dxf>
  </rfmt>
  <rfmt sheetId="1" sqref="J75" start="0" length="0">
    <dxf>
      <font>
        <sz val="11"/>
        <color theme="1"/>
        <name val="Calibri"/>
        <scheme val="minor"/>
      </font>
      <fill>
        <patternFill>
          <bgColor theme="0" tint="-0.499984740745262"/>
        </patternFill>
      </fill>
    </dxf>
  </rfmt>
  <rfmt sheetId="1" sqref="K75" start="0" length="0">
    <dxf>
      <font>
        <sz val="11"/>
        <color theme="1"/>
        <name val="Calibri"/>
        <scheme val="minor"/>
      </font>
      <fill>
        <patternFill patternType="none">
          <bgColor indexed="65"/>
        </patternFill>
      </fill>
    </dxf>
  </rfmt>
  <rfmt sheetId="1" sqref="L75" start="0" length="0">
    <dxf>
      <font>
        <sz val="11"/>
        <color theme="1"/>
        <name val="Calibri"/>
        <scheme val="minor"/>
      </font>
      <fill>
        <patternFill patternType="none">
          <bgColor indexed="65"/>
        </patternFill>
      </fill>
    </dxf>
  </rfmt>
  <rfmt sheetId="1" sqref="M75" start="0" length="0">
    <dxf>
      <font>
        <sz val="11"/>
        <color theme="1"/>
        <name val="Calibri"/>
        <scheme val="minor"/>
      </font>
      <fill>
        <patternFill patternType="none">
          <bgColor indexed="65"/>
        </patternFill>
      </fill>
    </dxf>
  </rfmt>
  <rfmt sheetId="1" sqref="N75" start="0" length="0">
    <dxf>
      <font>
        <sz val="11"/>
        <color theme="1"/>
        <name val="Calibri"/>
        <scheme val="minor"/>
      </font>
      <fill>
        <patternFill patternType="none">
          <bgColor indexed="65"/>
        </patternFill>
      </fill>
    </dxf>
  </rfmt>
  <rfmt sheetId="1" sqref="O75" start="0" length="0">
    <dxf>
      <font>
        <sz val="11"/>
        <color theme="1"/>
        <name val="Calibri"/>
        <scheme val="minor"/>
      </font>
      <fill>
        <patternFill patternType="none">
          <bgColor indexed="65"/>
        </patternFill>
      </fill>
    </dxf>
  </rfmt>
  <rfmt sheetId="1" sqref="P75" start="0" length="0">
    <dxf>
      <font>
        <sz val="11"/>
        <color theme="1"/>
        <name val="Calibri"/>
        <scheme val="minor"/>
      </font>
      <fill>
        <patternFill patternType="none">
          <bgColor indexed="65"/>
        </patternFill>
      </fill>
    </dxf>
  </rfmt>
  <rfmt sheetId="1" sqref="Q75" start="0" length="0">
    <dxf>
      <font>
        <sz val="11"/>
        <color theme="1"/>
        <name val="Calibri"/>
        <scheme val="minor"/>
      </font>
      <fill>
        <patternFill>
          <bgColor rgb="FFFFFF00"/>
        </patternFill>
      </fill>
    </dxf>
  </rfmt>
  <rfmt sheetId="1" sqref="R75" start="0" length="0">
    <dxf>
      <font>
        <sz val="11"/>
        <color theme="1"/>
        <name val="Calibri"/>
        <scheme val="minor"/>
      </font>
      <fill>
        <patternFill>
          <bgColor theme="0" tint="-0.499984740745262"/>
        </patternFill>
      </fill>
    </dxf>
  </rfmt>
  <rfmt sheetId="1" sqref="S75" start="0" length="0">
    <dxf>
      <font>
        <sz val="11"/>
        <color theme="1"/>
        <name val="Calibri"/>
        <scheme val="minor"/>
      </font>
      <fill>
        <patternFill patternType="none">
          <bgColor indexed="65"/>
        </patternFill>
      </fill>
    </dxf>
  </rfmt>
  <rfmt sheetId="1" sqref="T75" start="0" length="0">
    <dxf>
      <font>
        <sz val="11"/>
        <color theme="1"/>
        <name val="Calibri"/>
        <scheme val="minor"/>
      </font>
      <fill>
        <patternFill patternType="none">
          <bgColor indexed="65"/>
        </patternFill>
      </fill>
    </dxf>
  </rfmt>
  <rfmt sheetId="1" sqref="U75" start="0" length="0">
    <dxf>
      <font>
        <sz val="11"/>
        <color theme="1"/>
        <name val="Calibri"/>
        <scheme val="minor"/>
      </font>
      <fill>
        <patternFill patternType="none">
          <bgColor indexed="65"/>
        </patternFill>
      </fill>
    </dxf>
  </rfmt>
  <rfmt sheetId="1" sqref="V75" start="0" length="0">
    <dxf>
      <font>
        <sz val="11"/>
        <color theme="1"/>
        <name val="Calibri"/>
        <scheme val="minor"/>
      </font>
      <fill>
        <patternFill patternType="none">
          <bgColor indexed="65"/>
        </patternFill>
      </fill>
    </dxf>
  </rfmt>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02" sId="1">
    <nc r="X75">
      <f>W75</f>
    </nc>
  </rcc>
  <rcc rId="2003" sId="1">
    <nc r="Z75">
      <v>1</v>
    </nc>
  </rcc>
  <rcc rId="2004" sId="1">
    <nc r="AA75" t="inlineStr">
      <is>
        <t>Ready for review</t>
      </is>
    </nc>
  </rcc>
  <rcc rId="2005" sId="1" numFmtId="19">
    <nc r="AE75">
      <v>43959</v>
    </nc>
  </rcc>
  <rcc rId="2006" sId="1" numFmtId="19">
    <nc r="AF75">
      <v>43959</v>
    </nc>
  </rcc>
  <rcc rId="2007" sId="1">
    <nc r="AG75" t="inlineStr">
      <is>
        <t>OK</t>
      </is>
    </nc>
  </rcc>
  <rcc rId="2008" sId="1" numFmtId="14">
    <nc r="AH75">
      <v>1</v>
    </nc>
  </rcc>
  <rcc rId="2009" sId="1" numFmtId="14">
    <nc r="AI75">
      <v>1</v>
    </nc>
  </rcc>
  <rcc rId="2010" sId="1" numFmtId="14">
    <nc r="AJ75">
      <v>1</v>
    </nc>
  </rcc>
  <rcc rId="2011" sId="1">
    <nc r="AK75" t="inlineStr">
      <is>
        <t>None</t>
      </is>
    </nc>
  </rcc>
  <rcc rId="2012" sId="1">
    <nc r="AL75" t="inlineStr">
      <is>
        <t>-</t>
      </is>
    </nc>
  </rcc>
  <rcc rId="2013" sId="1">
    <nc r="AM75" t="inlineStr">
      <is>
        <t>-</t>
      </is>
    </nc>
  </rcc>
  <rcc rId="2014" sId="1">
    <nc r="AN75"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17" sId="1">
    <nc r="X96">
      <f>W96</f>
    </nc>
  </rcc>
  <rcc rId="2018" sId="1">
    <nc r="Z96">
      <v>3.5</v>
    </nc>
  </rcc>
  <rcc rId="2019" sId="1">
    <nc r="AA96" t="inlineStr">
      <is>
        <t>Ready for review</t>
      </is>
    </nc>
  </rcc>
  <rcc rId="2020" sId="1" numFmtId="19">
    <nc r="AE96">
      <v>43959</v>
    </nc>
  </rcc>
  <rcc rId="2021" sId="1" numFmtId="19">
    <nc r="AF96">
      <v>43959</v>
    </nc>
  </rcc>
  <rcc rId="2022" sId="1">
    <nc r="AG96" t="inlineStr">
      <is>
        <t>OK</t>
      </is>
    </nc>
  </rcc>
  <rcc rId="2023" sId="1" numFmtId="14">
    <nc r="AH96">
      <v>1</v>
    </nc>
  </rcc>
  <rcc rId="2024" sId="1" numFmtId="14">
    <nc r="AI96">
      <v>1</v>
    </nc>
  </rcc>
  <rcc rId="2025" sId="1" numFmtId="14">
    <nc r="AJ96">
      <v>1</v>
    </nc>
  </rcc>
  <rcc rId="2026" sId="1">
    <nc r="AK96" t="inlineStr">
      <is>
        <t>None</t>
      </is>
    </nc>
  </rcc>
  <rcc rId="2027" sId="1">
    <nc r="AL96" t="inlineStr">
      <is>
        <t>-</t>
      </is>
    </nc>
  </rcc>
  <rcc rId="2028" sId="1">
    <nc r="AM96" t="inlineStr">
      <is>
        <t>-</t>
      </is>
    </nc>
  </rcc>
  <rcc rId="2029" sId="1">
    <nc r="AN9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2" sId="1">
    <oc r="AA76" t="inlineStr">
      <is>
        <t>N/A</t>
      </is>
    </oc>
    <nc r="AA76" t="inlineStr">
      <is>
        <t>Ready for review</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5" sId="1">
    <nc r="X146">
      <f>W146</f>
    </nc>
  </rcc>
  <rcc rId="2036" sId="1">
    <nc r="Z146">
      <v>1.5</v>
    </nc>
  </rcc>
  <rcc rId="2037" sId="1">
    <nc r="AA146" t="inlineStr">
      <is>
        <t>Ready for review</t>
      </is>
    </nc>
  </rcc>
  <rcc rId="2038" sId="1" numFmtId="19">
    <nc r="AE146">
      <v>43959</v>
    </nc>
  </rcc>
  <rcc rId="2039" sId="1" numFmtId="19">
    <nc r="AF146">
      <v>43959</v>
    </nc>
  </rcc>
  <rcc rId="2040" sId="1">
    <nc r="AG146" t="inlineStr">
      <is>
        <t>OK</t>
      </is>
    </nc>
  </rcc>
  <rcc rId="2041" sId="1" numFmtId="14">
    <nc r="AH146">
      <v>1</v>
    </nc>
  </rcc>
  <rcc rId="2042" sId="1" numFmtId="14">
    <nc r="AI146">
      <v>1</v>
    </nc>
  </rcc>
  <rcc rId="2043" sId="1" numFmtId="14">
    <nc r="AJ146">
      <v>1</v>
    </nc>
  </rcc>
  <rcc rId="2044" sId="1">
    <nc r="AK146" t="inlineStr">
      <is>
        <t>None</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109">
    <dxf>
      <alignment wrapText="0" readingOrder="0"/>
    </dxf>
  </rfmt>
  <rcc rId="2047" sId="2">
    <nc r="AL86" t="inlineStr">
      <is>
        <t>can not cover false case at line 69 because limited loop at line 62</t>
      </is>
    </nc>
  </rcc>
  <rcc rId="2048" sId="2">
    <nc r="AM89" t="inlineStr">
      <is>
        <t>Can't cover true case of if (*length_pu16 &gt; maxLength_u16) at line #98 because *length_pu16 is always equal to 0x00. Can't cover false case of if (retValue == E_OK) at line #216 because retValue is always equal to E_OK</t>
      </is>
    </nc>
  </rcc>
  <rcc rId="2049" sId="2">
    <oc r="AL89" t="inlineStr">
      <is>
        <t>Can't cover true case of if (*length_pu16 &gt; maxLength_u16) at line #98 because *length_pu16 is always equal to 0x00. Can't cover false case of if (retValue == E_OK) at line #216 because retValue is always equal to E_OK</t>
      </is>
    </oc>
    <nc r="AL89" t="inlineStr">
      <is>
        <t>cannot cover false case at line 180 because endOfStack always greater than 4000 at line 152, 157
cannot cover false case at line 97 and 109 because limited at line 94 and 106</t>
      </is>
    </nc>
  </rcc>
  <rcc rId="2050" sId="2">
    <nc r="AK51" t="inlineStr">
      <is>
        <t>None</t>
      </is>
    </nc>
  </rcc>
  <rcc rId="2051" sId="2">
    <nc r="AK52" t="inlineStr">
      <is>
        <t>None</t>
      </is>
    </nc>
  </rcc>
  <rcc rId="2052" sId="2">
    <nc r="AK53" t="inlineStr">
      <is>
        <t>None</t>
      </is>
    </nc>
  </rcc>
  <rcc rId="2053" sId="2" odxf="1" dxf="1">
    <nc r="AK54" t="inlineStr">
      <is>
        <t>None</t>
      </is>
    </nc>
    <odxf>
      <numFmt numFmtId="0" formatCode="General"/>
      <alignment horizontal="general" vertical="bottom" readingOrder="0"/>
    </odxf>
    <ndxf>
      <numFmt numFmtId="164" formatCode="[$-409]d\-mmm\-yyyy;@"/>
      <alignment horizontal="left" vertical="top" readingOrder="0"/>
    </ndxf>
  </rcc>
  <rcc rId="2054" sId="2" odxf="1" dxf="1">
    <nc r="AK55" t="inlineStr">
      <is>
        <t>None</t>
      </is>
    </nc>
    <odxf>
      <numFmt numFmtId="0" formatCode="General"/>
      <alignment horizontal="general" vertical="bottom" readingOrder="0"/>
    </odxf>
    <ndxf>
      <numFmt numFmtId="164" formatCode="[$-409]d\-mmm\-yyyy;@"/>
      <alignment horizontal="left" vertical="top" readingOrder="0"/>
    </ndxf>
  </rcc>
  <rcc rId="2055" sId="2" odxf="1" dxf="1">
    <nc r="AK56" t="inlineStr">
      <is>
        <t>None</t>
      </is>
    </nc>
    <odxf>
      <numFmt numFmtId="0" formatCode="General"/>
      <alignment horizontal="general" vertical="bottom" readingOrder="0"/>
    </odxf>
    <ndxf>
      <numFmt numFmtId="164" formatCode="[$-409]d\-mmm\-yyyy;@"/>
      <alignment horizontal="left" vertical="top" readingOrder="0"/>
    </ndxf>
  </rcc>
  <rcc rId="2056" sId="2" odxf="1" dxf="1">
    <nc r="AK57" t="inlineStr">
      <is>
        <t>None</t>
      </is>
    </nc>
    <odxf>
      <numFmt numFmtId="0" formatCode="General"/>
      <alignment horizontal="general" vertical="bottom" readingOrder="0"/>
    </odxf>
    <ndxf>
      <numFmt numFmtId="164" formatCode="[$-409]d\-mmm\-yyyy;@"/>
      <alignment horizontal="left" vertical="top" readingOrder="0"/>
    </ndxf>
  </rcc>
  <rcc rId="2057" sId="2" odxf="1" dxf="1">
    <nc r="AK58" t="inlineStr">
      <is>
        <t>None</t>
      </is>
    </nc>
    <odxf>
      <numFmt numFmtId="0" formatCode="General"/>
      <alignment horizontal="general" vertical="bottom" readingOrder="0"/>
    </odxf>
    <ndxf>
      <numFmt numFmtId="164" formatCode="[$-409]d\-mmm\-yyyy;@"/>
      <alignment horizontal="left" vertical="top" readingOrder="0"/>
    </ndxf>
  </rcc>
  <rcc rId="2058" sId="2" odxf="1" dxf="1">
    <nc r="AK59" t="inlineStr">
      <is>
        <t>None</t>
      </is>
    </nc>
    <odxf>
      <numFmt numFmtId="0" formatCode="General"/>
      <alignment horizontal="general" vertical="bottom" readingOrder="0"/>
    </odxf>
    <ndxf>
      <numFmt numFmtId="164" formatCode="[$-409]d\-mmm\-yyyy;@"/>
      <alignment horizontal="left" vertical="top" readingOrder="0"/>
    </ndxf>
  </rcc>
  <rcc rId="2059" sId="2" odxf="1" dxf="1">
    <nc r="AK60" t="inlineStr">
      <is>
        <t>None</t>
      </is>
    </nc>
    <odxf>
      <numFmt numFmtId="0" formatCode="General"/>
      <alignment horizontal="general" vertical="bottom" readingOrder="0"/>
    </odxf>
    <ndxf>
      <numFmt numFmtId="164" formatCode="[$-409]d\-mmm\-yyyy;@"/>
      <alignment horizontal="left" vertical="top" readingOrder="0"/>
    </ndxf>
  </rcc>
  <rcc rId="2060" sId="2" odxf="1" dxf="1">
    <nc r="AK61" t="inlineStr">
      <is>
        <t>None</t>
      </is>
    </nc>
    <odxf>
      <numFmt numFmtId="0" formatCode="General"/>
      <alignment horizontal="general" vertical="bottom" readingOrder="0"/>
    </odxf>
    <ndxf>
      <numFmt numFmtId="164" formatCode="[$-409]d\-mmm\-yyyy;@"/>
      <alignment horizontal="left" vertical="top" readingOrder="0"/>
    </ndxf>
  </rcc>
  <rcc rId="2061" sId="2" odxf="1" dxf="1">
    <nc r="AK62" t="inlineStr">
      <is>
        <t>None</t>
      </is>
    </nc>
    <odxf>
      <numFmt numFmtId="0" formatCode="General"/>
      <alignment horizontal="general" vertical="bottom" readingOrder="0"/>
    </odxf>
    <ndxf>
      <numFmt numFmtId="164" formatCode="[$-409]d\-mmm\-yyyy;@"/>
      <alignment horizontal="left" vertical="top" readingOrder="0"/>
    </ndxf>
  </rcc>
  <rcc rId="2062" sId="2" odxf="1" dxf="1">
    <nc r="AK64" t="inlineStr">
      <is>
        <t>None</t>
      </is>
    </nc>
    <odxf>
      <numFmt numFmtId="0" formatCode="General"/>
      <alignment horizontal="general" vertical="bottom" readingOrder="0"/>
    </odxf>
    <ndxf>
      <numFmt numFmtId="164" formatCode="[$-409]d\-mmm\-yyyy;@"/>
      <alignment horizontal="left" vertical="top" readingOrder="0"/>
    </ndxf>
  </rcc>
  <rcc rId="2063" sId="2" odxf="1" dxf="1">
    <nc r="AK65" t="inlineStr">
      <is>
        <t>None</t>
      </is>
    </nc>
    <odxf>
      <numFmt numFmtId="0" formatCode="General"/>
      <alignment horizontal="general" vertical="bottom" readingOrder="0"/>
    </odxf>
    <ndxf>
      <numFmt numFmtId="164" formatCode="[$-409]d\-mmm\-yyyy;@"/>
      <alignment horizontal="left" vertical="top" readingOrder="0"/>
    </ndxf>
  </rcc>
  <rcc rId="2064" sId="2" odxf="1" dxf="1">
    <nc r="AK66" t="inlineStr">
      <is>
        <t>None</t>
      </is>
    </nc>
    <odxf>
      <numFmt numFmtId="0" formatCode="General"/>
      <alignment horizontal="general" vertical="bottom" readingOrder="0"/>
    </odxf>
    <ndxf>
      <numFmt numFmtId="164" formatCode="[$-409]d\-mmm\-yyyy;@"/>
      <alignment horizontal="left" vertical="top" readingOrder="0"/>
    </ndxf>
  </rcc>
  <rcc rId="2065" sId="2" odxf="1" dxf="1">
    <nc r="AK71" t="inlineStr">
      <is>
        <t>None</t>
      </is>
    </nc>
    <odxf>
      <numFmt numFmtId="0" formatCode="General"/>
      <alignment horizontal="general" vertical="bottom" readingOrder="0"/>
    </odxf>
    <ndxf>
      <numFmt numFmtId="164" formatCode="[$-409]d\-mmm\-yyyy;@"/>
      <alignment horizontal="left" vertical="top" readingOrder="0"/>
    </ndxf>
  </rcc>
  <rcc rId="2066" sId="2" odxf="1" dxf="1">
    <nc r="AK73" t="inlineStr">
      <is>
        <t>None</t>
      </is>
    </nc>
    <odxf>
      <numFmt numFmtId="0" formatCode="General"/>
      <alignment horizontal="general" vertical="bottom" readingOrder="0"/>
    </odxf>
    <ndxf>
      <numFmt numFmtId="164" formatCode="[$-409]d\-mmm\-yyyy;@"/>
      <alignment horizontal="left" vertical="top" readingOrder="0"/>
    </ndxf>
  </rcc>
  <rcc rId="2067" sId="2" odxf="1" dxf="1">
    <nc r="AK74" t="inlineStr">
      <is>
        <t>None</t>
      </is>
    </nc>
    <odxf>
      <numFmt numFmtId="0" formatCode="General"/>
      <alignment horizontal="general" vertical="bottom" readingOrder="0"/>
    </odxf>
    <ndxf>
      <numFmt numFmtId="164" formatCode="[$-409]d\-mmm\-yyyy;@"/>
      <alignment horizontal="left" vertical="top" readingOrder="0"/>
    </ndxf>
  </rcc>
  <rcc rId="2068" sId="2" odxf="1" dxf="1">
    <nc r="AK76" t="inlineStr">
      <is>
        <t>None</t>
      </is>
    </nc>
    <odxf>
      <numFmt numFmtId="0" formatCode="General"/>
      <alignment horizontal="general" vertical="bottom" readingOrder="0"/>
    </odxf>
    <ndxf>
      <numFmt numFmtId="164" formatCode="[$-409]d\-mmm\-yyyy;@"/>
      <alignment horizontal="left" vertical="top" readingOrder="0"/>
    </ndxf>
  </rcc>
  <rcc rId="2069" sId="2" odxf="1" dxf="1">
    <nc r="AK78" t="inlineStr">
      <is>
        <t>None</t>
      </is>
    </nc>
    <odxf>
      <numFmt numFmtId="0" formatCode="General"/>
      <alignment horizontal="general" vertical="bottom" readingOrder="0"/>
    </odxf>
    <ndxf>
      <numFmt numFmtId="164" formatCode="[$-409]d\-mmm\-yyyy;@"/>
      <alignment horizontal="left" vertical="top" readingOrder="0"/>
    </ndxf>
  </rcc>
  <rcc rId="2070" sId="2">
    <nc r="AK79" t="inlineStr">
      <is>
        <t>None</t>
      </is>
    </nc>
  </rcc>
  <rcc rId="2071" sId="2">
    <nc r="AK82" t="inlineStr">
      <is>
        <t>None</t>
      </is>
    </nc>
  </rcc>
  <rcc rId="2072" sId="2">
    <nc r="AK83" t="inlineStr">
      <is>
        <t>None</t>
      </is>
    </nc>
  </rcc>
  <rcc rId="2073" sId="2">
    <nc r="AK84" t="inlineStr">
      <is>
        <t>None</t>
      </is>
    </nc>
  </rcc>
  <rcc rId="2074" sId="2" odxf="1" dxf="1">
    <nc r="AK85" t="inlineStr">
      <is>
        <t>None</t>
      </is>
    </nc>
    <odxf/>
    <ndxf/>
  </rcc>
  <rcc rId="2075" sId="2" odxf="1" dxf="1">
    <oc r="AK86" t="inlineStr">
      <is>
        <t>can not cover false case at line 69 because limited loop at line 62</t>
      </is>
    </oc>
    <nc r="AK86" t="inlineStr">
      <is>
        <t>None</t>
      </is>
    </nc>
    <ndxf>
      <font>
        <sz val="11"/>
        <color theme="1"/>
        <name val="Calibri"/>
        <scheme val="minor"/>
      </font>
    </ndxf>
  </rcc>
  <rcc rId="2076" sId="2" odxf="1" dxf="1">
    <nc r="AK87" t="inlineStr">
      <is>
        <t>None</t>
      </is>
    </nc>
    <ndxf/>
  </rcc>
  <rcc rId="2077" sId="2" odxf="1" dxf="1">
    <nc r="AK88" t="inlineStr">
      <is>
        <t>None</t>
      </is>
    </nc>
    <ndxf/>
  </rcc>
  <rcc rId="2078" sId="2">
    <oc r="AK89" t="inlineStr">
      <is>
        <t>cannot cover false case at line 180 because endOfStack always greater than 4000 at line 152, 157
cannot cover false case at line 97 and 109 because limited at line 94 and 106</t>
      </is>
    </oc>
    <nc r="AK89" t="inlineStr">
      <is>
        <t>None</t>
      </is>
    </nc>
  </rcc>
  <rcc rId="2079" sId="2" odxf="1" dxf="1">
    <nc r="AK90" t="inlineStr">
      <is>
        <t>None</t>
      </is>
    </nc>
    <odxf/>
    <ndxf/>
  </rcc>
  <rcc rId="2080" sId="2" odxf="1" dxf="1">
    <nc r="AK91" t="inlineStr">
      <is>
        <t>None</t>
      </is>
    </nc>
    <odxf>
      <font/>
    </odxf>
    <ndxf>
      <font>
        <sz val="11"/>
        <color theme="1"/>
        <name val="Calibri"/>
        <scheme val="minor"/>
      </font>
    </ndxf>
  </rcc>
  <rcc rId="2081" sId="2">
    <nc r="AK93" t="inlineStr">
      <is>
        <t>None</t>
      </is>
    </nc>
  </rcc>
  <rcc rId="2082" sId="2">
    <nc r="AK94" t="inlineStr">
      <is>
        <t>None</t>
      </is>
    </nc>
  </rcc>
  <rcc rId="2083" sId="2">
    <nc r="AK96" t="inlineStr">
      <is>
        <t>None</t>
      </is>
    </nc>
  </rcc>
  <rcc rId="2084" sId="2">
    <nc r="AK99" t="inlineStr">
      <is>
        <t>None</t>
      </is>
    </nc>
  </rcc>
  <rcc rId="2085" sId="2">
    <nc r="AK101" t="inlineStr">
      <is>
        <t>None</t>
      </is>
    </nc>
  </rcc>
  <rcc rId="2086" sId="2">
    <nc r="AK102" t="inlineStr">
      <is>
        <t>None</t>
      </is>
    </nc>
  </rcc>
  <rcc rId="2087" sId="2">
    <nc r="AK103" t="inlineStr">
      <is>
        <t>None</t>
      </is>
    </nc>
  </rcc>
  <rcc rId="2088" sId="2">
    <nc r="AK104" t="inlineStr">
      <is>
        <t>None</t>
      </is>
    </nc>
  </rcc>
  <rcc rId="2089" sId="2">
    <nc r="AK106" t="inlineStr">
      <is>
        <t>None</t>
      </is>
    </nc>
  </rcc>
  <rcc rId="2090" sId="2">
    <nc r="AK107" t="inlineStr">
      <is>
        <t>None</t>
      </is>
    </nc>
  </rcc>
  <rcc rId="2091" sId="2">
    <nc r="AK111" t="inlineStr">
      <is>
        <t>None</t>
      </is>
    </nc>
  </rcc>
  <rcc rId="2092" sId="2">
    <nc r="AK113" t="inlineStr">
      <is>
        <t>None</t>
      </is>
    </nc>
  </rcc>
  <rcc rId="2093" sId="2">
    <nc r="AK114" t="inlineStr">
      <is>
        <t>None</t>
      </is>
    </nc>
  </rcc>
  <rcc rId="2094" sId="2">
    <nc r="AK115" t="inlineStr">
      <is>
        <t>None</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97" sId="2">
    <oc r="AA48" t="inlineStr">
      <is>
        <t>Ready for review</t>
      </is>
    </oc>
    <nc r="AA48" t="inlineStr">
      <is>
        <t>Ready for PLC</t>
      </is>
    </nc>
  </rcc>
  <rcc rId="2098" sId="2">
    <oc r="AA49" t="inlineStr">
      <is>
        <t>Ready for review</t>
      </is>
    </oc>
    <nc r="AA49" t="inlineStr">
      <is>
        <t>Ready for PLC</t>
      </is>
    </nc>
  </rcc>
  <rcc rId="2099" sId="2">
    <oc r="AA50" t="inlineStr">
      <is>
        <t>Ready for review</t>
      </is>
    </oc>
    <nc r="AA50" t="inlineStr">
      <is>
        <t>Ready for PLC</t>
      </is>
    </nc>
  </rcc>
  <rcc rId="2100" sId="2">
    <oc r="AA51" t="inlineStr">
      <is>
        <t>Ready for review</t>
      </is>
    </oc>
    <nc r="AA51" t="inlineStr">
      <is>
        <t>Ready for PLC</t>
      </is>
    </nc>
  </rcc>
  <rcc rId="2101" sId="2">
    <oc r="AA52" t="inlineStr">
      <is>
        <t>Ready for review</t>
      </is>
    </oc>
    <nc r="AA52" t="inlineStr">
      <is>
        <t>Ready for PLC</t>
      </is>
    </nc>
  </rcc>
  <rcc rId="2102" sId="2">
    <oc r="AA53" t="inlineStr">
      <is>
        <t>Ready for review</t>
      </is>
    </oc>
    <nc r="AA53" t="inlineStr">
      <is>
        <t>Ready for PLC</t>
      </is>
    </nc>
  </rcc>
  <rcc rId="2103" sId="2">
    <oc r="AA54" t="inlineStr">
      <is>
        <t>Ready for review</t>
      </is>
    </oc>
    <nc r="AA54" t="inlineStr">
      <is>
        <t>Ready for PLC</t>
      </is>
    </nc>
  </rcc>
  <rcc rId="2104" sId="2">
    <oc r="AA55" t="inlineStr">
      <is>
        <t>Ready for review</t>
      </is>
    </oc>
    <nc r="AA55" t="inlineStr">
      <is>
        <t>Ready for PLC</t>
      </is>
    </nc>
  </rcc>
  <rcc rId="2105" sId="2">
    <oc r="AA56" t="inlineStr">
      <is>
        <t>Ready for review</t>
      </is>
    </oc>
    <nc r="AA56" t="inlineStr">
      <is>
        <t>Ready for PLC</t>
      </is>
    </nc>
  </rcc>
  <rcc rId="2106" sId="2">
    <oc r="AA57" t="inlineStr">
      <is>
        <t>Ready for review</t>
      </is>
    </oc>
    <nc r="AA57" t="inlineStr">
      <is>
        <t>Ready for PLC</t>
      </is>
    </nc>
  </rcc>
  <rcc rId="2107" sId="2">
    <oc r="AA58" t="inlineStr">
      <is>
        <t>Ready for review</t>
      </is>
    </oc>
    <nc r="AA58" t="inlineStr">
      <is>
        <t>Ready for PLC</t>
      </is>
    </nc>
  </rcc>
  <rcc rId="2108" sId="2">
    <oc r="AA59" t="inlineStr">
      <is>
        <t>Ready for review</t>
      </is>
    </oc>
    <nc r="AA59" t="inlineStr">
      <is>
        <t>Ready for PLC</t>
      </is>
    </nc>
  </rcc>
  <rcc rId="2109" sId="2">
    <oc r="AA60" t="inlineStr">
      <is>
        <t>Ready for review</t>
      </is>
    </oc>
    <nc r="AA60" t="inlineStr">
      <is>
        <t>Ready for PLC</t>
      </is>
    </nc>
  </rcc>
  <rcc rId="2110" sId="2">
    <oc r="AA61" t="inlineStr">
      <is>
        <t>Ready for review</t>
      </is>
    </oc>
    <nc r="AA61" t="inlineStr">
      <is>
        <t>Ready for PLC</t>
      </is>
    </nc>
  </rcc>
  <rcc rId="2111" sId="2">
    <oc r="AA62" t="inlineStr">
      <is>
        <t>Ready for review</t>
      </is>
    </oc>
    <nc r="AA62" t="inlineStr">
      <is>
        <t>Ready for PLC</t>
      </is>
    </nc>
  </rcc>
  <rcc rId="2112" sId="2">
    <oc r="AA63" t="inlineStr">
      <is>
        <t>Ready for review</t>
      </is>
    </oc>
    <nc r="AA63" t="inlineStr">
      <is>
        <t>Ready for PLC</t>
      </is>
    </nc>
  </rcc>
  <rcc rId="2113" sId="2">
    <oc r="AA64" t="inlineStr">
      <is>
        <t>Ready for review</t>
      </is>
    </oc>
    <nc r="AA64" t="inlineStr">
      <is>
        <t>Ready for PLC</t>
      </is>
    </nc>
  </rcc>
  <rcc rId="2114" sId="2">
    <oc r="AA65" t="inlineStr">
      <is>
        <t>Ready for review</t>
      </is>
    </oc>
    <nc r="AA65" t="inlineStr">
      <is>
        <t>Ready for PLC</t>
      </is>
    </nc>
  </rcc>
  <rcc rId="2115" sId="2">
    <oc r="AA66" t="inlineStr">
      <is>
        <t>Ready for review</t>
      </is>
    </oc>
    <nc r="AA66" t="inlineStr">
      <is>
        <t>Ready for PLC</t>
      </is>
    </nc>
  </rcc>
  <rcc rId="2116" sId="2">
    <oc r="AA67" t="inlineStr">
      <is>
        <t>Ready for review</t>
      </is>
    </oc>
    <nc r="AA67" t="inlineStr">
      <is>
        <t>Ready for PLC</t>
      </is>
    </nc>
  </rcc>
  <rcc rId="2117" sId="2">
    <oc r="AA68" t="inlineStr">
      <is>
        <t>Ready for review</t>
      </is>
    </oc>
    <nc r="AA68" t="inlineStr">
      <is>
        <t>Ready for PLC</t>
      </is>
    </nc>
  </rcc>
  <rcc rId="2118" sId="2">
    <oc r="AA69" t="inlineStr">
      <is>
        <t>Ready for review</t>
      </is>
    </oc>
    <nc r="AA69" t="inlineStr">
      <is>
        <t>Ready for PLC</t>
      </is>
    </nc>
  </rcc>
  <rcc rId="2119" sId="2">
    <oc r="AA70" t="inlineStr">
      <is>
        <t>Ready for review</t>
      </is>
    </oc>
    <nc r="AA70" t="inlineStr">
      <is>
        <t>Ready for PLC</t>
      </is>
    </nc>
  </rcc>
  <rcc rId="2120" sId="2">
    <oc r="AA71" t="inlineStr">
      <is>
        <t>Ready for review</t>
      </is>
    </oc>
    <nc r="AA71" t="inlineStr">
      <is>
        <t>Ready for PLC</t>
      </is>
    </nc>
  </rcc>
  <rcc rId="2121" sId="2">
    <oc r="AA72" t="inlineStr">
      <is>
        <t>Ready for review</t>
      </is>
    </oc>
    <nc r="AA72" t="inlineStr">
      <is>
        <t>Ready for PLC</t>
      </is>
    </nc>
  </rcc>
  <rcc rId="2122" sId="2">
    <oc r="AA73" t="inlineStr">
      <is>
        <t>Ready for review</t>
      </is>
    </oc>
    <nc r="AA73" t="inlineStr">
      <is>
        <t>Ready for PLC</t>
      </is>
    </nc>
  </rcc>
  <rcc rId="2123" sId="2">
    <oc r="AA74" t="inlineStr">
      <is>
        <t>Ready for review</t>
      </is>
    </oc>
    <nc r="AA74" t="inlineStr">
      <is>
        <t>Ready for PLC</t>
      </is>
    </nc>
  </rcc>
  <rcc rId="2124" sId="2">
    <oc r="AA75" t="inlineStr">
      <is>
        <t>Ready for review</t>
      </is>
    </oc>
    <nc r="AA75" t="inlineStr">
      <is>
        <t>Ready for PLC</t>
      </is>
    </nc>
  </rcc>
  <rcc rId="2125" sId="2">
    <oc r="AA76" t="inlineStr">
      <is>
        <t>Ready for review</t>
      </is>
    </oc>
    <nc r="AA76" t="inlineStr">
      <is>
        <t>Ready for PLC</t>
      </is>
    </nc>
  </rcc>
  <rcc rId="2126" sId="2">
    <oc r="AA77" t="inlineStr">
      <is>
        <t>Ready for review</t>
      </is>
    </oc>
    <nc r="AA77" t="inlineStr">
      <is>
        <t>Ready for PLC</t>
      </is>
    </nc>
  </rcc>
  <rcc rId="2127" sId="2">
    <oc r="AA78" t="inlineStr">
      <is>
        <t>Ready for review</t>
      </is>
    </oc>
    <nc r="AA78" t="inlineStr">
      <is>
        <t>Ready for PLC</t>
      </is>
    </nc>
  </rcc>
  <rcc rId="2128" sId="2">
    <oc r="AA79" t="inlineStr">
      <is>
        <t>Ready for review</t>
      </is>
    </oc>
    <nc r="AA79" t="inlineStr">
      <is>
        <t>Ready for PLC</t>
      </is>
    </nc>
  </rcc>
  <rcc rId="2129" sId="2">
    <oc r="AA80" t="inlineStr">
      <is>
        <t>Ready for review</t>
      </is>
    </oc>
    <nc r="AA80" t="inlineStr">
      <is>
        <t>Ready for PLC</t>
      </is>
    </nc>
  </rcc>
  <rcc rId="2130" sId="2">
    <oc r="AA81" t="inlineStr">
      <is>
        <t>Ready for review</t>
      </is>
    </oc>
    <nc r="AA81" t="inlineStr">
      <is>
        <t>Ready for PLC</t>
      </is>
    </nc>
  </rcc>
  <rcc rId="2131" sId="2">
    <oc r="AA82" t="inlineStr">
      <is>
        <t>Ready for review</t>
      </is>
    </oc>
    <nc r="AA82" t="inlineStr">
      <is>
        <t>Ready for PLC</t>
      </is>
    </nc>
  </rcc>
  <rcc rId="2132" sId="2">
    <oc r="AA83" t="inlineStr">
      <is>
        <t>Ready for review</t>
      </is>
    </oc>
    <nc r="AA83" t="inlineStr">
      <is>
        <t>Ready for PLC</t>
      </is>
    </nc>
  </rcc>
  <rcc rId="2133" sId="2">
    <oc r="AA84" t="inlineStr">
      <is>
        <t>Ready for review</t>
      </is>
    </oc>
    <nc r="AA84" t="inlineStr">
      <is>
        <t>Ready for PLC</t>
      </is>
    </nc>
  </rcc>
  <rcc rId="2134" sId="2">
    <oc r="AA85" t="inlineStr">
      <is>
        <t>Ready for review</t>
      </is>
    </oc>
    <nc r="AA85" t="inlineStr">
      <is>
        <t>Ready for PLC</t>
      </is>
    </nc>
  </rcc>
  <rcc rId="2135" sId="2">
    <oc r="AA86" t="inlineStr">
      <is>
        <t>Ready for review</t>
      </is>
    </oc>
    <nc r="AA86" t="inlineStr">
      <is>
        <t>Ready for PLC</t>
      </is>
    </nc>
  </rcc>
  <rcc rId="2136" sId="2">
    <oc r="AA87" t="inlineStr">
      <is>
        <t>Ready for review</t>
      </is>
    </oc>
    <nc r="AA87" t="inlineStr">
      <is>
        <t>Ready for PLC</t>
      </is>
    </nc>
  </rcc>
  <rcc rId="2137" sId="2">
    <oc r="AA88" t="inlineStr">
      <is>
        <t>Ready for review</t>
      </is>
    </oc>
    <nc r="AA88" t="inlineStr">
      <is>
        <t>Ready for PLC</t>
      </is>
    </nc>
  </rcc>
  <rcc rId="2138" sId="2">
    <oc r="AA89" t="inlineStr">
      <is>
        <t>Ready for review</t>
      </is>
    </oc>
    <nc r="AA89" t="inlineStr">
      <is>
        <t>Ready for PLC</t>
      </is>
    </nc>
  </rcc>
  <rcc rId="2139" sId="2">
    <oc r="AA90" t="inlineStr">
      <is>
        <t>Ready for review</t>
      </is>
    </oc>
    <nc r="AA90" t="inlineStr">
      <is>
        <t>Ready for PLC</t>
      </is>
    </nc>
  </rcc>
  <rcc rId="2140" sId="2">
    <oc r="AA91" t="inlineStr">
      <is>
        <t>Ready for review</t>
      </is>
    </oc>
    <nc r="AA91" t="inlineStr">
      <is>
        <t>Ready for PLC</t>
      </is>
    </nc>
  </rcc>
  <rcc rId="2141" sId="2">
    <oc r="AA92" t="inlineStr">
      <is>
        <t>Ready for review</t>
      </is>
    </oc>
    <nc r="AA92" t="inlineStr">
      <is>
        <t>Ready for PLC</t>
      </is>
    </nc>
  </rcc>
  <rcc rId="2142" sId="2">
    <oc r="AA93" t="inlineStr">
      <is>
        <t>Ready for review</t>
      </is>
    </oc>
    <nc r="AA93" t="inlineStr">
      <is>
        <t>Ready for PLC</t>
      </is>
    </nc>
  </rcc>
  <rcc rId="2143" sId="2">
    <oc r="AA94" t="inlineStr">
      <is>
        <t>Ready for review</t>
      </is>
    </oc>
    <nc r="AA94" t="inlineStr">
      <is>
        <t>Ready for PLC</t>
      </is>
    </nc>
  </rcc>
  <rcc rId="2144" sId="2">
    <oc r="AA95" t="inlineStr">
      <is>
        <t>Ready for review</t>
      </is>
    </oc>
    <nc r="AA95" t="inlineStr">
      <is>
        <t>Ready for PLC</t>
      </is>
    </nc>
  </rcc>
  <rcc rId="2145" sId="2">
    <oc r="AA96" t="inlineStr">
      <is>
        <t>Ready for review</t>
      </is>
    </oc>
    <nc r="AA96" t="inlineStr">
      <is>
        <t>Ready for PLC</t>
      </is>
    </nc>
  </rcc>
  <rcc rId="2146" sId="2">
    <oc r="AA97" t="inlineStr">
      <is>
        <t>Ready for review</t>
      </is>
    </oc>
    <nc r="AA97" t="inlineStr">
      <is>
        <t>Ready for PLC</t>
      </is>
    </nc>
  </rcc>
  <rcc rId="2147" sId="2">
    <oc r="AA98" t="inlineStr">
      <is>
        <t>Ready for review</t>
      </is>
    </oc>
    <nc r="AA98" t="inlineStr">
      <is>
        <t>Ready for PLC</t>
      </is>
    </nc>
  </rcc>
  <rcc rId="2148" sId="2">
    <oc r="AA99" t="inlineStr">
      <is>
        <t>Ready for review</t>
      </is>
    </oc>
    <nc r="AA99" t="inlineStr">
      <is>
        <t>Ready for PLC</t>
      </is>
    </nc>
  </rcc>
  <rcc rId="2149" sId="2">
    <oc r="AA100" t="inlineStr">
      <is>
        <t>Ready for review</t>
      </is>
    </oc>
    <nc r="AA100" t="inlineStr">
      <is>
        <t>Ready for PLC</t>
      </is>
    </nc>
  </rcc>
  <rcc rId="2150" sId="2">
    <oc r="AA101" t="inlineStr">
      <is>
        <t>Ready for review</t>
      </is>
    </oc>
    <nc r="AA101" t="inlineStr">
      <is>
        <t>Ready for PLC</t>
      </is>
    </nc>
  </rcc>
  <rcc rId="2151" sId="2">
    <oc r="AA102" t="inlineStr">
      <is>
        <t>Ready for review</t>
      </is>
    </oc>
    <nc r="AA102" t="inlineStr">
      <is>
        <t>Ready for PLC</t>
      </is>
    </nc>
  </rcc>
  <rcc rId="2152" sId="2">
    <oc r="AA103" t="inlineStr">
      <is>
        <t>Ready for review</t>
      </is>
    </oc>
    <nc r="AA103" t="inlineStr">
      <is>
        <t>Ready for PLC</t>
      </is>
    </nc>
  </rcc>
  <rcc rId="2153" sId="2">
    <oc r="AA104" t="inlineStr">
      <is>
        <t>Ready for review</t>
      </is>
    </oc>
    <nc r="AA104" t="inlineStr">
      <is>
        <t>Ready for PLC</t>
      </is>
    </nc>
  </rcc>
  <rcc rId="2154" sId="2">
    <oc r="AA105" t="inlineStr">
      <is>
        <t>Ready for review</t>
      </is>
    </oc>
    <nc r="AA105" t="inlineStr">
      <is>
        <t>Ready for PLC</t>
      </is>
    </nc>
  </rcc>
  <rcc rId="2155" sId="2">
    <oc r="AA106" t="inlineStr">
      <is>
        <t>Ready for review</t>
      </is>
    </oc>
    <nc r="AA106" t="inlineStr">
      <is>
        <t>Ready for PLC</t>
      </is>
    </nc>
  </rcc>
  <rcc rId="2156" sId="2">
    <oc r="AA107" t="inlineStr">
      <is>
        <t>Ready for review</t>
      </is>
    </oc>
    <nc r="AA107" t="inlineStr">
      <is>
        <t>Ready for PLC</t>
      </is>
    </nc>
  </rcc>
  <rcc rId="2157" sId="2">
    <oc r="AA108" t="inlineStr">
      <is>
        <t>Complete &amp; Closed</t>
      </is>
    </oc>
    <nc r="AA108" t="inlineStr">
      <is>
        <t>Ready for PLC</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60" sId="2">
    <oc r="X49">
      <f>W49</f>
    </oc>
    <nc r="X49">
      <f>W49</f>
    </nc>
  </rcc>
  <rcc rId="2161" sId="2">
    <oc r="X50">
      <f>W50</f>
    </oc>
    <nc r="X50">
      <f>W50</f>
    </nc>
  </rcc>
  <rcc rId="2162" sId="2">
    <oc r="X51">
      <v>26</v>
    </oc>
    <nc r="X51">
      <f>W51</f>
    </nc>
  </rcc>
  <rcc rId="2163" sId="2">
    <oc r="X52">
      <v>26</v>
    </oc>
    <nc r="X52">
      <f>W52</f>
    </nc>
  </rcc>
  <rcc rId="2164" sId="2">
    <oc r="X53">
      <f>W53</f>
    </oc>
    <nc r="X53">
      <f>W53</f>
    </nc>
  </rcc>
  <rcc rId="2165" sId="2">
    <oc r="X54">
      <f>W54</f>
    </oc>
    <nc r="X54">
      <f>W54</f>
    </nc>
  </rcc>
  <rcc rId="2166" sId="2">
    <oc r="X55">
      <f>W55</f>
    </oc>
    <nc r="X55">
      <f>W55</f>
    </nc>
  </rcc>
  <rcc rId="2167" sId="2">
    <oc r="X56">
      <f>W56</f>
    </oc>
    <nc r="X56">
      <f>W56</f>
    </nc>
  </rcc>
  <rcc rId="2168" sId="2">
    <oc r="X57">
      <f>W57</f>
    </oc>
    <nc r="X57">
      <f>W57</f>
    </nc>
  </rcc>
  <rcc rId="2169" sId="2">
    <oc r="X58">
      <f>W58</f>
    </oc>
    <nc r="X58">
      <f>W58</f>
    </nc>
  </rcc>
  <rcc rId="2170" sId="2">
    <oc r="X59">
      <f>W59</f>
    </oc>
    <nc r="X59">
      <f>W59</f>
    </nc>
  </rcc>
  <rcc rId="2171" sId="2">
    <oc r="X60">
      <f>W60</f>
    </oc>
    <nc r="X60">
      <f>W60</f>
    </nc>
  </rcc>
  <rcc rId="2172" sId="2">
    <oc r="X61">
      <f>W61</f>
    </oc>
    <nc r="X61">
      <f>W61</f>
    </nc>
  </rcc>
  <rcc rId="2173" sId="2">
    <oc r="X62">
      <f>W62</f>
    </oc>
    <nc r="X62">
      <f>W62</f>
    </nc>
  </rcc>
  <rcc rId="2174" sId="2">
    <oc r="X63">
      <f>W63</f>
    </oc>
    <nc r="X63">
      <f>W63</f>
    </nc>
  </rcc>
  <rcc rId="2175" sId="2">
    <oc r="X64">
      <f>W64</f>
    </oc>
    <nc r="X64">
      <f>W64</f>
    </nc>
  </rcc>
  <rcc rId="2176" sId="2">
    <oc r="X65">
      <f>W65</f>
    </oc>
    <nc r="X65">
      <f>W65</f>
    </nc>
  </rcc>
  <rcc rId="2177" sId="2">
    <oc r="X66">
      <f>W66</f>
    </oc>
    <nc r="X66">
      <f>W66</f>
    </nc>
  </rcc>
  <rcc rId="2178" sId="2">
    <oc r="X67">
      <f>W67</f>
    </oc>
    <nc r="X67">
      <f>W67</f>
    </nc>
  </rcc>
  <rcc rId="2179" sId="2">
    <oc r="X68">
      <v>202.5</v>
    </oc>
    <nc r="X68">
      <f>W68</f>
    </nc>
  </rcc>
  <rcc rId="2180" sId="2">
    <oc r="X69">
      <v>202.5</v>
    </oc>
    <nc r="X69">
      <f>W69</f>
    </nc>
  </rcc>
  <rcc rId="2181" sId="2">
    <oc r="X70">
      <v>95.625</v>
    </oc>
    <nc r="X70">
      <f>W70</f>
    </nc>
  </rcc>
  <rcc rId="2182" sId="2">
    <oc r="X71">
      <f>W71</f>
    </oc>
    <nc r="X71">
      <f>W71</f>
    </nc>
  </rcc>
  <rcc rId="2183" sId="2">
    <oc r="X72">
      <f>W72</f>
    </oc>
    <nc r="X72">
      <f>W72</f>
    </nc>
  </rcc>
  <rcc rId="2184" sId="2">
    <oc r="X73">
      <f>W73</f>
    </oc>
    <nc r="X73">
      <f>W73</f>
    </nc>
  </rcc>
  <rcc rId="2185" sId="2">
    <oc r="X74">
      <f>W74</f>
    </oc>
    <nc r="X74">
      <f>W74</f>
    </nc>
  </rcc>
  <rcc rId="2186" sId="2">
    <oc r="X75">
      <v>114.75</v>
    </oc>
    <nc r="X75">
      <f>W75</f>
    </nc>
  </rcc>
  <rcc rId="2187" sId="2">
    <oc r="X76">
      <f>W76</f>
    </oc>
    <nc r="X76">
      <f>W76</f>
    </nc>
  </rcc>
  <rcc rId="2188" sId="2">
    <oc r="X77">
      <f>W77</f>
    </oc>
    <nc r="X77">
      <f>W77</f>
    </nc>
  </rcc>
  <rcc rId="2189" sId="2">
    <oc r="X78">
      <f>W78</f>
    </oc>
    <nc r="X78">
      <f>W78</f>
    </nc>
  </rcc>
  <rcc rId="2190" sId="2">
    <oc r="X79">
      <f>W79</f>
    </oc>
    <nc r="X79">
      <f>W79</f>
    </nc>
  </rcc>
  <rcc rId="2191" sId="2">
    <oc r="X80">
      <f>W80</f>
    </oc>
    <nc r="X80">
      <f>W80</f>
    </nc>
  </rcc>
  <rcc rId="2192" sId="2">
    <oc r="X81">
      <f>W81</f>
    </oc>
    <nc r="X81">
      <f>W81</f>
    </nc>
  </rcc>
  <rcc rId="2193" sId="2">
    <oc r="X82">
      <f>ROUND(IF(E82=Table!$C$3,Z82*Table!$C$4/8,Z82*Table!$D$4/8),3)</f>
    </oc>
    <nc r="X82">
      <f>W82</f>
    </nc>
  </rcc>
  <rcc rId="2194" sId="2">
    <oc r="X83">
      <f>ROUND(IF(E83=Table!$C$3,Z83*Table!$C$4/8,Z83*Table!$D$4/8),3)</f>
    </oc>
    <nc r="X83">
      <f>W83</f>
    </nc>
  </rcc>
  <rcc rId="2195" sId="2">
    <oc r="X84">
      <f>W84</f>
    </oc>
    <nc r="X84">
      <f>W84</f>
    </nc>
  </rcc>
  <rcc rId="2196" sId="2">
    <oc r="X85">
      <f>W85</f>
    </oc>
    <nc r="X85">
      <f>W85</f>
    </nc>
  </rcc>
  <rcc rId="2197" sId="2">
    <oc r="X86">
      <v>67.5</v>
    </oc>
    <nc r="X86">
      <f>W86</f>
    </nc>
  </rcc>
  <rcc rId="2198" sId="2">
    <oc r="X87">
      <v>6.75</v>
    </oc>
    <nc r="X87">
      <f>W87</f>
    </nc>
  </rcc>
  <rcc rId="2199" sId="2">
    <oc r="X88">
      <v>6.75</v>
    </oc>
    <nc r="X88">
      <f>W88</f>
    </nc>
  </rcc>
  <rcc rId="2200" sId="2">
    <oc r="X89">
      <v>67.5</v>
    </oc>
    <nc r="X89">
      <f>W89</f>
    </nc>
  </rcc>
  <rcc rId="2201" sId="2">
    <oc r="X90">
      <v>6.75</v>
    </oc>
    <nc r="X90">
      <f>W90</f>
    </nc>
  </rcc>
  <rcc rId="2202" sId="2">
    <oc r="X91">
      <v>95.625</v>
    </oc>
    <nc r="X91">
      <f>W91</f>
    </nc>
  </rcc>
  <rcc rId="2203" sId="2">
    <oc r="X92">
      <f>W92</f>
    </oc>
    <nc r="X92">
      <f>W92</f>
    </nc>
  </rcc>
  <rcc rId="2204" sId="2">
    <oc r="X93">
      <f>W93</f>
    </oc>
    <nc r="X93">
      <f>W93</f>
    </nc>
  </rcc>
  <rcc rId="2205" sId="2">
    <oc r="X94">
      <f>W94</f>
    </oc>
    <nc r="X94">
      <f>W94</f>
    </nc>
  </rcc>
  <rcc rId="2206" sId="2">
    <oc r="X95">
      <f>W95</f>
    </oc>
    <nc r="X95">
      <f>W95</f>
    </nc>
  </rcc>
  <rcc rId="2207" sId="2">
    <oc r="X96">
      <f>W96</f>
    </oc>
    <nc r="X96">
      <f>W96</f>
    </nc>
  </rcc>
  <rcc rId="2208" sId="2">
    <oc r="X97">
      <f>W97</f>
    </oc>
    <nc r="X97">
      <f>W97</f>
    </nc>
  </rcc>
  <rcc rId="2209" sId="2">
    <oc r="X98">
      <v>107.1</v>
    </oc>
    <nc r="X98">
      <f>W98</f>
    </nc>
  </rcc>
  <rcc rId="2210" sId="2">
    <oc r="X99">
      <f>W99</f>
    </oc>
    <nc r="X99">
      <f>W99</f>
    </nc>
  </rcc>
  <rcc rId="2211" sId="2">
    <oc r="X100">
      <v>114.75</v>
    </oc>
    <nc r="X100">
      <f>W100</f>
    </nc>
  </rcc>
  <rcc rId="2212" sId="2">
    <oc r="X101">
      <v>67.5</v>
    </oc>
    <nc r="X101">
      <f>W101</f>
    </nc>
  </rcc>
  <rcc rId="2213" sId="2">
    <oc r="X102">
      <f>W102</f>
    </oc>
    <nc r="X102">
      <f>W102</f>
    </nc>
  </rcc>
  <rcc rId="2214" sId="2">
    <oc r="X103">
      <f>W103</f>
    </oc>
    <nc r="X103">
      <f>W103</f>
    </nc>
  </rcc>
  <rcc rId="2215" sId="2">
    <oc r="X104">
      <f>W104</f>
    </oc>
    <nc r="X104">
      <f>W104</f>
    </nc>
  </rcc>
  <rcc rId="2216" sId="2">
    <oc r="X105">
      <v>114.75</v>
    </oc>
    <nc r="X105">
      <f>W105</f>
    </nc>
  </rcc>
  <rcc rId="2217" sId="2">
    <oc r="X106">
      <f>W106</f>
    </oc>
    <nc r="X106">
      <f>W106</f>
    </nc>
  </rcc>
  <rcc rId="2218" sId="2">
    <oc r="X107">
      <f>W107</f>
    </oc>
    <nc r="X107">
      <f>W107</f>
    </nc>
  </rcc>
  <rcc rId="2219" sId="2">
    <oc r="X108">
      <v>72</v>
    </oc>
    <nc r="X108">
      <f>W108</f>
    </nc>
  </rcc>
  <rcc rId="2220" sId="2">
    <oc r="X109">
      <v>765</v>
    </oc>
    <nc r="X109">
      <f>W109</f>
    </nc>
  </rcc>
  <rcc rId="2221" sId="2">
    <oc r="X110">
      <v>315</v>
    </oc>
    <nc r="X110">
      <f>W110</f>
    </nc>
  </rcc>
  <rcc rId="2222" sId="2">
    <oc r="X111">
      <f>W111</f>
    </oc>
    <nc r="X111">
      <f>W111</f>
    </nc>
  </rcc>
  <rcc rId="2223" sId="2">
    <oc r="X112">
      <f>W112</f>
    </oc>
    <nc r="X112">
      <f>W112</f>
    </nc>
  </rcc>
  <rcc rId="2224" sId="2">
    <oc r="X113">
      <f>W113</f>
    </oc>
    <nc r="X113">
      <f>W113</f>
    </nc>
  </rcc>
  <rcc rId="2225" sId="2">
    <oc r="X114">
      <f>W114</f>
    </oc>
    <nc r="X114">
      <f>W114</f>
    </nc>
  </rcc>
  <rcc rId="2226" sId="2">
    <oc r="X115">
      <f>W115</f>
    </oc>
    <nc r="X115">
      <f>W115</f>
    </nc>
  </rcc>
  <rcc rId="2227" sId="2">
    <oc r="X116">
      <v>540</v>
    </oc>
    <nc r="X116">
      <f>W116</f>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C16">
    <dxf>
      <fill>
        <patternFill patternType="solid">
          <bgColor rgb="FFFFFF00"/>
        </patternFill>
      </fill>
    </dxf>
  </rfmt>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54" start="0" length="0">
    <dxf>
      <font>
        <b/>
        <sz val="11"/>
        <color theme="1"/>
        <name val="Calibri"/>
        <scheme val="minor"/>
      </font>
    </dxf>
  </rfmt>
  <rcc rId="2232" sId="4" odxf="1" dxf="1">
    <nc r="B54" t="inlineStr">
      <is>
        <t>Project</t>
      </is>
    </nc>
    <odxf>
      <font>
        <b val="0"/>
        <sz val="11"/>
        <color theme="1"/>
        <name val="Calibri"/>
        <scheme val="minor"/>
      </font>
    </odxf>
    <ndxf>
      <font>
        <b/>
        <sz val="11"/>
        <color theme="1"/>
        <name val="Calibri"/>
        <scheme val="minor"/>
      </font>
    </ndxf>
  </rcc>
  <rfmt sheetId="4" sqref="C54" start="0" length="0">
    <dxf>
      <font>
        <b/>
        <sz val="11"/>
        <color theme="1"/>
        <name val="Calibri"/>
        <scheme val="minor"/>
      </font>
    </dxf>
  </rfmt>
  <rcc rId="2233" sId="4" odxf="1" dxf="1">
    <nc r="B55" t="inlineStr">
      <is>
        <t>Time</t>
      </is>
    </nc>
    <odxf>
      <font>
        <b val="0"/>
        <sz val="11"/>
        <color theme="1"/>
        <name val="Calibri"/>
        <scheme val="minor"/>
      </font>
    </odxf>
    <ndxf>
      <font>
        <b/>
        <sz val="11"/>
        <color theme="1"/>
        <name val="Calibri"/>
        <scheme val="minor"/>
      </font>
    </ndxf>
  </rcc>
  <rcc rId="2234" sId="4">
    <nc r="C55">
      <f>SUM(G61:G62)</f>
    </nc>
  </rcc>
  <rcc rId="2235" sId="4">
    <nc r="D55" t="inlineStr">
      <is>
        <t>days</t>
      </is>
    </nc>
  </rcc>
  <rcc rId="2236" sId="4" odxf="1" dxf="1">
    <nc r="B56" t="inlineStr">
      <is>
        <t>Duration (Plan)</t>
      </is>
    </nc>
    <odxf>
      <font>
        <b val="0"/>
        <sz val="11"/>
        <color theme="1"/>
        <name val="Calibri"/>
        <scheme val="minor"/>
      </font>
    </odxf>
    <ndxf>
      <font>
        <b/>
        <sz val="11"/>
        <color theme="1"/>
        <name val="Calibri"/>
        <scheme val="minor"/>
      </font>
    </ndxf>
  </rcc>
  <rcc rId="2237" sId="4">
    <nc r="C56">
      <f>SUM(INT((WEEKDAY(F56-{2,3,4,5,6})+H56-F56)/7))-2</f>
    </nc>
  </rcc>
  <rcc rId="2238" sId="4">
    <nc r="D56" t="inlineStr">
      <is>
        <t>days</t>
      </is>
    </nc>
  </rcc>
  <rcc rId="2239" sId="4">
    <nc r="E56" t="inlineStr">
      <is>
        <t>10h00</t>
      </is>
    </nc>
  </rcc>
  <rcc rId="2240" sId="4" odxf="1" dxf="1" numFmtId="19">
    <nc r="F56">
      <v>43949</v>
    </nc>
    <odxf>
      <numFmt numFmtId="0" formatCode="General"/>
    </odxf>
    <ndxf>
      <numFmt numFmtId="19" formatCode="m/d/yyyy"/>
    </ndxf>
  </rcc>
  <rcc rId="2241" sId="4" odxf="1" dxf="1">
    <nc r="G56" t="inlineStr">
      <is>
        <t>17h00</t>
      </is>
    </nc>
    <odxf>
      <numFmt numFmtId="0" formatCode="General"/>
    </odxf>
    <ndxf>
      <numFmt numFmtId="19" formatCode="m/d/yyyy"/>
    </ndxf>
  </rcc>
  <rcc rId="2242" sId="4" odxf="1" dxf="1" numFmtId="19">
    <nc r="H56">
      <v>43956</v>
    </nc>
    <odxf>
      <numFmt numFmtId="0" formatCode="General"/>
    </odxf>
    <ndxf>
      <numFmt numFmtId="19" formatCode="m/d/yyyy"/>
    </ndxf>
  </rcc>
  <rcc rId="2243" sId="4" odxf="1" dxf="1">
    <nc r="B57" t="inlineStr">
      <is>
        <t>Duration (Actual)</t>
      </is>
    </nc>
    <odxf>
      <font>
        <b val="0"/>
        <sz val="11"/>
        <color theme="1"/>
        <name val="Calibri"/>
        <scheme val="minor"/>
      </font>
    </odxf>
    <ndxf>
      <font>
        <b/>
        <sz val="11"/>
        <color theme="1"/>
        <name val="Calibri"/>
        <scheme val="minor"/>
      </font>
    </ndxf>
  </rcc>
  <rcc rId="2244" sId="4">
    <nc r="C57">
      <f>SUM(INT((WEEKDAY(F57-{2,3,4,5,6})+H57-F57)/7))-2</f>
    </nc>
  </rcc>
  <rcc rId="2245" sId="4">
    <nc r="D57" t="inlineStr">
      <is>
        <t>days</t>
      </is>
    </nc>
  </rcc>
  <rcc rId="2246" sId="4">
    <nc r="E57" t="inlineStr">
      <is>
        <t>13h00</t>
      </is>
    </nc>
  </rcc>
  <rcc rId="2247" sId="4" odxf="1" dxf="1" numFmtId="19">
    <nc r="F57">
      <v>43949</v>
    </nc>
    <odxf>
      <numFmt numFmtId="0" formatCode="General"/>
    </odxf>
    <ndxf>
      <numFmt numFmtId="19" formatCode="m/d/yyyy"/>
    </ndxf>
  </rcc>
  <rcc rId="2248" sId="4" odxf="1" dxf="1">
    <nc r="G57" t="inlineStr">
      <is>
        <t>17h00</t>
      </is>
    </nc>
    <odxf>
      <numFmt numFmtId="0" formatCode="General"/>
    </odxf>
    <ndxf>
      <numFmt numFmtId="19" formatCode="m/d/yyyy"/>
    </ndxf>
  </rcc>
  <rcc rId="2249" sId="4" odxf="1" dxf="1" numFmtId="19">
    <nc r="H57">
      <v>43956</v>
    </nc>
    <odxf>
      <numFmt numFmtId="0" formatCode="General"/>
    </odxf>
    <ndxf>
      <numFmt numFmtId="19" formatCode="m/d/yyyy"/>
    </ndxf>
  </rcc>
  <rcc rId="2250" sId="4" odxf="1" dxf="1">
    <nc r="B58" t="inlineStr">
      <is>
        <t>Status</t>
      </is>
    </nc>
    <odxf>
      <font>
        <b val="0"/>
        <sz val="11"/>
        <color theme="1"/>
        <name val="Calibri"/>
        <scheme val="minor"/>
      </font>
    </odxf>
    <ndxf>
      <font>
        <b/>
        <sz val="11"/>
        <color theme="1"/>
        <name val="Calibri"/>
        <scheme val="minor"/>
      </font>
    </ndxf>
  </rcc>
  <rcc rId="2251" sId="4">
    <nc r="C58">
      <f>IF(SUM(H61:H62)&gt;SUM(G61:G62),"Delayed",IF(SUM(H61:H62)&lt;SUM(G61:G62),"InAdvanced","Ontime"))</f>
    </nc>
  </rcc>
  <rfmt sheetId="4" sqref="F58" start="0" length="0">
    <dxf>
      <numFmt numFmtId="19" formatCode="m/d/yyyy"/>
    </dxf>
  </rfmt>
  <rfmt sheetId="4" sqref="G58" start="0" length="0">
    <dxf>
      <numFmt numFmtId="19" formatCode="m/d/yyyy"/>
    </dxf>
  </rfmt>
  <rfmt sheetId="4" sqref="H58" start="0" length="0">
    <dxf>
      <numFmt numFmtId="19" formatCode="m/d/yyyy"/>
    </dxf>
  </rfmt>
  <rcc rId="2252" sId="4" odxf="1" dxf="1">
    <nc r="C6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253" sId="4" odxf="1" dxf="1">
    <nc r="D6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254" sId="4" odxf="1" dxf="1">
    <nc r="E6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5" sId="4" odxf="1" dxf="1">
    <nc r="F6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6" sId="4" odxf="1" dxf="1">
    <nc r="G6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7" sId="4" odxf="1" dxf="1">
    <nc r="H6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8" sId="4" odxf="1" dxf="1">
    <nc r="I6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259" sId="4" odxf="1" dxf="1">
    <nc r="C6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260" sId="4" odxf="1" dxf="1">
    <nc r="D61"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1" sId="4" odxf="1" dxf="1">
    <nc r="E61">
      <f>SUMIFS(Merged_COEM!$W$48:$W$193,Merged_COEM!$D$48:$D$193,Table!$D$3,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2" sId="4" odxf="1" dxf="1">
    <nc r="F61">
      <f>SUMIFS(Merged_COEM!$X$48:$X$193,Merged_COEM!$D$48:$D$193,Table!$D$3, Merged_COEM!$C$48:$C$193,C54)-SUM(SUMIFS(Merged_COEM!$X$48:$X$193,Merged_COEM!$D$48:$D$193,Table!$D$3,Merged_COEM!$AA$48:$AA$193,{"Ongoing","N/A",""},Merged_COEM!$C$48:$C$193,C54))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3" sId="4" odxf="1" dxf="1">
    <nc r="G61">
      <f>1/8*(SUMIFS(Merged_COEM!$Y$48:$Y$193,Merged_COEM!$D$48:$D$193,Table!$D$3,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4" sId="4" odxf="1" dxf="1">
    <nc r="H61">
      <f>1/8*(SUMIFS(Merged_COEM!$Z$48:$Z$193,Merged_COEM!$D$48:$D$193,Table!$D$3, Merged_COEM!$C$48:$C$193,C54)-SUM(SUMIFS(Merged_COEM!$Z$48:$Z$193,Merged_COEM!$D$48:$D$193,Table!$D$3,Merged_COEM!$AA$48:$AA$193,{"Ongoing","N/A",""},Merged_COEM!$C$48:$C$193,C54)))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5" sId="4" odxf="1" dxf="1">
    <nc r="I61">
      <f>IFERROR(F61/E61,"N/A")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266" sId="4" odxf="1" dxf="1">
    <nc r="C6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267" sId="4" odxf="1" dxf="1">
    <nc r="D62"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8" sId="4" odxf="1" dxf="1">
    <nc r="E62">
      <f>SUMIFS(Merged_COEM!$W$48:$W$193,Merged_COEM!$D$48:$D$193,Table!$C$3,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69" sId="4" odxf="1" dxf="1">
    <nc r="F62">
      <f>SUMIFS(Merged_COEM!$X$48:$X$193,Merged_COEM!$D$48:$D$193,Table!$C$3, Merged_COEM!$C$48:$C$193,C54)-SUM(SUMIFS(Merged_COEM!$X$48:$X$193,Merged_COEM!$D$48:$D$193,Table!$C$3,Merged_COEM!$AA$48:$AA$193,{"Ongoing","N/A",""},Merged_COEM!$C$48:$C$193,C54))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0" sId="4" odxf="1" dxf="1">
    <nc r="G62">
      <f>1/8*(SUMIFS(Merged_COEM!$Y$48:$Y$193,Merged_COEM!$D$48:$D$193,Table!$C$3, 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1" sId="4" odxf="1" dxf="1">
    <nc r="H62">
      <f>1/8*(SUMIFS(Merged_COEM!$Z$48:$Z$193,Merged_COEM!$D$48:$D$193,Table!$C$3, Merged_COEM!$C$48:$C$193,C54)-SUM(SUMIFS(Merged_COEM!$Z$48:$Z$193,Merged_COEM!$D$48:$D$193,Table!$C$3,Merged_COEM!$AA$48:$AA$193,{"Ongoing","N/A",""},Merged_COEM!$C$48:$C$193,C54)))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272" sId="4" odxf="1" dxf="1">
    <nc r="I62">
      <f>IFERROR(F62/E62,"N/A")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273" sId="4">
    <nc r="C64" t="inlineStr">
      <is>
        <t>Brief Description:</t>
      </is>
    </nc>
  </rcc>
  <rcc rId="2274" sId="4" odxf="1" quotePrefix="1">
    <nc r="D65" t="inlineStr">
      <is>
        <t>- No comment</t>
      </is>
    </nc>
    <odxf/>
  </rcc>
  <rcc rId="2275" sId="4">
    <nc r="A54">
      <v>5</v>
    </nc>
  </rcc>
  <rcc rId="2276" sId="4">
    <nc r="C54">
      <v>20200507</v>
    </nc>
  </rcc>
  <rfmt sheetId="4" sqref="P2" start="0" length="0">
    <dxf>
      <font/>
    </dxf>
  </rfmt>
  <rcc rId="2277" sId="4">
    <oc r="H9">
      <f>1/8*(SUMIFS(Merged_COEM!$Z$48:$Z$193,Merged_COEM!$D$48:$D$193,Table!$D$3, Merged_COEM!$C$48:$C$193,C2)-SUM(SUMIFS(Merged_COEM!$Z$48:$Z$193,Merged_COEM!$D$48:$D$193,Table!$D$3,Merged_COEM!$AA$48:$AA$193,{"Ongoing","N/A",""},Merged_COEM!$C$48:$C$193,C2)))</f>
    </oc>
    <nc r="H9">
      <f>1/8*(SUMIFS(Merged_COEM!$Z$48:$Z$193,Merged_COEM!$D$48:$D$193,Table!$D$3, Merged_COEM!$C$48:$C$193,C2)-SUM(SUMIFS(Merged_COEM!$Z$48:$Z$193,Merged_COEM!$D$48:$D$193,Table!$D$3,Merged_COEM!$AA$48:$AA$193,{"Ongoing","N/A",""},Merged_COEM!$C$48:$C$193,C2)))</f>
    </nc>
  </rcc>
  <rcc rId="2278" sId="4">
    <oc r="I9">
      <f>IFERROR(F9/E9,"N/A")</f>
    </oc>
    <nc r="I9">
      <f>IFERROR(F9/E9,"N/A")</f>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Merged_JOEM!$B$47:$AN$108</formula>
    <oldFormula>Merged_JOEM!$B$47:$AN$108</oldFormula>
  </rdn>
  <rcv guid="{3B3E6719-EACB-4D2C-89C1-05FFAB6020FD}" action="add"/>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80:V80">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F80" start="0" length="0">
    <dxf>
      <font>
        <b/>
        <sz val="10"/>
        <color rgb="FF9C6500"/>
        <name val="Arial"/>
        <scheme val="minor"/>
      </font>
      <fill>
        <patternFill patternType="none">
          <bgColor indexed="65"/>
        </patternFill>
      </fill>
    </dxf>
  </rfmt>
  <rfmt sheetId="1" sqref="G80" start="0" length="0">
    <dxf>
      <font>
        <sz val="11"/>
        <color theme="1"/>
        <name val="Calibri"/>
        <scheme val="minor"/>
      </font>
      <fill>
        <patternFill patternType="none">
          <bgColor indexed="65"/>
        </patternFill>
      </fill>
    </dxf>
  </rfmt>
  <rfmt sheetId="1" sqref="H80" start="0" length="0">
    <dxf>
      <font>
        <sz val="11"/>
        <color theme="1"/>
        <name val="Calibri"/>
        <scheme val="minor"/>
      </font>
      <fill>
        <patternFill>
          <bgColor theme="0" tint="-0.499984740745262"/>
        </patternFill>
      </fill>
    </dxf>
  </rfmt>
  <rfmt sheetId="1" sqref="I80" start="0" length="0">
    <dxf>
      <font>
        <sz val="11"/>
        <color theme="1"/>
        <name val="Calibri"/>
        <scheme val="minor"/>
      </font>
      <fill>
        <patternFill patternType="none">
          <bgColor indexed="65"/>
        </patternFill>
      </fill>
    </dxf>
  </rfmt>
  <rfmt sheetId="1" sqref="J80" start="0" length="0">
    <dxf>
      <font>
        <sz val="11"/>
        <color theme="1"/>
        <name val="Calibri"/>
        <scheme val="minor"/>
      </font>
      <fill>
        <patternFill>
          <bgColor theme="0" tint="-0.499984740745262"/>
        </patternFill>
      </fill>
    </dxf>
  </rfmt>
  <rfmt sheetId="1" sqref="K80" start="0" length="0">
    <dxf>
      <font>
        <sz val="11"/>
        <color theme="1"/>
        <name val="Calibri"/>
        <scheme val="minor"/>
      </font>
      <fill>
        <patternFill patternType="none">
          <bgColor indexed="65"/>
        </patternFill>
      </fill>
    </dxf>
  </rfmt>
  <rfmt sheetId="1" sqref="L80" start="0" length="0">
    <dxf>
      <font>
        <sz val="11"/>
        <color theme="1"/>
        <name val="Calibri"/>
        <scheme val="minor"/>
      </font>
      <fill>
        <patternFill patternType="none">
          <bgColor indexed="65"/>
        </patternFill>
      </fill>
    </dxf>
  </rfmt>
  <rfmt sheetId="1" sqref="M80" start="0" length="0">
    <dxf>
      <font>
        <sz val="11"/>
        <color theme="1"/>
        <name val="Calibri"/>
        <scheme val="minor"/>
      </font>
      <fill>
        <patternFill patternType="none">
          <bgColor indexed="65"/>
        </patternFill>
      </fill>
    </dxf>
  </rfmt>
  <rfmt sheetId="1" sqref="N80" start="0" length="0">
    <dxf>
      <font>
        <sz val="11"/>
        <color theme="1"/>
        <name val="Calibri"/>
        <scheme val="minor"/>
      </font>
      <fill>
        <patternFill patternType="none">
          <bgColor indexed="65"/>
        </patternFill>
      </fill>
    </dxf>
  </rfmt>
  <rfmt sheetId="1" sqref="O80" start="0" length="0">
    <dxf>
      <font>
        <sz val="11"/>
        <color theme="1"/>
        <name val="Calibri"/>
        <scheme val="minor"/>
      </font>
      <fill>
        <patternFill patternType="none">
          <bgColor indexed="65"/>
        </patternFill>
      </fill>
    </dxf>
  </rfmt>
  <rfmt sheetId="1" sqref="P80" start="0" length="0">
    <dxf>
      <font>
        <sz val="11"/>
        <color theme="1"/>
        <name val="Calibri"/>
        <scheme val="minor"/>
      </font>
      <fill>
        <patternFill patternType="none">
          <bgColor indexed="65"/>
        </patternFill>
      </fill>
    </dxf>
  </rfmt>
  <rfmt sheetId="1" sqref="Q80" start="0" length="0">
    <dxf>
      <font>
        <sz val="11"/>
        <color theme="1"/>
        <name val="Calibri"/>
        <scheme val="minor"/>
      </font>
      <fill>
        <patternFill>
          <bgColor rgb="FFFFFF00"/>
        </patternFill>
      </fill>
    </dxf>
  </rfmt>
  <rfmt sheetId="1" sqref="R80" start="0" length="0">
    <dxf>
      <font>
        <sz val="11"/>
        <color theme="1"/>
        <name val="Calibri"/>
        <scheme val="minor"/>
      </font>
      <fill>
        <patternFill>
          <bgColor theme="0" tint="-0.499984740745262"/>
        </patternFill>
      </fill>
    </dxf>
  </rfmt>
  <rfmt sheetId="1" sqref="S80" start="0" length="0">
    <dxf>
      <font>
        <sz val="11"/>
        <color theme="1"/>
        <name val="Calibri"/>
        <scheme val="minor"/>
      </font>
      <fill>
        <patternFill patternType="none">
          <bgColor indexed="65"/>
        </patternFill>
      </fill>
    </dxf>
  </rfmt>
  <rfmt sheetId="1" sqref="T80" start="0" length="0">
    <dxf>
      <font>
        <sz val="11"/>
        <color theme="1"/>
        <name val="Calibri"/>
        <scheme val="minor"/>
      </font>
      <fill>
        <patternFill patternType="none">
          <bgColor indexed="65"/>
        </patternFill>
      </fill>
    </dxf>
  </rfmt>
  <rfmt sheetId="1" sqref="U80" start="0" length="0">
    <dxf>
      <font>
        <sz val="11"/>
        <color theme="1"/>
        <name val="Calibri"/>
        <scheme val="minor"/>
      </font>
      <fill>
        <patternFill patternType="none">
          <bgColor indexed="65"/>
        </patternFill>
      </fill>
    </dxf>
  </rfmt>
  <rfmt sheetId="1" sqref="V80" start="0" length="0">
    <dxf>
      <font>
        <sz val="11"/>
        <color theme="1"/>
        <name val="Calibri"/>
        <scheme val="minor"/>
      </font>
      <fill>
        <patternFill patternType="none">
          <bgColor indexed="65"/>
        </patternFill>
      </fill>
    </dxf>
  </rfmt>
  <rcc rId="2283" sId="1">
    <nc r="X80">
      <f>W80</f>
    </nc>
  </rcc>
  <rcc rId="2284" sId="1">
    <nc r="Z80">
      <v>1</v>
    </nc>
  </rcc>
  <rcc rId="2285" sId="1">
    <nc r="AA80" t="inlineStr">
      <is>
        <t>Ready for review</t>
      </is>
    </nc>
  </rcc>
  <rcc rId="2286" sId="1" numFmtId="19">
    <nc r="AE80">
      <v>43959</v>
    </nc>
  </rcc>
  <rcc rId="2287" sId="1" numFmtId="19">
    <nc r="AF80">
      <v>43959</v>
    </nc>
  </rcc>
  <rcc rId="2288" sId="1">
    <nc r="AG80" t="inlineStr">
      <is>
        <t>OK</t>
      </is>
    </nc>
  </rcc>
  <rcc rId="2289" sId="1" numFmtId="14">
    <nc r="AH80">
      <v>1</v>
    </nc>
  </rcc>
  <rcc rId="2290" sId="1" numFmtId="14">
    <nc r="AI80">
      <v>1</v>
    </nc>
  </rcc>
  <rcc rId="2291" sId="1" numFmtId="14">
    <nc r="AJ80">
      <v>1</v>
    </nc>
  </rcc>
  <rcc rId="2292" sId="1">
    <nc r="AK80" t="inlineStr">
      <is>
        <t>None</t>
      </is>
    </nc>
  </rcc>
  <rcc rId="2293" sId="1">
    <nc r="AL80" t="inlineStr">
      <is>
        <t>-</t>
      </is>
    </nc>
  </rcc>
  <rcc rId="2294" sId="1">
    <nc r="AM80" t="inlineStr">
      <is>
        <t>-</t>
      </is>
    </nc>
  </rcc>
  <rcc rId="2295" sId="1">
    <nc r="AN80" t="inlineStr">
      <is>
        <t>-</t>
      </is>
    </nc>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98" sId="4" numFmtId="19">
    <oc r="H17">
      <v>43956</v>
    </oc>
    <nc r="H17">
      <v>43966</v>
    </nc>
  </rcc>
  <rcc rId="2299" sId="4" numFmtId="19">
    <oc r="F17">
      <v>43949</v>
    </oc>
    <nc r="F17">
      <v>43950</v>
    </nc>
  </rcc>
  <rcc rId="2300" sId="4" numFmtId="19">
    <oc r="F18">
      <v>43949</v>
    </oc>
    <nc r="F18">
      <v>43955</v>
    </nc>
  </rcc>
  <rcc rId="2301" sId="4" numFmtId="19">
    <oc r="H18">
      <v>43956</v>
    </oc>
    <nc r="H18">
      <v>43959</v>
    </nc>
  </rcc>
  <rcc rId="2302" sId="1" numFmtId="19">
    <nc r="AB129">
      <v>43958</v>
    </nc>
  </rcc>
  <rcc rId="2303" sId="1" numFmtId="19">
    <nc r="AB130">
      <v>43958</v>
    </nc>
  </rcc>
  <rcc rId="2304" sId="1" numFmtId="19">
    <nc r="AB131">
      <v>43958</v>
    </nc>
  </rcc>
  <rcc rId="2305" sId="1" numFmtId="19">
    <nc r="AB132">
      <v>43958</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8" sId="1" numFmtId="19">
    <nc r="AB68">
      <v>43958</v>
    </nc>
  </rcc>
  <rcc rId="2309" sId="1" numFmtId="19">
    <nc r="AB69">
      <v>43958</v>
    </nc>
  </rcc>
  <rcc rId="2310" sId="1" numFmtId="19">
    <nc r="AB70">
      <v>43958</v>
    </nc>
  </rcc>
  <rcc rId="2311" sId="1" numFmtId="19">
    <nc r="AB71">
      <v>43958</v>
    </nc>
  </rcc>
  <rcc rId="2312" sId="1" numFmtId="19">
    <nc r="AB72">
      <v>43958</v>
    </nc>
  </rcc>
  <rcc rId="2313" sId="1" numFmtId="19">
    <nc r="AB73">
      <v>43958</v>
    </nc>
  </rcc>
  <rcc rId="2314" sId="1" numFmtId="19">
    <nc r="AB74">
      <v>43958</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Merged_JOEM!$B$47:$AN$116</formula>
    <oldFormula>Merged_JOEM!$B$47:$AN$108</oldFormula>
  </rdn>
  <rcv guid="{3B3E6719-EACB-4D2C-89C1-05FFAB6020FD}" action="add"/>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19" sId="1" numFmtId="19">
    <oc r="AB112">
      <v>43957</v>
    </oc>
    <nc r="AB112">
      <v>43956</v>
    </nc>
  </rcc>
  <rcc rId="2320" sId="1" numFmtId="19">
    <oc r="AB113">
      <v>43957</v>
    </oc>
    <nc r="AB113">
      <v>43956</v>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23" sId="1">
    <oc r="AA68" t="inlineStr">
      <is>
        <t>Ready for review</t>
      </is>
    </oc>
    <nc r="AA68" t="inlineStr">
      <is>
        <t>Ready for PLC</t>
      </is>
    </nc>
  </rcc>
  <rcc rId="2324" sId="1">
    <oc r="AA69" t="inlineStr">
      <is>
        <t>Ready for review</t>
      </is>
    </oc>
    <nc r="AA69" t="inlineStr">
      <is>
        <t>Ready for PLC</t>
      </is>
    </nc>
  </rcc>
  <rcc rId="2325" sId="1">
    <oc r="AA70" t="inlineStr">
      <is>
        <t>Ready for review</t>
      </is>
    </oc>
    <nc r="AA70" t="inlineStr">
      <is>
        <t>Ready for PLC</t>
      </is>
    </nc>
  </rcc>
  <rcc rId="2326" sId="1">
    <oc r="AA71" t="inlineStr">
      <is>
        <t>Ready for review</t>
      </is>
    </oc>
    <nc r="AA71" t="inlineStr">
      <is>
        <t>Ready for PLC</t>
      </is>
    </nc>
  </rcc>
  <rcc rId="2327" sId="1">
    <oc r="AA72" t="inlineStr">
      <is>
        <t>Ready for review</t>
      </is>
    </oc>
    <nc r="AA72" t="inlineStr">
      <is>
        <t>Ready for PLC</t>
      </is>
    </nc>
  </rcc>
  <rcc rId="2328" sId="1">
    <oc r="AA73" t="inlineStr">
      <is>
        <t>Ready for review</t>
      </is>
    </oc>
    <nc r="AA73" t="inlineStr">
      <is>
        <t>Ready for PLC</t>
      </is>
    </nc>
  </rcc>
  <rcc rId="2329" sId="1">
    <oc r="AA74" t="inlineStr">
      <is>
        <t>Ready for review</t>
      </is>
    </oc>
    <nc r="AA74" t="inlineStr">
      <is>
        <t>Ready for PLC</t>
      </is>
    </nc>
  </rcc>
  <rcc rId="2330" sId="1">
    <oc r="AA129" t="inlineStr">
      <is>
        <t>Ready for review</t>
      </is>
    </oc>
    <nc r="AA129" t="inlineStr">
      <is>
        <t>Ready for PLC</t>
      </is>
    </nc>
  </rcc>
  <rcc rId="2331" sId="1">
    <oc r="AA130" t="inlineStr">
      <is>
        <t>Ready for review</t>
      </is>
    </oc>
    <nc r="AA130" t="inlineStr">
      <is>
        <t>Ready for PLC</t>
      </is>
    </nc>
  </rcc>
  <rcc rId="2332" sId="1">
    <oc r="AA131" t="inlineStr">
      <is>
        <t>Ready for review</t>
      </is>
    </oc>
    <nc r="AA131" t="inlineStr">
      <is>
        <t>Ready for PLC</t>
      </is>
    </nc>
  </rcc>
  <rcc rId="2333" sId="1">
    <oc r="AA132" t="inlineStr">
      <is>
        <t>Ready for review</t>
      </is>
    </oc>
    <nc r="AA132" t="inlineStr">
      <is>
        <t>Ready for PLC</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6" sId="1" odxf="1" dxf="1">
    <nc r="AL73" t="inlineStr">
      <is>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is>
    </nc>
    <odxf>
      <alignment wrapText="0" readingOrder="0"/>
    </odxf>
    <ndxf>
      <alignment wrapText="1" readingOrder="0"/>
    </ndxf>
  </rc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08" start="0" length="0">
    <dxf/>
  </rfmt>
  <rfmt sheetId="1" sqref="I109" start="0" length="0">
    <dxf/>
  </rfmt>
  <rfmt sheetId="1" sqref="I110" start="0" length="0">
    <dxf/>
  </rfmt>
  <rfmt sheetId="1" sqref="I111" start="0" length="0">
    <dxf>
      <font>
        <sz val="10"/>
        <color rgb="FF9C6500"/>
      </font>
    </dxf>
  </rfmt>
  <rfmt sheetId="1" sqref="F107" start="0" length="0">
    <dxf>
      <font>
        <sz val="10"/>
        <color rgb="FF9C6500"/>
      </font>
    </dxf>
  </rfmt>
  <rfmt sheetId="1" sqref="F111" start="0" length="0">
    <dxf>
      <font>
        <sz val="10"/>
        <color rgb="FF9C6500"/>
      </font>
    </dxf>
  </rfmt>
  <rfmt sheetId="1" sqref="F75" start="0" length="0">
    <dxf>
      <font>
        <sz val="10"/>
        <color rgb="FF9C6500"/>
      </font>
    </dxf>
  </rfmt>
  <rfmt sheetId="1" sqref="F80" start="0" length="0">
    <dxf>
      <font>
        <sz val="10"/>
        <color rgb="FF9C6500"/>
      </font>
    </dxf>
  </rfmt>
  <rcv guid="{72A6EB0A-84D5-4B8A-AC51-54CCD061630B}" action="delete"/>
  <rdn rId="0" localSheetId="1" customView="1" name="Z_72A6EB0A_84D5_4B8A_AC51_54CCD061630B_.wvu.FilterData" hidden="1" oldHidden="1">
    <formula>Merged_COEM!$B$47:$AN$151</formula>
    <oldFormula>Merged_COEM!$B$47:$AN$151</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3" sId="5" quotePrefix="1">
    <oc r="D26" t="inlineStr">
      <is>
        <t>- No comment</t>
      </is>
    </oc>
    <nc r="D26" t="inlineStr">
      <is>
        <t>- Assigned 6.2 days not 4.5 days</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6" sId="1">
    <oc r="Z113">
      <v>2.5</v>
    </oc>
    <nc r="Z113">
      <v>3</v>
    </nc>
  </rcc>
  <rcc rId="2347" sId="1">
    <oc r="Z96">
      <v>3.5</v>
    </oc>
    <nc r="Z96">
      <v>3</v>
    </nc>
  </rcc>
  <rcc rId="2348" sId="1">
    <oc r="Z86">
      <v>3.5</v>
    </oc>
    <nc r="Z86">
      <v>5</v>
    </nc>
  </rcc>
  <rcc rId="2349" sId="1">
    <oc r="Z94">
      <v>1.5</v>
    </oc>
    <nc r="Z94">
      <v>1.8</v>
    </nc>
  </rcc>
  <rcc rId="2350" sId="1">
    <oc r="Z129">
      <v>8</v>
    </oc>
    <nc r="Z129">
      <v>16</v>
    </nc>
  </rcc>
  <rfmt sheetId="1" sqref="F107" start="0" length="0">
    <dxf>
      <font>
        <sz val="10"/>
        <color rgb="FF9C6500"/>
      </font>
    </dxf>
  </rfmt>
  <rfmt sheetId="1" sqref="F111" start="0" length="0">
    <dxf>
      <font>
        <sz val="10"/>
        <color rgb="FF9C6500"/>
      </font>
    </dxf>
  </rfmt>
  <rfmt sheetId="1" sqref="I104" start="0" length="0">
    <dxf/>
  </rfmt>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11" start="0" length="0">
    <dxf>
      <font>
        <sz val="10"/>
        <color rgb="FF9C6500"/>
      </font>
    </dxf>
  </rfmt>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105" start="0" length="0">
    <dxf>
      <font>
        <sz val="10"/>
        <color rgb="FF9C6500"/>
      </font>
    </dxf>
  </rfmt>
  <rfmt sheetId="1" sqref="I106" start="0" length="0">
    <dxf>
      <font>
        <sz val="10"/>
        <color rgb="FF9C6500"/>
      </font>
    </dxf>
  </rfmt>
  <rfmt sheetId="1" sqref="I107" start="0" length="0">
    <dxf>
      <font>
        <sz val="10"/>
        <color rgb="FF9C6500"/>
      </font>
    </dxf>
  </rfmt>
  <rfmt sheetId="1" sqref="I111" start="0" length="0">
    <dxf>
      <font>
        <sz val="10"/>
        <color rgb="FF9C6500"/>
      </font>
    </dxf>
  </rfmt>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07" start="0" length="0">
    <dxf>
      <font>
        <sz val="10"/>
        <color rgb="FF9C6500"/>
      </font>
    </dxf>
  </rfmt>
  <rfmt sheetId="1" sqref="F111" start="0" length="0">
    <dxf>
      <font>
        <sz val="10"/>
        <color rgb="FF9C6500"/>
      </font>
    </dxf>
  </rfmt>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53" sId="1">
    <nc r="AL114" t="inlineStr">
      <is>
        <t>-</t>
      </is>
    </nc>
  </rcc>
  <rcc rId="2354" sId="1">
    <nc r="AM114" t="inlineStr">
      <is>
        <t>-</t>
      </is>
    </nc>
  </rcc>
  <rcc rId="2355" sId="1">
    <nc r="AN114" t="inlineStr">
      <is>
        <t>-</t>
      </is>
    </nc>
  </rcc>
  <rcc rId="2356" sId="1">
    <nc r="AL115" t="inlineStr">
      <is>
        <t>-</t>
      </is>
    </nc>
  </rcc>
  <rcc rId="2357" sId="1">
    <nc r="AM115" t="inlineStr">
      <is>
        <t>-</t>
      </is>
    </nc>
  </rcc>
  <rcc rId="2358" sId="1">
    <nc r="AN115" t="inlineStr">
      <is>
        <t>-</t>
      </is>
    </nc>
  </rcc>
  <rcc rId="2359" sId="1">
    <nc r="AL116" t="inlineStr">
      <is>
        <t>-</t>
      </is>
    </nc>
  </rcc>
  <rcc rId="2360" sId="1">
    <nc r="AM116" t="inlineStr">
      <is>
        <t>-</t>
      </is>
    </nc>
  </rcc>
  <rcc rId="2361" sId="1">
    <nc r="AN116" t="inlineStr">
      <is>
        <t>-</t>
      </is>
    </nc>
  </rcc>
  <rcc rId="2362" sId="1">
    <nc r="AL118" t="inlineStr">
      <is>
        <t>-</t>
      </is>
    </nc>
  </rcc>
  <rcc rId="2363" sId="1">
    <nc r="AM118" t="inlineStr">
      <is>
        <t>-</t>
      </is>
    </nc>
  </rcc>
  <rcc rId="2364" sId="1">
    <nc r="AN118" t="inlineStr">
      <is>
        <t>-</t>
      </is>
    </nc>
  </rcc>
  <rcc rId="2365" sId="1">
    <nc r="AL119" t="inlineStr">
      <is>
        <t>-</t>
      </is>
    </nc>
  </rcc>
  <rcc rId="2366" sId="1">
    <nc r="AM119" t="inlineStr">
      <is>
        <t>-</t>
      </is>
    </nc>
  </rcc>
  <rcc rId="2367" sId="1">
    <nc r="AN119" t="inlineStr">
      <is>
        <t>-</t>
      </is>
    </nc>
  </rcc>
  <rcc rId="2368" sId="1">
    <nc r="AL120" t="inlineStr">
      <is>
        <t>-</t>
      </is>
    </nc>
  </rcc>
  <rcc rId="2369" sId="1">
    <nc r="AM120" t="inlineStr">
      <is>
        <t>-</t>
      </is>
    </nc>
  </rcc>
  <rcc rId="2370" sId="1">
    <nc r="AN120" t="inlineStr">
      <is>
        <t>-</t>
      </is>
    </nc>
  </rcc>
  <rcc rId="2371" sId="1">
    <nc r="AL121" t="inlineStr">
      <is>
        <t>-</t>
      </is>
    </nc>
  </rcc>
  <rcc rId="2372" sId="1">
    <nc r="AM121" t="inlineStr">
      <is>
        <t>-</t>
      </is>
    </nc>
  </rcc>
  <rcc rId="2373" sId="1">
    <nc r="AN121" t="inlineStr">
      <is>
        <t>-</t>
      </is>
    </nc>
  </rcc>
  <rcc rId="2374" sId="1">
    <nc r="AL122" t="inlineStr">
      <is>
        <t>-</t>
      </is>
    </nc>
  </rcc>
  <rcc rId="2375" sId="1">
    <nc r="AM122" t="inlineStr">
      <is>
        <t>-</t>
      </is>
    </nc>
  </rcc>
  <rcc rId="2376" sId="1">
    <nc r="AN122" t="inlineStr">
      <is>
        <t>-</t>
      </is>
    </nc>
  </rcc>
  <rcc rId="2377" sId="1">
    <nc r="AL123" t="inlineStr">
      <is>
        <t>-</t>
      </is>
    </nc>
  </rcc>
  <rcc rId="2378" sId="1">
    <nc r="AM123" t="inlineStr">
      <is>
        <t>-</t>
      </is>
    </nc>
  </rcc>
  <rcc rId="2379" sId="1">
    <nc r="AN123" t="inlineStr">
      <is>
        <t>-</t>
      </is>
    </nc>
  </rcc>
  <rcc rId="2380" sId="1">
    <nc r="AL124" t="inlineStr">
      <is>
        <t>-</t>
      </is>
    </nc>
  </rcc>
  <rcc rId="2381" sId="1">
    <nc r="AM124" t="inlineStr">
      <is>
        <t>-</t>
      </is>
    </nc>
  </rcc>
  <rcc rId="2382" sId="1">
    <nc r="AN124" t="inlineStr">
      <is>
        <t>-</t>
      </is>
    </nc>
  </rcc>
  <rcc rId="2383" sId="1">
    <nc r="AL125" t="inlineStr">
      <is>
        <t>-</t>
      </is>
    </nc>
  </rcc>
  <rcc rId="2384" sId="1">
    <nc r="AM125" t="inlineStr">
      <is>
        <t>-</t>
      </is>
    </nc>
  </rcc>
  <rcc rId="2385" sId="1">
    <nc r="AN125" t="inlineStr">
      <is>
        <t>-</t>
      </is>
    </nc>
  </rcc>
  <rcc rId="2386" sId="1">
    <nc r="AL126" t="inlineStr">
      <is>
        <t>-</t>
      </is>
    </nc>
  </rcc>
  <rcc rId="2387" sId="1">
    <nc r="AM126" t="inlineStr">
      <is>
        <t>-</t>
      </is>
    </nc>
  </rcc>
  <rcc rId="2388" sId="1">
    <nc r="AN126" t="inlineStr">
      <is>
        <t>-</t>
      </is>
    </nc>
  </rcc>
  <rcc rId="2389" sId="1">
    <nc r="AL127" t="inlineStr">
      <is>
        <t>-</t>
      </is>
    </nc>
  </rcc>
  <rcc rId="2390" sId="1">
    <nc r="AM127" t="inlineStr">
      <is>
        <t>-</t>
      </is>
    </nc>
  </rcc>
  <rcc rId="2391" sId="1">
    <nc r="AN127" t="inlineStr">
      <is>
        <t>-</t>
      </is>
    </nc>
  </rcc>
  <rcc rId="2392" sId="1">
    <nc r="AL128" t="inlineStr">
      <is>
        <t>-</t>
      </is>
    </nc>
  </rcc>
  <rcc rId="2393" sId="1">
    <nc r="AM128" t="inlineStr">
      <is>
        <t>-</t>
      </is>
    </nc>
  </rcc>
  <rcc rId="2394" sId="1">
    <nc r="AN128" t="inlineStr">
      <is>
        <t>-</t>
      </is>
    </nc>
  </rcc>
  <rcc rId="2395" sId="1">
    <nc r="AL142" t="inlineStr">
      <is>
        <t>-</t>
      </is>
    </nc>
  </rcc>
  <rcc rId="2396" sId="1">
    <nc r="AM142" t="inlineStr">
      <is>
        <t>-</t>
      </is>
    </nc>
  </rcc>
  <rcc rId="2397" sId="1">
    <nc r="AN142" t="inlineStr">
      <is>
        <t>-</t>
      </is>
    </nc>
  </rcc>
  <rcc rId="2398" sId="1">
    <nc r="AL143" t="inlineStr">
      <is>
        <t>-</t>
      </is>
    </nc>
  </rcc>
  <rcc rId="2399" sId="1">
    <nc r="AM143" t="inlineStr">
      <is>
        <t>-</t>
      </is>
    </nc>
  </rcc>
  <rcc rId="2400" sId="1">
    <nc r="AN143" t="inlineStr">
      <is>
        <t>-</t>
      </is>
    </nc>
  </rcc>
  <rcc rId="2401" sId="1">
    <nc r="AL144" t="inlineStr">
      <is>
        <t>-</t>
      </is>
    </nc>
  </rcc>
  <rcc rId="2402" sId="1">
    <nc r="AM144" t="inlineStr">
      <is>
        <t>-</t>
      </is>
    </nc>
  </rcc>
  <rcc rId="2403" sId="1">
    <nc r="AN144" t="inlineStr">
      <is>
        <t>-</t>
      </is>
    </nc>
  </rcc>
  <rcc rId="2404" sId="1">
    <nc r="AL145" t="inlineStr">
      <is>
        <t>-</t>
      </is>
    </nc>
  </rcc>
  <rcc rId="2405" sId="1">
    <nc r="AM145" t="inlineStr">
      <is>
        <t>-</t>
      </is>
    </nc>
  </rcc>
  <rcc rId="2406" sId="1">
    <nc r="AN145" t="inlineStr">
      <is>
        <t>-</t>
      </is>
    </nc>
  </rcc>
  <rcc rId="2407" sId="1">
    <nc r="AL146" t="inlineStr">
      <is>
        <t>-</t>
      </is>
    </nc>
  </rcc>
  <rcc rId="2408" sId="1">
    <nc r="AM146" t="inlineStr">
      <is>
        <t>-</t>
      </is>
    </nc>
  </rcc>
  <rcc rId="2409" sId="1">
    <nc r="AN146" t="inlineStr">
      <is>
        <t>-</t>
      </is>
    </nc>
  </rcc>
  <rcc rId="2410" sId="1">
    <nc r="AL151" t="inlineStr">
      <is>
        <t>-</t>
      </is>
    </nc>
  </rcc>
  <rcc rId="2411" sId="1">
    <nc r="AM151" t="inlineStr">
      <is>
        <t>-</t>
      </is>
    </nc>
  </rcc>
  <rcc rId="2412" sId="1">
    <nc r="AN151"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15" sId="1">
    <nc r="X150">
      <v>1500</v>
    </nc>
  </rcc>
  <rcc rId="2416" sId="1">
    <nc r="Z150">
      <v>1</v>
    </nc>
  </rcc>
  <rcc rId="2417" sId="1">
    <nc r="AA150" t="inlineStr">
      <is>
        <t>Ongoing</t>
      </is>
    </nc>
  </rcc>
  <rcc rId="2418" sId="1" numFmtId="19">
    <nc r="AE150">
      <v>43959</v>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1" sId="1">
    <oc r="AA150" t="inlineStr">
      <is>
        <t>Ongoing</t>
      </is>
    </oc>
    <nc r="AA150" t="inlineStr">
      <is>
        <t>Ready for review</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4" sId="1">
    <oc r="AA150" t="inlineStr">
      <is>
        <t>Ready for review</t>
      </is>
    </oc>
    <nc r="AA150" t="inlineStr">
      <is>
        <t>Ongoing</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7" sId="1">
    <oc r="X150">
      <v>1500</v>
    </oc>
    <nc r="X150">
      <f>W150</f>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0" sId="1">
    <oc r="AA150" t="inlineStr">
      <is>
        <t>Ongoing</t>
      </is>
    </oc>
    <nc r="AA150" t="inlineStr">
      <is>
        <t>Ready for review</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5" sId="1">
    <nc r="X136">
      <f>W136</f>
    </nc>
  </rcc>
  <rcc rId="2436" sId="1">
    <nc r="Z136">
      <v>8</v>
    </nc>
  </rcc>
  <rcc rId="2437" sId="1">
    <nc r="AA136" t="inlineStr">
      <is>
        <t>Ready for review</t>
      </is>
    </nc>
  </rcc>
  <rcc rId="2438" sId="1" numFmtId="19">
    <nc r="AE136">
      <v>43959</v>
    </nc>
  </rcc>
  <rcc rId="2439" sId="1" numFmtId="19">
    <nc r="AF136">
      <v>43959</v>
    </nc>
  </rcc>
  <rcc rId="2440" sId="1">
    <nc r="AG136" t="inlineStr">
      <is>
        <t>OK</t>
      </is>
    </nc>
  </rcc>
  <rcc rId="2441" sId="1" numFmtId="14">
    <nc r="AH136">
      <v>1</v>
    </nc>
  </rcc>
  <rcc rId="2442" sId="1" numFmtId="14">
    <nc r="AI136">
      <v>1</v>
    </nc>
  </rcc>
  <rcc rId="2443" sId="1" numFmtId="14">
    <nc r="AJ136">
      <v>1</v>
    </nc>
  </rcc>
  <rcc rId="2444" sId="1">
    <nc r="AK136" t="inlineStr">
      <is>
        <t>None</t>
      </is>
    </nc>
  </rcc>
  <rcc rId="2445" sId="1">
    <nc r="AL136" t="inlineStr">
      <is>
        <t>-</t>
      </is>
    </nc>
  </rcc>
  <rcc rId="2446" sId="1">
    <nc r="AM136" t="inlineStr">
      <is>
        <t>-</t>
      </is>
    </nc>
  </rcc>
  <rcc rId="2447" sId="1">
    <nc r="AN136" t="inlineStr">
      <is>
        <t>-</t>
      </is>
    </nc>
  </rcc>
  <rcv guid="{7E0EA425-A420-4443-B9E0-CDF0AA9E5D09}" action="delete"/>
  <rdn rId="0" localSheetId="1" customView="1" name="Z_7E0EA425_A420_4443_B9E0_CDF0AA9E5D09_.wvu.FilterData" hidden="1" oldHidden="1">
    <formula>Merged_COEM!$B$47:$AN$151</formula>
    <oldFormula>Merged_COEM!$B$47:$AN$151</oldFormula>
  </rdn>
  <rdn rId="0" localSheetId="2" customView="1" name="Z_7E0EA425_A420_4443_B9E0_CDF0AA9E5D09_.wvu.FilterData" hidden="1" oldHidden="1">
    <formula>Merged_JOEM!$B$47:$AN$116</formula>
    <oldFormula>Merged_JOEM!$B$47:$AN$116</oldFormula>
  </rdn>
  <rcv guid="{7E0EA425-A420-4443-B9E0-CDF0AA9E5D09}"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0" sId="1">
    <oc r="AA114" t="inlineStr">
      <is>
        <t>Ready for PLC</t>
      </is>
    </oc>
    <nc r="AA114" t="inlineStr">
      <is>
        <t>Complete &amp; Closed</t>
      </is>
    </nc>
  </rcc>
  <rcc rId="2451" sId="1">
    <oc r="AA115" t="inlineStr">
      <is>
        <t>Ready for PLC</t>
      </is>
    </oc>
    <nc r="AA115" t="inlineStr">
      <is>
        <t>Complete &amp; Closed</t>
      </is>
    </nc>
  </rcc>
  <rcc rId="2452" sId="1">
    <oc r="AA116" t="inlineStr">
      <is>
        <t>Ready for PLC</t>
      </is>
    </oc>
    <nc r="AA116" t="inlineStr">
      <is>
        <t>Complete &amp; Closed</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7" sId="1">
    <oc r="K92" t="inlineStr">
      <is>
        <t>Auto</t>
      </is>
    </oc>
    <nc r="K92" t="inlineStr">
      <is>
        <t>Manual</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0" sId="1">
    <oc r="K92" t="inlineStr">
      <is>
        <t>Manual</t>
      </is>
    </oc>
    <nc r="K92" t="inlineStr">
      <is>
        <t>Auto</t>
      </is>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3" sId="1">
    <oc r="K117" t="inlineStr">
      <is>
        <t>Auto</t>
      </is>
    </oc>
    <nc r="K117" t="inlineStr">
      <is>
        <t>Manual</t>
      </is>
    </nc>
  </rcc>
  <rfmt sheetId="1" sqref="S117">
    <dxf>
      <fill>
        <patternFill patternType="solid">
          <bgColor rgb="FFFFFF00"/>
        </patternFill>
      </fill>
    </dxf>
  </rfmt>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2468" sheetId="1" source="X169:Y169" destination="U168:V168" sourceSheetId="1">
    <rfmt sheetId="1" sqref="U168" start="0" length="0">
      <dxf>
        <alignment horizontal="left" vertical="top" readingOrder="0"/>
        <border outline="0">
          <left style="thin">
            <color indexed="64"/>
          </left>
          <right style="thin">
            <color indexed="64"/>
          </right>
          <top style="thin">
            <color indexed="64"/>
          </top>
          <bottom style="thin">
            <color indexed="64"/>
          </bottom>
        </border>
      </dxf>
    </rfmt>
    <rfmt sheetId="1" sqref="V168" start="0" length="0">
      <dxf>
        <alignment horizontal="left" vertical="top" readingOrder="0"/>
        <border outline="0">
          <left style="thin">
            <color indexed="64"/>
          </left>
          <right style="thin">
            <color indexed="64"/>
          </right>
          <top style="thin">
            <color indexed="64"/>
          </top>
          <bottom style="thin">
            <color indexed="64"/>
          </bottom>
        </border>
      </dxf>
    </rfmt>
  </rm>
</revisions>
</file>

<file path=xl/revisions/revisionLog2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9" sId="1">
    <oc r="X150">
      <f>W150</f>
    </oc>
    <nc r="X150">
      <v>1000</v>
    </nc>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72" sId="1">
    <oc r="AA150" t="inlineStr">
      <is>
        <t>Ready for review</t>
      </is>
    </oc>
    <nc r="AA150"/>
  </rcc>
  <rcv guid="{250915DF-0B97-45D7-B29D-7EED4C89C1C1}" action="delete"/>
  <rdn rId="0" localSheetId="1" customView="1" name="Z_250915DF_0B97_45D7_B29D_7EED4C89C1C1_.wvu.FilterData" hidden="1" oldHidden="1">
    <formula>Merged_COEM!$B$47:$AN$151</formula>
    <oldFormula>Merged_COEM!$B$47:$AN$151</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2475" sheetId="1" source="Y33:AA37" destination="Z34:AB38" sourceSheetId="1"/>
  <rcv guid="{60D2C030-4E31-4E07-8E1C-44D2EE84B177}" action="delete"/>
  <rdn rId="0" localSheetId="1" customView="1" name="Z_60D2C030_4E31_4E07_8E1C_44D2EE84B177_.wvu.FilterData" hidden="1" oldHidden="1">
    <formula>Merged_COEM!$B$47:$AN$151</formula>
    <oldFormula>Merged_COEM!$B$47:$AN$151</oldFormula>
  </rdn>
  <rdn rId="0" localSheetId="2" customView="1" name="Z_60D2C030_4E31_4E07_8E1C_44D2EE84B177_.wvu.FilterData" hidden="1" oldHidden="1">
    <formula>Merged_JOEM!$B$47:$AN$116</formula>
    <oldFormula>Merged_JOEM!$B$47:$AN$108</oldFormula>
  </rdn>
  <rcv guid="{60D2C030-4E31-4E07-8E1C-44D2EE84B177}" action="add"/>
</revisions>
</file>

<file path=xl/revisions/revisionLog2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78" sId="1">
    <oc r="AK51" t="inlineStr">
      <is>
        <t>Defect</t>
      </is>
    </oc>
    <nc r="AK51" t="inlineStr">
      <is>
        <t>None</t>
      </is>
    </nc>
  </rcc>
  <rcc rId="2479" sId="1">
    <oc r="AN51" t="inlineStr">
      <is>
        <t>Raise email 3 time but Owner doesn't confirm</t>
      </is>
    </oc>
    <nc r="AN51" t="inlineStr">
      <is>
        <t>Owner confirm it's no impact</t>
      </is>
    </nc>
  </rc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2" sId="1">
    <oc r="AK117" t="inlineStr">
      <is>
        <t>OPL</t>
      </is>
    </oc>
    <nc r="AK117" t="inlineStr">
      <is>
        <t>None</t>
      </is>
    </nc>
  </rcc>
  <rcc rId="2483" sId="1">
    <oc r="AN117" t="inlineStr">
      <is>
        <t>Waiting for dev confim</t>
      </is>
    </oc>
    <nc r="AN117" t="inlineStr">
      <is>
        <t>Owner confirm it's no impact</t>
      </is>
    </nc>
  </rcc>
  <rcv guid="{7ECC2B8E-6A82-42F5-8AB0-4A51C54EA5EC}" action="delete"/>
  <rdn rId="0" localSheetId="1" customView="1" name="Z_7ECC2B8E_6A82_42F5_8AB0_4A51C54EA5EC_.wvu.FilterData" hidden="1" oldHidden="1">
    <formula>Merged_COEM!$B$47:$AN$151</formula>
    <oldFormula>Merged_COEM!$B$47:$AN$151</oldFormula>
  </rdn>
  <rdn rId="0" localSheetId="2" customView="1" name="Z_7ECC2B8E_6A82_42F5_8AB0_4A51C54EA5EC_.wvu.FilterData" hidden="1" oldHidden="1">
    <formula>Merged_JOEM!$B$47:$AN$116</formula>
    <oldFormula>Merged_JOEM!$B$47:$AN$108</oldFormula>
  </rdn>
  <rcv guid="{7ECC2B8E-6A82-42F5-8AB0-4A51C54EA5EC}" action="add"/>
</revisions>
</file>

<file path=xl/revisions/revisionLog2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Merged_COEM!$B$47:$AN$151</formula>
    <oldFormula>Merged_COEM!$B$47:$AN$151</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8" sId="1" odxf="1" dxf="1">
    <oc r="AN71" t="inlineStr">
      <is>
        <t>Owner confirm it not affect.</t>
      </is>
    </oc>
    <nc r="AN71" t="inlineStr">
      <is>
        <t>Owner confirm it not affect.
- dSD not update.</t>
      </is>
    </nc>
    <odxf>
      <alignment wrapText="0" readingOrder="0"/>
    </odxf>
    <ndxf>
      <alignment wrapText="1" readingOrder="0"/>
    </ndxf>
  </rcc>
  <rcc rId="2489" sId="1" odxf="1" dxf="1" quotePrefix="1">
    <nc r="AN72" t="inlineStr">
      <is>
        <t>- dSD not update.</t>
      </is>
    </nc>
    <ndxf/>
  </rcc>
  <rfmt sheetId="1" sqref="AN71:AN72">
    <dxf>
      <fill>
        <patternFill patternType="solid">
          <bgColor rgb="FFFFFF00"/>
        </patternFill>
      </fill>
    </dxf>
  </rfmt>
</revisions>
</file>

<file path=xl/revisions/revisionLog2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490" sId="1" ref="A118:XFD118" action="insertRow"/>
  <rcc rId="2491" sId="1">
    <nc r="B118">
      <f>B117+1</f>
    </nc>
  </rcc>
  <rcc rId="2492" sId="1">
    <oc r="B119">
      <f>B117+1</f>
    </oc>
    <nc r="B119">
      <f>B118+1</f>
    </nc>
  </rcc>
  <rcc rId="2493" sId="1">
    <oc r="B120">
      <f>B119+1</f>
    </oc>
    <nc r="B120">
      <f>B119+1</f>
    </nc>
  </rcc>
  <rcc rId="2494" sId="1">
    <oc r="B121">
      <f>B120+1</f>
    </oc>
    <nc r="B121">
      <f>B120+1</f>
    </nc>
  </rcc>
  <rcc rId="2495" sId="1">
    <oc r="B122">
      <f>B121+1</f>
    </oc>
    <nc r="B122">
      <f>B121+1</f>
    </nc>
  </rcc>
  <rcc rId="2496" sId="1">
    <oc r="B123">
      <f>B122+1</f>
    </oc>
    <nc r="B123">
      <f>B122+1</f>
    </nc>
  </rcc>
  <rcc rId="2497" sId="1">
    <oc r="B124">
      <f>B123+1</f>
    </oc>
    <nc r="B124">
      <f>B123+1</f>
    </nc>
  </rcc>
  <rcc rId="2498" sId="1">
    <oc r="B125">
      <f>B124+1</f>
    </oc>
    <nc r="B125">
      <f>B124+1</f>
    </nc>
  </rcc>
  <rcc rId="2499" sId="1">
    <oc r="B126">
      <f>B125+1</f>
    </oc>
    <nc r="B126">
      <f>B125+1</f>
    </nc>
  </rcc>
  <rcc rId="2500" sId="1">
    <oc r="B127">
      <f>B126+1</f>
    </oc>
    <nc r="B127">
      <f>B126+1</f>
    </nc>
  </rcc>
  <rcc rId="2501" sId="1">
    <oc r="B128">
      <f>B127+1</f>
    </oc>
    <nc r="B128">
      <f>B127+1</f>
    </nc>
  </rcc>
  <rcc rId="2502" sId="1">
    <oc r="B129">
      <f>B128+1</f>
    </oc>
    <nc r="B129">
      <f>B128+1</f>
    </nc>
  </rcc>
  <rcc rId="2503" sId="1">
    <oc r="B130">
      <f>B129+1</f>
    </oc>
    <nc r="B130">
      <f>B129+1</f>
    </nc>
  </rcc>
  <rcc rId="2504" sId="1">
    <oc r="B131">
      <f>B130+1</f>
    </oc>
    <nc r="B131">
      <f>B130+1</f>
    </nc>
  </rcc>
  <rcc rId="2505" sId="1">
    <oc r="B132">
      <f>B131+1</f>
    </oc>
    <nc r="B132">
      <f>B131+1</f>
    </nc>
  </rcc>
  <rcc rId="2506" sId="1">
    <oc r="B133">
      <f>B132+1</f>
    </oc>
    <nc r="B133">
      <f>B132+1</f>
    </nc>
  </rcc>
  <rcc rId="2507" sId="1">
    <oc r="B134">
      <f>B133+1</f>
    </oc>
    <nc r="B134">
      <f>B133+1</f>
    </nc>
  </rcc>
  <rcc rId="2508" sId="1">
    <oc r="B135">
      <f>B134+1</f>
    </oc>
    <nc r="B135">
      <f>B134+1</f>
    </nc>
  </rcc>
  <rcc rId="2509" sId="1">
    <oc r="B136">
      <f>B135+1</f>
    </oc>
    <nc r="B136">
      <f>B135+1</f>
    </nc>
  </rcc>
  <rcc rId="2510" sId="1">
    <oc r="B137">
      <f>B136+1</f>
    </oc>
    <nc r="B137">
      <f>B136+1</f>
    </nc>
  </rcc>
  <rcc rId="2511" sId="1">
    <oc r="B138">
      <f>B137+1</f>
    </oc>
    <nc r="B138">
      <f>B137+1</f>
    </nc>
  </rcc>
  <rcc rId="2512" sId="1">
    <oc r="B139">
      <f>B138+1</f>
    </oc>
    <nc r="B139">
      <f>B138+1</f>
    </nc>
  </rcc>
  <rcc rId="2513" sId="1">
    <oc r="B140">
      <f>B139+1</f>
    </oc>
    <nc r="B140">
      <f>B139+1</f>
    </nc>
  </rcc>
  <rcc rId="2514" sId="1">
    <oc r="B141">
      <f>B140+1</f>
    </oc>
    <nc r="B141">
      <f>B140+1</f>
    </nc>
  </rcc>
  <rcc rId="2515" sId="1">
    <oc r="B142">
      <f>B141+1</f>
    </oc>
    <nc r="B142">
      <f>B141+1</f>
    </nc>
  </rcc>
  <rcc rId="2516" sId="1">
    <oc r="B143">
      <f>B142+1</f>
    </oc>
    <nc r="B143">
      <f>B142+1</f>
    </nc>
  </rcc>
  <rcc rId="2517" sId="1">
    <oc r="B144">
      <f>B143+1</f>
    </oc>
    <nc r="B144">
      <f>B143+1</f>
    </nc>
  </rcc>
  <rcc rId="2518" sId="1">
    <oc r="B145">
      <f>B144+1</f>
    </oc>
    <nc r="B145">
      <f>B144+1</f>
    </nc>
  </rcc>
  <rcc rId="2519" sId="1">
    <oc r="B146">
      <f>B145+1</f>
    </oc>
    <nc r="B146">
      <f>B145+1</f>
    </nc>
  </rcc>
  <rcc rId="2520" sId="1">
    <oc r="B147">
      <f>B146+1</f>
    </oc>
    <nc r="B147">
      <f>B146+1</f>
    </nc>
  </rcc>
  <rcc rId="2521" sId="1">
    <oc r="B148">
      <f>B147+1</f>
    </oc>
    <nc r="B148">
      <f>B147+1</f>
    </nc>
  </rcc>
  <rcc rId="2522" sId="1">
    <oc r="B149">
      <f>B148+1</f>
    </oc>
    <nc r="B149">
      <f>B148+1</f>
    </nc>
  </rcc>
  <rcc rId="2523" sId="1">
    <oc r="B150">
      <f>B149+1</f>
    </oc>
    <nc r="B150">
      <f>B149+1</f>
    </nc>
  </rcc>
  <rcc rId="2524" sId="1">
    <oc r="B151">
      <f>B150+1</f>
    </oc>
    <nc r="B151">
      <f>B150+1</f>
    </nc>
  </rcc>
  <rcc rId="2525" sId="1">
    <oc r="B152">
      <f>B151+1</f>
    </oc>
    <nc r="B152">
      <f>B151+1</f>
    </nc>
  </rcc>
  <rcc rId="2526" sId="1">
    <nc r="C118">
      <v>20200506</v>
    </nc>
  </rcc>
  <rcc rId="2527" sId="1">
    <nc r="D118" t="inlineStr">
      <is>
        <t>PSW</t>
      </is>
    </nc>
  </rcc>
  <rcc rId="2528" sId="1">
    <nc r="E118" t="inlineStr">
      <is>
        <t>217437_FAW_C229_BL43</t>
      </is>
    </nc>
  </rcc>
  <rfmt sheetId="1" sqref="F118" start="0" length="0">
    <dxf>
      <font/>
    </dxf>
  </rfmt>
  <rcc rId="2529" sId="1" odxf="1" dxf="1" quotePrefix="1">
    <nc r="F118" t="inlineStr">
      <is>
        <t>rb.as.fawMainPath.fawcore.app.dcom\RBAPLCust\src\RBAPLCUST_RBDI_NVMData.c</t>
      </is>
    </nc>
    <ndxf>
      <font>
        <b val="0"/>
        <sz val="11"/>
        <color theme="1"/>
        <name val="Calibri"/>
        <scheme val="minor"/>
      </font>
    </ndxf>
  </rcc>
  <rcv guid="{250915DF-0B97-45D7-B29D-7EED4C89C1C1}" action="delete"/>
  <rdn rId="0" localSheetId="1" customView="1" name="Z_250915DF_0B97_45D7_B29D_7EED4C89C1C1_.wvu.FilterData" hidden="1" oldHidden="1">
    <formula>Merged_COEM!$A$47:$AN$152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32" sId="1">
    <nc r="I118" t="inlineStr">
      <is>
        <t>RBAPLCUST_RBDI_NVMData.c</t>
      </is>
    </nc>
  </rcc>
  <rcc rId="2533" sId="1">
    <nc r="G118">
      <v>1449424</v>
    </nc>
  </rcc>
  <rfmt sheetId="1" sqref="E118:I118">
    <dxf>
      <fill>
        <patternFill>
          <bgColor rgb="FFFF0000"/>
        </patternFill>
      </fill>
    </dxf>
  </rfmt>
  <rcc rId="2534" sId="1">
    <nc r="K118" t="inlineStr">
      <is>
        <t>Manual</t>
      </is>
    </nc>
  </rcc>
  <rcc rId="2535" sId="1">
    <nc r="L118" t="inlineStr">
      <is>
        <t>BB99860</t>
      </is>
    </nc>
  </rcc>
  <rcc rId="2536" sId="1">
    <nc r="M118" t="inlineStr">
      <is>
        <t>BL43</t>
      </is>
    </nc>
  </rcc>
  <rcc rId="2537" sId="1">
    <nc r="N118" t="inlineStr">
      <is>
        <t>FAW_MainPath_Int</t>
      </is>
    </nc>
  </rcc>
  <rcc rId="2538" sId="1" quotePrefix="1">
    <nc r="O118" t="inlineStr">
      <is>
        <t>-</t>
      </is>
    </nc>
  </rcc>
  <rcc rId="2539" sId="1" quotePrefix="1">
    <nc r="P118" t="inlineStr">
      <is>
        <t>NGUYEN LY THINH QUANG (RBVH/EAS12)</t>
      </is>
    </nc>
  </rcc>
  <rcc rId="2540" sId="1">
    <nc r="S118" t="inlineStr">
      <is>
        <t>hau.nguyen-tai</t>
      </is>
    </nc>
  </rcc>
  <rcc rId="2541" sId="1">
    <nc r="V118">
      <v>503</v>
    </nc>
  </rcc>
  <rcc rId="2542" sId="1">
    <nc r="W118">
      <f>V118</f>
    </nc>
  </rcc>
  <rcc rId="2543" sId="1">
    <nc r="Y118">
      <f>ROUNDDOWN(W118/HLOOKUP(D118,Table!$C$3:$D$4,2,0)*8,2)</f>
    </nc>
  </rcc>
  <rcc rId="2544" sId="1" numFmtId="19">
    <nc r="AC118">
      <v>43962</v>
    </nc>
  </rcc>
  <rcc rId="2545" sId="1" numFmtId="19">
    <nc r="AD118">
      <v>43962</v>
    </nc>
  </rcc>
  <rcmt sheetId="1" cell="I118" guid="{7F04830A-AE52-42BE-A33F-0337C69FA1AC}" author="EXTERNAL Nguyen Trung Hieu (Ban Vien, RBVH/EPS45)" newLength="79"/>
  <rcv guid="{250915DF-0B97-45D7-B29D-7EED4C89C1C1}" action="delete"/>
  <rdn rId="0" localSheetId="1" customView="1" name="Z_250915DF_0B97_45D7_B29D_7EED4C89C1C1_.wvu.FilterData" hidden="1" oldHidden="1">
    <formula>Merged_COEM!$A$47:$AN$152</formula>
    <oldFormula>Merged_COEM!$A$47:$AN$152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Merged_COEM!$A$47:$AN$152</formula>
    <oldFormula>Merged_COEM!$A$47:$AN$152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18" start="0" length="2147483647">
    <dxf>
      <font>
        <b/>
      </font>
    </dxf>
  </rfmt>
  <rcc rId="2550" sId="1">
    <oc r="G3" t="inlineStr">
      <is>
        <t>KPI/days</t>
      </is>
    </oc>
    <nc r="G3" t="inlineStr">
      <is>
        <t>KPI\days</t>
      </is>
    </nc>
  </rcc>
  <rcc rId="2551" sId="1">
    <oc r="E4">
      <f>SUMIFS($W$48:$W$194,$D$48:$D$194,Table!$D$3,$S$48:$S$194,C4)-SUM(SUMIFS($W$48:$W$194,$D$48:$D$194,Table!$D$3,$S$48:$S$194,C4,$AA$48:$AA$194,{"Ongoing","N/A",""}))</f>
    </oc>
    <nc r="E4">
      <f>SUMIFS($W$48:$W$194,$D$48:$D$194,Table!$D$3,$S$48:$S$194,C4)-SUM(SUMIFS($W$48:$W$194,$D$48:$D$194,Table!$D$3,$S$48:$S$194,C4,$AA$48:$AA$194,{"Ongoing","N\A",""}))</f>
    </nc>
  </rcc>
  <rcc rId="2552" sId="1" quotePrefix="1">
    <oc r="F118" t="inlineStr">
      <is>
        <t>rb.as.fawMainPath.fawcore.app.dcom\RBAPLCust\src\RBAPLCUST_RBDI_NVMData.c</t>
      </is>
    </oc>
    <nc r="F118" t="inlineStr">
      <is>
        <t>FAW_MainPath_Int\MainstreamFAW\rb\as\fawMP\fawcore\app\dcom\RBAPLCust\src\RBAPLCUST_RBDI_NVMData.c</t>
      </is>
    </nc>
  </rcc>
</revisions>
</file>

<file path=xl/revisions/revisionLog2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3" sId="1">
    <nc r="AN118" t="inlineStr">
      <is>
        <t>Support testing on 20200511</t>
      </is>
    </nc>
  </rcc>
</revisions>
</file>

<file path=xl/revisions/revisionLog2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118">
    <dxf>
      <fill>
        <patternFill patternType="solid">
          <bgColor rgb="FFFF0000"/>
        </patternFill>
      </fill>
    </dxf>
  </rfmt>
</revisions>
</file>

<file path=xl/revisions/revisionLog2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4" sId="1">
    <oc r="AK48" t="inlineStr">
      <is>
        <t>Defect</t>
      </is>
    </oc>
    <nc r="AK48" t="inlineStr">
      <is>
        <t>None</t>
      </is>
    </nc>
  </rcc>
  <rcc rId="2555" sId="1">
    <oc r="AG48" t="inlineStr">
      <is>
        <t>NG</t>
      </is>
    </oc>
    <nc r="AG48" t="inlineStr">
      <is>
        <t>OK</t>
      </is>
    </nc>
  </rcc>
  <rcc rId="2556" sId="1">
    <oc r="AM48" t="inlineStr">
      <is>
        <t>Because at line #215, variable  __ghs_BLDR_CUSInterfaceRef is defined as uint32, but, it's address was cast to (RBLCF_HexBlockStruct_t *) type. Thus testcase fail at line #324
If I comment line #324, the following result will be achieved.</t>
      </is>
    </oc>
    <nc r="AM48"/>
  </rcc>
  <rcc rId="2557" sId="1">
    <oc r="AN48" t="inlineStr">
      <is>
        <t>Raise email 3 time but Owner doesn't confirm</t>
      </is>
    </oc>
    <nc r="AN48"/>
  </rcc>
  <rcc rId="2558" sId="1">
    <oc r="AL48" t="inlineStr">
      <is>
        <t>Casting wrong poniter format at line #215</t>
      </is>
    </oc>
    <nc r="AL48"/>
  </rc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Merged_COEM!$B$47:$AN$152</formula>
    <oldFormula>Merged_COEM!$B$47:$AN$152</oldFormula>
  </rdn>
  <rdn rId="0" localSheetId="2" customView="1" name="Z_7ECC2B8E_6A82_42F5_8AB0_4A51C54EA5EC_.wvu.FilterData" hidden="1" oldHidden="1">
    <formula>Merged_JOEM!$B$47:$AN$116</formula>
    <oldFormula>Merged_JOEM!$B$47:$AN$116</oldFormula>
  </rdn>
  <rcv guid="{7ECC2B8E-6A82-42F5-8AB0-4A51C54EA5EC}" action="add"/>
</revisions>
</file>

<file path=xl/revisions/revisionLog2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65" sId="1" odxf="1" dxf="1" quotePrefix="1">
    <oc r="AL141" t="inlineStr">
      <is>
        <t>-</t>
      </is>
    </oc>
    <nc r="AL141" t="inlineStr">
      <is>
        <t>-Tool issue at line #4015, #4031, #4063, #3632 and #3633</t>
      </is>
    </nc>
    <odxf/>
    <ndxf/>
  </rc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74" sId="1">
    <nc r="AL48" t="inlineStr">
      <is>
        <t>-</t>
      </is>
    </nc>
  </rcc>
  <rcc rId="2575" sId="1" odxf="1" dxf="1">
    <nc r="AM48" t="inlineStr">
      <is>
        <t>-</t>
      </is>
    </nc>
    <odxf>
      <alignment wrapText="1" readingOrder="0"/>
    </odxf>
    <ndxf>
      <alignment wrapText="0" readingOrder="0"/>
    </ndxf>
  </rcc>
  <rcc rId="2576" sId="1" odxf="1" dxf="1">
    <nc r="AN48" t="inlineStr">
      <is>
        <t>-</t>
      </is>
    </nc>
    <odxf>
      <font>
        <sz val="10"/>
        <color rgb="FF000000"/>
        <name val="Segoe UI"/>
        <scheme val="none"/>
      </font>
      <alignment horizontal="general" vertical="center" readingOrder="0"/>
      <border outline="0">
        <left/>
        <right/>
        <top/>
        <bottom/>
      </border>
    </odxf>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2577" sId="1">
    <nc r="AL49" t="inlineStr">
      <is>
        <t>-</t>
      </is>
    </nc>
  </rcc>
  <rcc rId="2578" sId="1">
    <nc r="AM49" t="inlineStr">
      <is>
        <t>-</t>
      </is>
    </nc>
  </rcc>
  <rcc rId="2579" sId="1">
    <nc r="AN49" t="inlineStr">
      <is>
        <t>-</t>
      </is>
    </nc>
  </rc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2" sId="1" numFmtId="14">
    <oc r="AH48">
      <v>0.98</v>
    </oc>
    <nc r="AH48">
      <v>1</v>
    </nc>
  </rcc>
  <rcc rId="2583" sId="1" numFmtId="14">
    <oc r="AI48">
      <v>0.95</v>
    </oc>
    <nc r="AI48">
      <v>1</v>
    </nc>
  </rc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6" sId="1">
    <nc r="X118">
      <f>W118</f>
    </nc>
  </rcc>
  <rcc rId="2587" sId="1">
    <nc r="Z118">
      <v>4</v>
    </nc>
  </rcc>
  <rcc rId="2588" sId="1">
    <nc r="AA118" t="inlineStr">
      <is>
        <t>Ready for review</t>
      </is>
    </nc>
  </rcc>
  <rcc rId="2589" sId="1" numFmtId="19">
    <nc r="AE118">
      <v>43962</v>
    </nc>
  </rcc>
  <rcc rId="2590" sId="1" numFmtId="19">
    <nc r="AF118">
      <v>43962</v>
    </nc>
  </rcc>
  <rcc rId="2591" sId="1">
    <nc r="AG118" t="inlineStr">
      <is>
        <t>OK</t>
      </is>
    </nc>
  </rcc>
  <rcc rId="2592" sId="1" numFmtId="14">
    <nc r="AH118">
      <v>1</v>
    </nc>
  </rcc>
  <rcc rId="2593" sId="1" numFmtId="14">
    <nc r="AI118">
      <v>1</v>
    </nc>
  </rcc>
  <rcc rId="2594" sId="1" numFmtId="14">
    <nc r="AJ118">
      <v>1</v>
    </nc>
  </rcc>
  <rcc rId="2595" sId="1">
    <nc r="AK118" t="inlineStr">
      <is>
        <t>None</t>
      </is>
    </nc>
  </rcc>
  <rcv guid="{7ECC2B8E-6A82-42F5-8AB0-4A51C54EA5EC}" action="delete"/>
  <rdn rId="0" localSheetId="1" customView="1" name="Z_7ECC2B8E_6A82_42F5_8AB0_4A51C54EA5EC_.wvu.FilterData" hidden="1" oldHidden="1">
    <formula>Merged_COEM!$B$47:$AN$152</formula>
    <oldFormula>Merged_COEM!$B$47:$AN$152</oldFormula>
  </rdn>
  <rdn rId="0" localSheetId="2" customView="1" name="Z_7ECC2B8E_6A82_42F5_8AB0_4A51C54EA5EC_.wvu.FilterData" hidden="1" oldHidden="1">
    <formula>Merged_JOEM!$B$47:$AN$116</formula>
    <oldFormula>Merged_JOEM!$B$47:$AN$116</oldFormula>
  </rdn>
  <rcv guid="{7ECC2B8E-6A82-42F5-8AB0-4A51C54EA5EC}" action="add"/>
</revisions>
</file>

<file path=xl/revisions/revisionLog2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08" sId="1">
    <nc r="X148">
      <f>W148</f>
    </nc>
  </rcc>
  <rcc rId="2609" sId="1">
    <nc r="X149">
      <f>W149</f>
    </nc>
  </rcc>
  <rcc rId="2610" sId="1">
    <nc r="X150">
      <f>W150</f>
    </nc>
  </rcc>
  <rcc rId="2611" sId="1">
    <nc r="Z148">
      <v>4</v>
    </nc>
  </rcc>
  <rcc rId="2612" sId="1">
    <nc r="Z149">
      <v>1</v>
    </nc>
  </rcc>
  <rcc rId="2613" sId="1">
    <nc r="Z150">
      <v>2</v>
    </nc>
  </rcc>
  <rcc rId="2614" sId="1">
    <nc r="AA148" t="inlineStr">
      <is>
        <t>Ready for review</t>
      </is>
    </nc>
  </rcc>
  <rcc rId="2615" sId="1">
    <nc r="AA149" t="inlineStr">
      <is>
        <t>Ready for review</t>
      </is>
    </nc>
  </rcc>
  <rcc rId="2616" sId="1">
    <nc r="AA150" t="inlineStr">
      <is>
        <t>Ready for review</t>
      </is>
    </nc>
  </rcc>
  <rcc rId="2617" sId="1" numFmtId="19">
    <nc r="AE148">
      <v>43962</v>
    </nc>
  </rcc>
  <rcc rId="2618" sId="1" numFmtId="19">
    <nc r="AF148">
      <v>43962</v>
    </nc>
  </rcc>
  <rcc rId="2619" sId="1" numFmtId="14">
    <nc r="AH148">
      <v>1</v>
    </nc>
  </rcc>
  <rcc rId="2620" sId="1" numFmtId="14">
    <nc r="AI148">
      <v>1</v>
    </nc>
  </rcc>
  <rcc rId="2621" sId="1" numFmtId="19">
    <nc r="AE149">
      <v>43962</v>
    </nc>
  </rcc>
  <rcc rId="2622" sId="1" numFmtId="19">
    <nc r="AF149">
      <v>43962</v>
    </nc>
  </rcc>
  <rcc rId="2623" sId="1">
    <nc r="AG149" t="inlineStr">
      <is>
        <t>OK</t>
      </is>
    </nc>
  </rcc>
  <rcc rId="2624" sId="1" numFmtId="14">
    <nc r="AH149">
      <v>1</v>
    </nc>
  </rcc>
  <rcc rId="2625" sId="1" numFmtId="14">
    <nc r="AI149">
      <v>1</v>
    </nc>
  </rcc>
  <rcc rId="2626" sId="1" numFmtId="14">
    <nc r="AJ149">
      <v>1</v>
    </nc>
  </rcc>
  <rcc rId="2627" sId="1">
    <nc r="AK149" t="inlineStr">
      <is>
        <t>None</t>
      </is>
    </nc>
  </rcc>
  <rcc rId="2628" sId="1" numFmtId="19">
    <nc r="AE150">
      <v>43962</v>
    </nc>
  </rcc>
  <rcc rId="2629" sId="1" numFmtId="19">
    <nc r="AF150">
      <v>43962</v>
    </nc>
  </rcc>
  <rcc rId="2630" sId="1">
    <nc r="AG150" t="inlineStr">
      <is>
        <t>OK</t>
      </is>
    </nc>
  </rcc>
  <rcc rId="2631" sId="1" numFmtId="14">
    <nc r="AH150">
      <v>1</v>
    </nc>
  </rcc>
  <rcc rId="2632" sId="1" numFmtId="14">
    <nc r="AI150">
      <v>1</v>
    </nc>
  </rcc>
  <rcc rId="2633" sId="1" numFmtId="14">
    <nc r="AJ150">
      <v>1</v>
    </nc>
  </rcc>
  <rcc rId="2634" sId="1">
    <nc r="AK150" t="inlineStr">
      <is>
        <t>None</t>
      </is>
    </nc>
  </rcc>
  <rcc rId="2635" sId="1">
    <nc r="AG148" t="inlineStr">
      <is>
        <t>NG</t>
      </is>
    </nc>
  </rcc>
  <rcc rId="2636" sId="1" numFmtId="14">
    <nc r="AJ148">
      <v>0.83</v>
    </nc>
  </rcc>
  <rcc rId="2637" sId="1" odxf="1" dxf="1">
    <nc r="AL148" t="inlineStr">
      <is>
        <t xml:space="preserve">At line #485 cannot cover MCDC because l_LoopCnt &lt; g_EOLParamBuffer_PUB[4] at line 485 &amp; line 489 have been conflict.
At line #486cannot cover MCDC because l_LoopCnt &lt; 10] at line 486 &amp; line 490 have been conflict.
</t>
      </is>
    </nc>
    <odxf>
      <alignment wrapText="0" readingOrder="0"/>
    </odxf>
    <ndxf>
      <alignment wrapText="1" readingOrder="0"/>
    </ndxf>
  </rcc>
  <rfmt sheetId="1" sqref="AL148">
    <dxf>
      <alignment wrapText="0" readingOrder="0"/>
    </dxf>
  </rfmt>
  <rcc rId="2638" sId="1">
    <nc r="AK148" t="inlineStr">
      <is>
        <t>OPL</t>
      </is>
    </nc>
  </rcc>
  <rcv guid="{A2C66332-A809-458E-971B-FDB6D62C74C3}" action="delete"/>
  <rdn rId="0" localSheetId="1" customView="1" name="Z_A2C66332_A809_458E_971B_FDB6D62C74C3_.wvu.FilterData" hidden="1" oldHidden="1">
    <formula>Merged_COEM!$B$47:$AN$152</formula>
    <oldFormula>Merged_COEM!$B$47:$AN$129</oldFormula>
  </rdn>
  <rdn rId="0" localSheetId="2" customView="1" name="Z_A2C66332_A809_458E_971B_FDB6D62C74C3_.wvu.FilterData" hidden="1" oldHidden="1">
    <formula>Merged_JOEM!$B$47:$AN$116</formula>
    <oldFormula>Merged_JOEM!$B$47:$AN$108</oldFormula>
  </rdn>
  <rcv guid="{A2C66332-A809-458E-971B-FDB6D62C74C3}" action="add"/>
</revisions>
</file>

<file path=xl/revisions/revisionLog2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C66332-A809-458E-971B-FDB6D62C74C3}" action="delete"/>
  <rdn rId="0" localSheetId="1" customView="1" name="Z_A2C66332_A809_458E_971B_FDB6D62C74C3_.wvu.FilterData" hidden="1" oldHidden="1">
    <formula>Merged_COEM!$B$47:$AN$152</formula>
    <oldFormula>Merged_COEM!$B$47:$AN$152</oldFormula>
  </rdn>
  <rdn rId="0" localSheetId="2" customView="1" name="Z_A2C66332_A809_458E_971B_FDB6D62C74C3_.wvu.FilterData" hidden="1" oldHidden="1">
    <formula>Merged_JOEM!$B$47:$AN$116</formula>
    <oldFormula>Merged_JOEM!$B$47:$AN$116</oldFormula>
  </rdn>
  <rcv guid="{A2C66332-A809-458E-971B-FDB6D62C74C3}" action="add"/>
</revisions>
</file>

<file path=xl/revisions/revisionLog2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2A6EB0A-84D5-4B8A-AC51-54CCD061630B}" action="delete"/>
  <rdn rId="0" localSheetId="1" customView="1" name="Z_72A6EB0A_84D5_4B8A_AC51_54CCD061630B_.wvu.FilterData" hidden="1" oldHidden="1">
    <formula>Merged_COEM!$B$47:$AN$152</formula>
    <oldFormula>Merged_COEM!$B$47:$AN$152</oldFormula>
  </rdn>
  <rdn rId="0" localSheetId="2" customView="1" name="Z_72A6EB0A_84D5_4B8A_AC51_54CCD061630B_.wvu.FilterData" hidden="1" oldHidden="1">
    <formula>Merged_JOEM!$B$47:$AN$116</formula>
    <oldFormula>Merged_JOEM!$B$47:$AN$116</oldFormula>
  </rdn>
  <rcv guid="{72A6EB0A-84D5-4B8A-AC51-54CCD061630B}" action="add"/>
</revisions>
</file>

<file path=xl/revisions/revisionLog2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7" sId="1">
    <oc r="I70" t="inlineStr">
      <is>
        <t>RBAPLCUST_RDBI_IOCtrlState.c</t>
      </is>
    </oc>
    <nc r="I70" t="inlineStr">
      <is>
        <t>e</t>
      </is>
    </nc>
  </rcc>
</revisions>
</file>

<file path=xl/revisions/revisionLog2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Merged_JOEM!$B$47:$AN$116</formula>
    <oldFormula>Merged_JOEM!$B$47:$AN$116</oldFormula>
  </rdn>
  <rcv guid="{3B3E6719-EACB-4D2C-89C1-05FFAB6020FD}" action="add"/>
</revisions>
</file>

<file path=xl/revisions/revisionLog2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2" sId="1">
    <nc r="G153">
      <v>1457196</v>
    </nc>
  </rcc>
  <rcc rId="2653" sId="1">
    <nc r="E153" t="inlineStr">
      <is>
        <t>RC_242264_SOKON_S513EVR_ESP9.3</t>
      </is>
    </nc>
  </rcc>
  <rcc rId="2654" sId="1" quotePrefix="1">
    <nc r="F153" t="inlineStr">
      <is>
        <t xml:space="preserve">rb\as\dfsk\CpiwAPB\app\net\RbNetPrj\RBNet_Can\src\     </t>
      </is>
    </nc>
  </rcc>
  <rcc rId="2655" sId="1">
    <nc r="I153" t="inlineStr">
      <is>
        <t>NET_SCL_InitPrc_CNMS.c</t>
      </is>
    </nc>
  </rcc>
  <rcc rId="2656" sId="1">
    <nc r="N153" t="inlineStr">
      <is>
        <t>DFSK_ESP93_EV_Mainstream_Int</t>
      </is>
    </nc>
  </rcc>
  <rcc rId="2657" sId="1" numFmtId="19">
    <nc r="AD153">
      <v>43965</v>
    </nc>
  </rcc>
  <rcc rId="2658" sId="1" numFmtId="19">
    <nc r="AC153">
      <v>43962</v>
    </nc>
  </rcc>
  <rcc rId="2659" sId="1">
    <nc r="L153" t="inlineStr">
      <is>
        <t>None</t>
      </is>
    </nc>
  </rcc>
  <rcc rId="2660" sId="1">
    <nc r="V153">
      <v>107</v>
    </nc>
  </rcc>
  <rcc rId="2661" sId="1">
    <nc r="W153">
      <f>V153</f>
    </nc>
  </rcc>
  <rcv guid="{250915DF-0B97-45D7-B29D-7EED4C89C1C1}" action="delete"/>
  <rdn rId="0" localSheetId="1" customView="1" name="Z_250915DF_0B97_45D7_B29D_7EED4C89C1C1_.wvu.FilterData" hidden="1" oldHidden="1">
    <formula>Merged_COEM!$B$47:$AN$152</formula>
    <oldFormula>Merged_COEM!$A$47:$AN$152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4" sId="1">
    <nc r="Y153">
      <f>ROUNDDOWN(W153/HLOOKUP(D153,Table!$C$3:$D$4,2,0)*8,2)</f>
    </nc>
  </rcc>
  <rcc rId="2665" sId="1">
    <nc r="D153" t="inlineStr">
      <is>
        <t>PSW</t>
      </is>
    </nc>
  </rcc>
  <rcc rId="2666" sId="1">
    <nc r="C153">
      <v>20200507</v>
    </nc>
  </rcc>
  <rcc rId="2667" sId="1" odxf="1" dxf="1">
    <nc r="B153">
      <f>B152+1</f>
    </nc>
    <odxf>
      <fill>
        <patternFill patternType="none">
          <bgColor indexed="65"/>
        </patternFill>
      </fill>
    </odxf>
    <ndxf>
      <fill>
        <patternFill patternType="solid">
          <bgColor theme="3" tint="0.39997558519241921"/>
        </patternFill>
      </fill>
    </ndxf>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0" sId="1">
    <nc r="S153" t="inlineStr">
      <is>
        <t>bang.nguyen-duy</t>
      </is>
    </nc>
  </rcc>
  <rcc rId="2671" sId="1" quotePrefix="1">
    <nc r="P153" t="inlineStr">
      <is>
        <t>Nguyen Hiep Thanh (RBVH/EAS11)</t>
      </is>
    </nc>
  </rcc>
  <rcc rId="2672" sId="1" odxf="1" dxf="1" quotePrefix="1">
    <nc r="R153" t="inlineStr">
      <is>
        <t>-</t>
      </is>
    </nc>
    <odxf>
      <fill>
        <patternFill patternType="none">
          <bgColor indexed="65"/>
        </patternFill>
      </fill>
    </odxf>
    <ndxf>
      <fill>
        <patternFill patternType="solid">
          <bgColor theme="0" tint="-0.499984740745262"/>
        </patternFill>
      </fill>
    </ndxf>
  </rcc>
  <rfmt sheetId="1" sqref="M153" start="0" length="0">
    <dxf/>
  </rfmt>
  <rcc rId="2673" sId="1" odxf="1" dxf="1">
    <nc r="M153" t="inlineStr">
      <is>
        <t>None</t>
      </is>
    </nc>
    <ndxf/>
  </rcc>
  <rcc rId="2674" sId="1" odxf="1" dxf="1" quotePrefix="1">
    <nc r="H153" t="inlineStr">
      <is>
        <t>-</t>
      </is>
    </nc>
    <odxf>
      <fill>
        <patternFill patternType="none">
          <bgColor indexed="65"/>
        </patternFill>
      </fill>
    </odxf>
    <ndxf>
      <fill>
        <patternFill patternType="solid">
          <bgColor theme="0" tint="-0.499984740745262"/>
        </patternFill>
      </fill>
    </ndxf>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7" sId="1">
    <nc r="K153" t="inlineStr">
      <is>
        <t>Auto</t>
      </is>
    </nc>
  </rcc>
  <rcc rId="2678" sId="1" odxf="1" dxf="1" quotePrefix="1">
    <nc r="J153" t="inlineStr">
      <is>
        <t>-</t>
      </is>
    </nc>
    <odxf>
      <fill>
        <patternFill patternType="none">
          <bgColor indexed="65"/>
        </patternFill>
      </fill>
    </odxf>
    <ndxf>
      <fill>
        <patternFill patternType="solid">
          <bgColor theme="0" tint="-0.499984740745262"/>
        </patternFill>
      </fill>
    </ndxf>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1" sId="1" odxf="1" dxf="1">
    <nc r="N39" t="inlineStr">
      <is>
        <t>DFSK_ESP93_EV_Mainstream_Int</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2682" sId="1" odxf="1" dxf="1">
    <nc r="P39" t="inlineStr">
      <is>
        <t>NET_SCL_InitPrc_CNMS.c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2683" sId="1" odxf="1" dxf="1" quotePrefix="1">
    <nc r="O39" t="inlineStr">
      <is>
        <t xml:space="preserve">rb\as\dfsk\CpiwAPB\app\net\RbNetPrj\RBNet_Can\src\     </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2684" sId="1">
    <nc r="X153">
      <f>W153</f>
    </nc>
  </rcc>
  <rcc rId="2685" sId="1">
    <nc r="Z153">
      <v>0.5</v>
    </nc>
  </rcc>
  <rcc rId="2686" sId="1">
    <nc r="AA153" t="inlineStr">
      <is>
        <t>Ready for review</t>
      </is>
    </nc>
  </rcc>
  <rcc rId="2687" sId="1" numFmtId="19">
    <nc r="AE153">
      <v>43962</v>
    </nc>
  </rcc>
  <rcc rId="2688" sId="1" numFmtId="19">
    <nc r="AF153">
      <v>43962</v>
    </nc>
  </rcc>
  <rcc rId="2689" sId="1">
    <nc r="AG153" t="inlineStr">
      <is>
        <t>OK</t>
      </is>
    </nc>
  </rcc>
  <rcc rId="2690" sId="1" numFmtId="14">
    <nc r="AH153">
      <v>1</v>
    </nc>
  </rcc>
  <rcc rId="2691" sId="1" numFmtId="14">
    <nc r="AI153">
      <v>1</v>
    </nc>
  </rcc>
  <rcc rId="2692" sId="1" numFmtId="14">
    <nc r="AJ153">
      <v>1</v>
    </nc>
  </rcc>
  <rcc rId="2693" sId="1">
    <nc r="AK153" t="inlineStr">
      <is>
        <t>None</t>
      </is>
    </nc>
  </rcc>
  <rcv guid="{A2C66332-A809-458E-971B-FDB6D62C74C3}" action="delete"/>
  <rdn rId="0" localSheetId="1" customView="1" name="Z_A2C66332_A809_458E_971B_FDB6D62C74C3_.wvu.FilterData" hidden="1" oldHidden="1">
    <formula>Merged_COEM!$B$47:$AN$153</formula>
    <oldFormula>Merged_COEM!$B$47:$AN$152</oldFormula>
  </rdn>
  <rdn rId="0" localSheetId="2" customView="1" name="Z_A2C66332_A809_458E_971B_FDB6D62C74C3_.wvu.FilterData" hidden="1" oldHidden="1">
    <formula>Merged_JOEM!$B$47:$AN$116</formula>
    <oldFormula>Merged_JOEM!$B$47:$AN$116</oldFormula>
  </rdn>
  <rcv guid="{A2C66332-A809-458E-971B-FDB6D62C74C3}" action="add"/>
</revisions>
</file>

<file path=xl/revisions/revisionLog2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6" sId="1">
    <oc r="N39" t="inlineStr">
      <is>
        <t>DFSK_ESP93_EV_Mainstream_Int</t>
      </is>
    </oc>
    <nc r="N39"/>
  </rcc>
  <rcc rId="2697" sId="1">
    <oc r="O39" t="inlineStr">
      <is>
        <t xml:space="preserve">rb\as\dfsk\CpiwAPB\app\net\RbNetPrj\RBNet_Can\src\     </t>
      </is>
    </oc>
    <nc r="O39"/>
  </rcc>
  <rcc rId="2698" sId="1">
    <oc r="P39" t="inlineStr">
      <is>
        <t>NET_SCL_InitPrc_CNMS.c</t>
      </is>
    </oc>
    <nc r="P39"/>
  </rcc>
</revisions>
</file>

<file path=xl/revisions/revisionLog2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9" sId="1">
    <oc r="X151">
      <v>1000</v>
    </oc>
    <nc r="X151">
      <f>W151</f>
    </nc>
  </rcc>
  <rcc rId="2700" sId="1">
    <oc r="Z151">
      <v>1</v>
    </oc>
    <nc r="Z151">
      <v>8</v>
    </nc>
  </rcc>
  <rcc rId="2701" sId="1">
    <nc r="AA151" t="inlineStr">
      <is>
        <t>Ready for review</t>
      </is>
    </nc>
  </rcc>
  <rcc rId="2702" sId="1" numFmtId="19">
    <nc r="AF151">
      <v>43962</v>
    </nc>
  </rcc>
  <rcc rId="2703" sId="1">
    <nc r="AG151" t="inlineStr">
      <is>
        <t>OK</t>
      </is>
    </nc>
  </rcc>
  <rcc rId="2704" sId="1" numFmtId="14">
    <nc r="AH151">
      <v>1</v>
    </nc>
  </rcc>
  <rcc rId="2705" sId="1" numFmtId="14">
    <nc r="AI151">
      <v>1</v>
    </nc>
  </rcc>
  <rcc rId="2706" sId="1" numFmtId="14">
    <nc r="AJ151">
      <v>1</v>
    </nc>
  </rcc>
  <rcc rId="2707" sId="1">
    <nc r="AK151" t="inlineStr">
      <is>
        <t>None</t>
      </is>
    </nc>
  </rcc>
  <rcv guid="{250915DF-0B97-45D7-B29D-7EED4C89C1C1}" action="delete"/>
  <rdn rId="0" localSheetId="1" customView="1" name="Z_250915DF_0B97_45D7_B29D_7EED4C89C1C1_.wvu.FilterData" hidden="1" oldHidden="1">
    <formula>Merged_COEM!$B$47:$AN$153</formula>
    <oldFormula>Merged_COEM!$B$47:$AN$152</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4" sId="2">
    <nc r="I117" t="inlineStr">
      <is>
        <t>Ventil_Strategie_Wheel</t>
      </is>
    </nc>
  </rcc>
  <rcc rId="2715" sId="2">
    <nc r="I118" t="inlineStr">
      <is>
        <t>Honda_ENG_IS_RESTART_INHIBIT</t>
      </is>
    </nc>
  </rcc>
  <rcc rId="2716" sId="2">
    <nc r="I119" t="inlineStr">
      <is>
        <t>Honda_FA_iB_JOEM_PressureLimiter_2_V1_2</t>
      </is>
    </nc>
  </rcc>
  <rcc rId="2717" sId="2">
    <nc r="I120" t="inlineStr">
      <is>
        <t>Honda_FA_iB_JOEM_PressureLimiter_PreCalc_V1_1</t>
      </is>
    </nc>
  </rcc>
  <rcc rId="2718" sId="2">
    <nc r="I121" t="inlineStr">
      <is>
        <t>Honda_FA_iB_LFC_cal_nRfpMin_V4_0</t>
      </is>
    </nc>
  </rcc>
  <rcc rId="2719" sId="2">
    <nc r="I122" t="inlineStr">
      <is>
        <t>Honda_FA_iB_LFC_Exe_V4_10</t>
      </is>
    </nc>
  </rcc>
  <rcc rId="2720" sId="2">
    <nc r="I123" t="inlineStr">
      <is>
        <t>Honda_FA_iB_pVehLimitationByNMax_V4_0</t>
      </is>
    </nc>
  </rcc>
  <rcc rId="2721" sId="2">
    <nc r="I124" t="inlineStr">
      <is>
        <t>Honda_FA_iB_SSM_VehSecured_ReqAPB_V4_3</t>
      </is>
    </nc>
  </rcc>
  <rcc rId="2722" sId="2">
    <nc r="I125" t="inlineStr">
      <is>
        <t>Honda_LFC5ms_LFC20msV4_8</t>
      </is>
    </nc>
  </rcc>
  <rcc rId="2723" sId="2">
    <nc r="I126" t="inlineStr">
      <is>
        <t>Honda_TargetStateLFC_Decision</t>
      </is>
    </nc>
  </rcc>
  <rcc rId="2724" sId="2">
    <nc r="I127" t="inlineStr">
      <is>
        <t>cubas_ComStack_Proc</t>
      </is>
    </nc>
  </rcc>
  <rcc rId="2725" sId="2">
    <nc r="I128" t="inlineStr">
      <is>
        <t>RBAPLPLANT_DiagnosticSessionControl</t>
      </is>
    </nc>
  </rcc>
  <rcc rId="2726" sId="2">
    <nc r="I129" t="inlineStr">
      <is>
        <t>RBTSI_RbDiagInit</t>
      </is>
    </nc>
  </rcc>
  <rcc rId="2727" sId="2">
    <nc r="I130" t="inlineStr">
      <is>
        <t>rba_ComScl_Scl_EPS_14A_CH1_Rx</t>
      </is>
    </nc>
  </rcc>
  <rcc rId="2728" sId="2">
    <nc r="I131" t="inlineStr">
      <is>
        <t>RBNET_TimeoutStandStill</t>
      </is>
    </nc>
  </rcc>
  <rcc rId="2729" sId="2">
    <nc r="I132" t="inlineStr">
      <is>
        <t>RBAplCust_RDBI_4004_ReadABSVSABasicDiagnosticParameters_Project</t>
      </is>
    </nc>
  </rcc>
  <rcc rId="2730" sId="2">
    <nc r="I133" t="inlineStr">
      <is>
        <t>RBAplCust_RDBI_4007_ReadDiagnosticParameterForAdditionalFunctions1_Project</t>
      </is>
    </nc>
  </rcc>
  <rcc rId="2731" sId="2">
    <nc r="I134" t="inlineStr">
      <is>
        <t>RBAplCust_RDBI_4030_Read1stFreezeFrameDataBasicParameters1_Project</t>
      </is>
    </nc>
  </rcc>
  <rcc rId="2732" sId="2">
    <nc r="I135" t="inlineStr">
      <is>
        <t>RBAplCust_RDBI_4031_Read1stFreezeFrameDataSensorParameters1_Project</t>
      </is>
    </nc>
  </rcc>
  <rcc rId="2733" sId="2">
    <nc r="I136" t="inlineStr">
      <is>
        <t>RBAplCust_RDBI_4032_Read1stFreezeFrameDataCommunicationStatus1_Project</t>
      </is>
    </nc>
  </rcc>
  <rcc rId="2734" sId="2">
    <nc r="I137" t="inlineStr">
      <is>
        <t>RBAplCust_RDBI_4033_Read2ndFreezeFrameDataBasicParameters1_Project</t>
      </is>
    </nc>
  </rcc>
  <rcc rId="2735" sId="2">
    <nc r="I138" t="inlineStr">
      <is>
        <t>RBAplCust_RDBI_4035_Read2ndFreezeFrameDataCommunicationStatus1_Project</t>
      </is>
    </nc>
  </rcc>
  <rcc rId="2736" sId="2">
    <nc r="I139" t="inlineStr">
      <is>
        <t>RBAplCust_RDBI_4070_Read1stOperatioRecordDataBasicParameters1_Project</t>
      </is>
    </nc>
  </rcc>
  <rcc rId="2737" sId="2">
    <nc r="I140" t="inlineStr">
      <is>
        <t>RBAplCust_RDBI_4071_Read1stOperatioRecordDataSensorParameters1_Project</t>
      </is>
    </nc>
  </rcc>
  <rcc rId="2738" sId="2">
    <nc r="I141" t="inlineStr">
      <is>
        <t>RBAplCust_RDBI_4072_Read2ndOperatioRecordDataBasicParameters1_Project</t>
      </is>
    </nc>
  </rcc>
  <rcc rId="2739" sId="2">
    <nc r="I142" t="inlineStr">
      <is>
        <t>RBAplCust_RDBI_4074_Read1stOperatioRecordDataEBB_Project</t>
      </is>
    </nc>
  </rcc>
  <rcc rId="2740" sId="2">
    <nc r="I143" t="inlineStr">
      <is>
        <t>RBFMHC_FreezeFrameHandling</t>
      </is>
    </nc>
  </rcc>
  <rcc rId="2741" sId="2">
    <nc r="I144" t="inlineStr">
      <is>
        <t>RBFMHC_OperationDataHandling_Project</t>
      </is>
    </nc>
  </rcc>
  <rcc rId="2742" sId="2">
    <nc r="I145" t="inlineStr">
      <is>
        <t>RBNET_ChecksumLib_HONDA</t>
      </is>
    </nc>
  </rcc>
  <rcc rId="2743" sId="2" quotePrefix="1">
    <nc r="O117" t="inlineStr">
      <is>
        <t>7.1.131.0</t>
      </is>
    </nc>
  </rcc>
  <rcc rId="2744" sId="2" quotePrefix="1">
    <nc r="O118" t="inlineStr">
      <is>
        <t>1.2</t>
      </is>
    </nc>
  </rcc>
  <rcc rId="2745" sId="2" quotePrefix="1">
    <nc r="O119" t="inlineStr">
      <is>
        <t>1.0</t>
      </is>
    </nc>
  </rcc>
  <rcc rId="2746" sId="2" quotePrefix="1">
    <nc r="O120" t="inlineStr">
      <is>
        <t>1.0</t>
      </is>
    </nc>
  </rcc>
  <rcc rId="2747" sId="2" quotePrefix="1">
    <nc r="O121" t="inlineStr">
      <is>
        <t>1.0</t>
      </is>
    </nc>
  </rcc>
  <rcc rId="2748" sId="2" quotePrefix="1">
    <nc r="O122" t="inlineStr">
      <is>
        <t>1.4</t>
      </is>
    </nc>
  </rcc>
  <rcc rId="2749" sId="2" quotePrefix="1">
    <nc r="O123" t="inlineStr">
      <is>
        <t>1.0</t>
      </is>
    </nc>
  </rcc>
  <rcc rId="2750" sId="2" quotePrefix="1">
    <nc r="O124" t="inlineStr">
      <is>
        <t>1.0</t>
      </is>
    </nc>
  </rcc>
  <rcc rId="2751" sId="2" quotePrefix="1">
    <nc r="O125" t="inlineStr">
      <is>
        <t>1.0</t>
      </is>
    </nc>
  </rcc>
  <rcc rId="2752" sId="2" quotePrefix="1">
    <nc r="O126" t="inlineStr">
      <is>
        <t>1.4</t>
      </is>
    </nc>
  </rcc>
  <rcc rId="2753" sId="2">
    <oc r="D116" t="inlineStr">
      <is>
        <t>PSW</t>
      </is>
    </oc>
    <nc r="D116" t="inlineStr">
      <is>
        <t>ASW</t>
      </is>
    </nc>
  </rcc>
  <rcc rId="2754" sId="2">
    <nc r="D117" t="inlineStr">
      <is>
        <t>ASW</t>
      </is>
    </nc>
  </rcc>
  <rcc rId="2755" sId="2">
    <nc r="D118" t="inlineStr">
      <is>
        <t>ASW</t>
      </is>
    </nc>
  </rcc>
  <rcc rId="2756" sId="2">
    <nc r="D119" t="inlineStr">
      <is>
        <t>ASW</t>
      </is>
    </nc>
  </rcc>
  <rcc rId="2757" sId="2">
    <nc r="D120" t="inlineStr">
      <is>
        <t>ASW</t>
      </is>
    </nc>
  </rcc>
  <rcc rId="2758" sId="2">
    <nc r="D121" t="inlineStr">
      <is>
        <t>ASW</t>
      </is>
    </nc>
  </rcc>
  <rcc rId="2759" sId="2">
    <nc r="D122" t="inlineStr">
      <is>
        <t>ASW</t>
      </is>
    </nc>
  </rcc>
  <rcc rId="2760" sId="2">
    <nc r="D123" t="inlineStr">
      <is>
        <t>ASW</t>
      </is>
    </nc>
  </rcc>
  <rcc rId="2761" sId="2">
    <nc r="D124" t="inlineStr">
      <is>
        <t>ASW</t>
      </is>
    </nc>
  </rcc>
  <rcc rId="2762" sId="2">
    <nc r="D125" t="inlineStr">
      <is>
        <t>ASW</t>
      </is>
    </nc>
  </rcc>
  <rcc rId="2763" sId="2">
    <nc r="D126" t="inlineStr">
      <is>
        <t>ASW</t>
      </is>
    </nc>
  </rcc>
  <rcc rId="2764" sId="2">
    <nc r="D127" t="inlineStr">
      <is>
        <t>ASW</t>
      </is>
    </nc>
  </rcc>
  <rcc rId="2765" sId="2">
    <nc r="D128" t="inlineStr">
      <is>
        <t>ASW</t>
      </is>
    </nc>
  </rcc>
  <rcc rId="2766" sId="2">
    <nc r="D129" t="inlineStr">
      <is>
        <t>ASW</t>
      </is>
    </nc>
  </rcc>
  <rcc rId="2767" sId="2">
    <nc r="D130" t="inlineStr">
      <is>
        <t>ASW</t>
      </is>
    </nc>
  </rcc>
  <rcc rId="2768" sId="2">
    <nc r="D131" t="inlineStr">
      <is>
        <t>ASW</t>
      </is>
    </nc>
  </rcc>
  <rcc rId="2769" sId="2">
    <nc r="D132" t="inlineStr">
      <is>
        <t>ASW</t>
      </is>
    </nc>
  </rcc>
  <rcc rId="2770" sId="2">
    <nc r="D133" t="inlineStr">
      <is>
        <t>ASW</t>
      </is>
    </nc>
  </rcc>
  <rcc rId="2771" sId="2">
    <nc r="D134" t="inlineStr">
      <is>
        <t>ASW</t>
      </is>
    </nc>
  </rcc>
  <rcc rId="2772" sId="2">
    <nc r="D135" t="inlineStr">
      <is>
        <t>ASW</t>
      </is>
    </nc>
  </rcc>
  <rcc rId="2773" sId="2">
    <nc r="D136" t="inlineStr">
      <is>
        <t>ASW</t>
      </is>
    </nc>
  </rcc>
  <rcc rId="2774" sId="2">
    <nc r="D137" t="inlineStr">
      <is>
        <t>ASW</t>
      </is>
    </nc>
  </rcc>
  <rcc rId="2775" sId="2">
    <nc r="D138" t="inlineStr">
      <is>
        <t>ASW</t>
      </is>
    </nc>
  </rcc>
  <rcc rId="2776" sId="2">
    <nc r="D139" t="inlineStr">
      <is>
        <t>ASW</t>
      </is>
    </nc>
  </rcc>
  <rcc rId="2777" sId="2">
    <nc r="D140" t="inlineStr">
      <is>
        <t>ASW</t>
      </is>
    </nc>
  </rcc>
  <rcc rId="2778" sId="2">
    <nc r="D141" t="inlineStr">
      <is>
        <t>ASW</t>
      </is>
    </nc>
  </rcc>
  <rcc rId="2779" sId="2">
    <nc r="D142" t="inlineStr">
      <is>
        <t>ASW</t>
      </is>
    </nc>
  </rcc>
  <rcc rId="2780" sId="2">
    <nc r="D143" t="inlineStr">
      <is>
        <t>ASW</t>
      </is>
    </nc>
  </rcc>
  <rcc rId="2781" sId="2">
    <nc r="D144" t="inlineStr">
      <is>
        <t>ASW</t>
      </is>
    </nc>
  </rcc>
  <rcc rId="2782" sId="2">
    <nc r="D145" t="inlineStr">
      <is>
        <t>ASW</t>
      </is>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85" sId="2">
    <oc r="D127" t="inlineStr">
      <is>
        <t>ASW</t>
      </is>
    </oc>
    <nc r="D127" t="inlineStr">
      <is>
        <t>PSW</t>
      </is>
    </nc>
  </rcc>
  <rcc rId="2786" sId="2">
    <oc r="D128" t="inlineStr">
      <is>
        <t>ASW</t>
      </is>
    </oc>
    <nc r="D128" t="inlineStr">
      <is>
        <t>PSW</t>
      </is>
    </nc>
  </rcc>
  <rcc rId="2787" sId="2">
    <oc r="D129" t="inlineStr">
      <is>
        <t>ASW</t>
      </is>
    </oc>
    <nc r="D129" t="inlineStr">
      <is>
        <t>PSW</t>
      </is>
    </nc>
  </rcc>
  <rcc rId="2788" sId="2">
    <oc r="D130" t="inlineStr">
      <is>
        <t>ASW</t>
      </is>
    </oc>
    <nc r="D130" t="inlineStr">
      <is>
        <t>PSW</t>
      </is>
    </nc>
  </rcc>
  <rcc rId="2789" sId="2">
    <oc r="D131" t="inlineStr">
      <is>
        <t>ASW</t>
      </is>
    </oc>
    <nc r="D131" t="inlineStr">
      <is>
        <t>PSW</t>
      </is>
    </nc>
  </rcc>
  <rcc rId="2790" sId="2">
    <oc r="D132" t="inlineStr">
      <is>
        <t>ASW</t>
      </is>
    </oc>
    <nc r="D132" t="inlineStr">
      <is>
        <t>PSW</t>
      </is>
    </nc>
  </rcc>
  <rcc rId="2791" sId="2">
    <oc r="D133" t="inlineStr">
      <is>
        <t>ASW</t>
      </is>
    </oc>
    <nc r="D133" t="inlineStr">
      <is>
        <t>PSW</t>
      </is>
    </nc>
  </rcc>
  <rcc rId="2792" sId="2">
    <oc r="D134" t="inlineStr">
      <is>
        <t>ASW</t>
      </is>
    </oc>
    <nc r="D134" t="inlineStr">
      <is>
        <t>PSW</t>
      </is>
    </nc>
  </rcc>
  <rcc rId="2793" sId="2">
    <oc r="D135" t="inlineStr">
      <is>
        <t>ASW</t>
      </is>
    </oc>
    <nc r="D135" t="inlineStr">
      <is>
        <t>PSW</t>
      </is>
    </nc>
  </rcc>
  <rcc rId="2794" sId="2">
    <oc r="D136" t="inlineStr">
      <is>
        <t>ASW</t>
      </is>
    </oc>
    <nc r="D136" t="inlineStr">
      <is>
        <t>PSW</t>
      </is>
    </nc>
  </rcc>
  <rcc rId="2795" sId="2">
    <oc r="D137" t="inlineStr">
      <is>
        <t>ASW</t>
      </is>
    </oc>
    <nc r="D137" t="inlineStr">
      <is>
        <t>PSW</t>
      </is>
    </nc>
  </rcc>
  <rcc rId="2796" sId="2">
    <oc r="D138" t="inlineStr">
      <is>
        <t>ASW</t>
      </is>
    </oc>
    <nc r="D138" t="inlineStr">
      <is>
        <t>PSW</t>
      </is>
    </nc>
  </rcc>
  <rcc rId="2797" sId="2">
    <oc r="D139" t="inlineStr">
      <is>
        <t>ASW</t>
      </is>
    </oc>
    <nc r="D139" t="inlineStr">
      <is>
        <t>PSW</t>
      </is>
    </nc>
  </rcc>
  <rcc rId="2798" sId="2">
    <oc r="D140" t="inlineStr">
      <is>
        <t>ASW</t>
      </is>
    </oc>
    <nc r="D140" t="inlineStr">
      <is>
        <t>PSW</t>
      </is>
    </nc>
  </rcc>
  <rcc rId="2799" sId="2">
    <oc r="D141" t="inlineStr">
      <is>
        <t>ASW</t>
      </is>
    </oc>
    <nc r="D141" t="inlineStr">
      <is>
        <t>PSW</t>
      </is>
    </nc>
  </rcc>
  <rcc rId="2800" sId="2">
    <oc r="D142" t="inlineStr">
      <is>
        <t>ASW</t>
      </is>
    </oc>
    <nc r="D142" t="inlineStr">
      <is>
        <t>PSW</t>
      </is>
    </nc>
  </rcc>
  <rcc rId="2801" sId="2">
    <oc r="D143" t="inlineStr">
      <is>
        <t>ASW</t>
      </is>
    </oc>
    <nc r="D143" t="inlineStr">
      <is>
        <t>PSW</t>
      </is>
    </nc>
  </rcc>
  <rcc rId="2802" sId="2">
    <oc r="D144" t="inlineStr">
      <is>
        <t>ASW</t>
      </is>
    </oc>
    <nc r="D144" t="inlineStr">
      <is>
        <t>PSW</t>
      </is>
    </nc>
  </rcc>
  <rcc rId="2803" sId="2">
    <oc r="D145" t="inlineStr">
      <is>
        <t>ASW</t>
      </is>
    </oc>
    <nc r="D145" t="inlineStr">
      <is>
        <t>PSW</t>
      </is>
    </nc>
  </rcc>
  <rcc rId="2804" sId="2">
    <nc r="C117">
      <v>20200511</v>
    </nc>
  </rcc>
  <rcc rId="2805" sId="2">
    <nc r="C118">
      <v>20200511</v>
    </nc>
  </rcc>
  <rcc rId="2806" sId="2">
    <nc r="C119">
      <v>20200511</v>
    </nc>
  </rcc>
  <rcc rId="2807" sId="2">
    <nc r="C120">
      <v>20200511</v>
    </nc>
  </rcc>
  <rcc rId="2808" sId="2">
    <nc r="C121">
      <v>20200511</v>
    </nc>
  </rcc>
  <rcc rId="2809" sId="2">
    <nc r="C122">
      <v>20200511</v>
    </nc>
  </rcc>
  <rcc rId="2810" sId="2">
    <nc r="C123">
      <v>20200511</v>
    </nc>
  </rcc>
  <rcc rId="2811" sId="2">
    <nc r="C124">
      <v>20200511</v>
    </nc>
  </rcc>
  <rcc rId="2812" sId="2">
    <nc r="C125">
      <v>20200511</v>
    </nc>
  </rcc>
  <rcc rId="2813" sId="2">
    <nc r="C126">
      <v>20200511</v>
    </nc>
  </rcc>
  <rcc rId="2814" sId="2">
    <nc r="C127">
      <v>20200511</v>
    </nc>
  </rcc>
  <rcc rId="2815" sId="2">
    <nc r="C128">
      <v>20200511</v>
    </nc>
  </rcc>
  <rcc rId="2816" sId="2">
    <nc r="C129">
      <v>20200511</v>
    </nc>
  </rcc>
  <rcc rId="2817" sId="2">
    <nc r="C130">
      <v>20200511</v>
    </nc>
  </rcc>
  <rcc rId="2818" sId="2">
    <nc r="C131">
      <v>20200511</v>
    </nc>
  </rcc>
  <rcc rId="2819" sId="2">
    <nc r="C132">
      <v>20200511</v>
    </nc>
  </rcc>
  <rcc rId="2820" sId="2">
    <nc r="C133">
      <v>20200511</v>
    </nc>
  </rcc>
  <rcc rId="2821" sId="2">
    <nc r="C134">
      <v>20200511</v>
    </nc>
  </rcc>
  <rcc rId="2822" sId="2">
    <nc r="C135">
      <v>20200511</v>
    </nc>
  </rcc>
  <rcc rId="2823" sId="2">
    <nc r="C136">
      <v>20200511</v>
    </nc>
  </rcc>
  <rcc rId="2824" sId="2">
    <nc r="C137">
      <v>20200511</v>
    </nc>
  </rcc>
  <rcc rId="2825" sId="2">
    <nc r="C138">
      <v>20200511</v>
    </nc>
  </rcc>
  <rcc rId="2826" sId="2">
    <nc r="C139">
      <v>20200511</v>
    </nc>
  </rcc>
  <rcc rId="2827" sId="2">
    <nc r="C140">
      <v>20200511</v>
    </nc>
  </rcc>
  <rcc rId="2828" sId="2">
    <nc r="C141">
      <v>20200511</v>
    </nc>
  </rcc>
  <rcc rId="2829" sId="2">
    <nc r="C142">
      <v>20200511</v>
    </nc>
  </rcc>
  <rcc rId="2830" sId="2">
    <nc r="C143">
      <v>20200511</v>
    </nc>
  </rcc>
  <rcc rId="2831" sId="2">
    <nc r="C144">
      <v>20200511</v>
    </nc>
  </rcc>
  <rcc rId="2832" sId="2">
    <nc r="C145">
      <v>20200511</v>
    </nc>
  </rcc>
  <rfmt sheetId="2" sqref="B117:B145">
    <dxf>
      <fill>
        <patternFill patternType="solid">
          <bgColor rgb="FF92D050"/>
        </patternFill>
      </fill>
    </dxf>
  </rfmt>
  <rcc rId="2833" sId="2">
    <nc r="B117">
      <f>B116+1</f>
    </nc>
  </rcc>
  <rcc rId="2834" sId="2">
    <nc r="B118">
      <f>B117+1</f>
    </nc>
  </rcc>
  <rcc rId="2835" sId="2">
    <nc r="B119">
      <f>B118+1</f>
    </nc>
  </rcc>
  <rcc rId="2836" sId="2">
    <nc r="B120">
      <f>B119+1</f>
    </nc>
  </rcc>
  <rcc rId="2837" sId="2">
    <nc r="B121">
      <f>B120+1</f>
    </nc>
  </rcc>
  <rcc rId="2838" sId="2">
    <nc r="B122">
      <f>B121+1</f>
    </nc>
  </rcc>
  <rcc rId="2839" sId="2">
    <nc r="B123">
      <f>B122+1</f>
    </nc>
  </rcc>
  <rcc rId="2840" sId="2">
    <nc r="B124">
      <f>B123+1</f>
    </nc>
  </rcc>
  <rcc rId="2841" sId="2">
    <nc r="B125">
      <f>B124+1</f>
    </nc>
  </rcc>
  <rcc rId="2842" sId="2">
    <nc r="B126">
      <f>B125+1</f>
    </nc>
  </rcc>
  <rcc rId="2843" sId="2">
    <nc r="B127">
      <f>B126+1</f>
    </nc>
  </rcc>
  <rcc rId="2844" sId="2">
    <nc r="B128">
      <f>B127+1</f>
    </nc>
  </rcc>
  <rcc rId="2845" sId="2">
    <nc r="B129">
      <f>B128+1</f>
    </nc>
  </rcc>
  <rcc rId="2846" sId="2">
    <nc r="B130">
      <f>B129+1</f>
    </nc>
  </rcc>
  <rcc rId="2847" sId="2">
    <nc r="B131">
      <f>B130+1</f>
    </nc>
  </rcc>
  <rcc rId="2848" sId="2">
    <nc r="B132">
      <f>B131+1</f>
    </nc>
  </rcc>
  <rcc rId="2849" sId="2">
    <nc r="B133">
      <f>B132+1</f>
    </nc>
  </rcc>
  <rcc rId="2850" sId="2">
    <nc r="B134">
      <f>B133+1</f>
    </nc>
  </rcc>
  <rcc rId="2851" sId="2">
    <nc r="B135">
      <f>B134+1</f>
    </nc>
  </rcc>
  <rcc rId="2852" sId="2">
    <nc r="B136">
      <f>B135+1</f>
    </nc>
  </rcc>
  <rcc rId="2853" sId="2">
    <nc r="B137">
      <f>B136+1</f>
    </nc>
  </rcc>
  <rcc rId="2854" sId="2">
    <nc r="B138">
      <f>B137+1</f>
    </nc>
  </rcc>
  <rcc rId="2855" sId="2">
    <nc r="B139">
      <f>B138+1</f>
    </nc>
  </rcc>
  <rcc rId="2856" sId="2">
    <nc r="B140">
      <f>B139+1</f>
    </nc>
  </rcc>
  <rcc rId="2857" sId="2">
    <nc r="B141">
      <f>B140+1</f>
    </nc>
  </rcc>
  <rcc rId="2858" sId="2">
    <nc r="B142">
      <f>B141+1</f>
    </nc>
  </rcc>
  <rcc rId="2859" sId="2">
    <nc r="B143">
      <f>B142+1</f>
    </nc>
  </rcc>
  <rcc rId="2860" sId="2">
    <nc r="B144">
      <f>B143+1</f>
    </nc>
  </rcc>
  <rcc rId="2861" sId="2">
    <nc r="B145">
      <f>B144+1</f>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4" sId="2">
    <nc r="E117" t="inlineStr">
      <is>
        <t>HONDA_CMP_BL11sp02_snapshot05</t>
      </is>
    </nc>
  </rcc>
  <rcc rId="2865" sId="2">
    <nc r="E118" t="inlineStr">
      <is>
        <t>HONDA_CMP_BL11sp02_snapshot05</t>
      </is>
    </nc>
  </rcc>
  <rcc rId="2866" sId="2">
    <nc r="E119" t="inlineStr">
      <is>
        <t>HONDA_CMP_BL11sp02_snapshot05</t>
      </is>
    </nc>
  </rcc>
  <rcc rId="2867" sId="2">
    <nc r="E120" t="inlineStr">
      <is>
        <t>HONDA_CMP_BL11sp02_snapshot05</t>
      </is>
    </nc>
  </rcc>
  <rcc rId="2868" sId="2">
    <nc r="E121" t="inlineStr">
      <is>
        <t>HONDA_CMP_BL11sp02_snapshot05</t>
      </is>
    </nc>
  </rcc>
  <rcc rId="2869" sId="2">
    <nc r="E122" t="inlineStr">
      <is>
        <t>HONDA_CMP_BL11sp02_snapshot05</t>
      </is>
    </nc>
  </rcc>
  <rcc rId="2870" sId="2">
    <nc r="E123" t="inlineStr">
      <is>
        <t>HONDA_CMP_BL11sp02_snapshot05</t>
      </is>
    </nc>
  </rcc>
  <rcc rId="2871" sId="2">
    <nc r="E124" t="inlineStr">
      <is>
        <t>HONDA_CMP_BL11sp02_snapshot05</t>
      </is>
    </nc>
  </rcc>
  <rcc rId="2872" sId="2">
    <nc r="E125" t="inlineStr">
      <is>
        <t>HONDA_CMP_BL11sp02_snapshot05</t>
      </is>
    </nc>
  </rcc>
  <rcc rId="2873" sId="2">
    <nc r="E126" t="inlineStr">
      <is>
        <t>HONDA_CMP_BL11sp02_snapshot05</t>
      </is>
    </nc>
  </rcc>
  <rcc rId="2874" sId="2">
    <nc r="E127" t="inlineStr">
      <is>
        <t>HONDA_CMP_BL11sp02_snapshot05</t>
      </is>
    </nc>
  </rcc>
  <rcc rId="2875" sId="2">
    <nc r="E128" t="inlineStr">
      <is>
        <t>HONDA_CMP_BL11sp02_snapshot05</t>
      </is>
    </nc>
  </rcc>
  <rcc rId="2876" sId="2">
    <nc r="E129" t="inlineStr">
      <is>
        <t>HONDA_CMP_BL11sp02_snapshot05</t>
      </is>
    </nc>
  </rcc>
  <rcc rId="2877" sId="2">
    <nc r="E130" t="inlineStr">
      <is>
        <t>HONDA_CMP_BL11sp02_snapshot05</t>
      </is>
    </nc>
  </rcc>
  <rcc rId="2878" sId="2">
    <nc r="E131" t="inlineStr">
      <is>
        <t>HONDA_CMP_BL11sp02_snapshot05</t>
      </is>
    </nc>
  </rcc>
  <rcc rId="2879" sId="2">
    <nc r="E132" t="inlineStr">
      <is>
        <t>HONDA_CMP_BL11sp02_snapshot05</t>
      </is>
    </nc>
  </rcc>
  <rcc rId="2880" sId="2">
    <nc r="E133" t="inlineStr">
      <is>
        <t>HONDA_CMP_BL11sp02_snapshot05</t>
      </is>
    </nc>
  </rcc>
  <rcc rId="2881" sId="2">
    <nc r="E134" t="inlineStr">
      <is>
        <t>HONDA_CMP_BL11sp02_snapshot05</t>
      </is>
    </nc>
  </rcc>
  <rcc rId="2882" sId="2">
    <nc r="E135" t="inlineStr">
      <is>
        <t>HONDA_CMP_BL11sp02_snapshot05</t>
      </is>
    </nc>
  </rcc>
  <rcc rId="2883" sId="2">
    <nc r="E136" t="inlineStr">
      <is>
        <t>HONDA_CMP_BL11sp02_snapshot05</t>
      </is>
    </nc>
  </rcc>
  <rcc rId="2884" sId="2">
    <nc r="E137" t="inlineStr">
      <is>
        <t>HONDA_CMP_BL11sp02_snapshot05</t>
      </is>
    </nc>
  </rcc>
  <rcc rId="2885" sId="2">
    <nc r="E138" t="inlineStr">
      <is>
        <t>HONDA_CMP_BL11sp02_snapshot05</t>
      </is>
    </nc>
  </rcc>
  <rcc rId="2886" sId="2">
    <nc r="E139" t="inlineStr">
      <is>
        <t>HONDA_CMP_BL11sp02_snapshot05</t>
      </is>
    </nc>
  </rcc>
  <rcc rId="2887" sId="2">
    <nc r="E140" t="inlineStr">
      <is>
        <t>HONDA_CMP_BL11sp02_snapshot05</t>
      </is>
    </nc>
  </rcc>
  <rcc rId="2888" sId="2">
    <nc r="E141" t="inlineStr">
      <is>
        <t>HONDA_CMP_BL11sp02_snapshot05</t>
      </is>
    </nc>
  </rcc>
  <rcc rId="2889" sId="2">
    <nc r="E142" t="inlineStr">
      <is>
        <t>HONDA_CMP_BL11sp02_snapshot05</t>
      </is>
    </nc>
  </rcc>
  <rcc rId="2890" sId="2">
    <nc r="E143" t="inlineStr">
      <is>
        <t>HONDA_CMP_BL11sp02_snapshot05</t>
      </is>
    </nc>
  </rcc>
  <rcc rId="2891" sId="2">
    <nc r="E144" t="inlineStr">
      <is>
        <t>HONDA_CMP_BL11sp02_snapshot05</t>
      </is>
    </nc>
  </rcc>
  <rcc rId="2892" sId="2">
    <nc r="E145" t="inlineStr">
      <is>
        <t>HONDA_CMP_BL11sp02_snapshot05</t>
      </is>
    </nc>
  </rcc>
  <rcc rId="2893" sId="2" quotePrefix="1">
    <nc r="F117" t="inlineStr">
      <is>
        <t>rb.as.core.app.asw.alc.alc5ms20ms</t>
      </is>
    </nc>
  </rcc>
  <rcc rId="2894" sId="2" quotePrefix="1">
    <nc r="F118" t="inlineStr">
      <is>
        <t>rb.as.core.app.asw.ldm.lfc</t>
      </is>
    </nc>
  </rcc>
  <rcc rId="2895" sId="2" quotePrefix="1">
    <nc r="F119" t="inlineStr">
      <is>
        <t>rb.as.core.app.asw.ldm.lfc</t>
      </is>
    </nc>
  </rcc>
  <rcc rId="2896" sId="2" quotePrefix="1">
    <nc r="F120" t="inlineStr">
      <is>
        <t>rb.as.core.app.asw.ldm.lfc</t>
      </is>
    </nc>
  </rcc>
  <rcc rId="2897" sId="2" quotePrefix="1">
    <nc r="F121" t="inlineStr">
      <is>
        <t>rb.as.core.app.asw.ldm.lfc</t>
      </is>
    </nc>
  </rcc>
  <rcc rId="2898" sId="2" quotePrefix="1">
    <nc r="F122" t="inlineStr">
      <is>
        <t>rb.as.core.app.asw.ldm.lfc</t>
      </is>
    </nc>
  </rcc>
  <rcc rId="2899" sId="2" quotePrefix="1">
    <nc r="F123" t="inlineStr">
      <is>
        <t>rb.as.core.app.asw.ldm.lfc</t>
      </is>
    </nc>
  </rcc>
  <rcc rId="2900" sId="2" quotePrefix="1">
    <nc r="F124" t="inlineStr">
      <is>
        <t>rb.as.core.app.asw.ldm.lfc</t>
      </is>
    </nc>
  </rcc>
  <rcc rId="2901" sId="2" quotePrefix="1">
    <nc r="F125" t="inlineStr">
      <is>
        <t>rb.as.core.app.asw.ldm.lfc</t>
      </is>
    </nc>
  </rcc>
  <rcc rId="2902" sId="2" quotePrefix="1">
    <nc r="F126" t="inlineStr">
      <is>
        <t>rb.as.core.app.asw.ldm.lfc</t>
      </is>
    </nc>
  </rcc>
  <rcc rId="2903" sId="2" quotePrefix="1">
    <nc r="F127" t="inlineStr">
      <is>
        <t>rb.as.core.hwp.cubas.ComServices</t>
      </is>
    </nc>
  </rcc>
  <rcc rId="2904" sId="2" quotePrefix="1">
    <nc r="F128" t="inlineStr">
      <is>
        <t>rb.as.core.hwp.hsw.rbaplplant</t>
      </is>
    </nc>
  </rcc>
  <rcc rId="2905" sId="2" quotePrefix="1">
    <nc r="F129" t="inlineStr">
      <is>
        <t>rb.as.core.hwp.hsw.rbaplplant</t>
      </is>
    </nc>
  </rcc>
  <rcc rId="2906" sId="2" quotePrefix="1">
    <nc r="F130" t="inlineStr">
      <is>
        <t>rb.as.honda.cmp.app.net</t>
      </is>
    </nc>
  </rcc>
  <rcc rId="2907" sId="2" quotePrefix="1">
    <nc r="F131" t="inlineStr">
      <is>
        <t>rb.as.honda.core.app.net</t>
      </is>
    </nc>
  </rcc>
  <rcc rId="2908" sId="2" quotePrefix="1">
    <nc r="F132" t="inlineStr">
      <is>
        <t>rb.as.honda.esp.tgva.app.dcom</t>
      </is>
    </nc>
  </rcc>
  <rcc rId="2909" sId="2" quotePrefix="1">
    <nc r="F133" t="inlineStr">
      <is>
        <t>rb.as.honda.esp.tgva.app.dcom</t>
      </is>
    </nc>
  </rcc>
  <rcc rId="2910" sId="2" quotePrefix="1">
    <nc r="F134" t="inlineStr">
      <is>
        <t>rb.as.honda.esp.tgva.app.dcom</t>
      </is>
    </nc>
  </rcc>
  <rcc rId="2911" sId="2" quotePrefix="1">
    <nc r="F135" t="inlineStr">
      <is>
        <t>rb.as.honda.esp.tgva.app.dcom</t>
      </is>
    </nc>
  </rcc>
  <rcc rId="2912" sId="2" quotePrefix="1">
    <nc r="F136" t="inlineStr">
      <is>
        <t>rb.as.honda.esp.tgva.app.dcom</t>
      </is>
    </nc>
  </rcc>
  <rcc rId="2913" sId="2" quotePrefix="1">
    <nc r="F137" t="inlineStr">
      <is>
        <t>rb.as.honda.esp.tgva.app.dcom</t>
      </is>
    </nc>
  </rcc>
  <rcc rId="2914" sId="2" quotePrefix="1">
    <nc r="F138" t="inlineStr">
      <is>
        <t>rb.as.honda.esp.tgva.app.dcom</t>
      </is>
    </nc>
  </rcc>
  <rcc rId="2915" sId="2" quotePrefix="1">
    <nc r="F139" t="inlineStr">
      <is>
        <t>rb.as.honda.esp.tgva.app.dcom</t>
      </is>
    </nc>
  </rcc>
  <rcc rId="2916" sId="2" quotePrefix="1">
    <nc r="F140" t="inlineStr">
      <is>
        <t>rb.as.honda.esp.tgva.app.dcom</t>
      </is>
    </nc>
  </rcc>
  <rcc rId="2917" sId="2" quotePrefix="1">
    <nc r="F141" t="inlineStr">
      <is>
        <t>rb.as.honda.esp.tgva.app.dcom</t>
      </is>
    </nc>
  </rcc>
  <rcc rId="2918" sId="2" quotePrefix="1">
    <nc r="F142" t="inlineStr">
      <is>
        <t>rb.as.honda.esp.tgva.app.dcom</t>
      </is>
    </nc>
  </rcc>
  <rcc rId="2919" sId="2" quotePrefix="1">
    <nc r="F143" t="inlineStr">
      <is>
        <t>rb.as.honda.esp.tgva.app.dcom</t>
      </is>
    </nc>
  </rcc>
  <rcc rId="2920" sId="2" quotePrefix="1">
    <nc r="F144" t="inlineStr">
      <is>
        <t>rb.as.honda.esp.tgva.app.dcom</t>
      </is>
    </nc>
  </rcc>
  <rcc rId="2921" sId="2" quotePrefix="1">
    <nc r="F145" t="inlineStr">
      <is>
        <t>rb.as.joem.honda</t>
      </is>
    </nc>
  </rcc>
  <rcc rId="2922" sId="2" odxf="1" dxf="1" quotePrefix="1">
    <nc r="G117" t="inlineStr">
      <is>
        <t>-</t>
      </is>
    </nc>
    <odxf>
      <fill>
        <patternFill patternType="none">
          <bgColor indexed="65"/>
        </patternFill>
      </fill>
    </odxf>
    <ndxf>
      <fill>
        <patternFill patternType="solid">
          <bgColor theme="0" tint="-0.499984740745262"/>
        </patternFill>
      </fill>
    </ndxf>
  </rcc>
  <rcc rId="2923" sId="2" odxf="1" dxf="1" quotePrefix="1">
    <nc r="G118" t="inlineStr">
      <is>
        <t>-</t>
      </is>
    </nc>
    <odxf>
      <fill>
        <patternFill patternType="none">
          <bgColor indexed="65"/>
        </patternFill>
      </fill>
    </odxf>
    <ndxf>
      <fill>
        <patternFill patternType="solid">
          <bgColor theme="0" tint="-0.499984740745262"/>
        </patternFill>
      </fill>
    </ndxf>
  </rcc>
  <rcc rId="2924" sId="2" odxf="1" dxf="1" quotePrefix="1">
    <nc r="G119" t="inlineStr">
      <is>
        <t>-</t>
      </is>
    </nc>
    <odxf>
      <fill>
        <patternFill patternType="none">
          <bgColor indexed="65"/>
        </patternFill>
      </fill>
    </odxf>
    <ndxf>
      <fill>
        <patternFill patternType="solid">
          <bgColor theme="0" tint="-0.499984740745262"/>
        </patternFill>
      </fill>
    </ndxf>
  </rcc>
  <rcc rId="2925" sId="2" odxf="1" dxf="1" quotePrefix="1">
    <nc r="G120" t="inlineStr">
      <is>
        <t>-</t>
      </is>
    </nc>
    <odxf>
      <fill>
        <patternFill patternType="none">
          <bgColor indexed="65"/>
        </patternFill>
      </fill>
    </odxf>
    <ndxf>
      <fill>
        <patternFill patternType="solid">
          <bgColor theme="0" tint="-0.499984740745262"/>
        </patternFill>
      </fill>
    </ndxf>
  </rcc>
  <rcc rId="2926" sId="2" odxf="1" dxf="1" quotePrefix="1">
    <nc r="G121" t="inlineStr">
      <is>
        <t>-</t>
      </is>
    </nc>
    <odxf>
      <fill>
        <patternFill patternType="none">
          <bgColor indexed="65"/>
        </patternFill>
      </fill>
    </odxf>
    <ndxf>
      <fill>
        <patternFill patternType="solid">
          <bgColor theme="0" tint="-0.499984740745262"/>
        </patternFill>
      </fill>
    </ndxf>
  </rcc>
  <rcc rId="2927" sId="2" odxf="1" dxf="1" quotePrefix="1">
    <nc r="G122" t="inlineStr">
      <is>
        <t>-</t>
      </is>
    </nc>
    <odxf>
      <fill>
        <patternFill patternType="none">
          <bgColor indexed="65"/>
        </patternFill>
      </fill>
    </odxf>
    <ndxf>
      <fill>
        <patternFill patternType="solid">
          <bgColor theme="0" tint="-0.499984740745262"/>
        </patternFill>
      </fill>
    </ndxf>
  </rcc>
  <rcc rId="2928" sId="2" odxf="1" dxf="1" quotePrefix="1">
    <nc r="G123" t="inlineStr">
      <is>
        <t>-</t>
      </is>
    </nc>
    <odxf>
      <fill>
        <patternFill patternType="none">
          <bgColor indexed="65"/>
        </patternFill>
      </fill>
    </odxf>
    <ndxf>
      <fill>
        <patternFill patternType="solid">
          <bgColor theme="0" tint="-0.499984740745262"/>
        </patternFill>
      </fill>
    </ndxf>
  </rcc>
  <rcc rId="2929" sId="2" odxf="1" dxf="1" quotePrefix="1">
    <nc r="G124" t="inlineStr">
      <is>
        <t>-</t>
      </is>
    </nc>
    <odxf>
      <fill>
        <patternFill patternType="none">
          <bgColor indexed="65"/>
        </patternFill>
      </fill>
    </odxf>
    <ndxf>
      <fill>
        <patternFill patternType="solid">
          <bgColor theme="0" tint="-0.499984740745262"/>
        </patternFill>
      </fill>
    </ndxf>
  </rcc>
  <rcc rId="2930" sId="2" odxf="1" dxf="1" quotePrefix="1">
    <nc r="G125" t="inlineStr">
      <is>
        <t>-</t>
      </is>
    </nc>
    <odxf>
      <fill>
        <patternFill patternType="none">
          <bgColor indexed="65"/>
        </patternFill>
      </fill>
    </odxf>
    <ndxf>
      <fill>
        <patternFill patternType="solid">
          <bgColor theme="0" tint="-0.499984740745262"/>
        </patternFill>
      </fill>
    </ndxf>
  </rcc>
  <rcc rId="2931" sId="2" odxf="1" dxf="1" quotePrefix="1">
    <nc r="G126" t="inlineStr">
      <is>
        <t>-</t>
      </is>
    </nc>
    <odxf>
      <fill>
        <patternFill patternType="none">
          <bgColor indexed="65"/>
        </patternFill>
      </fill>
    </odxf>
    <ndxf>
      <fill>
        <patternFill patternType="solid">
          <bgColor theme="0" tint="-0.499984740745262"/>
        </patternFill>
      </fill>
    </ndxf>
  </rcc>
  <rcc rId="2932" sId="2" odxf="1" dxf="1" quotePrefix="1">
    <nc r="G127" t="inlineStr">
      <is>
        <t>-</t>
      </is>
    </nc>
    <odxf>
      <fill>
        <patternFill patternType="none">
          <bgColor indexed="65"/>
        </patternFill>
      </fill>
    </odxf>
    <ndxf>
      <fill>
        <patternFill patternType="solid">
          <bgColor theme="0" tint="-0.499984740745262"/>
        </patternFill>
      </fill>
    </ndxf>
  </rcc>
  <rcc rId="2933" sId="2" odxf="1" dxf="1" quotePrefix="1">
    <nc r="G128" t="inlineStr">
      <is>
        <t>-</t>
      </is>
    </nc>
    <odxf>
      <fill>
        <patternFill patternType="none">
          <bgColor indexed="65"/>
        </patternFill>
      </fill>
    </odxf>
    <ndxf>
      <fill>
        <patternFill patternType="solid">
          <bgColor theme="0" tint="-0.499984740745262"/>
        </patternFill>
      </fill>
    </ndxf>
  </rcc>
  <rcc rId="2934" sId="2" odxf="1" dxf="1" quotePrefix="1">
    <nc r="G129" t="inlineStr">
      <is>
        <t>-</t>
      </is>
    </nc>
    <odxf>
      <fill>
        <patternFill patternType="none">
          <bgColor indexed="65"/>
        </patternFill>
      </fill>
    </odxf>
    <ndxf>
      <fill>
        <patternFill patternType="solid">
          <bgColor theme="0" tint="-0.499984740745262"/>
        </patternFill>
      </fill>
    </ndxf>
  </rcc>
  <rcc rId="2935" sId="2" odxf="1" dxf="1" quotePrefix="1">
    <nc r="G130" t="inlineStr">
      <is>
        <t>-</t>
      </is>
    </nc>
    <odxf>
      <fill>
        <patternFill patternType="none">
          <bgColor indexed="65"/>
        </patternFill>
      </fill>
    </odxf>
    <ndxf>
      <fill>
        <patternFill patternType="solid">
          <bgColor theme="0" tint="-0.499984740745262"/>
        </patternFill>
      </fill>
    </ndxf>
  </rcc>
  <rcc rId="2936" sId="2" odxf="1" dxf="1" quotePrefix="1">
    <nc r="G131" t="inlineStr">
      <is>
        <t>-</t>
      </is>
    </nc>
    <odxf>
      <fill>
        <patternFill patternType="none">
          <bgColor indexed="65"/>
        </patternFill>
      </fill>
    </odxf>
    <ndxf>
      <fill>
        <patternFill patternType="solid">
          <bgColor theme="0" tint="-0.499984740745262"/>
        </patternFill>
      </fill>
    </ndxf>
  </rcc>
  <rcc rId="2937" sId="2" odxf="1" dxf="1" quotePrefix="1">
    <nc r="G132" t="inlineStr">
      <is>
        <t>-</t>
      </is>
    </nc>
    <odxf>
      <fill>
        <patternFill patternType="none">
          <bgColor indexed="65"/>
        </patternFill>
      </fill>
    </odxf>
    <ndxf>
      <fill>
        <patternFill patternType="solid">
          <bgColor theme="0" tint="-0.499984740745262"/>
        </patternFill>
      </fill>
    </ndxf>
  </rcc>
  <rcc rId="2938" sId="2" odxf="1" dxf="1" quotePrefix="1">
    <nc r="G133" t="inlineStr">
      <is>
        <t>-</t>
      </is>
    </nc>
    <odxf>
      <fill>
        <patternFill patternType="none">
          <bgColor indexed="65"/>
        </patternFill>
      </fill>
    </odxf>
    <ndxf>
      <fill>
        <patternFill patternType="solid">
          <bgColor theme="0" tint="-0.499984740745262"/>
        </patternFill>
      </fill>
    </ndxf>
  </rcc>
  <rcc rId="2939" sId="2" odxf="1" dxf="1" quotePrefix="1">
    <nc r="G134" t="inlineStr">
      <is>
        <t>-</t>
      </is>
    </nc>
    <odxf>
      <fill>
        <patternFill patternType="none">
          <bgColor indexed="65"/>
        </patternFill>
      </fill>
    </odxf>
    <ndxf>
      <fill>
        <patternFill patternType="solid">
          <bgColor theme="0" tint="-0.499984740745262"/>
        </patternFill>
      </fill>
    </ndxf>
  </rcc>
  <rcc rId="2940" sId="2" odxf="1" dxf="1" quotePrefix="1">
    <nc r="G135" t="inlineStr">
      <is>
        <t>-</t>
      </is>
    </nc>
    <odxf>
      <fill>
        <patternFill patternType="none">
          <bgColor indexed="65"/>
        </patternFill>
      </fill>
    </odxf>
    <ndxf>
      <fill>
        <patternFill patternType="solid">
          <bgColor theme="0" tint="-0.499984740745262"/>
        </patternFill>
      </fill>
    </ndxf>
  </rcc>
  <rcc rId="2941" sId="2" odxf="1" dxf="1" quotePrefix="1">
    <nc r="G136" t="inlineStr">
      <is>
        <t>-</t>
      </is>
    </nc>
    <odxf>
      <fill>
        <patternFill patternType="none">
          <bgColor indexed="65"/>
        </patternFill>
      </fill>
    </odxf>
    <ndxf>
      <fill>
        <patternFill patternType="solid">
          <bgColor theme="0" tint="-0.499984740745262"/>
        </patternFill>
      </fill>
    </ndxf>
  </rcc>
  <rcc rId="2942" sId="2" odxf="1" dxf="1" quotePrefix="1">
    <nc r="G137" t="inlineStr">
      <is>
        <t>-</t>
      </is>
    </nc>
    <odxf>
      <fill>
        <patternFill patternType="none">
          <bgColor indexed="65"/>
        </patternFill>
      </fill>
    </odxf>
    <ndxf>
      <fill>
        <patternFill patternType="solid">
          <bgColor theme="0" tint="-0.499984740745262"/>
        </patternFill>
      </fill>
    </ndxf>
  </rcc>
  <rcc rId="2943" sId="2" odxf="1" dxf="1" quotePrefix="1">
    <nc r="G138" t="inlineStr">
      <is>
        <t>-</t>
      </is>
    </nc>
    <odxf>
      <fill>
        <patternFill patternType="none">
          <bgColor indexed="65"/>
        </patternFill>
      </fill>
    </odxf>
    <ndxf>
      <fill>
        <patternFill patternType="solid">
          <bgColor theme="0" tint="-0.499984740745262"/>
        </patternFill>
      </fill>
    </ndxf>
  </rcc>
  <rcc rId="2944" sId="2" odxf="1" dxf="1" quotePrefix="1">
    <nc r="G139" t="inlineStr">
      <is>
        <t>-</t>
      </is>
    </nc>
    <odxf>
      <fill>
        <patternFill patternType="none">
          <bgColor indexed="65"/>
        </patternFill>
      </fill>
    </odxf>
    <ndxf>
      <fill>
        <patternFill patternType="solid">
          <bgColor theme="0" tint="-0.499984740745262"/>
        </patternFill>
      </fill>
    </ndxf>
  </rcc>
  <rcc rId="2945" sId="2" odxf="1" dxf="1" quotePrefix="1">
    <nc r="G140" t="inlineStr">
      <is>
        <t>-</t>
      </is>
    </nc>
    <odxf>
      <fill>
        <patternFill patternType="none">
          <bgColor indexed="65"/>
        </patternFill>
      </fill>
    </odxf>
    <ndxf>
      <fill>
        <patternFill patternType="solid">
          <bgColor theme="0" tint="-0.499984740745262"/>
        </patternFill>
      </fill>
    </ndxf>
  </rcc>
  <rcc rId="2946" sId="2" odxf="1" dxf="1" quotePrefix="1">
    <nc r="G141" t="inlineStr">
      <is>
        <t>-</t>
      </is>
    </nc>
    <odxf>
      <fill>
        <patternFill patternType="none">
          <bgColor indexed="65"/>
        </patternFill>
      </fill>
    </odxf>
    <ndxf>
      <fill>
        <patternFill patternType="solid">
          <bgColor theme="0" tint="-0.499984740745262"/>
        </patternFill>
      </fill>
    </ndxf>
  </rcc>
  <rcc rId="2947" sId="2" odxf="1" dxf="1" quotePrefix="1">
    <nc r="G142" t="inlineStr">
      <is>
        <t>-</t>
      </is>
    </nc>
    <odxf>
      <fill>
        <patternFill patternType="none">
          <bgColor indexed="65"/>
        </patternFill>
      </fill>
    </odxf>
    <ndxf>
      <fill>
        <patternFill patternType="solid">
          <bgColor theme="0" tint="-0.499984740745262"/>
        </patternFill>
      </fill>
    </ndxf>
  </rcc>
  <rcc rId="2948" sId="2" odxf="1" dxf="1" quotePrefix="1">
    <nc r="G143" t="inlineStr">
      <is>
        <t>-</t>
      </is>
    </nc>
    <odxf>
      <fill>
        <patternFill patternType="none">
          <bgColor indexed="65"/>
        </patternFill>
      </fill>
    </odxf>
    <ndxf>
      <fill>
        <patternFill patternType="solid">
          <bgColor theme="0" tint="-0.499984740745262"/>
        </patternFill>
      </fill>
    </ndxf>
  </rcc>
  <rcc rId="2949" sId="2" odxf="1" dxf="1" quotePrefix="1">
    <nc r="G144" t="inlineStr">
      <is>
        <t>-</t>
      </is>
    </nc>
    <odxf>
      <fill>
        <patternFill patternType="none">
          <bgColor indexed="65"/>
        </patternFill>
      </fill>
    </odxf>
    <ndxf>
      <fill>
        <patternFill patternType="solid">
          <bgColor theme="0" tint="-0.499984740745262"/>
        </patternFill>
      </fill>
    </ndxf>
  </rcc>
  <rcc rId="2950" sId="2" odxf="1" dxf="1" quotePrefix="1">
    <nc r="G145" t="inlineStr">
      <is>
        <t>-</t>
      </is>
    </nc>
    <odxf>
      <fill>
        <patternFill patternType="none">
          <bgColor indexed="65"/>
        </patternFill>
      </fill>
    </odxf>
    <ndxf>
      <fill>
        <patternFill patternType="solid">
          <bgColor theme="0" tint="-0.499984740745262"/>
        </patternFill>
      </fill>
    </ndxf>
  </rcc>
  <rcc rId="2951" sId="2">
    <nc r="H117" t="inlineStr">
      <is>
        <t>MT_223</t>
      </is>
    </nc>
  </rcc>
  <rcc rId="2952" sId="2">
    <nc r="H118" t="inlineStr">
      <is>
        <t>MT_225</t>
      </is>
    </nc>
  </rcc>
  <rcc rId="2953" sId="2">
    <nc r="H119" t="inlineStr">
      <is>
        <t>MT_200</t>
      </is>
    </nc>
  </rcc>
  <rcc rId="2954" sId="2">
    <nc r="H120" t="inlineStr">
      <is>
        <t>MT_201</t>
      </is>
    </nc>
  </rcc>
  <rcc rId="2955" sId="2">
    <nc r="H121" t="inlineStr">
      <is>
        <t>MT_202</t>
      </is>
    </nc>
  </rcc>
  <rcc rId="2956" sId="2">
    <nc r="H122" t="inlineStr">
      <is>
        <t>MT_203</t>
      </is>
    </nc>
  </rcc>
  <rcc rId="2957" sId="2">
    <nc r="H123" t="inlineStr">
      <is>
        <t>MT_204</t>
      </is>
    </nc>
  </rcc>
  <rcc rId="2958" sId="2">
    <nc r="H124" t="inlineStr">
      <is>
        <t>MT_205</t>
      </is>
    </nc>
  </rcc>
  <rcc rId="2959" sId="2">
    <nc r="H125" t="inlineStr">
      <is>
        <t>MT_206</t>
      </is>
    </nc>
  </rcc>
  <rcc rId="2960" sId="2">
    <nc r="H126" t="inlineStr">
      <is>
        <t>MT_207</t>
      </is>
    </nc>
  </rcc>
  <rcc rId="2961" sId="2">
    <nc r="H127" t="inlineStr">
      <is>
        <t>MT_004</t>
      </is>
    </nc>
  </rcc>
  <rcc rId="2962" sId="2">
    <nc r="H128" t="inlineStr">
      <is>
        <t>MT_009</t>
      </is>
    </nc>
  </rcc>
  <rcc rId="2963" sId="2">
    <nc r="H129" t="inlineStr">
      <is>
        <t>MT_012</t>
      </is>
    </nc>
  </rcc>
  <rcc rId="2964" sId="2">
    <nc r="H130" t="inlineStr">
      <is>
        <t>MT_028</t>
      </is>
    </nc>
  </rcc>
  <rcc rId="2965" sId="2">
    <nc r="H131" t="inlineStr">
      <is>
        <t>MT_054</t>
      </is>
    </nc>
  </rcc>
  <rcc rId="2966" sId="2">
    <nc r="H132" t="inlineStr">
      <is>
        <t>MT_081</t>
      </is>
    </nc>
  </rcc>
  <rcc rId="2967" sId="2">
    <nc r="H133" t="inlineStr">
      <is>
        <t>MT_083</t>
      </is>
    </nc>
  </rcc>
  <rcc rId="2968" sId="2">
    <nc r="H134" t="inlineStr">
      <is>
        <t>MT_085</t>
      </is>
    </nc>
  </rcc>
  <rcc rId="2969" sId="2">
    <nc r="H135" t="inlineStr">
      <is>
        <t>MT_086</t>
      </is>
    </nc>
  </rcc>
  <rcc rId="2970" sId="2">
    <nc r="H136" t="inlineStr">
      <is>
        <t>MT_087</t>
      </is>
    </nc>
  </rcc>
  <rcc rId="2971" sId="2">
    <nc r="H137" t="inlineStr">
      <is>
        <t>MT_088</t>
      </is>
    </nc>
  </rcc>
  <rcc rId="2972" sId="2">
    <nc r="H138" t="inlineStr">
      <is>
        <t>MT_090</t>
      </is>
    </nc>
  </rcc>
  <rcc rId="2973" sId="2">
    <nc r="H139" t="inlineStr">
      <is>
        <t>MT_095</t>
      </is>
    </nc>
  </rcc>
  <rcc rId="2974" sId="2">
    <nc r="H140" t="inlineStr">
      <is>
        <t>MT_096</t>
      </is>
    </nc>
  </rcc>
  <rcc rId="2975" sId="2">
    <nc r="H141" t="inlineStr">
      <is>
        <t>MT_097</t>
      </is>
    </nc>
  </rcc>
  <rcc rId="2976" sId="2">
    <nc r="H142" t="inlineStr">
      <is>
        <t>MT_099</t>
      </is>
    </nc>
  </rcc>
  <rcc rId="2977" sId="2">
    <nc r="H143" t="inlineStr">
      <is>
        <t>MT_108</t>
      </is>
    </nc>
  </rcc>
  <rcc rId="2978" sId="2">
    <nc r="H144" t="inlineStr">
      <is>
        <t>MT_112</t>
      </is>
    </nc>
  </rcc>
  <rcc rId="2979" sId="2">
    <nc r="H145" t="inlineStr">
      <is>
        <t>MT_125</t>
      </is>
    </nc>
  </rcc>
  <rcc rId="2980" sId="2">
    <nc r="Y117">
      <v>0.59</v>
    </nc>
  </rcc>
  <rcc rId="2981" sId="2">
    <nc r="Y118">
      <v>0.17</v>
    </nc>
  </rcc>
  <rcc rId="2982" sId="2">
    <nc r="Y119">
      <v>0.23</v>
    </nc>
  </rcc>
  <rcc rId="2983" sId="2">
    <nc r="Y120">
      <v>0.6</v>
    </nc>
  </rcc>
  <rcc rId="2984" sId="2">
    <nc r="Y121">
      <v>0.17</v>
    </nc>
  </rcc>
  <rcc rId="2985" sId="2">
    <nc r="Y122">
      <v>2.65</v>
    </nc>
  </rcc>
  <rcc rId="2986" sId="2">
    <nc r="Y123">
      <v>0.17</v>
    </nc>
  </rcc>
  <rcc rId="2987" sId="2">
    <nc r="Y124">
      <v>0.17</v>
    </nc>
  </rcc>
  <rcc rId="2988" sId="2">
    <nc r="Y125">
      <v>0.35</v>
    </nc>
  </rcc>
  <rcc rId="2989" sId="2">
    <nc r="Y126">
      <v>1</v>
    </nc>
  </rcc>
  <rcc rId="2990" sId="2">
    <nc r="Y127">
      <v>0.5</v>
    </nc>
  </rcc>
  <rcc rId="2991" sId="2">
    <nc r="Y128">
      <v>0.3</v>
    </nc>
  </rcc>
  <rcc rId="2992" sId="2">
    <nc r="Y129">
      <v>0.15</v>
    </nc>
  </rcc>
  <rcc rId="2993" sId="2">
    <nc r="Y130">
      <v>0.15</v>
    </nc>
  </rcc>
  <rcc rId="2994" sId="2">
    <nc r="Y131">
      <v>1.35</v>
    </nc>
  </rcc>
  <rcc rId="2995" sId="2">
    <nc r="Y132">
      <v>1.6</v>
    </nc>
  </rcc>
  <rcc rId="2996" sId="2">
    <nc r="Y133">
      <v>0.8</v>
    </nc>
  </rcc>
  <rcc rId="2997" sId="2">
    <nc r="Y134">
      <v>0.8</v>
    </nc>
  </rcc>
  <rcc rId="2998" sId="2">
    <nc r="Y135">
      <v>0.25</v>
    </nc>
  </rcc>
  <rcc rId="2999" sId="2">
    <nc r="Y136">
      <v>0.48</v>
    </nc>
  </rcc>
  <rcc rId="3000" sId="2">
    <nc r="Y137">
      <v>0.2</v>
    </nc>
  </rcc>
  <rcc rId="3001" sId="2">
    <nc r="Y138">
      <v>0.15</v>
    </nc>
  </rcc>
  <rcc rId="3002" sId="2">
    <nc r="Y139">
      <v>0.57999999999999996</v>
    </nc>
  </rcc>
  <rcc rId="3003" sId="2">
    <nc r="Y140">
      <v>0.25</v>
    </nc>
  </rcc>
  <rcc rId="3004" sId="2">
    <nc r="Y141">
      <v>0.15</v>
    </nc>
  </rcc>
  <rcc rId="3005" sId="2">
    <nc r="Y142">
      <v>0.16</v>
    </nc>
  </rcc>
  <rcc rId="3006" sId="2">
    <nc r="Y143">
      <v>1.35</v>
    </nc>
  </rcc>
  <rcc rId="3007" sId="2">
    <nc r="Y144">
      <v>0.55000000000000004</v>
    </nc>
  </rcc>
  <rcc rId="3008" sId="2">
    <nc r="Y145">
      <v>0.15</v>
    </nc>
  </rcc>
  <rcc rId="3009" sId="2">
    <nc r="W117">
      <f>ROUND(IF(D117=Table!$C$3,Y117*Table!$C$4/8,Y117*Table!$D$4/8),3)</f>
    </nc>
  </rcc>
  <rcc rId="3010" sId="2">
    <nc r="W118">
      <f>ROUND(IF(D118=Table!$C$3,Y118*Table!$C$4/8,Y118*Table!$D$4/8),3)</f>
    </nc>
  </rcc>
  <rcc rId="3011" sId="2">
    <nc r="W119">
      <f>ROUND(IF(D119=Table!$C$3,Y119*Table!$C$4/8,Y119*Table!$D$4/8),3)</f>
    </nc>
  </rcc>
  <rcc rId="3012" sId="2">
    <nc r="W120">
      <f>ROUND(IF(D120=Table!$C$3,Y120*Table!$C$4/8,Y120*Table!$D$4/8),3)</f>
    </nc>
  </rcc>
  <rcc rId="3013" sId="2">
    <nc r="W121">
      <f>ROUND(IF(D121=Table!$C$3,Y121*Table!$C$4/8,Y121*Table!$D$4/8),3)</f>
    </nc>
  </rcc>
  <rcc rId="3014" sId="2">
    <nc r="W122">
      <f>ROUND(IF(D122=Table!$C$3,Y122*Table!$C$4/8,Y122*Table!$D$4/8),3)</f>
    </nc>
  </rcc>
  <rcc rId="3015" sId="2">
    <nc r="W123">
      <f>ROUND(IF(D123=Table!$C$3,Y123*Table!$C$4/8,Y123*Table!$D$4/8),3)</f>
    </nc>
  </rcc>
  <rcc rId="3016" sId="2">
    <nc r="W124">
      <f>ROUND(IF(D124=Table!$C$3,Y124*Table!$C$4/8,Y124*Table!$D$4/8),3)</f>
    </nc>
  </rcc>
  <rcc rId="3017" sId="2">
    <nc r="W125">
      <f>ROUND(IF(D125=Table!$C$3,Y125*Table!$C$4/8,Y125*Table!$D$4/8),3)</f>
    </nc>
  </rcc>
  <rcc rId="3018" sId="2">
    <nc r="W126">
      <f>ROUND(IF(D126=Table!$C$3,Y126*Table!$C$4/8,Y126*Table!$D$4/8),3)</f>
    </nc>
  </rcc>
  <rcc rId="3019" sId="2">
    <nc r="W127">
      <f>ROUND(IF(D127=Table!$C$3,Y127*Table!$C$4/8,Y127*Table!$D$4/8),3)</f>
    </nc>
  </rcc>
  <rcc rId="3020" sId="2">
    <nc r="W128">
      <f>ROUND(IF(D128=Table!$C$3,Y128*Table!$C$4/8,Y128*Table!$D$4/8),3)</f>
    </nc>
  </rcc>
  <rcc rId="3021" sId="2">
    <nc r="W129">
      <f>ROUND(IF(D129=Table!$C$3,Y129*Table!$C$4/8,Y129*Table!$D$4/8),3)</f>
    </nc>
  </rcc>
  <rcc rId="3022" sId="2">
    <nc r="W130">
      <f>ROUND(IF(D130=Table!$C$3,Y130*Table!$C$4/8,Y130*Table!$D$4/8),3)</f>
    </nc>
  </rcc>
  <rcc rId="3023" sId="2">
    <nc r="W131">
      <f>ROUND(IF(D131=Table!$C$3,Y131*Table!$C$4/8,Y131*Table!$D$4/8),3)</f>
    </nc>
  </rcc>
  <rcc rId="3024" sId="2">
    <nc r="W132">
      <f>ROUND(IF(D132=Table!$C$3,Y132*Table!$C$4/8,Y132*Table!$D$4/8),3)</f>
    </nc>
  </rcc>
  <rcc rId="3025" sId="2">
    <nc r="W133">
      <f>ROUND(IF(D133=Table!$C$3,Y133*Table!$C$4/8,Y133*Table!$D$4/8),3)</f>
    </nc>
  </rcc>
  <rcc rId="3026" sId="2">
    <nc r="W134">
      <f>ROUND(IF(D134=Table!$C$3,Y134*Table!$C$4/8,Y134*Table!$D$4/8),3)</f>
    </nc>
  </rcc>
  <rcc rId="3027" sId="2">
    <nc r="W135">
      <f>ROUND(IF(D135=Table!$C$3,Y135*Table!$C$4/8,Y135*Table!$D$4/8),3)</f>
    </nc>
  </rcc>
  <rcc rId="3028" sId="2">
    <nc r="W136">
      <f>ROUND(IF(D136=Table!$C$3,Y136*Table!$C$4/8,Y136*Table!$D$4/8),3)</f>
    </nc>
  </rcc>
  <rcc rId="3029" sId="2">
    <nc r="W137">
      <f>ROUND(IF(D137=Table!$C$3,Y137*Table!$C$4/8,Y137*Table!$D$4/8),3)</f>
    </nc>
  </rcc>
  <rcc rId="3030" sId="2">
    <nc r="W138">
      <f>ROUND(IF(D138=Table!$C$3,Y138*Table!$C$4/8,Y138*Table!$D$4/8),3)</f>
    </nc>
  </rcc>
  <rcc rId="3031" sId="2">
    <nc r="W139">
      <f>ROUND(IF(D139=Table!$C$3,Y139*Table!$C$4/8,Y139*Table!$D$4/8),3)</f>
    </nc>
  </rcc>
  <rcc rId="3032" sId="2">
    <nc r="W140">
      <f>ROUND(IF(D140=Table!$C$3,Y140*Table!$C$4/8,Y140*Table!$D$4/8),3)</f>
    </nc>
  </rcc>
  <rcc rId="3033" sId="2">
    <nc r="W141">
      <f>ROUND(IF(D141=Table!$C$3,Y141*Table!$C$4/8,Y141*Table!$D$4/8),3)</f>
    </nc>
  </rcc>
  <rcc rId="3034" sId="2">
    <nc r="W142">
      <f>ROUND(IF(D142=Table!$C$3,Y142*Table!$C$4/8,Y142*Table!$D$4/8),3)</f>
    </nc>
  </rcc>
  <rcc rId="3035" sId="2">
    <nc r="W143">
      <f>ROUND(IF(D143=Table!$C$3,Y143*Table!$C$4/8,Y143*Table!$D$4/8),3)</f>
    </nc>
  </rcc>
  <rcc rId="3036" sId="2">
    <nc r="W144">
      <f>ROUND(IF(D144=Table!$C$3,Y144*Table!$C$4/8,Y144*Table!$D$4/8),3)</f>
    </nc>
  </rcc>
  <rcc rId="3037" sId="2">
    <nc r="W145">
      <f>ROUND(IF(D145=Table!$C$3,Y145*Table!$C$4/8,Y145*Table!$D$4/8),3)</f>
    </nc>
  </rcc>
  <rcc rId="3038" sId="2" quotePrefix="1">
    <nc r="O127" t="inlineStr">
      <is>
        <t>-</t>
      </is>
    </nc>
  </rcc>
  <rcc rId="3039" sId="2" quotePrefix="1">
    <nc r="O128" t="inlineStr">
      <is>
        <t>-</t>
      </is>
    </nc>
  </rcc>
  <rcc rId="3040" sId="2" quotePrefix="1">
    <nc r="O129" t="inlineStr">
      <is>
        <t>-</t>
      </is>
    </nc>
  </rcc>
  <rcc rId="3041" sId="2" quotePrefix="1">
    <nc r="O130" t="inlineStr">
      <is>
        <t>-</t>
      </is>
    </nc>
  </rcc>
  <rcc rId="3042" sId="2" quotePrefix="1">
    <nc r="O131" t="inlineStr">
      <is>
        <t>-</t>
      </is>
    </nc>
  </rcc>
  <rcc rId="3043" sId="2" quotePrefix="1">
    <nc r="O132" t="inlineStr">
      <is>
        <t>-</t>
      </is>
    </nc>
  </rcc>
  <rcc rId="3044" sId="2" quotePrefix="1">
    <nc r="O133" t="inlineStr">
      <is>
        <t>-</t>
      </is>
    </nc>
  </rcc>
  <rcc rId="3045" sId="2" quotePrefix="1">
    <nc r="O134" t="inlineStr">
      <is>
        <t>-</t>
      </is>
    </nc>
  </rcc>
  <rcc rId="3046" sId="2" quotePrefix="1">
    <nc r="O135" t="inlineStr">
      <is>
        <t>-</t>
      </is>
    </nc>
  </rcc>
  <rcc rId="3047" sId="2" quotePrefix="1">
    <nc r="O136" t="inlineStr">
      <is>
        <t>-</t>
      </is>
    </nc>
  </rcc>
  <rcc rId="3048" sId="2" quotePrefix="1">
    <nc r="O137" t="inlineStr">
      <is>
        <t>-</t>
      </is>
    </nc>
  </rcc>
  <rcc rId="3049" sId="2" quotePrefix="1">
    <nc r="O138" t="inlineStr">
      <is>
        <t>-</t>
      </is>
    </nc>
  </rcc>
  <rcc rId="3050" sId="2" quotePrefix="1">
    <nc r="O139" t="inlineStr">
      <is>
        <t>-</t>
      </is>
    </nc>
  </rcc>
  <rcc rId="3051" sId="2" quotePrefix="1">
    <nc r="O140" t="inlineStr">
      <is>
        <t>-</t>
      </is>
    </nc>
  </rcc>
  <rcc rId="3052" sId="2" quotePrefix="1">
    <nc r="O141" t="inlineStr">
      <is>
        <t>-</t>
      </is>
    </nc>
  </rcc>
  <rcc rId="3053" sId="2" quotePrefix="1">
    <nc r="O142" t="inlineStr">
      <is>
        <t>-</t>
      </is>
    </nc>
  </rcc>
  <rcc rId="3054" sId="2" quotePrefix="1">
    <nc r="O143" t="inlineStr">
      <is>
        <t>-</t>
      </is>
    </nc>
  </rcc>
  <rcc rId="3055" sId="2" quotePrefix="1">
    <nc r="O144" t="inlineStr">
      <is>
        <t>-</t>
      </is>
    </nc>
  </rcc>
  <rcc rId="3056" sId="2" quotePrefix="1">
    <nc r="O145" t="inlineStr">
      <is>
        <t>-</t>
      </is>
    </nc>
  </rcc>
  <rcc rId="3057" sId="2" odxf="1" dxf="1" quotePrefix="1">
    <nc r="K117" t="inlineStr">
      <is>
        <t>-</t>
      </is>
    </nc>
    <odxf>
      <fill>
        <patternFill patternType="none">
          <bgColor indexed="65"/>
        </patternFill>
      </fill>
    </odxf>
    <ndxf>
      <fill>
        <patternFill patternType="solid">
          <bgColor theme="0" tint="-0.499984740745262"/>
        </patternFill>
      </fill>
    </ndxf>
  </rcc>
  <rcc rId="3058" sId="2" odxf="1" dxf="1" quotePrefix="1">
    <nc r="L117" t="inlineStr">
      <is>
        <t>-</t>
      </is>
    </nc>
    <odxf>
      <fill>
        <patternFill patternType="none">
          <bgColor indexed="65"/>
        </patternFill>
      </fill>
    </odxf>
    <ndxf>
      <fill>
        <patternFill patternType="solid">
          <bgColor theme="0" tint="-0.499984740745262"/>
        </patternFill>
      </fill>
    </ndxf>
  </rcc>
  <rcc rId="3059" sId="2" odxf="1" dxf="1" quotePrefix="1">
    <nc r="M117" t="inlineStr">
      <is>
        <t>-</t>
      </is>
    </nc>
    <odxf>
      <fill>
        <patternFill patternType="none">
          <bgColor indexed="65"/>
        </patternFill>
      </fill>
    </odxf>
    <ndxf>
      <fill>
        <patternFill patternType="solid">
          <bgColor theme="0" tint="-0.499984740745262"/>
        </patternFill>
      </fill>
    </ndxf>
  </rcc>
  <rcc rId="3060" sId="2" odxf="1" dxf="1" quotePrefix="1">
    <nc r="K118" t="inlineStr">
      <is>
        <t>-</t>
      </is>
    </nc>
    <odxf>
      <fill>
        <patternFill patternType="none">
          <bgColor indexed="65"/>
        </patternFill>
      </fill>
    </odxf>
    <ndxf>
      <fill>
        <patternFill patternType="solid">
          <bgColor theme="0" tint="-0.499984740745262"/>
        </patternFill>
      </fill>
    </ndxf>
  </rcc>
  <rcc rId="3061" sId="2" odxf="1" dxf="1" quotePrefix="1">
    <nc r="L118" t="inlineStr">
      <is>
        <t>-</t>
      </is>
    </nc>
    <odxf>
      <fill>
        <patternFill patternType="none">
          <bgColor indexed="65"/>
        </patternFill>
      </fill>
    </odxf>
    <ndxf>
      <fill>
        <patternFill patternType="solid">
          <bgColor theme="0" tint="-0.499984740745262"/>
        </patternFill>
      </fill>
    </ndxf>
  </rcc>
  <rcc rId="3062" sId="2" odxf="1" dxf="1" quotePrefix="1">
    <nc r="M118" t="inlineStr">
      <is>
        <t>-</t>
      </is>
    </nc>
    <odxf>
      <fill>
        <patternFill patternType="none">
          <bgColor indexed="65"/>
        </patternFill>
      </fill>
    </odxf>
    <ndxf>
      <fill>
        <patternFill patternType="solid">
          <bgColor theme="0" tint="-0.499984740745262"/>
        </patternFill>
      </fill>
    </ndxf>
  </rcc>
  <rcc rId="3063" sId="2" odxf="1" dxf="1" quotePrefix="1">
    <nc r="K119" t="inlineStr">
      <is>
        <t>-</t>
      </is>
    </nc>
    <odxf>
      <fill>
        <patternFill patternType="none">
          <bgColor indexed="65"/>
        </patternFill>
      </fill>
    </odxf>
    <ndxf>
      <fill>
        <patternFill patternType="solid">
          <bgColor theme="0" tint="-0.499984740745262"/>
        </patternFill>
      </fill>
    </ndxf>
  </rcc>
  <rcc rId="3064" sId="2" odxf="1" dxf="1" quotePrefix="1">
    <nc r="L119" t="inlineStr">
      <is>
        <t>-</t>
      </is>
    </nc>
    <odxf>
      <fill>
        <patternFill patternType="none">
          <bgColor indexed="65"/>
        </patternFill>
      </fill>
    </odxf>
    <ndxf>
      <fill>
        <patternFill patternType="solid">
          <bgColor theme="0" tint="-0.499984740745262"/>
        </patternFill>
      </fill>
    </ndxf>
  </rcc>
  <rcc rId="3065" sId="2" odxf="1" dxf="1" quotePrefix="1">
    <nc r="M119" t="inlineStr">
      <is>
        <t>-</t>
      </is>
    </nc>
    <odxf>
      <fill>
        <patternFill patternType="none">
          <bgColor indexed="65"/>
        </patternFill>
      </fill>
    </odxf>
    <ndxf>
      <fill>
        <patternFill patternType="solid">
          <bgColor theme="0" tint="-0.499984740745262"/>
        </patternFill>
      </fill>
    </ndxf>
  </rcc>
  <rcc rId="3066" sId="2" odxf="1" dxf="1" quotePrefix="1">
    <nc r="K120" t="inlineStr">
      <is>
        <t>-</t>
      </is>
    </nc>
    <odxf>
      <fill>
        <patternFill patternType="none">
          <bgColor indexed="65"/>
        </patternFill>
      </fill>
    </odxf>
    <ndxf>
      <fill>
        <patternFill patternType="solid">
          <bgColor theme="0" tint="-0.499984740745262"/>
        </patternFill>
      </fill>
    </ndxf>
  </rcc>
  <rcc rId="3067" sId="2" odxf="1" dxf="1" quotePrefix="1">
    <nc r="L120" t="inlineStr">
      <is>
        <t>-</t>
      </is>
    </nc>
    <odxf>
      <fill>
        <patternFill patternType="none">
          <bgColor indexed="65"/>
        </patternFill>
      </fill>
    </odxf>
    <ndxf>
      <fill>
        <patternFill patternType="solid">
          <bgColor theme="0" tint="-0.499984740745262"/>
        </patternFill>
      </fill>
    </ndxf>
  </rcc>
  <rcc rId="3068" sId="2" odxf="1" dxf="1" quotePrefix="1">
    <nc r="M120" t="inlineStr">
      <is>
        <t>-</t>
      </is>
    </nc>
    <odxf>
      <fill>
        <patternFill patternType="none">
          <bgColor indexed="65"/>
        </patternFill>
      </fill>
    </odxf>
    <ndxf>
      <fill>
        <patternFill patternType="solid">
          <bgColor theme="0" tint="-0.499984740745262"/>
        </patternFill>
      </fill>
    </ndxf>
  </rcc>
  <rcc rId="3069" sId="2" odxf="1" dxf="1" quotePrefix="1">
    <nc r="K121" t="inlineStr">
      <is>
        <t>-</t>
      </is>
    </nc>
    <odxf>
      <fill>
        <patternFill patternType="none">
          <bgColor indexed="65"/>
        </patternFill>
      </fill>
    </odxf>
    <ndxf>
      <fill>
        <patternFill patternType="solid">
          <bgColor theme="0" tint="-0.499984740745262"/>
        </patternFill>
      </fill>
    </ndxf>
  </rcc>
  <rcc rId="3070" sId="2" odxf="1" dxf="1" quotePrefix="1">
    <nc r="L121" t="inlineStr">
      <is>
        <t>-</t>
      </is>
    </nc>
    <odxf>
      <fill>
        <patternFill patternType="none">
          <bgColor indexed="65"/>
        </patternFill>
      </fill>
    </odxf>
    <ndxf>
      <fill>
        <patternFill patternType="solid">
          <bgColor theme="0" tint="-0.499984740745262"/>
        </patternFill>
      </fill>
    </ndxf>
  </rcc>
  <rcc rId="3071" sId="2" odxf="1" dxf="1" quotePrefix="1">
    <nc r="M121" t="inlineStr">
      <is>
        <t>-</t>
      </is>
    </nc>
    <odxf>
      <fill>
        <patternFill patternType="none">
          <bgColor indexed="65"/>
        </patternFill>
      </fill>
    </odxf>
    <ndxf>
      <fill>
        <patternFill patternType="solid">
          <bgColor theme="0" tint="-0.499984740745262"/>
        </patternFill>
      </fill>
    </ndxf>
  </rcc>
  <rcc rId="3072" sId="2" odxf="1" dxf="1" quotePrefix="1">
    <nc r="K122" t="inlineStr">
      <is>
        <t>-</t>
      </is>
    </nc>
    <odxf>
      <fill>
        <patternFill patternType="none">
          <bgColor indexed="65"/>
        </patternFill>
      </fill>
    </odxf>
    <ndxf>
      <fill>
        <patternFill patternType="solid">
          <bgColor theme="0" tint="-0.499984740745262"/>
        </patternFill>
      </fill>
    </ndxf>
  </rcc>
  <rcc rId="3073" sId="2" odxf="1" dxf="1" quotePrefix="1">
    <nc r="L122" t="inlineStr">
      <is>
        <t>-</t>
      </is>
    </nc>
    <odxf>
      <fill>
        <patternFill patternType="none">
          <bgColor indexed="65"/>
        </patternFill>
      </fill>
    </odxf>
    <ndxf>
      <fill>
        <patternFill patternType="solid">
          <bgColor theme="0" tint="-0.499984740745262"/>
        </patternFill>
      </fill>
    </ndxf>
  </rcc>
  <rcc rId="3074" sId="2" odxf="1" dxf="1" quotePrefix="1">
    <nc r="M122" t="inlineStr">
      <is>
        <t>-</t>
      </is>
    </nc>
    <odxf>
      <fill>
        <patternFill patternType="none">
          <bgColor indexed="65"/>
        </patternFill>
      </fill>
    </odxf>
    <ndxf>
      <fill>
        <patternFill patternType="solid">
          <bgColor theme="0" tint="-0.499984740745262"/>
        </patternFill>
      </fill>
    </ndxf>
  </rcc>
  <rcc rId="3075" sId="2" odxf="1" dxf="1" quotePrefix="1">
    <nc r="K123" t="inlineStr">
      <is>
        <t>-</t>
      </is>
    </nc>
    <odxf>
      <fill>
        <patternFill patternType="none">
          <bgColor indexed="65"/>
        </patternFill>
      </fill>
    </odxf>
    <ndxf>
      <fill>
        <patternFill patternType="solid">
          <bgColor theme="0" tint="-0.499984740745262"/>
        </patternFill>
      </fill>
    </ndxf>
  </rcc>
  <rcc rId="3076" sId="2" odxf="1" dxf="1" quotePrefix="1">
    <nc r="L123" t="inlineStr">
      <is>
        <t>-</t>
      </is>
    </nc>
    <odxf>
      <fill>
        <patternFill patternType="none">
          <bgColor indexed="65"/>
        </patternFill>
      </fill>
    </odxf>
    <ndxf>
      <fill>
        <patternFill patternType="solid">
          <bgColor theme="0" tint="-0.499984740745262"/>
        </patternFill>
      </fill>
    </ndxf>
  </rcc>
  <rcc rId="3077" sId="2" odxf="1" dxf="1" quotePrefix="1">
    <nc r="M123" t="inlineStr">
      <is>
        <t>-</t>
      </is>
    </nc>
    <odxf>
      <fill>
        <patternFill patternType="none">
          <bgColor indexed="65"/>
        </patternFill>
      </fill>
    </odxf>
    <ndxf>
      <fill>
        <patternFill patternType="solid">
          <bgColor theme="0" tint="-0.499984740745262"/>
        </patternFill>
      </fill>
    </ndxf>
  </rcc>
  <rcc rId="3078" sId="2" odxf="1" dxf="1" quotePrefix="1">
    <nc r="K124" t="inlineStr">
      <is>
        <t>-</t>
      </is>
    </nc>
    <odxf>
      <fill>
        <patternFill patternType="none">
          <bgColor indexed="65"/>
        </patternFill>
      </fill>
    </odxf>
    <ndxf>
      <fill>
        <patternFill patternType="solid">
          <bgColor theme="0" tint="-0.499984740745262"/>
        </patternFill>
      </fill>
    </ndxf>
  </rcc>
  <rcc rId="3079" sId="2" odxf="1" dxf="1" quotePrefix="1">
    <nc r="L124" t="inlineStr">
      <is>
        <t>-</t>
      </is>
    </nc>
    <odxf>
      <fill>
        <patternFill patternType="none">
          <bgColor indexed="65"/>
        </patternFill>
      </fill>
    </odxf>
    <ndxf>
      <fill>
        <patternFill patternType="solid">
          <bgColor theme="0" tint="-0.499984740745262"/>
        </patternFill>
      </fill>
    </ndxf>
  </rcc>
  <rcc rId="3080" sId="2" odxf="1" dxf="1" quotePrefix="1">
    <nc r="M124" t="inlineStr">
      <is>
        <t>-</t>
      </is>
    </nc>
    <odxf>
      <fill>
        <patternFill patternType="none">
          <bgColor indexed="65"/>
        </patternFill>
      </fill>
    </odxf>
    <ndxf>
      <fill>
        <patternFill patternType="solid">
          <bgColor theme="0" tint="-0.499984740745262"/>
        </patternFill>
      </fill>
    </ndxf>
  </rcc>
  <rcc rId="3081" sId="2" odxf="1" dxf="1" quotePrefix="1">
    <nc r="K125" t="inlineStr">
      <is>
        <t>-</t>
      </is>
    </nc>
    <odxf>
      <fill>
        <patternFill patternType="none">
          <bgColor indexed="65"/>
        </patternFill>
      </fill>
    </odxf>
    <ndxf>
      <fill>
        <patternFill patternType="solid">
          <bgColor theme="0" tint="-0.499984740745262"/>
        </patternFill>
      </fill>
    </ndxf>
  </rcc>
  <rcc rId="3082" sId="2" odxf="1" dxf="1" quotePrefix="1">
    <nc r="L125" t="inlineStr">
      <is>
        <t>-</t>
      </is>
    </nc>
    <odxf>
      <fill>
        <patternFill patternType="none">
          <bgColor indexed="65"/>
        </patternFill>
      </fill>
    </odxf>
    <ndxf>
      <fill>
        <patternFill patternType="solid">
          <bgColor theme="0" tint="-0.499984740745262"/>
        </patternFill>
      </fill>
    </ndxf>
  </rcc>
  <rcc rId="3083" sId="2" odxf="1" dxf="1" quotePrefix="1">
    <nc r="M125" t="inlineStr">
      <is>
        <t>-</t>
      </is>
    </nc>
    <odxf>
      <fill>
        <patternFill patternType="none">
          <bgColor indexed="65"/>
        </patternFill>
      </fill>
    </odxf>
    <ndxf>
      <fill>
        <patternFill patternType="solid">
          <bgColor theme="0" tint="-0.499984740745262"/>
        </patternFill>
      </fill>
    </ndxf>
  </rcc>
  <rcc rId="3084" sId="2" odxf="1" dxf="1" quotePrefix="1">
    <nc r="K126" t="inlineStr">
      <is>
        <t>-</t>
      </is>
    </nc>
    <odxf>
      <fill>
        <patternFill patternType="none">
          <bgColor indexed="65"/>
        </patternFill>
      </fill>
    </odxf>
    <ndxf>
      <fill>
        <patternFill patternType="solid">
          <bgColor theme="0" tint="-0.499984740745262"/>
        </patternFill>
      </fill>
    </ndxf>
  </rcc>
  <rcc rId="3085" sId="2" odxf="1" dxf="1" quotePrefix="1">
    <nc r="L126" t="inlineStr">
      <is>
        <t>-</t>
      </is>
    </nc>
    <odxf>
      <fill>
        <patternFill patternType="none">
          <bgColor indexed="65"/>
        </patternFill>
      </fill>
    </odxf>
    <ndxf>
      <fill>
        <patternFill patternType="solid">
          <bgColor theme="0" tint="-0.499984740745262"/>
        </patternFill>
      </fill>
    </ndxf>
  </rcc>
  <rcc rId="3086" sId="2" odxf="1" dxf="1" quotePrefix="1">
    <nc r="M126" t="inlineStr">
      <is>
        <t>-</t>
      </is>
    </nc>
    <odxf>
      <fill>
        <patternFill patternType="none">
          <bgColor indexed="65"/>
        </patternFill>
      </fill>
    </odxf>
    <ndxf>
      <fill>
        <patternFill patternType="solid">
          <bgColor theme="0" tint="-0.499984740745262"/>
        </patternFill>
      </fill>
    </ndxf>
  </rcc>
  <rcc rId="3087" sId="2" odxf="1" dxf="1" quotePrefix="1">
    <nc r="K127" t="inlineStr">
      <is>
        <t>-</t>
      </is>
    </nc>
    <odxf>
      <fill>
        <patternFill patternType="none">
          <bgColor indexed="65"/>
        </patternFill>
      </fill>
    </odxf>
    <ndxf>
      <fill>
        <patternFill patternType="solid">
          <bgColor theme="0" tint="-0.499984740745262"/>
        </patternFill>
      </fill>
    </ndxf>
  </rcc>
  <rcc rId="3088" sId="2" odxf="1" dxf="1" quotePrefix="1">
    <nc r="L127" t="inlineStr">
      <is>
        <t>-</t>
      </is>
    </nc>
    <odxf>
      <fill>
        <patternFill patternType="none">
          <bgColor indexed="65"/>
        </patternFill>
      </fill>
    </odxf>
    <ndxf>
      <fill>
        <patternFill patternType="solid">
          <bgColor theme="0" tint="-0.499984740745262"/>
        </patternFill>
      </fill>
    </ndxf>
  </rcc>
  <rcc rId="3089" sId="2" odxf="1" dxf="1" quotePrefix="1">
    <nc r="M127" t="inlineStr">
      <is>
        <t>-</t>
      </is>
    </nc>
    <odxf>
      <fill>
        <patternFill patternType="none">
          <bgColor indexed="65"/>
        </patternFill>
      </fill>
    </odxf>
    <ndxf>
      <fill>
        <patternFill patternType="solid">
          <bgColor theme="0" tint="-0.499984740745262"/>
        </patternFill>
      </fill>
    </ndxf>
  </rcc>
  <rcc rId="3090" sId="2" odxf="1" dxf="1" quotePrefix="1">
    <nc r="K128" t="inlineStr">
      <is>
        <t>-</t>
      </is>
    </nc>
    <odxf>
      <fill>
        <patternFill patternType="none">
          <bgColor indexed="65"/>
        </patternFill>
      </fill>
    </odxf>
    <ndxf>
      <fill>
        <patternFill patternType="solid">
          <bgColor theme="0" tint="-0.499984740745262"/>
        </patternFill>
      </fill>
    </ndxf>
  </rcc>
  <rcc rId="3091" sId="2" odxf="1" dxf="1" quotePrefix="1">
    <nc r="L128" t="inlineStr">
      <is>
        <t>-</t>
      </is>
    </nc>
    <odxf>
      <fill>
        <patternFill patternType="none">
          <bgColor indexed="65"/>
        </patternFill>
      </fill>
    </odxf>
    <ndxf>
      <fill>
        <patternFill patternType="solid">
          <bgColor theme="0" tint="-0.499984740745262"/>
        </patternFill>
      </fill>
    </ndxf>
  </rcc>
  <rcc rId="3092" sId="2" odxf="1" dxf="1" quotePrefix="1">
    <nc r="M128" t="inlineStr">
      <is>
        <t>-</t>
      </is>
    </nc>
    <odxf>
      <fill>
        <patternFill patternType="none">
          <bgColor indexed="65"/>
        </patternFill>
      </fill>
    </odxf>
    <ndxf>
      <fill>
        <patternFill patternType="solid">
          <bgColor theme="0" tint="-0.499984740745262"/>
        </patternFill>
      </fill>
    </ndxf>
  </rcc>
  <rcc rId="3093" sId="2" odxf="1" dxf="1" quotePrefix="1">
    <nc r="K129" t="inlineStr">
      <is>
        <t>-</t>
      </is>
    </nc>
    <odxf>
      <fill>
        <patternFill patternType="none">
          <bgColor indexed="65"/>
        </patternFill>
      </fill>
    </odxf>
    <ndxf>
      <fill>
        <patternFill patternType="solid">
          <bgColor theme="0" tint="-0.499984740745262"/>
        </patternFill>
      </fill>
    </ndxf>
  </rcc>
  <rcc rId="3094" sId="2" odxf="1" dxf="1" quotePrefix="1">
    <nc r="L129" t="inlineStr">
      <is>
        <t>-</t>
      </is>
    </nc>
    <odxf>
      <fill>
        <patternFill patternType="none">
          <bgColor indexed="65"/>
        </patternFill>
      </fill>
    </odxf>
    <ndxf>
      <fill>
        <patternFill patternType="solid">
          <bgColor theme="0" tint="-0.499984740745262"/>
        </patternFill>
      </fill>
    </ndxf>
  </rcc>
  <rcc rId="3095" sId="2" odxf="1" dxf="1" quotePrefix="1">
    <nc r="M129" t="inlineStr">
      <is>
        <t>-</t>
      </is>
    </nc>
    <odxf>
      <fill>
        <patternFill patternType="none">
          <bgColor indexed="65"/>
        </patternFill>
      </fill>
    </odxf>
    <ndxf>
      <fill>
        <patternFill patternType="solid">
          <bgColor theme="0" tint="-0.499984740745262"/>
        </patternFill>
      </fill>
    </ndxf>
  </rcc>
  <rcc rId="3096" sId="2" odxf="1" dxf="1" quotePrefix="1">
    <nc r="K130" t="inlineStr">
      <is>
        <t>-</t>
      </is>
    </nc>
    <odxf>
      <fill>
        <patternFill patternType="none">
          <bgColor indexed="65"/>
        </patternFill>
      </fill>
    </odxf>
    <ndxf>
      <fill>
        <patternFill patternType="solid">
          <bgColor theme="0" tint="-0.499984740745262"/>
        </patternFill>
      </fill>
    </ndxf>
  </rcc>
  <rcc rId="3097" sId="2" odxf="1" dxf="1" quotePrefix="1">
    <nc r="L130" t="inlineStr">
      <is>
        <t>-</t>
      </is>
    </nc>
    <odxf>
      <fill>
        <patternFill patternType="none">
          <bgColor indexed="65"/>
        </patternFill>
      </fill>
    </odxf>
    <ndxf>
      <fill>
        <patternFill patternType="solid">
          <bgColor theme="0" tint="-0.499984740745262"/>
        </patternFill>
      </fill>
    </ndxf>
  </rcc>
  <rcc rId="3098" sId="2" odxf="1" dxf="1" quotePrefix="1">
    <nc r="M130" t="inlineStr">
      <is>
        <t>-</t>
      </is>
    </nc>
    <odxf>
      <fill>
        <patternFill patternType="none">
          <bgColor indexed="65"/>
        </patternFill>
      </fill>
    </odxf>
    <ndxf>
      <fill>
        <patternFill patternType="solid">
          <bgColor theme="0" tint="-0.499984740745262"/>
        </patternFill>
      </fill>
    </ndxf>
  </rcc>
  <rcc rId="3099" sId="2" odxf="1" dxf="1" quotePrefix="1">
    <nc r="K131" t="inlineStr">
      <is>
        <t>-</t>
      </is>
    </nc>
    <odxf>
      <fill>
        <patternFill patternType="none">
          <bgColor indexed="65"/>
        </patternFill>
      </fill>
    </odxf>
    <ndxf>
      <fill>
        <patternFill patternType="solid">
          <bgColor theme="0" tint="-0.499984740745262"/>
        </patternFill>
      </fill>
    </ndxf>
  </rcc>
  <rcc rId="3100" sId="2" odxf="1" dxf="1" quotePrefix="1">
    <nc r="L131" t="inlineStr">
      <is>
        <t>-</t>
      </is>
    </nc>
    <odxf>
      <fill>
        <patternFill patternType="none">
          <bgColor indexed="65"/>
        </patternFill>
      </fill>
    </odxf>
    <ndxf>
      <fill>
        <patternFill patternType="solid">
          <bgColor theme="0" tint="-0.499984740745262"/>
        </patternFill>
      </fill>
    </ndxf>
  </rcc>
  <rcc rId="3101" sId="2" odxf="1" dxf="1" quotePrefix="1">
    <nc r="M131" t="inlineStr">
      <is>
        <t>-</t>
      </is>
    </nc>
    <odxf>
      <fill>
        <patternFill patternType="none">
          <bgColor indexed="65"/>
        </patternFill>
      </fill>
    </odxf>
    <ndxf>
      <fill>
        <patternFill patternType="solid">
          <bgColor theme="0" tint="-0.499984740745262"/>
        </patternFill>
      </fill>
    </ndxf>
  </rcc>
  <rcc rId="3102" sId="2" odxf="1" dxf="1" quotePrefix="1">
    <nc r="K132" t="inlineStr">
      <is>
        <t>-</t>
      </is>
    </nc>
    <odxf>
      <fill>
        <patternFill patternType="none">
          <bgColor indexed="65"/>
        </patternFill>
      </fill>
    </odxf>
    <ndxf>
      <fill>
        <patternFill patternType="solid">
          <bgColor theme="0" tint="-0.499984740745262"/>
        </patternFill>
      </fill>
    </ndxf>
  </rcc>
  <rcc rId="3103" sId="2" odxf="1" dxf="1" quotePrefix="1">
    <nc r="L132" t="inlineStr">
      <is>
        <t>-</t>
      </is>
    </nc>
    <odxf>
      <fill>
        <patternFill patternType="none">
          <bgColor indexed="65"/>
        </patternFill>
      </fill>
    </odxf>
    <ndxf>
      <fill>
        <patternFill patternType="solid">
          <bgColor theme="0" tint="-0.499984740745262"/>
        </patternFill>
      </fill>
    </ndxf>
  </rcc>
  <rcc rId="3104" sId="2" odxf="1" dxf="1" quotePrefix="1">
    <nc r="M132" t="inlineStr">
      <is>
        <t>-</t>
      </is>
    </nc>
    <odxf>
      <fill>
        <patternFill patternType="none">
          <bgColor indexed="65"/>
        </patternFill>
      </fill>
    </odxf>
    <ndxf>
      <fill>
        <patternFill patternType="solid">
          <bgColor theme="0" tint="-0.499984740745262"/>
        </patternFill>
      </fill>
    </ndxf>
  </rcc>
  <rcc rId="3105" sId="2" odxf="1" dxf="1" quotePrefix="1">
    <nc r="K133" t="inlineStr">
      <is>
        <t>-</t>
      </is>
    </nc>
    <odxf>
      <fill>
        <patternFill patternType="none">
          <bgColor indexed="65"/>
        </patternFill>
      </fill>
    </odxf>
    <ndxf>
      <fill>
        <patternFill patternType="solid">
          <bgColor theme="0" tint="-0.499984740745262"/>
        </patternFill>
      </fill>
    </ndxf>
  </rcc>
  <rcc rId="3106" sId="2" odxf="1" dxf="1" quotePrefix="1">
    <nc r="L133" t="inlineStr">
      <is>
        <t>-</t>
      </is>
    </nc>
    <odxf>
      <fill>
        <patternFill patternType="none">
          <bgColor indexed="65"/>
        </patternFill>
      </fill>
    </odxf>
    <ndxf>
      <fill>
        <patternFill patternType="solid">
          <bgColor theme="0" tint="-0.499984740745262"/>
        </patternFill>
      </fill>
    </ndxf>
  </rcc>
  <rcc rId="3107" sId="2" odxf="1" dxf="1" quotePrefix="1">
    <nc r="M133" t="inlineStr">
      <is>
        <t>-</t>
      </is>
    </nc>
    <odxf>
      <fill>
        <patternFill patternType="none">
          <bgColor indexed="65"/>
        </patternFill>
      </fill>
    </odxf>
    <ndxf>
      <fill>
        <patternFill patternType="solid">
          <bgColor theme="0" tint="-0.499984740745262"/>
        </patternFill>
      </fill>
    </ndxf>
  </rcc>
  <rcc rId="3108" sId="2" odxf="1" dxf="1" quotePrefix="1">
    <nc r="K134" t="inlineStr">
      <is>
        <t>-</t>
      </is>
    </nc>
    <odxf>
      <fill>
        <patternFill patternType="none">
          <bgColor indexed="65"/>
        </patternFill>
      </fill>
    </odxf>
    <ndxf>
      <fill>
        <patternFill patternType="solid">
          <bgColor theme="0" tint="-0.499984740745262"/>
        </patternFill>
      </fill>
    </ndxf>
  </rcc>
  <rcc rId="3109" sId="2" odxf="1" dxf="1" quotePrefix="1">
    <nc r="L134" t="inlineStr">
      <is>
        <t>-</t>
      </is>
    </nc>
    <odxf>
      <fill>
        <patternFill patternType="none">
          <bgColor indexed="65"/>
        </patternFill>
      </fill>
    </odxf>
    <ndxf>
      <fill>
        <patternFill patternType="solid">
          <bgColor theme="0" tint="-0.499984740745262"/>
        </patternFill>
      </fill>
    </ndxf>
  </rcc>
  <rcc rId="3110" sId="2" odxf="1" dxf="1" quotePrefix="1">
    <nc r="M134" t="inlineStr">
      <is>
        <t>-</t>
      </is>
    </nc>
    <odxf>
      <fill>
        <patternFill patternType="none">
          <bgColor indexed="65"/>
        </patternFill>
      </fill>
    </odxf>
    <ndxf>
      <fill>
        <patternFill patternType="solid">
          <bgColor theme="0" tint="-0.499984740745262"/>
        </patternFill>
      </fill>
    </ndxf>
  </rcc>
  <rcc rId="3111" sId="2" odxf="1" dxf="1" quotePrefix="1">
    <nc r="K135" t="inlineStr">
      <is>
        <t>-</t>
      </is>
    </nc>
    <odxf>
      <fill>
        <patternFill patternType="none">
          <bgColor indexed="65"/>
        </patternFill>
      </fill>
    </odxf>
    <ndxf>
      <fill>
        <patternFill patternType="solid">
          <bgColor theme="0" tint="-0.499984740745262"/>
        </patternFill>
      </fill>
    </ndxf>
  </rcc>
  <rcc rId="3112" sId="2" odxf="1" dxf="1" quotePrefix="1">
    <nc r="L135" t="inlineStr">
      <is>
        <t>-</t>
      </is>
    </nc>
    <odxf>
      <fill>
        <patternFill patternType="none">
          <bgColor indexed="65"/>
        </patternFill>
      </fill>
    </odxf>
    <ndxf>
      <fill>
        <patternFill patternType="solid">
          <bgColor theme="0" tint="-0.499984740745262"/>
        </patternFill>
      </fill>
    </ndxf>
  </rcc>
  <rcc rId="3113" sId="2" odxf="1" dxf="1" quotePrefix="1">
    <nc r="M135" t="inlineStr">
      <is>
        <t>-</t>
      </is>
    </nc>
    <odxf>
      <fill>
        <patternFill patternType="none">
          <bgColor indexed="65"/>
        </patternFill>
      </fill>
    </odxf>
    <ndxf>
      <fill>
        <patternFill patternType="solid">
          <bgColor theme="0" tint="-0.499984740745262"/>
        </patternFill>
      </fill>
    </ndxf>
  </rcc>
  <rcc rId="3114" sId="2" odxf="1" dxf="1" quotePrefix="1">
    <nc r="K136" t="inlineStr">
      <is>
        <t>-</t>
      </is>
    </nc>
    <odxf>
      <fill>
        <patternFill patternType="none">
          <bgColor indexed="65"/>
        </patternFill>
      </fill>
    </odxf>
    <ndxf>
      <fill>
        <patternFill patternType="solid">
          <bgColor theme="0" tint="-0.499984740745262"/>
        </patternFill>
      </fill>
    </ndxf>
  </rcc>
  <rcc rId="3115" sId="2" odxf="1" dxf="1" quotePrefix="1">
    <nc r="L136" t="inlineStr">
      <is>
        <t>-</t>
      </is>
    </nc>
    <odxf>
      <fill>
        <patternFill patternType="none">
          <bgColor indexed="65"/>
        </patternFill>
      </fill>
    </odxf>
    <ndxf>
      <fill>
        <patternFill patternType="solid">
          <bgColor theme="0" tint="-0.499984740745262"/>
        </patternFill>
      </fill>
    </ndxf>
  </rcc>
  <rcc rId="3116" sId="2" odxf="1" dxf="1" quotePrefix="1">
    <nc r="M136" t="inlineStr">
      <is>
        <t>-</t>
      </is>
    </nc>
    <odxf>
      <fill>
        <patternFill patternType="none">
          <bgColor indexed="65"/>
        </patternFill>
      </fill>
    </odxf>
    <ndxf>
      <fill>
        <patternFill patternType="solid">
          <bgColor theme="0" tint="-0.499984740745262"/>
        </patternFill>
      </fill>
    </ndxf>
  </rcc>
  <rcc rId="3117" sId="2" odxf="1" dxf="1" quotePrefix="1">
    <nc r="K137" t="inlineStr">
      <is>
        <t>-</t>
      </is>
    </nc>
    <odxf>
      <fill>
        <patternFill patternType="none">
          <bgColor indexed="65"/>
        </patternFill>
      </fill>
    </odxf>
    <ndxf>
      <fill>
        <patternFill patternType="solid">
          <bgColor theme="0" tint="-0.499984740745262"/>
        </patternFill>
      </fill>
    </ndxf>
  </rcc>
  <rcc rId="3118" sId="2" odxf="1" dxf="1" quotePrefix="1">
    <nc r="L137" t="inlineStr">
      <is>
        <t>-</t>
      </is>
    </nc>
    <odxf>
      <fill>
        <patternFill patternType="none">
          <bgColor indexed="65"/>
        </patternFill>
      </fill>
    </odxf>
    <ndxf>
      <fill>
        <patternFill patternType="solid">
          <bgColor theme="0" tint="-0.499984740745262"/>
        </patternFill>
      </fill>
    </ndxf>
  </rcc>
  <rcc rId="3119" sId="2" odxf="1" dxf="1" quotePrefix="1">
    <nc r="M137" t="inlineStr">
      <is>
        <t>-</t>
      </is>
    </nc>
    <odxf>
      <fill>
        <patternFill patternType="none">
          <bgColor indexed="65"/>
        </patternFill>
      </fill>
    </odxf>
    <ndxf>
      <fill>
        <patternFill patternType="solid">
          <bgColor theme="0" tint="-0.499984740745262"/>
        </patternFill>
      </fill>
    </ndxf>
  </rcc>
  <rcc rId="3120" sId="2" odxf="1" dxf="1" quotePrefix="1">
    <nc r="K138" t="inlineStr">
      <is>
        <t>-</t>
      </is>
    </nc>
    <odxf>
      <fill>
        <patternFill patternType="none">
          <bgColor indexed="65"/>
        </patternFill>
      </fill>
    </odxf>
    <ndxf>
      <fill>
        <patternFill patternType="solid">
          <bgColor theme="0" tint="-0.499984740745262"/>
        </patternFill>
      </fill>
    </ndxf>
  </rcc>
  <rcc rId="3121" sId="2" odxf="1" dxf="1" quotePrefix="1">
    <nc r="L138" t="inlineStr">
      <is>
        <t>-</t>
      </is>
    </nc>
    <odxf>
      <fill>
        <patternFill patternType="none">
          <bgColor indexed="65"/>
        </patternFill>
      </fill>
    </odxf>
    <ndxf>
      <fill>
        <patternFill patternType="solid">
          <bgColor theme="0" tint="-0.499984740745262"/>
        </patternFill>
      </fill>
    </ndxf>
  </rcc>
  <rcc rId="3122" sId="2" odxf="1" dxf="1" quotePrefix="1">
    <nc r="M138" t="inlineStr">
      <is>
        <t>-</t>
      </is>
    </nc>
    <odxf>
      <fill>
        <patternFill patternType="none">
          <bgColor indexed="65"/>
        </patternFill>
      </fill>
    </odxf>
    <ndxf>
      <fill>
        <patternFill patternType="solid">
          <bgColor theme="0" tint="-0.499984740745262"/>
        </patternFill>
      </fill>
    </ndxf>
  </rcc>
  <rcc rId="3123" sId="2" odxf="1" dxf="1" quotePrefix="1">
    <nc r="K139" t="inlineStr">
      <is>
        <t>-</t>
      </is>
    </nc>
    <odxf>
      <fill>
        <patternFill patternType="none">
          <bgColor indexed="65"/>
        </patternFill>
      </fill>
    </odxf>
    <ndxf>
      <fill>
        <patternFill patternType="solid">
          <bgColor theme="0" tint="-0.499984740745262"/>
        </patternFill>
      </fill>
    </ndxf>
  </rcc>
  <rcc rId="3124" sId="2" odxf="1" dxf="1" quotePrefix="1">
    <nc r="L139" t="inlineStr">
      <is>
        <t>-</t>
      </is>
    </nc>
    <odxf>
      <fill>
        <patternFill patternType="none">
          <bgColor indexed="65"/>
        </patternFill>
      </fill>
    </odxf>
    <ndxf>
      <fill>
        <patternFill patternType="solid">
          <bgColor theme="0" tint="-0.499984740745262"/>
        </patternFill>
      </fill>
    </ndxf>
  </rcc>
  <rcc rId="3125" sId="2" odxf="1" dxf="1" quotePrefix="1">
    <nc r="M139" t="inlineStr">
      <is>
        <t>-</t>
      </is>
    </nc>
    <odxf>
      <fill>
        <patternFill patternType="none">
          <bgColor indexed="65"/>
        </patternFill>
      </fill>
    </odxf>
    <ndxf>
      <fill>
        <patternFill patternType="solid">
          <bgColor theme="0" tint="-0.499984740745262"/>
        </patternFill>
      </fill>
    </ndxf>
  </rcc>
  <rcc rId="3126" sId="2" odxf="1" dxf="1" quotePrefix="1">
    <nc r="K140" t="inlineStr">
      <is>
        <t>-</t>
      </is>
    </nc>
    <odxf>
      <fill>
        <patternFill patternType="none">
          <bgColor indexed="65"/>
        </patternFill>
      </fill>
    </odxf>
    <ndxf>
      <fill>
        <patternFill patternType="solid">
          <bgColor theme="0" tint="-0.499984740745262"/>
        </patternFill>
      </fill>
    </ndxf>
  </rcc>
  <rcc rId="3127" sId="2" odxf="1" dxf="1" quotePrefix="1">
    <nc r="L140" t="inlineStr">
      <is>
        <t>-</t>
      </is>
    </nc>
    <odxf>
      <fill>
        <patternFill patternType="none">
          <bgColor indexed="65"/>
        </patternFill>
      </fill>
    </odxf>
    <ndxf>
      <fill>
        <patternFill patternType="solid">
          <bgColor theme="0" tint="-0.499984740745262"/>
        </patternFill>
      </fill>
    </ndxf>
  </rcc>
  <rcc rId="3128" sId="2" odxf="1" dxf="1" quotePrefix="1">
    <nc r="M140" t="inlineStr">
      <is>
        <t>-</t>
      </is>
    </nc>
    <odxf>
      <fill>
        <patternFill patternType="none">
          <bgColor indexed="65"/>
        </patternFill>
      </fill>
    </odxf>
    <ndxf>
      <fill>
        <patternFill patternType="solid">
          <bgColor theme="0" tint="-0.499984740745262"/>
        </patternFill>
      </fill>
    </ndxf>
  </rcc>
  <rcc rId="3129" sId="2" odxf="1" dxf="1" quotePrefix="1">
    <nc r="K141" t="inlineStr">
      <is>
        <t>-</t>
      </is>
    </nc>
    <odxf>
      <fill>
        <patternFill patternType="none">
          <bgColor indexed="65"/>
        </patternFill>
      </fill>
    </odxf>
    <ndxf>
      <fill>
        <patternFill patternType="solid">
          <bgColor theme="0" tint="-0.499984740745262"/>
        </patternFill>
      </fill>
    </ndxf>
  </rcc>
  <rcc rId="3130" sId="2" odxf="1" dxf="1" quotePrefix="1">
    <nc r="L141" t="inlineStr">
      <is>
        <t>-</t>
      </is>
    </nc>
    <odxf>
      <fill>
        <patternFill patternType="none">
          <bgColor indexed="65"/>
        </patternFill>
      </fill>
    </odxf>
    <ndxf>
      <fill>
        <patternFill patternType="solid">
          <bgColor theme="0" tint="-0.499984740745262"/>
        </patternFill>
      </fill>
    </ndxf>
  </rcc>
  <rcc rId="3131" sId="2" odxf="1" dxf="1" quotePrefix="1">
    <nc r="M141" t="inlineStr">
      <is>
        <t>-</t>
      </is>
    </nc>
    <odxf>
      <fill>
        <patternFill patternType="none">
          <bgColor indexed="65"/>
        </patternFill>
      </fill>
    </odxf>
    <ndxf>
      <fill>
        <patternFill patternType="solid">
          <bgColor theme="0" tint="-0.499984740745262"/>
        </patternFill>
      </fill>
    </ndxf>
  </rcc>
  <rcc rId="3132" sId="2" odxf="1" dxf="1" quotePrefix="1">
    <nc r="K142" t="inlineStr">
      <is>
        <t>-</t>
      </is>
    </nc>
    <odxf>
      <fill>
        <patternFill patternType="none">
          <bgColor indexed="65"/>
        </patternFill>
      </fill>
    </odxf>
    <ndxf>
      <fill>
        <patternFill patternType="solid">
          <bgColor theme="0" tint="-0.499984740745262"/>
        </patternFill>
      </fill>
    </ndxf>
  </rcc>
  <rcc rId="3133" sId="2" odxf="1" dxf="1" quotePrefix="1">
    <nc r="L142" t="inlineStr">
      <is>
        <t>-</t>
      </is>
    </nc>
    <odxf>
      <fill>
        <patternFill patternType="none">
          <bgColor indexed="65"/>
        </patternFill>
      </fill>
    </odxf>
    <ndxf>
      <fill>
        <patternFill patternType="solid">
          <bgColor theme="0" tint="-0.499984740745262"/>
        </patternFill>
      </fill>
    </ndxf>
  </rcc>
  <rcc rId="3134" sId="2" odxf="1" dxf="1" quotePrefix="1">
    <nc r="M142" t="inlineStr">
      <is>
        <t>-</t>
      </is>
    </nc>
    <odxf>
      <fill>
        <patternFill patternType="none">
          <bgColor indexed="65"/>
        </patternFill>
      </fill>
    </odxf>
    <ndxf>
      <fill>
        <patternFill patternType="solid">
          <bgColor theme="0" tint="-0.499984740745262"/>
        </patternFill>
      </fill>
    </ndxf>
  </rcc>
  <rcc rId="3135" sId="2" odxf="1" dxf="1" quotePrefix="1">
    <nc r="K143" t="inlineStr">
      <is>
        <t>-</t>
      </is>
    </nc>
    <odxf>
      <fill>
        <patternFill patternType="none">
          <bgColor indexed="65"/>
        </patternFill>
      </fill>
    </odxf>
    <ndxf>
      <fill>
        <patternFill patternType="solid">
          <bgColor theme="0" tint="-0.499984740745262"/>
        </patternFill>
      </fill>
    </ndxf>
  </rcc>
  <rcc rId="3136" sId="2" odxf="1" dxf="1" quotePrefix="1">
    <nc r="L143" t="inlineStr">
      <is>
        <t>-</t>
      </is>
    </nc>
    <odxf>
      <fill>
        <patternFill patternType="none">
          <bgColor indexed="65"/>
        </patternFill>
      </fill>
    </odxf>
    <ndxf>
      <fill>
        <patternFill patternType="solid">
          <bgColor theme="0" tint="-0.499984740745262"/>
        </patternFill>
      </fill>
    </ndxf>
  </rcc>
  <rcc rId="3137" sId="2" odxf="1" dxf="1" quotePrefix="1">
    <nc r="M143" t="inlineStr">
      <is>
        <t>-</t>
      </is>
    </nc>
    <odxf>
      <fill>
        <patternFill patternType="none">
          <bgColor indexed="65"/>
        </patternFill>
      </fill>
    </odxf>
    <ndxf>
      <fill>
        <patternFill patternType="solid">
          <bgColor theme="0" tint="-0.499984740745262"/>
        </patternFill>
      </fill>
    </ndxf>
  </rcc>
  <rcc rId="3138" sId="2" odxf="1" dxf="1" quotePrefix="1">
    <nc r="K144" t="inlineStr">
      <is>
        <t>-</t>
      </is>
    </nc>
    <odxf>
      <fill>
        <patternFill patternType="none">
          <bgColor indexed="65"/>
        </patternFill>
      </fill>
    </odxf>
    <ndxf>
      <fill>
        <patternFill patternType="solid">
          <bgColor theme="0" tint="-0.499984740745262"/>
        </patternFill>
      </fill>
    </ndxf>
  </rcc>
  <rcc rId="3139" sId="2" odxf="1" dxf="1" quotePrefix="1">
    <nc r="L144" t="inlineStr">
      <is>
        <t>-</t>
      </is>
    </nc>
    <odxf>
      <fill>
        <patternFill patternType="none">
          <bgColor indexed="65"/>
        </patternFill>
      </fill>
    </odxf>
    <ndxf>
      <fill>
        <patternFill patternType="solid">
          <bgColor theme="0" tint="-0.499984740745262"/>
        </patternFill>
      </fill>
    </ndxf>
  </rcc>
  <rcc rId="3140" sId="2" odxf="1" dxf="1" quotePrefix="1">
    <nc r="M144" t="inlineStr">
      <is>
        <t>-</t>
      </is>
    </nc>
    <odxf>
      <fill>
        <patternFill patternType="none">
          <bgColor indexed="65"/>
        </patternFill>
      </fill>
    </odxf>
    <ndxf>
      <fill>
        <patternFill patternType="solid">
          <bgColor theme="0" tint="-0.499984740745262"/>
        </patternFill>
      </fill>
    </ndxf>
  </rcc>
  <rcc rId="3141" sId="2" odxf="1" dxf="1" quotePrefix="1">
    <nc r="K145" t="inlineStr">
      <is>
        <t>-</t>
      </is>
    </nc>
    <odxf>
      <fill>
        <patternFill patternType="none">
          <bgColor indexed="65"/>
        </patternFill>
      </fill>
    </odxf>
    <ndxf>
      <fill>
        <patternFill patternType="solid">
          <bgColor theme="0" tint="-0.499984740745262"/>
        </patternFill>
      </fill>
    </ndxf>
  </rcc>
  <rcc rId="3142" sId="2" odxf="1" dxf="1" quotePrefix="1">
    <nc r="L145" t="inlineStr">
      <is>
        <t>-</t>
      </is>
    </nc>
    <odxf>
      <fill>
        <patternFill patternType="none">
          <bgColor indexed="65"/>
        </patternFill>
      </fill>
    </odxf>
    <ndxf>
      <fill>
        <patternFill patternType="solid">
          <bgColor theme="0" tint="-0.499984740745262"/>
        </patternFill>
      </fill>
    </ndxf>
  </rcc>
  <rcc rId="3143" sId="2" odxf="1" dxf="1" quotePrefix="1">
    <nc r="M145" t="inlineStr">
      <is>
        <t>-</t>
      </is>
    </nc>
    <odxf>
      <fill>
        <patternFill patternType="none">
          <bgColor indexed="65"/>
        </patternFill>
      </fill>
    </odxf>
    <ndxf>
      <fill>
        <patternFill patternType="solid">
          <bgColor theme="0" tint="-0.499984740745262"/>
        </patternFill>
      </fill>
    </ndxf>
  </rcc>
  <rcc rId="3144" sId="2">
    <nc r="J117" t="inlineStr">
      <is>
        <t>New</t>
      </is>
    </nc>
  </rcc>
  <rcc rId="3145" sId="2">
    <nc r="J118" t="inlineStr">
      <is>
        <t>New</t>
      </is>
    </nc>
  </rcc>
  <rcc rId="3146" sId="2">
    <nc r="J119" t="inlineStr">
      <is>
        <t>New</t>
      </is>
    </nc>
  </rcc>
  <rcc rId="3147" sId="2">
    <nc r="J120" t="inlineStr">
      <is>
        <t>New</t>
      </is>
    </nc>
  </rcc>
  <rcc rId="3148" sId="2">
    <nc r="J121" t="inlineStr">
      <is>
        <t>New</t>
      </is>
    </nc>
  </rcc>
  <rcc rId="3149" sId="2">
    <nc r="J122" t="inlineStr">
      <is>
        <t>New</t>
      </is>
    </nc>
  </rcc>
  <rcc rId="3150" sId="2">
    <nc r="J123" t="inlineStr">
      <is>
        <t>New</t>
      </is>
    </nc>
  </rcc>
  <rcc rId="3151" sId="2">
    <nc r="J124" t="inlineStr">
      <is>
        <t>New</t>
      </is>
    </nc>
  </rcc>
  <rcc rId="3152" sId="2">
    <nc r="J125" t="inlineStr">
      <is>
        <t>New</t>
      </is>
    </nc>
  </rcc>
  <rcc rId="3153" sId="2">
    <nc r="J126" t="inlineStr">
      <is>
        <t>New</t>
      </is>
    </nc>
  </rcc>
  <rcc rId="3154" sId="2">
    <nc r="J127" t="inlineStr">
      <is>
        <t>New</t>
      </is>
    </nc>
  </rcc>
  <rcc rId="3155" sId="2">
    <nc r="J128" t="inlineStr">
      <is>
        <t>New</t>
      </is>
    </nc>
  </rcc>
  <rcc rId="3156" sId="2">
    <nc r="J129" t="inlineStr">
      <is>
        <t>New</t>
      </is>
    </nc>
  </rcc>
  <rcc rId="3157" sId="2">
    <nc r="J130" t="inlineStr">
      <is>
        <t>New</t>
      </is>
    </nc>
  </rcc>
  <rcc rId="3158" sId="2">
    <nc r="J131" t="inlineStr">
      <is>
        <t>New</t>
      </is>
    </nc>
  </rcc>
  <rcc rId="3159" sId="2">
    <nc r="J132" t="inlineStr">
      <is>
        <t>Delta &gt; New</t>
      </is>
    </nc>
  </rcc>
  <rcc rId="3160" sId="2">
    <nc r="J133" t="inlineStr">
      <is>
        <t>Delta &gt; New</t>
      </is>
    </nc>
  </rcc>
  <rcc rId="3161" sId="2">
    <nc r="J134" t="inlineStr">
      <is>
        <t>Delta &gt; New</t>
      </is>
    </nc>
  </rcc>
  <rcc rId="3162" sId="2">
    <nc r="J135" t="inlineStr">
      <is>
        <t>New</t>
      </is>
    </nc>
  </rcc>
  <rcc rId="3163" sId="2">
    <nc r="J136" t="inlineStr">
      <is>
        <t>New</t>
      </is>
    </nc>
  </rcc>
  <rcc rId="3164" sId="2">
    <nc r="J137" t="inlineStr">
      <is>
        <t>New</t>
      </is>
    </nc>
  </rcc>
  <rcc rId="3165" sId="2">
    <nc r="J138" t="inlineStr">
      <is>
        <t>New</t>
      </is>
    </nc>
  </rcc>
  <rcc rId="3166" sId="2">
    <nc r="J139" t="inlineStr">
      <is>
        <t>New</t>
      </is>
    </nc>
  </rcc>
  <rcc rId="3167" sId="2">
    <nc r="J140" t="inlineStr">
      <is>
        <t>New</t>
      </is>
    </nc>
  </rcc>
  <rcc rId="3168" sId="2">
    <nc r="J141" t="inlineStr">
      <is>
        <t>New</t>
      </is>
    </nc>
  </rcc>
  <rcc rId="3169" sId="2">
    <nc r="J142" t="inlineStr">
      <is>
        <t>New</t>
      </is>
    </nc>
  </rcc>
  <rcc rId="3170" sId="2">
    <nc r="J143" t="inlineStr">
      <is>
        <t>Delta &gt; New</t>
      </is>
    </nc>
  </rcc>
  <rcc rId="3171" sId="2">
    <nc r="J144" t="inlineStr">
      <is>
        <t>New</t>
      </is>
    </nc>
  </rcc>
  <rcc rId="3172" sId="2">
    <nc r="J145" t="inlineStr">
      <is>
        <t>Delta/New</t>
      </is>
    </nc>
  </rcc>
  <rcc rId="3173" sId="2" quotePrefix="1">
    <nc r="P117" t="inlineStr">
      <is>
        <t>Contact point: Iwase Megumi (CC-AS/ESJ2-JP) ; EXTERNAL Motoyoshi Kazuyuki (VSN, CC-AS/ESJ2-JP)</t>
      </is>
    </nc>
  </rcc>
  <rcc rId="3174" sId="2" quotePrefix="1">
    <nc r="P118" t="inlineStr">
      <is>
        <t>Contact point: Iwase Megumi (CC-AS/ESJ2-JP) ; EXTERNAL Motoyoshi Kazuyuki (VSN, CC-AS/ESJ2-JP)</t>
      </is>
    </nc>
  </rcc>
  <rcc rId="3175" sId="2" quotePrefix="1">
    <nc r="P119" t="inlineStr">
      <is>
        <t>Contact point: Iwase Megumi (CC-AS/ESJ2-JP) ; EXTERNAL Motoyoshi Kazuyuki (VSN, CC-AS/ESJ2-JP)</t>
      </is>
    </nc>
  </rcc>
  <rcc rId="3176" sId="2" quotePrefix="1">
    <nc r="P120" t="inlineStr">
      <is>
        <t>Contact point: Iwase Megumi (CC-AS/ESJ2-JP) ; EXTERNAL Motoyoshi Kazuyuki (VSN, CC-AS/ESJ2-JP)</t>
      </is>
    </nc>
  </rcc>
  <rcc rId="3177" sId="2" quotePrefix="1">
    <nc r="P121" t="inlineStr">
      <is>
        <t>Contact point: Iwase Megumi (CC-AS/ESJ2-JP) ; EXTERNAL Motoyoshi Kazuyuki (VSN, CC-AS/ESJ2-JP)</t>
      </is>
    </nc>
  </rcc>
  <rcc rId="3178" sId="2" quotePrefix="1">
    <nc r="P122" t="inlineStr">
      <is>
        <t>Contact point: Iwase Megumi (CC-AS/ESJ2-JP) ; EXTERNAL Motoyoshi Kazuyuki (VSN, CC-AS/ESJ2-JP)</t>
      </is>
    </nc>
  </rcc>
  <rcc rId="3179" sId="2" quotePrefix="1">
    <nc r="P123" t="inlineStr">
      <is>
        <t>Contact point: Iwase Megumi (CC-AS/ESJ2-JP) ; EXTERNAL Motoyoshi Kazuyuki (VSN, CC-AS/ESJ2-JP)</t>
      </is>
    </nc>
  </rcc>
  <rcc rId="3180" sId="2" quotePrefix="1">
    <nc r="P124" t="inlineStr">
      <is>
        <t>Contact point: Iwase Megumi (CC-AS/ESJ2-JP) ; EXTERNAL Motoyoshi Kazuyuki (VSN, CC-AS/ESJ2-JP)</t>
      </is>
    </nc>
  </rcc>
  <rcc rId="3181" sId="2" quotePrefix="1">
    <nc r="P125" t="inlineStr">
      <is>
        <t>Contact point: Iwase Megumi (CC-AS/ESJ2-JP) ; EXTERNAL Motoyoshi Kazuyuki (VSN, CC-AS/ESJ2-JP)</t>
      </is>
    </nc>
  </rcc>
  <rcc rId="3182" sId="2" quotePrefix="1">
    <nc r="P126" t="inlineStr">
      <is>
        <t>Contact point: Iwase Megumi (CC-AS/ESJ2-JP) ; EXTERNAL Motoyoshi Kazuyuki (VSN, CC-AS/ESJ2-JP)</t>
      </is>
    </nc>
  </rcc>
  <rcc rId="3183" sId="2" quotePrefix="1">
    <nc r="P127" t="inlineStr">
      <is>
        <t>Contact point: Iwase Megumi (CC-AS/ESJ2-JP) ; EXTERNAL Motoyoshi Kazuyuki (VSN, CC-AS/ESJ2-JP)</t>
      </is>
    </nc>
  </rcc>
  <rcc rId="3184" sId="2" quotePrefix="1">
    <nc r="P128" t="inlineStr">
      <is>
        <t>Contact point: Iwase Megumi (CC-AS/ESJ2-JP) ; EXTERNAL Motoyoshi Kazuyuki (VSN, CC-AS/ESJ2-JP)</t>
      </is>
    </nc>
  </rcc>
  <rcc rId="3185" sId="2" quotePrefix="1">
    <nc r="P129" t="inlineStr">
      <is>
        <t>Contact point: Iwase Megumi (CC-AS/ESJ2-JP) ; EXTERNAL Motoyoshi Kazuyuki (VSN, CC-AS/ESJ2-JP)</t>
      </is>
    </nc>
  </rcc>
  <rcc rId="3186" sId="2" quotePrefix="1">
    <nc r="P130" t="inlineStr">
      <is>
        <t>Contact point: Iwase Megumi (CC-AS/ESJ2-JP) ; EXTERNAL Motoyoshi Kazuyuki (VSN, CC-AS/ESJ2-JP)</t>
      </is>
    </nc>
  </rcc>
  <rcc rId="3187" sId="2" quotePrefix="1">
    <nc r="P131" t="inlineStr">
      <is>
        <t>Contact point: Iwase Megumi (CC-AS/ESJ2-JP) ; EXTERNAL Motoyoshi Kazuyuki (VSN, CC-AS/ESJ2-JP)</t>
      </is>
    </nc>
  </rcc>
  <rcc rId="3188" sId="2" quotePrefix="1">
    <nc r="P132" t="inlineStr">
      <is>
        <t>Contact point: Iwase Megumi (CC-AS/ESJ2-JP) ; EXTERNAL Motoyoshi Kazuyuki (VSN, CC-AS/ESJ2-JP)</t>
      </is>
    </nc>
  </rcc>
  <rcc rId="3189" sId="2" quotePrefix="1">
    <nc r="P133" t="inlineStr">
      <is>
        <t>Contact point: Iwase Megumi (CC-AS/ESJ2-JP) ; EXTERNAL Motoyoshi Kazuyuki (VSN, CC-AS/ESJ2-JP)</t>
      </is>
    </nc>
  </rcc>
  <rcc rId="3190" sId="2" quotePrefix="1">
    <nc r="P134" t="inlineStr">
      <is>
        <t>Contact point: Iwase Megumi (CC-AS/ESJ2-JP) ; EXTERNAL Motoyoshi Kazuyuki (VSN, CC-AS/ESJ2-JP)</t>
      </is>
    </nc>
  </rcc>
  <rcc rId="3191" sId="2" quotePrefix="1">
    <nc r="P135" t="inlineStr">
      <is>
        <t>Contact point: Iwase Megumi (CC-AS/ESJ2-JP) ; EXTERNAL Motoyoshi Kazuyuki (VSN, CC-AS/ESJ2-JP)</t>
      </is>
    </nc>
  </rcc>
  <rcc rId="3192" sId="2" quotePrefix="1">
    <nc r="P136" t="inlineStr">
      <is>
        <t>Contact point: Iwase Megumi (CC-AS/ESJ2-JP) ; EXTERNAL Motoyoshi Kazuyuki (VSN, CC-AS/ESJ2-JP)</t>
      </is>
    </nc>
  </rcc>
  <rcc rId="3193" sId="2" quotePrefix="1">
    <nc r="P137" t="inlineStr">
      <is>
        <t>Contact point: Iwase Megumi (CC-AS/ESJ2-JP) ; EXTERNAL Motoyoshi Kazuyuki (VSN, CC-AS/ESJ2-JP)</t>
      </is>
    </nc>
  </rcc>
  <rcc rId="3194" sId="2" quotePrefix="1">
    <nc r="P138" t="inlineStr">
      <is>
        <t>Contact point: Iwase Megumi (CC-AS/ESJ2-JP) ; EXTERNAL Motoyoshi Kazuyuki (VSN, CC-AS/ESJ2-JP)</t>
      </is>
    </nc>
  </rcc>
  <rcc rId="3195" sId="2" quotePrefix="1">
    <nc r="P139" t="inlineStr">
      <is>
        <t>Contact point: Iwase Megumi (CC-AS/ESJ2-JP) ; EXTERNAL Motoyoshi Kazuyuki (VSN, CC-AS/ESJ2-JP)</t>
      </is>
    </nc>
  </rcc>
  <rcc rId="3196" sId="2" quotePrefix="1">
    <nc r="P140" t="inlineStr">
      <is>
        <t>Contact point: Iwase Megumi (CC-AS/ESJ2-JP) ; EXTERNAL Motoyoshi Kazuyuki (VSN, CC-AS/ESJ2-JP)</t>
      </is>
    </nc>
  </rcc>
  <rcc rId="3197" sId="2" quotePrefix="1">
    <nc r="P141" t="inlineStr">
      <is>
        <t>Contact point: Iwase Megumi (CC-AS/ESJ2-JP) ; EXTERNAL Motoyoshi Kazuyuki (VSN, CC-AS/ESJ2-JP)</t>
      </is>
    </nc>
  </rcc>
  <rcc rId="3198" sId="2" quotePrefix="1">
    <nc r="P142" t="inlineStr">
      <is>
        <t>Contact point: Iwase Megumi (CC-AS/ESJ2-JP) ; EXTERNAL Motoyoshi Kazuyuki (VSN, CC-AS/ESJ2-JP)</t>
      </is>
    </nc>
  </rcc>
  <rcc rId="3199" sId="2" quotePrefix="1">
    <nc r="P143" t="inlineStr">
      <is>
        <t>Contact point: Iwase Megumi (CC-AS/ESJ2-JP) ; EXTERNAL Motoyoshi Kazuyuki (VSN, CC-AS/ESJ2-JP)</t>
      </is>
    </nc>
  </rcc>
  <rcc rId="3200" sId="2" quotePrefix="1">
    <nc r="P144" t="inlineStr">
      <is>
        <t>Contact point: Iwase Megumi (CC-AS/ESJ2-JP) ; EXTERNAL Motoyoshi Kazuyuki (VSN, CC-AS/ESJ2-JP)</t>
      </is>
    </nc>
  </rcc>
  <rcc rId="3201" sId="2" quotePrefix="1">
    <nc r="P145" t="inlineStr">
      <is>
        <t>Contact point: Iwase Megumi (CC-AS/ESJ2-JP) ; EXTERNAL Motoyoshi Kazuyuki (VSN, CC-AS/ESJ2-JP)</t>
      </is>
    </nc>
  </rcc>
  <rcc rId="3202" sId="2">
    <nc r="R117" t="inlineStr">
      <is>
        <t>T5xx</t>
      </is>
    </nc>
  </rcc>
  <rcc rId="3203" sId="2">
    <nc r="R118" t="inlineStr">
      <is>
        <t>T5xx</t>
      </is>
    </nc>
  </rcc>
  <rcc rId="3204" sId="2">
    <nc r="R119" t="inlineStr">
      <is>
        <t>T5xx</t>
      </is>
    </nc>
  </rcc>
  <rcc rId="3205" sId="2">
    <nc r="R120" t="inlineStr">
      <is>
        <t>T5xx</t>
      </is>
    </nc>
  </rcc>
  <rcc rId="3206" sId="2">
    <nc r="R121" t="inlineStr">
      <is>
        <t>T5xx</t>
      </is>
    </nc>
  </rcc>
  <rcc rId="3207" sId="2">
    <nc r="R122" t="inlineStr">
      <is>
        <t>T5xx</t>
      </is>
    </nc>
  </rcc>
  <rcc rId="3208" sId="2">
    <nc r="R123" t="inlineStr">
      <is>
        <t>T5xx</t>
      </is>
    </nc>
  </rcc>
  <rcc rId="3209" sId="2">
    <nc r="R124" t="inlineStr">
      <is>
        <t>T5xx</t>
      </is>
    </nc>
  </rcc>
  <rcc rId="3210" sId="2">
    <nc r="R125" t="inlineStr">
      <is>
        <t>T5xx</t>
      </is>
    </nc>
  </rcc>
  <rcc rId="3211" sId="2">
    <nc r="R126" t="inlineStr">
      <is>
        <t>T5xx</t>
      </is>
    </nc>
  </rcc>
  <rcc rId="3212" sId="2">
    <nc r="R127" t="inlineStr">
      <is>
        <t>T5xx</t>
      </is>
    </nc>
  </rcc>
  <rcc rId="3213" sId="2">
    <nc r="R128" t="inlineStr">
      <is>
        <t>T5xx</t>
      </is>
    </nc>
  </rcc>
  <rcc rId="3214" sId="2">
    <nc r="R129" t="inlineStr">
      <is>
        <t>T5xx</t>
      </is>
    </nc>
  </rcc>
  <rcc rId="3215" sId="2">
    <nc r="R130" t="inlineStr">
      <is>
        <t>T5xx</t>
      </is>
    </nc>
  </rcc>
  <rcc rId="3216" sId="2">
    <nc r="R131" t="inlineStr">
      <is>
        <t>T5xx</t>
      </is>
    </nc>
  </rcc>
  <rcc rId="3217" sId="2">
    <nc r="R132" t="inlineStr">
      <is>
        <t>T5xx</t>
      </is>
    </nc>
  </rcc>
  <rcc rId="3218" sId="2">
    <nc r="R133" t="inlineStr">
      <is>
        <t>T5xx</t>
      </is>
    </nc>
  </rcc>
  <rcc rId="3219" sId="2">
    <nc r="R134" t="inlineStr">
      <is>
        <t>T5xx</t>
      </is>
    </nc>
  </rcc>
  <rcc rId="3220" sId="2">
    <nc r="R135" t="inlineStr">
      <is>
        <t>T5xx</t>
      </is>
    </nc>
  </rcc>
  <rcc rId="3221" sId="2">
    <nc r="R136" t="inlineStr">
      <is>
        <t>T5xx</t>
      </is>
    </nc>
  </rcc>
  <rcc rId="3222" sId="2">
    <nc r="R137" t="inlineStr">
      <is>
        <t>T5xx</t>
      </is>
    </nc>
  </rcc>
  <rcc rId="3223" sId="2">
    <nc r="R138" t="inlineStr">
      <is>
        <t>T5xx</t>
      </is>
    </nc>
  </rcc>
  <rcc rId="3224" sId="2">
    <nc r="R139" t="inlineStr">
      <is>
        <t>T5xx</t>
      </is>
    </nc>
  </rcc>
  <rcc rId="3225" sId="2">
    <nc r="R140" t="inlineStr">
      <is>
        <t>T5xx</t>
      </is>
    </nc>
  </rcc>
  <rcc rId="3226" sId="2">
    <nc r="R141" t="inlineStr">
      <is>
        <t>T5xx</t>
      </is>
    </nc>
  </rcc>
  <rcc rId="3227" sId="2">
    <nc r="R142" t="inlineStr">
      <is>
        <t>T5xx</t>
      </is>
    </nc>
  </rcc>
  <rcc rId="3228" sId="2">
    <nc r="R143" t="inlineStr">
      <is>
        <t>T5xx</t>
      </is>
    </nc>
  </rcc>
  <rcc rId="3229" sId="2">
    <nc r="R144" t="inlineStr">
      <is>
        <t>T5xx</t>
      </is>
    </nc>
  </rcc>
  <rcc rId="3230" sId="2">
    <nc r="R145" t="inlineStr">
      <is>
        <t>T5xx</t>
      </is>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33" sId="2" numFmtId="19">
    <nc r="AC117">
      <v>43962</v>
    </nc>
  </rcc>
  <rcc rId="3234" sId="2" numFmtId="19">
    <nc r="AD117">
      <v>43971</v>
    </nc>
  </rcc>
  <rcc rId="3235" sId="2" numFmtId="19">
    <nc r="AC118">
      <v>43962</v>
    </nc>
  </rcc>
  <rcc rId="3236" sId="2" numFmtId="19">
    <nc r="AD118">
      <v>43971</v>
    </nc>
  </rcc>
  <rcc rId="3237" sId="2" numFmtId="19">
    <nc r="AC119">
      <v>43962</v>
    </nc>
  </rcc>
  <rcc rId="3238" sId="2" numFmtId="19">
    <nc r="AD119">
      <v>43971</v>
    </nc>
  </rcc>
  <rcc rId="3239" sId="2" numFmtId="19">
    <nc r="AC120">
      <v>43962</v>
    </nc>
  </rcc>
  <rcc rId="3240" sId="2" numFmtId="19">
    <nc r="AD120">
      <v>43971</v>
    </nc>
  </rcc>
  <rcc rId="3241" sId="2" numFmtId="19">
    <nc r="AC121">
      <v>43962</v>
    </nc>
  </rcc>
  <rcc rId="3242" sId="2" numFmtId="19">
    <nc r="AD121">
      <v>43971</v>
    </nc>
  </rcc>
  <rcc rId="3243" sId="2" numFmtId="19">
    <nc r="AC122">
      <v>43962</v>
    </nc>
  </rcc>
  <rcc rId="3244" sId="2" numFmtId="19">
    <nc r="AD122">
      <v>43971</v>
    </nc>
  </rcc>
  <rcc rId="3245" sId="2" numFmtId="19">
    <nc r="AC123">
      <v>43962</v>
    </nc>
  </rcc>
  <rcc rId="3246" sId="2" numFmtId="19">
    <nc r="AD123">
      <v>43971</v>
    </nc>
  </rcc>
  <rcc rId="3247" sId="2" numFmtId="19">
    <nc r="AC124">
      <v>43962</v>
    </nc>
  </rcc>
  <rcc rId="3248" sId="2" numFmtId="19">
    <nc r="AD124">
      <v>43971</v>
    </nc>
  </rcc>
  <rcc rId="3249" sId="2" numFmtId="19">
    <nc r="AC125">
      <v>43962</v>
    </nc>
  </rcc>
  <rcc rId="3250" sId="2" numFmtId="19">
    <nc r="AD125">
      <v>43971</v>
    </nc>
  </rcc>
  <rcc rId="3251" sId="2" numFmtId="19">
    <nc r="AC126">
      <v>43962</v>
    </nc>
  </rcc>
  <rcc rId="3252" sId="2" numFmtId="19">
    <nc r="AD126">
      <v>43971</v>
    </nc>
  </rcc>
  <rcc rId="3253" sId="2" numFmtId="19">
    <nc r="AC127">
      <v>43962</v>
    </nc>
  </rcc>
  <rcc rId="3254" sId="2" numFmtId="19">
    <nc r="AD127">
      <v>43971</v>
    </nc>
  </rcc>
  <rcc rId="3255" sId="2" numFmtId="19">
    <nc r="AC128">
      <v>43962</v>
    </nc>
  </rcc>
  <rcc rId="3256" sId="2" numFmtId="19">
    <nc r="AD128">
      <v>43971</v>
    </nc>
  </rcc>
  <rcc rId="3257" sId="2" numFmtId="19">
    <nc r="AC129">
      <v>43962</v>
    </nc>
  </rcc>
  <rcc rId="3258" sId="2" numFmtId="19">
    <nc r="AD129">
      <v>43971</v>
    </nc>
  </rcc>
  <rcc rId="3259" sId="2" numFmtId="19">
    <nc r="AC130">
      <v>43962</v>
    </nc>
  </rcc>
  <rcc rId="3260" sId="2" numFmtId="19">
    <nc r="AD130">
      <v>43971</v>
    </nc>
  </rcc>
  <rcc rId="3261" sId="2" numFmtId="19">
    <nc r="AC131">
      <v>43962</v>
    </nc>
  </rcc>
  <rcc rId="3262" sId="2" numFmtId="19">
    <nc r="AD131">
      <v>43971</v>
    </nc>
  </rcc>
  <rcc rId="3263" sId="2" numFmtId="19">
    <nc r="AC132">
      <v>43962</v>
    </nc>
  </rcc>
  <rcc rId="3264" sId="2" numFmtId="19">
    <nc r="AD132">
      <v>43971</v>
    </nc>
  </rcc>
  <rcc rId="3265" sId="2" numFmtId="19">
    <nc r="AC133">
      <v>43962</v>
    </nc>
  </rcc>
  <rcc rId="3266" sId="2" numFmtId="19">
    <nc r="AD133">
      <v>43971</v>
    </nc>
  </rcc>
  <rcc rId="3267" sId="2" numFmtId="19">
    <nc r="AC134">
      <v>43962</v>
    </nc>
  </rcc>
  <rcc rId="3268" sId="2" numFmtId="19">
    <nc r="AD134">
      <v>43971</v>
    </nc>
  </rcc>
  <rcc rId="3269" sId="2" numFmtId="19">
    <nc r="AC135">
      <v>43962</v>
    </nc>
  </rcc>
  <rcc rId="3270" sId="2" numFmtId="19">
    <nc r="AD135">
      <v>43971</v>
    </nc>
  </rcc>
  <rcc rId="3271" sId="2" numFmtId="19">
    <nc r="AC136">
      <v>43962</v>
    </nc>
  </rcc>
  <rcc rId="3272" sId="2" numFmtId="19">
    <nc r="AD136">
      <v>43971</v>
    </nc>
  </rcc>
  <rcc rId="3273" sId="2" numFmtId="19">
    <nc r="AC137">
      <v>43962</v>
    </nc>
  </rcc>
  <rcc rId="3274" sId="2" numFmtId="19">
    <nc r="AD137">
      <v>43971</v>
    </nc>
  </rcc>
  <rcc rId="3275" sId="2" numFmtId="19">
    <nc r="AC138">
      <v>43962</v>
    </nc>
  </rcc>
  <rcc rId="3276" sId="2" numFmtId="19">
    <nc r="AD138">
      <v>43971</v>
    </nc>
  </rcc>
  <rcc rId="3277" sId="2" numFmtId="19">
    <nc r="AC139">
      <v>43962</v>
    </nc>
  </rcc>
  <rcc rId="3278" sId="2" numFmtId="19">
    <nc r="AD139">
      <v>43971</v>
    </nc>
  </rcc>
  <rcc rId="3279" sId="2" numFmtId="19">
    <nc r="AC140">
      <v>43962</v>
    </nc>
  </rcc>
  <rcc rId="3280" sId="2" numFmtId="19">
    <nc r="AD140">
      <v>43971</v>
    </nc>
  </rcc>
  <rcc rId="3281" sId="2" numFmtId="19">
    <nc r="AC141">
      <v>43962</v>
    </nc>
  </rcc>
  <rcc rId="3282" sId="2" numFmtId="19">
    <nc r="AD141">
      <v>43971</v>
    </nc>
  </rcc>
  <rcc rId="3283" sId="2" numFmtId="19">
    <nc r="AC142">
      <v>43962</v>
    </nc>
  </rcc>
  <rcc rId="3284" sId="2" numFmtId="19">
    <nc r="AD142">
      <v>43971</v>
    </nc>
  </rcc>
  <rcc rId="3285" sId="2" numFmtId="19">
    <nc r="AC143">
      <v>43962</v>
    </nc>
  </rcc>
  <rcc rId="3286" sId="2" numFmtId="19">
    <nc r="AD143">
      <v>43971</v>
    </nc>
  </rcc>
  <rcc rId="3287" sId="2" numFmtId="19">
    <nc r="AC144">
      <v>43962</v>
    </nc>
  </rcc>
  <rcc rId="3288" sId="2" numFmtId="19">
    <nc r="AD144">
      <v>43971</v>
    </nc>
  </rcc>
  <rcc rId="3289" sId="2" numFmtId="19">
    <nc r="AC145">
      <v>43962</v>
    </nc>
  </rcc>
  <rcc rId="3290" sId="2" numFmtId="19">
    <nc r="AD145">
      <v>43971</v>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93" sId="2">
    <nc r="N127" t="inlineStr">
      <is>
        <t>RB_HONDA_ESP</t>
      </is>
    </nc>
  </rcc>
  <rcc rId="3294" sId="2">
    <nc r="N128" t="inlineStr">
      <is>
        <t>RB_HONDA_ESP</t>
      </is>
    </nc>
  </rcc>
  <rcc rId="3295" sId="2">
    <nc r="N129" t="inlineStr">
      <is>
        <t>RB_HONDA_ESP</t>
      </is>
    </nc>
  </rcc>
  <rcc rId="3296" sId="2">
    <nc r="N130" t="inlineStr">
      <is>
        <t>RB_HONDA_ESP</t>
      </is>
    </nc>
  </rcc>
  <rcc rId="3297" sId="2">
    <nc r="N131" t="inlineStr">
      <is>
        <t>RB_HONDA_ESP</t>
      </is>
    </nc>
  </rcc>
  <rcc rId="3298" sId="2">
    <nc r="N132" t="inlineStr">
      <is>
        <t>RB_HONDA_ESP</t>
      </is>
    </nc>
  </rcc>
  <rcc rId="3299" sId="2">
    <nc r="N133" t="inlineStr">
      <is>
        <t>RB_HONDA_ESP</t>
      </is>
    </nc>
  </rcc>
  <rcc rId="3300" sId="2">
    <nc r="N134" t="inlineStr">
      <is>
        <t>RB_HONDA_ESP</t>
      </is>
    </nc>
  </rcc>
  <rcc rId="3301" sId="2">
    <nc r="N135" t="inlineStr">
      <is>
        <t>RB_HONDA_ESP</t>
      </is>
    </nc>
  </rcc>
  <rcc rId="3302" sId="2">
    <nc r="N136" t="inlineStr">
      <is>
        <t>RB_HONDA_ESP</t>
      </is>
    </nc>
  </rcc>
  <rcc rId="3303" sId="2">
    <nc r="N137" t="inlineStr">
      <is>
        <t>RB_HONDA_ESP</t>
      </is>
    </nc>
  </rcc>
  <rcc rId="3304" sId="2">
    <nc r="N138" t="inlineStr">
      <is>
        <t>RB_HONDA_ESP</t>
      </is>
    </nc>
  </rcc>
  <rcc rId="3305" sId="2">
    <nc r="N139" t="inlineStr">
      <is>
        <t>RB_HONDA_ESP</t>
      </is>
    </nc>
  </rcc>
  <rcc rId="3306" sId="2">
    <nc r="N140" t="inlineStr">
      <is>
        <t>RB_HONDA_ESP</t>
      </is>
    </nc>
  </rcc>
  <rcc rId="3307" sId="2">
    <nc r="N141" t="inlineStr">
      <is>
        <t>RB_HONDA_ESP</t>
      </is>
    </nc>
  </rcc>
  <rcc rId="3308" sId="2">
    <nc r="N142" t="inlineStr">
      <is>
        <t>RB_HONDA_ESP</t>
      </is>
    </nc>
  </rcc>
  <rcc rId="3309" sId="2">
    <nc r="N143" t="inlineStr">
      <is>
        <t>RB_HONDA_ESP</t>
      </is>
    </nc>
  </rcc>
  <rcc rId="3310" sId="2">
    <nc r="N144" t="inlineStr">
      <is>
        <t>RB_HONDA_ESP</t>
      </is>
    </nc>
  </rcc>
  <rcc rId="3311" sId="2">
    <nc r="N145" t="inlineStr">
      <is>
        <t>RB_HONDA_ESP</t>
      </is>
    </nc>
  </rcc>
  <rfmt sheetId="2" sqref="N117:N126">
    <dxf>
      <fill>
        <patternFill patternType="solid">
          <bgColor rgb="FF92D050"/>
        </patternFill>
      </fill>
    </dxf>
  </rfmt>
  <rcc rId="3312" sId="2">
    <nc r="N117" t="inlineStr">
      <is>
        <t>WAITING</t>
      </is>
    </nc>
  </rcc>
  <rcc rId="3313" sId="2">
    <nc r="N118" t="inlineStr">
      <is>
        <t>WAITING</t>
      </is>
    </nc>
  </rcc>
  <rcc rId="3314" sId="2">
    <nc r="N119" t="inlineStr">
      <is>
        <t>WAITING</t>
      </is>
    </nc>
  </rcc>
  <rcc rId="3315" sId="2">
    <nc r="N120" t="inlineStr">
      <is>
        <t>WAITING</t>
      </is>
    </nc>
  </rcc>
  <rcc rId="3316" sId="2">
    <nc r="N121" t="inlineStr">
      <is>
        <t>WAITING</t>
      </is>
    </nc>
  </rcc>
  <rcc rId="3317" sId="2">
    <nc r="N122" t="inlineStr">
      <is>
        <t>WAITING</t>
      </is>
    </nc>
  </rcc>
  <rcc rId="3318" sId="2">
    <nc r="N123" t="inlineStr">
      <is>
        <t>WAITING</t>
      </is>
    </nc>
  </rcc>
  <rcc rId="3319" sId="2">
    <nc r="N124" t="inlineStr">
      <is>
        <t>WAITING</t>
      </is>
    </nc>
  </rcc>
  <rcc rId="3320" sId="2">
    <nc r="N125" t="inlineStr">
      <is>
        <t>WAITING</t>
      </is>
    </nc>
  </rcc>
  <rcc rId="3321" sId="2">
    <nc r="N126" t="inlineStr">
      <is>
        <t>WAITING</t>
      </is>
    </nc>
  </rcc>
</revisions>
</file>

<file path=xl/revisions/revisionLog2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A28" start="0" length="0">
    <dxf>
      <font>
        <b/>
        <sz val="11"/>
        <color theme="1"/>
        <name val="Calibri"/>
        <scheme val="minor"/>
      </font>
    </dxf>
  </rfmt>
  <rcc rId="3324" sId="5" odxf="1" dxf="1">
    <nc r="B28" t="inlineStr">
      <is>
        <t>Project</t>
      </is>
    </nc>
    <odxf>
      <font>
        <b val="0"/>
        <sz val="11"/>
        <color theme="1"/>
        <name val="Calibri"/>
        <scheme val="minor"/>
      </font>
    </odxf>
    <ndxf>
      <font>
        <b/>
        <sz val="11"/>
        <color theme="1"/>
        <name val="Calibri"/>
        <scheme val="minor"/>
      </font>
    </ndxf>
  </rcc>
  <rfmt sheetId="5" sqref="C28" start="0" length="0">
    <dxf>
      <font>
        <b/>
        <sz val="11"/>
        <color theme="1"/>
        <name val="Calibri"/>
        <scheme val="minor"/>
      </font>
    </dxf>
  </rfmt>
  <rcc rId="3325" sId="5" odxf="1" dxf="1">
    <nc r="B29" t="inlineStr">
      <is>
        <t>Time</t>
      </is>
    </nc>
    <odxf>
      <font>
        <b val="0"/>
        <sz val="11"/>
        <color theme="1"/>
        <name val="Calibri"/>
        <scheme val="minor"/>
      </font>
    </odxf>
    <ndxf>
      <font>
        <b/>
        <sz val="11"/>
        <color theme="1"/>
        <name val="Calibri"/>
        <scheme val="minor"/>
      </font>
    </ndxf>
  </rcc>
  <rcc rId="3326" sId="5" odxf="1" dxf="1">
    <nc r="C29">
      <f>SUM(G35:G36)</f>
    </nc>
    <odxf>
      <fill>
        <patternFill patternType="none">
          <bgColor indexed="65"/>
        </patternFill>
      </fill>
    </odxf>
    <ndxf>
      <fill>
        <patternFill patternType="solid">
          <bgColor rgb="FFFFFF00"/>
        </patternFill>
      </fill>
    </ndxf>
  </rcc>
  <rcc rId="3327" sId="5">
    <nc r="D29" t="inlineStr">
      <is>
        <t>days</t>
      </is>
    </nc>
  </rcc>
  <rcc rId="3328" sId="5" odxf="1" dxf="1">
    <nc r="B30" t="inlineStr">
      <is>
        <t>Duration (Plan)</t>
      </is>
    </nc>
    <odxf>
      <font>
        <b val="0"/>
        <sz val="11"/>
        <color theme="1"/>
        <name val="Calibri"/>
        <scheme val="minor"/>
      </font>
    </odxf>
    <ndxf>
      <font>
        <b/>
        <sz val="11"/>
        <color theme="1"/>
        <name val="Calibri"/>
        <scheme val="minor"/>
      </font>
    </ndxf>
  </rcc>
  <rcc rId="3329" sId="5">
    <nc r="C30">
      <f>SUM(INT((WEEKDAY(F30-{2,3,4,5,6})+H30-F30)/7))</f>
    </nc>
  </rcc>
  <rcc rId="3330" sId="5">
    <nc r="D30" t="inlineStr">
      <is>
        <t>days</t>
      </is>
    </nc>
  </rcc>
  <rcc rId="3331" sId="5">
    <nc r="E30" t="inlineStr">
      <is>
        <t>16h00</t>
      </is>
    </nc>
  </rcc>
  <rcc rId="3332" sId="5" odxf="1" dxf="1" numFmtId="19">
    <nc r="F30">
      <v>43957</v>
    </nc>
    <odxf>
      <numFmt numFmtId="0" formatCode="General"/>
    </odxf>
    <ndxf>
      <numFmt numFmtId="19" formatCode="m/d/yyyy"/>
    </ndxf>
  </rcc>
  <rcc rId="3333" sId="5" odxf="1" dxf="1">
    <nc r="G30" t="inlineStr">
      <is>
        <t>17h00</t>
      </is>
    </nc>
    <odxf>
      <numFmt numFmtId="0" formatCode="General"/>
    </odxf>
    <ndxf>
      <numFmt numFmtId="19" formatCode="m/d/yyyy"/>
    </ndxf>
  </rcc>
  <rcc rId="3334" sId="5" odxf="1" dxf="1" numFmtId="19">
    <nc r="H30">
      <v>43959</v>
    </nc>
    <odxf>
      <numFmt numFmtId="0" formatCode="General"/>
    </odxf>
    <ndxf>
      <numFmt numFmtId="19" formatCode="m/d/yyyy"/>
    </ndxf>
  </rcc>
  <rcc rId="3335" sId="5" odxf="1" dxf="1">
    <nc r="B31" t="inlineStr">
      <is>
        <t>Duration (Actual)</t>
      </is>
    </nc>
    <odxf>
      <font>
        <b val="0"/>
        <sz val="11"/>
        <color theme="1"/>
        <name val="Calibri"/>
        <scheme val="minor"/>
      </font>
    </odxf>
    <ndxf>
      <font>
        <b/>
        <sz val="11"/>
        <color theme="1"/>
        <name val="Calibri"/>
        <scheme val="minor"/>
      </font>
    </ndxf>
  </rcc>
  <rcc rId="3336" sId="5">
    <nc r="C31">
      <f>SUM(INT((WEEKDAY(F31-{2,3,4,5,6})+H31-F31)/7))</f>
    </nc>
  </rcc>
  <rcc rId="3337" sId="5">
    <nc r="D31" t="inlineStr">
      <is>
        <t>days</t>
      </is>
    </nc>
  </rcc>
  <rcc rId="3338" sId="5">
    <nc r="E31" t="inlineStr">
      <is>
        <t>16h00</t>
      </is>
    </nc>
  </rcc>
  <rcc rId="3339" sId="5" odxf="1" dxf="1" numFmtId="19">
    <nc r="F31">
      <v>43957</v>
    </nc>
    <odxf>
      <numFmt numFmtId="0" formatCode="General"/>
    </odxf>
    <ndxf>
      <numFmt numFmtId="19" formatCode="m/d/yyyy"/>
    </ndxf>
  </rcc>
  <rcc rId="3340" sId="5" odxf="1" dxf="1">
    <nc r="G31" t="inlineStr">
      <is>
        <t>17h00</t>
      </is>
    </nc>
    <odxf>
      <numFmt numFmtId="0" formatCode="General"/>
    </odxf>
    <ndxf>
      <numFmt numFmtId="19" formatCode="m/d/yyyy"/>
    </ndxf>
  </rcc>
  <rcc rId="3341" sId="5" odxf="1" dxf="1" numFmtId="19">
    <nc r="H31">
      <v>43959</v>
    </nc>
    <odxf>
      <numFmt numFmtId="0" formatCode="General"/>
    </odxf>
    <ndxf>
      <numFmt numFmtId="19" formatCode="m/d/yyyy"/>
    </ndxf>
  </rcc>
  <rcc rId="3342" sId="5" odxf="1" dxf="1">
    <nc r="B32" t="inlineStr">
      <is>
        <t>Status</t>
      </is>
    </nc>
    <odxf>
      <font>
        <b val="0"/>
        <sz val="11"/>
        <color theme="1"/>
        <name val="Calibri"/>
        <scheme val="minor"/>
      </font>
    </odxf>
    <ndxf>
      <font>
        <b/>
        <sz val="11"/>
        <color theme="1"/>
        <name val="Calibri"/>
        <scheme val="minor"/>
      </font>
    </ndxf>
  </rcc>
  <rcc rId="3343" sId="5">
    <nc r="C32">
      <f>IF(SUM(H35:H36)&gt;SUM(G35:G36),"Delayed",IF(SUM(H35:H36)&lt;SUM(G35:G36),"InAdvanced","Ontime"))</f>
    </nc>
  </rcc>
  <rfmt sheetId="5" sqref="F32" start="0" length="0">
    <dxf>
      <numFmt numFmtId="19" formatCode="m/d/yyyy"/>
    </dxf>
  </rfmt>
  <rfmt sheetId="5" sqref="G32" start="0" length="0">
    <dxf>
      <numFmt numFmtId="19" formatCode="m/d/yyyy"/>
    </dxf>
  </rfmt>
  <rfmt sheetId="5" sqref="H32" start="0" length="0">
    <dxf>
      <numFmt numFmtId="19" formatCode="m/d/yyyy"/>
    </dxf>
  </rfmt>
  <rcc rId="3344" sId="5" odxf="1" dxf="1">
    <nc r="C3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345" sId="5" odxf="1" dxf="1">
    <nc r="D3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3346" sId="5" odxf="1" dxf="1">
    <nc r="E3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47" sId="5" odxf="1" dxf="1">
    <nc r="F3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48" sId="5" odxf="1" dxf="1">
    <nc r="G3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49" sId="5" odxf="1" dxf="1">
    <nc r="H3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50" sId="5" odxf="1" dxf="1">
    <nc r="I3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3351" sId="5" odxf="1" dxf="1">
    <nc r="C3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3352" sId="5" odxf="1" dxf="1">
    <nc r="D35" t="inlineStr">
      <is>
        <t>PSW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3" sId="5" odxf="1" dxf="1">
    <nc r="E35">
      <f>SUMIFS(Merged_JOEM!$W$48:$W$158,Merged_JOEM!$D$48:$D$158,Table!$D$3,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4" sId="5" odxf="1" dxf="1">
    <nc r="F35">
      <f>SUMIFS(Merged_JOEM!$X$48:$X$158,Merged_JOEM!$D$48:$D$158,Table!$D$3, Merged_JOEM!$E$48:$E$158,Report_For_Each_Project_JOEM!C28)-SUM(SUMIFS(Merged_JOEM!$X$48:$X$158,Merged_JOEM!$D$48:$D$158,Table!$D$3,Merged_JOEM!$AA$48:$AA$158,{"Ongoing","N/A",""},Merged_JOEM!$E$48:$E$158,Report_For_Each_Project_JOEM!C28))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5" sId="5" odxf="1" dxf="1">
    <nc r="G35">
      <f>1/8*(SUMIFS(Merged_JOEM!$Y$48:$Y$158,Merged_JOEM!$D$48:$D$158,Table!$D$3,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6" sId="5" odxf="1" dxf="1">
    <nc r="H35">
      <f>1/8*(SUMIFS(Merged_JOEM!$Z$48:$Z$158,Merged_JOEM!$D$48:$D$158,Table!$D$3, Merged_JOEM!$E$48:$E$158,Report_For_Each_Project_JOEM!C28)-SUM(SUMIFS(Merged_JOEM!$Z$48:$Z$158,Merged_JOEM!$D$48:$D$158,Table!$D$3,Merged_JOEM!$AA$48:$AA$158,{"Ongoing","N/A",""},Merged_JOEM!$E$48:$E$158,Report_For_Each_Project_JOEM!C28)))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57" sId="5" odxf="1" dxf="1">
    <nc r="I35">
      <f>IFERROR(F35/E35,"N/A")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3358" sId="5" odxf="1" dxf="1">
    <nc r="C3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3359" sId="5" odxf="1" dxf="1">
    <nc r="D36" t="inlineStr">
      <is>
        <t>ASW</t>
      </is>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0" sId="5" odxf="1" dxf="1">
    <nc r="E36">
      <f>SUMIFS(Merged_JOEM!$W$48:$W$158,Merged_JOEM!$D$48:$D$158,Table!$C$3,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1" sId="5" odxf="1" dxf="1">
    <nc r="F36">
      <f>SUMIFS(Merged_JOEM!$X$48:$X$158,Merged_JOEM!$D$48:$D$158,Table!$C$3, Merged_JOEM!$E$48:$E$158,Report_For_Each_Project_JOEM!C28)-SUM(SUMIFS(Merged_JOEM!$X$48:$X$158,Merged_JOEM!$D$48:$D$158,Table!$C$3,Merged_JOEM!$AA$48:$AA$158,{"Ongoing","N/A",""},Merged_JOEM!$E$48:$E$158,Report_For_Each_Project_JOEM!C28))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2" sId="5" odxf="1" dxf="1">
    <nc r="G36">
      <f>1/8*(SUMIFS(Merged_JOEM!$Y$48:$Y$158,Merged_JOEM!$D$48:$D$158,Table!$C$3, 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3" sId="5" odxf="1" dxf="1">
    <nc r="H36">
      <f>1/8*(SUMIFS(Merged_JOEM!$Z$48:$Z$158,Merged_JOEM!$D$48:$D$158,Table!$C$3, Merged_JOEM!$E$48:$E$158,Report_For_Each_Project_JOEM!C28)-SUM(SUMIFS(Merged_JOEM!$Z$48:$Z$158,Merged_JOEM!$D$48:$D$158,Table!$C$3,Merged_JOEM!$AA$48:$AA$158,{"Ongoing","N/A",""},Merged_JOEM!$E$48:$E$158,Report_For_Each_Project_JOEM!C28)))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3364" sId="5" odxf="1" dxf="1">
    <nc r="I36">
      <f>IFERROR(F36/E36,"N/A")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3365" sId="5">
    <nc r="C38" t="inlineStr">
      <is>
        <t>Brief Description:</t>
      </is>
    </nc>
  </rcc>
  <rcc rId="3366" sId="5" odxf="1" quotePrefix="1">
    <nc r="D39" t="inlineStr">
      <is>
        <t>- Assigned 6.2 days not 4.5 days</t>
      </is>
    </nc>
    <odxf/>
  </rcc>
  <rcc rId="3367" sId="5">
    <nc r="A28">
      <v>3</v>
    </nc>
  </rcc>
  <rcc rId="3368" sId="5">
    <nc r="C28" t="inlineStr">
      <is>
        <t>HONDA_CMP_BL11sp02_snapshot05</t>
      </is>
    </nc>
  </rcc>
</revisions>
</file>

<file path=xl/revisions/revisionLog2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F2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5" sqref="G2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3369" sId="5" numFmtId="19">
    <oc r="F30">
      <v>43957</v>
    </oc>
    <nc r="F30">
      <v>43962</v>
    </nc>
  </rcc>
  <rcc rId="3370" sId="5" numFmtId="19">
    <oc r="F31">
      <v>43957</v>
    </oc>
    <nc r="F31">
      <v>43962</v>
    </nc>
  </rcc>
  <rcc rId="3371" sId="5" numFmtId="19">
    <oc r="H30">
      <v>43959</v>
    </oc>
    <nc r="H30">
      <v>43971</v>
    </nc>
  </rcc>
  <rcc rId="3372" sId="5" numFmtId="19">
    <oc r="H31">
      <v>43959</v>
    </oc>
    <nc r="H31">
      <v>43971</v>
    </nc>
  </rcc>
  <rfmt sheetId="5" sqref="F29" start="0" length="0">
    <dxf>
      <numFmt numFmtId="0" formatCode="General"/>
      <alignment horizontal="general" vertical="bottom" readingOrder="0"/>
      <border outline="0">
        <left/>
        <right/>
        <top/>
        <bottom/>
      </border>
    </dxf>
  </rfmt>
  <rfmt sheetId="5" sqref="G29" start="0" length="0">
    <dxf>
      <numFmt numFmtId="0" formatCode="General"/>
      <alignment horizontal="general" vertical="bottom" readingOrder="0"/>
      <border outline="0">
        <left/>
        <right/>
        <top/>
        <bottom/>
      </border>
    </dxf>
  </rfmt>
  <rcc rId="3373" sId="5">
    <oc r="E30" t="inlineStr">
      <is>
        <t>16h00</t>
      </is>
    </oc>
    <nc r="E30" t="inlineStr">
      <is>
        <t>10h00</t>
      </is>
    </nc>
  </rcc>
  <rcc rId="3374" sId="5">
    <oc r="E31" t="inlineStr">
      <is>
        <t>16h00</t>
      </is>
    </oc>
    <nc r="E31" t="inlineStr">
      <is>
        <t>11h00</t>
      </is>
    </nc>
  </rcc>
</revisions>
</file>

<file path=xl/revisions/revisionLog2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75" sId="4" numFmtId="19">
    <oc r="H56">
      <v>43956</v>
    </oc>
    <nc r="H56">
      <v>43965</v>
    </nc>
  </rcc>
  <rcc rId="3376" sId="4" numFmtId="19">
    <oc r="H57">
      <v>43956</v>
    </oc>
    <nc r="H57">
      <v>43965</v>
    </nc>
  </rcc>
</revisions>
</file>

<file path=xl/revisions/revisionLog2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77" sId="4">
    <oc r="E57" t="inlineStr">
      <is>
        <t>13h00</t>
      </is>
    </oc>
    <nc r="E57" t="inlineStr">
      <is>
        <t>10h00</t>
      </is>
    </nc>
  </rcc>
</revisions>
</file>

<file path=xl/revisions/revisionLog2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78" sId="4" numFmtId="19">
    <oc r="F30">
      <v>43949</v>
    </oc>
    <nc r="F30">
      <v>43955</v>
    </nc>
  </rcc>
  <rcc rId="3379" sId="4" numFmtId="19">
    <oc r="F31">
      <v>43949</v>
    </oc>
    <nc r="F31">
      <v>43955</v>
    </nc>
  </rcc>
  <rcc rId="3380" sId="4" numFmtId="19">
    <oc r="H30">
      <v>43956</v>
    </oc>
    <nc r="H30">
      <v>43957</v>
    </nc>
  </rcc>
  <rcc rId="3381" sId="4" numFmtId="19">
    <oc r="H31">
      <v>43956</v>
    </oc>
    <nc r="H31">
      <v>43957</v>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2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84" sId="4" numFmtId="19">
    <oc r="F43">
      <v>43949</v>
    </oc>
    <nc r="F43">
      <v>43957</v>
    </nc>
  </rcc>
  <rcc rId="3385" sId="4" numFmtId="19">
    <oc r="H43">
      <v>43956</v>
    </oc>
    <nc r="H43">
      <v>43964</v>
    </nc>
  </rcc>
  <rcc rId="3386" sId="4" numFmtId="19">
    <oc r="F44">
      <v>43949</v>
    </oc>
    <nc r="F44">
      <v>43957</v>
    </nc>
  </rcc>
  <rcc rId="3387" sId="4" numFmtId="19">
    <oc r="H44">
      <v>43956</v>
    </oc>
    <nc r="H44">
      <v>43964</v>
    </nc>
  </rcc>
  <rcc rId="3388" sId="4">
    <oc r="E44" t="inlineStr">
      <is>
        <t>13h00</t>
      </is>
    </oc>
    <nc r="E44" t="inlineStr">
      <is>
        <t>10h00</t>
      </is>
    </nc>
  </rcc>
</revisions>
</file>

<file path=xl/revisions/revisionLog2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89" sId="4" numFmtId="19">
    <oc r="F56">
      <v>43949</v>
    </oc>
    <nc r="F56">
      <v>43958</v>
    </nc>
  </rcc>
  <rcc rId="3390" sId="4" numFmtId="19">
    <oc r="F57">
      <v>43949</v>
    </oc>
    <nc r="F57">
      <v>43958</v>
    </nc>
  </rcc>
</revisions>
</file>

<file path=xl/revisions/revisionLog2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91" sId="5" odxf="1" dxf="1">
    <oc r="C29">
      <f>SUM(G35:G36)</f>
    </oc>
    <nc r="C29">
      <f>SUM(G35:G36)</f>
    </nc>
    <odxf>
      <fill>
        <patternFill patternType="solid">
          <bgColor rgb="FFFFFF00"/>
        </patternFill>
      </fill>
    </odxf>
    <ndxf>
      <fill>
        <patternFill patternType="none">
          <bgColor indexed="65"/>
        </patternFill>
      </fill>
    </ndxf>
  </rcc>
</revisions>
</file>

<file path=xl/revisions/revisionLog2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D26" start="0" length="2147483647">
    <dxf>
      <font>
        <color rgb="FFFF0000"/>
      </font>
    </dxf>
  </rfmt>
</revisions>
</file>

<file path=xl/revisions/revisionLog2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92" sId="5" quotePrefix="1">
    <oc r="D39" t="inlineStr">
      <is>
        <t>- Assigned 6.2 days not 4.5 days</t>
      </is>
    </oc>
    <nc r="D39" t="inlineStr">
      <is>
        <t>- No comment</t>
      </is>
    </nc>
  </rcc>
</revisions>
</file>

<file path=xl/revisions/revisionLog2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93" sId="2">
    <oc r="Y117">
      <v>0.59</v>
    </oc>
    <nc r="Y117">
      <v>4.72</v>
    </nc>
  </rcc>
  <rcc rId="3394" sId="2">
    <oc r="Y118">
      <v>0.17</v>
    </oc>
    <nc r="Y118">
      <v>1.36</v>
    </nc>
  </rcc>
  <rcc rId="3395" sId="2">
    <oc r="Y119">
      <v>0.23</v>
    </oc>
    <nc r="Y119">
      <v>1.84</v>
    </nc>
  </rcc>
  <rcc rId="3396" sId="2">
    <oc r="Y120">
      <v>0.6</v>
    </oc>
    <nc r="Y120">
      <v>4.8</v>
    </nc>
  </rcc>
  <rcc rId="3397" sId="2">
    <oc r="Y121">
      <v>0.17</v>
    </oc>
    <nc r="Y121">
      <v>1.36</v>
    </nc>
  </rcc>
  <rcc rId="3398" sId="2">
    <oc r="Y122">
      <v>2.65</v>
    </oc>
    <nc r="Y122">
      <v>21.2</v>
    </nc>
  </rcc>
  <rcc rId="3399" sId="2">
    <oc r="Y123">
      <v>0.17</v>
    </oc>
    <nc r="Y123">
      <v>1.36</v>
    </nc>
  </rcc>
  <rcc rId="3400" sId="2">
    <oc r="Y124">
      <v>0.17</v>
    </oc>
    <nc r="Y124">
      <v>1.36</v>
    </nc>
  </rcc>
  <rcc rId="3401" sId="2">
    <oc r="Y125">
      <v>0.35</v>
    </oc>
    <nc r="Y125">
      <v>2.8</v>
    </nc>
  </rcc>
  <rcc rId="3402" sId="2">
    <oc r="Y126">
      <v>1</v>
    </oc>
    <nc r="Y126">
      <v>8</v>
    </nc>
  </rcc>
  <rcc rId="3403" sId="2">
    <oc r="Y127">
      <v>0.5</v>
    </oc>
    <nc r="Y127">
      <v>4</v>
    </nc>
  </rcc>
  <rcc rId="3404" sId="2">
    <oc r="Y128">
      <v>0.3</v>
    </oc>
    <nc r="Y128">
      <v>2.4</v>
    </nc>
  </rcc>
  <rcc rId="3405" sId="2">
    <oc r="Y129">
      <v>0.15</v>
    </oc>
    <nc r="Y129">
      <v>1.2</v>
    </nc>
  </rcc>
  <rcc rId="3406" sId="2">
    <oc r="Y130">
      <v>0.15</v>
    </oc>
    <nc r="Y130">
      <v>1.2</v>
    </nc>
  </rcc>
  <rcc rId="3407" sId="2">
    <oc r="Y131">
      <v>1.35</v>
    </oc>
    <nc r="Y131">
      <v>10.8</v>
    </nc>
  </rcc>
  <rcc rId="3408" sId="2">
    <oc r="Y132">
      <v>1.6</v>
    </oc>
    <nc r="Y132">
      <v>12.8</v>
    </nc>
  </rcc>
  <rcc rId="3409" sId="2">
    <oc r="Y133">
      <v>0.8</v>
    </oc>
    <nc r="Y133">
      <v>6.4</v>
    </nc>
  </rcc>
  <rcc rId="3410" sId="2">
    <oc r="Y134">
      <v>0.8</v>
    </oc>
    <nc r="Y134">
      <v>6.4</v>
    </nc>
  </rcc>
  <rcc rId="3411" sId="2">
    <oc r="Y135">
      <v>0.25</v>
    </oc>
    <nc r="Y135">
      <v>2</v>
    </nc>
  </rcc>
  <rcc rId="3412" sId="2">
    <oc r="Y136">
      <v>0.48</v>
    </oc>
    <nc r="Y136">
      <v>3.84</v>
    </nc>
  </rcc>
  <rcc rId="3413" sId="2">
    <oc r="Y137">
      <v>0.2</v>
    </oc>
    <nc r="Y137">
      <v>1.6</v>
    </nc>
  </rcc>
  <rcc rId="3414" sId="2">
    <oc r="Y138">
      <v>0.15</v>
    </oc>
    <nc r="Y138">
      <v>1.2</v>
    </nc>
  </rcc>
  <rcc rId="3415" sId="2">
    <oc r="Y139">
      <v>0.57999999999999996</v>
    </oc>
    <nc r="Y139">
      <v>4.6399999999999997</v>
    </nc>
  </rcc>
  <rcc rId="3416" sId="2">
    <oc r="Y140">
      <v>0.25</v>
    </oc>
    <nc r="Y140">
      <v>2</v>
    </nc>
  </rcc>
  <rcc rId="3417" sId="2">
    <oc r="Y141">
      <v>0.15</v>
    </oc>
    <nc r="Y141">
      <v>1.2</v>
    </nc>
  </rcc>
  <rcc rId="3418" sId="2">
    <oc r="Y142">
      <v>0.16</v>
    </oc>
    <nc r="Y142">
      <v>1.28</v>
    </nc>
  </rcc>
  <rcc rId="3419" sId="2">
    <oc r="Y143">
      <v>1.35</v>
    </oc>
    <nc r="Y143">
      <v>10.8</v>
    </nc>
  </rcc>
  <rcc rId="3420" sId="2">
    <oc r="Y144">
      <v>0.55000000000000004</v>
    </oc>
    <nc r="Y144">
      <v>4.4000000000000004</v>
    </nc>
  </rcc>
  <rcc rId="3421" sId="2">
    <oc r="Y145">
      <v>0.15</v>
    </oc>
    <nc r="Y145">
      <v>1.2</v>
    </nc>
  </rcc>
</revisions>
</file>

<file path=xl/revisions/revisionLog2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3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24" sId="6">
    <nc r="K4">
      <f>RANK(G4,$G$4:$G$13)</f>
    </nc>
  </rcc>
  <rcc rId="3425" sId="6">
    <nc r="K5">
      <f>RANK(G5,$G$4:$G$13)</f>
    </nc>
  </rcc>
  <rcc rId="3426" sId="6">
    <nc r="K6">
      <f>RANK(G6,$G$4:$G$13)</f>
    </nc>
  </rcc>
  <rcc rId="3427" sId="6">
    <nc r="K7">
      <f>RANK(G7,$G$4:$G$13)</f>
    </nc>
  </rcc>
  <rcc rId="3428" sId="6">
    <nc r="K8">
      <f>RANK(G8,$G$4:$G$13)</f>
    </nc>
  </rcc>
  <rcc rId="3429" sId="6">
    <nc r="K9">
      <f>RANK(G9,$G$4:$G$13)</f>
    </nc>
  </rcc>
  <rcc rId="3430" sId="6">
    <nc r="K10">
      <f>RANK(G10,$G$4:$G$13)</f>
    </nc>
  </rcc>
  <rcc rId="3431" sId="6">
    <nc r="K11">
      <f>RANK(G11,$G$4:$G$13)</f>
    </nc>
  </rcc>
  <rcc rId="3432" sId="6">
    <nc r="K12">
      <f>RANK(G12,$G$4:$G$13)</f>
    </nc>
  </rcc>
  <rcc rId="3433" sId="6">
    <nc r="K13">
      <f>RANK(G13,$G$4:$G$13)</f>
    </nc>
  </rcc>
</revisions>
</file>

<file path=xl/revisions/revisionLog3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34" sId="2">
    <nc r="S117" t="inlineStr">
      <is>
        <t>huy.do-anh</t>
      </is>
    </nc>
  </rcc>
  <rcc rId="3435" sId="2">
    <nc r="S118" t="inlineStr">
      <is>
        <t>huy.do-anh</t>
      </is>
    </nc>
  </rcc>
  <rcc rId="3436" sId="2">
    <nc r="S119" t="inlineStr">
      <is>
        <t>huy.do-anh</t>
      </is>
    </nc>
  </rcc>
  <rcc rId="3437" sId="2">
    <nc r="S120" t="inlineStr">
      <is>
        <t>huy.do-anh</t>
      </is>
    </nc>
  </rcc>
  <rcc rId="3438" sId="2">
    <nc r="S121" t="inlineStr">
      <is>
        <t>huy.do-anh</t>
      </is>
    </nc>
  </rcc>
  <rcc rId="3439" sId="2">
    <nc r="S122" t="inlineStr">
      <is>
        <t>huy.do-anh</t>
      </is>
    </nc>
  </rcc>
  <rcc rId="3440" sId="2">
    <nc r="S123" t="inlineStr">
      <is>
        <t>huy.do-anh</t>
      </is>
    </nc>
  </rcc>
  <rcc rId="3441" sId="2">
    <nc r="S124" t="inlineStr">
      <is>
        <t>huy.do-anh</t>
      </is>
    </nc>
  </rcc>
  <rcc rId="3442" sId="2">
    <nc r="S125" t="inlineStr">
      <is>
        <t>huy.do-anh</t>
      </is>
    </nc>
  </rcc>
  <rcc rId="3443" sId="2">
    <nc r="S126" t="inlineStr">
      <is>
        <t>huy.do-anh</t>
      </is>
    </nc>
  </rcc>
  <rcc rId="3444" sId="2">
    <nc r="S127" t="inlineStr">
      <is>
        <t>huy.do-anh</t>
      </is>
    </nc>
  </rcc>
  <rcc rId="3445" sId="2">
    <nc r="S128" t="inlineStr">
      <is>
        <t>huy.do-anh</t>
      </is>
    </nc>
  </rcc>
  <rcc rId="3446" sId="2">
    <nc r="S129" t="inlineStr">
      <is>
        <t>huy.do-anh</t>
      </is>
    </nc>
  </rcc>
  <rcc rId="3447" sId="2">
    <nc r="S130" t="inlineStr">
      <is>
        <t>huy.do-anh</t>
      </is>
    </nc>
  </rcc>
  <rcc rId="3448" sId="2">
    <nc r="S131" t="inlineStr">
      <is>
        <t>huy.do-anh</t>
      </is>
    </nc>
  </rcc>
  <rcc rId="3449" sId="2">
    <nc r="S132" t="inlineStr">
      <is>
        <t>huy.do-anh</t>
      </is>
    </nc>
  </rcc>
  <rcc rId="3450" sId="2">
    <nc r="S133" t="inlineStr">
      <is>
        <t>huy.do-anh</t>
      </is>
    </nc>
  </rcc>
  <rcc rId="3451" sId="2">
    <nc r="S134" t="inlineStr">
      <is>
        <t>dac.luu-cong</t>
      </is>
    </nc>
  </rcc>
  <rcc rId="3452" sId="2">
    <nc r="S135" t="inlineStr">
      <is>
        <t>dac.luu-cong</t>
      </is>
    </nc>
  </rcc>
  <rcc rId="3453" sId="2">
    <nc r="S136" t="inlineStr">
      <is>
        <t>dac.luu-cong</t>
      </is>
    </nc>
  </rcc>
  <rcc rId="3454" sId="2">
    <nc r="S137" t="inlineStr">
      <is>
        <t>dac.luu-cong</t>
      </is>
    </nc>
  </rcc>
  <rcc rId="3455" sId="2">
    <nc r="S138" t="inlineStr">
      <is>
        <t>dac.luu-cong</t>
      </is>
    </nc>
  </rcc>
  <rcc rId="3456" sId="2">
    <nc r="S139" t="inlineStr">
      <is>
        <t>dac.luu-cong</t>
      </is>
    </nc>
  </rcc>
  <rcc rId="3457" sId="2">
    <nc r="S140" t="inlineStr">
      <is>
        <t>dac.luu-cong</t>
      </is>
    </nc>
  </rcc>
  <rcc rId="3458" sId="2">
    <nc r="S141" t="inlineStr">
      <is>
        <t>dac.luu-cong</t>
      </is>
    </nc>
  </rcc>
  <rcc rId="3459" sId="2">
    <nc r="S142" t="inlineStr">
      <is>
        <t>dac.luu-cong</t>
      </is>
    </nc>
  </rcc>
  <rcc rId="3460" sId="2">
    <nc r="S143" t="inlineStr">
      <is>
        <t>dac.luu-cong</t>
      </is>
    </nc>
  </rcc>
  <rcc rId="3461" sId="2">
    <nc r="S144" t="inlineStr">
      <is>
        <t>dac.luu-cong</t>
      </is>
    </nc>
  </rcc>
  <rcc rId="3462" sId="2">
    <nc r="S145" t="inlineStr">
      <is>
        <t>dac.luu-cong</t>
      </is>
    </nc>
  </rc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3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3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67" sId="6">
    <oc r="H9">
      <f>IF(ISERROR(E9/D9),"N/A",E9/D9)</f>
    </oc>
    <nc r="H9">
      <f>IF(ISERROR(E9/D9),"N/A",E9/D9)</f>
    </nc>
  </rcc>
</revisions>
</file>

<file path=xl/revisions/revisionLog3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68" sId="1" odxf="1" dxf="1" quotePrefix="1">
    <oc r="F153" t="inlineStr">
      <is>
        <t xml:space="preserve">rb\as\dfsk\CpiwAPB\app\net\RbNetPrj\RBNet_Can\src\     </t>
      </is>
    </oc>
    <nc r="F153" t="inlineStr">
      <is>
        <t>DFSK_ESP93_EV_Mainstream_Int\MainstreamF30\rb\as\dfsk\CpiwAPB\app\net\RbNetPrj\RBNet_Can\src\NET_SCL_InitPrc_CNMS.c</t>
      </is>
    </nc>
    <ndxf>
      <font>
        <b/>
        <sz val="11"/>
        <color theme="1"/>
        <name val="Calibri"/>
        <scheme val="minor"/>
      </font>
    </ndxf>
  </rcc>
</revisions>
</file>

<file path=xl/revisions/revisionLog3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Merged_COEM!$B$47:$AN$153</formula>
    <oldFormula>Merged_COEM!$B$47:$AN$153</oldFormula>
  </rdn>
  <rdn rId="0" localSheetId="2" customView="1" name="Z_250915DF_0B97_45D7_B29D_7EED4C89C1C1_.wvu.FilterData" hidden="1" oldHidden="1">
    <formula>Merged_JOEM!$B$47:$AN$116</formula>
    <oldFormula>Merged_JOEM!$B$47:$AN$116</oldFormula>
  </rdn>
  <rcv guid="{250915DF-0B97-45D7-B29D-7EED4C89C1C1}" action="add"/>
</revisions>
</file>

<file path=xl/revisions/revisionLog3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71" sId="2">
    <oc r="S127" t="inlineStr">
      <is>
        <t>huy.do-anh</t>
      </is>
    </oc>
    <nc r="S127" t="inlineStr">
      <is>
        <t>dac.luu-cong</t>
      </is>
    </nc>
  </rcc>
  <rcc rId="3472" sId="2">
    <oc r="S128" t="inlineStr">
      <is>
        <t>huy.do-anh</t>
      </is>
    </oc>
    <nc r="S128" t="inlineStr">
      <is>
        <t>dac.luu-cong</t>
      </is>
    </nc>
  </rcc>
  <rcc rId="3473" sId="2">
    <oc r="S129" t="inlineStr">
      <is>
        <t>huy.do-anh</t>
      </is>
    </oc>
    <nc r="S129" t="inlineStr">
      <is>
        <t>dac.luu-cong</t>
      </is>
    </nc>
  </rcc>
  <rcc rId="3474" sId="2">
    <oc r="S130" t="inlineStr">
      <is>
        <t>huy.do-anh</t>
      </is>
    </oc>
    <nc r="S130" t="inlineStr">
      <is>
        <t>dac.luu-cong</t>
      </is>
    </nc>
  </rcc>
  <rcc rId="3475" sId="2">
    <oc r="S131" t="inlineStr">
      <is>
        <t>huy.do-anh</t>
      </is>
    </oc>
    <nc r="S131" t="inlineStr">
      <is>
        <t>dac.luu-cong</t>
      </is>
    </nc>
  </rcc>
  <rcc rId="3476" sId="2">
    <oc r="S132" t="inlineStr">
      <is>
        <t>huy.do-anh</t>
      </is>
    </oc>
    <nc r="S132" t="inlineStr">
      <is>
        <t>dac.luu-cong</t>
      </is>
    </nc>
  </rcc>
  <rcc rId="3477" sId="2">
    <oc r="S133" t="inlineStr">
      <is>
        <t>huy.do-anh</t>
      </is>
    </oc>
    <nc r="S133" t="inlineStr">
      <is>
        <t>dac.luu-cong</t>
      </is>
    </nc>
  </rcc>
  <rcc rId="3478" sId="2">
    <oc r="S135" t="inlineStr">
      <is>
        <t>dac.luu-cong</t>
      </is>
    </oc>
    <nc r="S135" t="inlineStr">
      <is>
        <t>huy.do-anh</t>
      </is>
    </nc>
  </rcc>
  <rcc rId="3479" sId="2">
    <oc r="S136" t="inlineStr">
      <is>
        <t>dac.luu-cong</t>
      </is>
    </oc>
    <nc r="S136" t="inlineStr">
      <is>
        <t>huy.do-anh</t>
      </is>
    </nc>
  </rcc>
  <rcc rId="3480" sId="2">
    <oc r="S137" t="inlineStr">
      <is>
        <t>dac.luu-cong</t>
      </is>
    </oc>
    <nc r="S137" t="inlineStr">
      <is>
        <t>huy.do-anh</t>
      </is>
    </nc>
  </rcc>
  <rcc rId="3481" sId="2">
    <oc r="S138" t="inlineStr">
      <is>
        <t>dac.luu-cong</t>
      </is>
    </oc>
    <nc r="S138" t="inlineStr">
      <is>
        <t>huy.do-anh</t>
      </is>
    </nc>
  </rcc>
  <rcc rId="3482" sId="2">
    <oc r="S139" t="inlineStr">
      <is>
        <t>dac.luu-cong</t>
      </is>
    </oc>
    <nc r="S139" t="inlineStr">
      <is>
        <t>huy.do-anh</t>
      </is>
    </nc>
  </rcc>
  <rcc rId="3483" sId="2">
    <oc r="S140" t="inlineStr">
      <is>
        <t>dac.luu-cong</t>
      </is>
    </oc>
    <nc r="S140" t="inlineStr">
      <is>
        <t>huy.do-anh</t>
      </is>
    </nc>
  </rcc>
  <rcc rId="3484" sId="2">
    <oc r="S141" t="inlineStr">
      <is>
        <t>dac.luu-cong</t>
      </is>
    </oc>
    <nc r="S141" t="inlineStr">
      <is>
        <t>huy.do-anh</t>
      </is>
    </nc>
  </rcc>
  <rcc rId="3485" sId="2">
    <oc r="S142" t="inlineStr">
      <is>
        <t>dac.luu-cong</t>
      </is>
    </oc>
    <nc r="S142" t="inlineStr">
      <is>
        <t>huy.do-anh</t>
      </is>
    </nc>
  </rcc>
  <rcc rId="3486" sId="2">
    <oc r="S143" t="inlineStr">
      <is>
        <t>dac.luu-cong</t>
      </is>
    </oc>
    <nc r="S143" t="inlineStr">
      <is>
        <t>huy.do-anh</t>
      </is>
    </nc>
  </rcc>
  <rcc rId="3487" sId="2">
    <oc r="S144" t="inlineStr">
      <is>
        <t>dac.luu-cong</t>
      </is>
    </oc>
    <nc r="S144" t="inlineStr">
      <is>
        <t>huy.do-anh</t>
      </is>
    </nc>
  </rcc>
  <rcc rId="3488" sId="2">
    <oc r="S145" t="inlineStr">
      <is>
        <t>dac.luu-cong</t>
      </is>
    </oc>
    <nc r="S145" t="inlineStr">
      <is>
        <t>huy.do-anh</t>
      </is>
    </nc>
  </rcc>
  <rcc rId="3489" sId="2">
    <oc r="S122" t="inlineStr">
      <is>
        <t>huy.do-anh</t>
      </is>
    </oc>
    <nc r="S122" t="inlineStr">
      <is>
        <t>dac.luu-cong</t>
      </is>
    </nc>
  </rcc>
  <rcc rId="3490" sId="2">
    <oc r="S123" t="inlineStr">
      <is>
        <t>huy.do-anh</t>
      </is>
    </oc>
    <nc r="S123" t="inlineStr">
      <is>
        <t>dac.luu-cong</t>
      </is>
    </nc>
  </rcc>
  <rcc rId="3491" sId="2">
    <oc r="S124" t="inlineStr">
      <is>
        <t>huy.do-anh</t>
      </is>
    </oc>
    <nc r="S124" t="inlineStr">
      <is>
        <t>dac.luu-cong</t>
      </is>
    </nc>
  </rcc>
  <rcc rId="3492" sId="2">
    <oc r="S125" t="inlineStr">
      <is>
        <t>huy.do-anh</t>
      </is>
    </oc>
    <nc r="S125" t="inlineStr">
      <is>
        <t>dac.luu-cong</t>
      </is>
    </nc>
  </rcc>
  <rcc rId="3493" sId="2">
    <oc r="S126" t="inlineStr">
      <is>
        <t>huy.do-anh</t>
      </is>
    </oc>
    <nc r="S126" t="inlineStr">
      <is>
        <t>dac.luu-cong</t>
      </is>
    </nc>
  </rcc>
  <rcc rId="3494" sId="2">
    <nc r="X127">
      <f>W127</f>
    </nc>
  </rcc>
  <rcc rId="3495" sId="2">
    <nc r="X128">
      <f>W128</f>
    </nc>
  </rcc>
  <rcc rId="3496" sId="2">
    <nc r="X129">
      <f>W129</f>
    </nc>
  </rcc>
  <rcc rId="3497" sId="2">
    <nc r="X130">
      <f>W130</f>
    </nc>
  </rcc>
  <rcc rId="3498" sId="2">
    <nc r="X131">
      <f>W131</f>
    </nc>
  </rcc>
  <rcc rId="3499" sId="2">
    <nc r="X132">
      <f>W132</f>
    </nc>
  </rcc>
  <rcc rId="3500" sId="2">
    <nc r="AA127" t="inlineStr">
      <is>
        <t>Ready for review</t>
      </is>
    </nc>
  </rcc>
  <rcc rId="3501" sId="2">
    <nc r="AA128" t="inlineStr">
      <is>
        <t>Ready for review</t>
      </is>
    </nc>
  </rcc>
  <rcc rId="3502" sId="2">
    <nc r="AA129" t="inlineStr">
      <is>
        <t>Ready for review</t>
      </is>
    </nc>
  </rcc>
  <rcc rId="3503" sId="2">
    <nc r="AA130" t="inlineStr">
      <is>
        <t>Ready for review</t>
      </is>
    </nc>
  </rcc>
  <rcc rId="3504" sId="2">
    <nc r="AA131" t="inlineStr">
      <is>
        <t>Ready for review</t>
      </is>
    </nc>
  </rcc>
  <rcc rId="3505" sId="2">
    <nc r="AA132" t="inlineStr">
      <is>
        <t>Ready for review</t>
      </is>
    </nc>
  </rcc>
  <rcc rId="3506" sId="2">
    <nc r="Z127">
      <v>1</v>
    </nc>
  </rcc>
  <rcc rId="3507" sId="2">
    <nc r="Z128">
      <v>1</v>
    </nc>
  </rcc>
  <rcc rId="3508" sId="2">
    <nc r="Z129">
      <v>1</v>
    </nc>
  </rcc>
  <rcc rId="3509" sId="2">
    <nc r="Z130">
      <v>1</v>
    </nc>
  </rcc>
  <rcc rId="3510" sId="2">
    <nc r="Z131">
      <v>2</v>
    </nc>
  </rcc>
  <rcc rId="3511" sId="2">
    <nc r="Z132">
      <v>2</v>
    </nc>
  </rcc>
  <rcc rId="3512" sId="2" numFmtId="19">
    <nc r="AE127">
      <v>43962</v>
    </nc>
  </rcc>
  <rcc rId="3513" sId="2" numFmtId="19">
    <nc r="AF127">
      <v>43962</v>
    </nc>
  </rcc>
  <rcc rId="3514" sId="2">
    <nc r="AG127" t="inlineStr">
      <is>
        <t>OK</t>
      </is>
    </nc>
  </rcc>
  <rcc rId="3515" sId="2" numFmtId="14">
    <nc r="AH127">
      <v>1</v>
    </nc>
  </rcc>
  <rcc rId="3516" sId="2" numFmtId="14">
    <nc r="AI127">
      <v>1</v>
    </nc>
  </rcc>
  <rcc rId="3517" sId="2" numFmtId="14">
    <nc r="AJ127">
      <v>1</v>
    </nc>
  </rcc>
  <rcc rId="3518" sId="2">
    <nc r="AK127" t="inlineStr">
      <is>
        <t>None</t>
      </is>
    </nc>
  </rcc>
  <rcc rId="3519" sId="2" numFmtId="19">
    <nc r="AE128">
      <v>43962</v>
    </nc>
  </rcc>
  <rcc rId="3520" sId="2" numFmtId="19">
    <nc r="AF128">
      <v>43962</v>
    </nc>
  </rcc>
  <rcc rId="3521" sId="2">
    <nc r="AG128" t="inlineStr">
      <is>
        <t>OK</t>
      </is>
    </nc>
  </rcc>
  <rcc rId="3522" sId="2" numFmtId="14">
    <nc r="AH128">
      <v>1</v>
    </nc>
  </rcc>
  <rcc rId="3523" sId="2" numFmtId="14">
    <nc r="AI128">
      <v>1</v>
    </nc>
  </rcc>
  <rcc rId="3524" sId="2" numFmtId="14">
    <nc r="AJ128">
      <v>1</v>
    </nc>
  </rcc>
  <rcc rId="3525" sId="2">
    <nc r="AK128" t="inlineStr">
      <is>
        <t>None</t>
      </is>
    </nc>
  </rcc>
  <rcc rId="3526" sId="2" numFmtId="19">
    <nc r="AE129">
      <v>43962</v>
    </nc>
  </rcc>
  <rcc rId="3527" sId="2" numFmtId="19">
    <nc r="AF129">
      <v>43962</v>
    </nc>
  </rcc>
  <rcc rId="3528" sId="2">
    <nc r="AG129" t="inlineStr">
      <is>
        <t>OK</t>
      </is>
    </nc>
  </rcc>
  <rcc rId="3529" sId="2" numFmtId="14">
    <nc r="AH129">
      <v>1</v>
    </nc>
  </rcc>
  <rcc rId="3530" sId="2" numFmtId="14">
    <nc r="AI129">
      <v>1</v>
    </nc>
  </rcc>
  <rcc rId="3531" sId="2" numFmtId="14">
    <nc r="AJ129">
      <v>1</v>
    </nc>
  </rcc>
  <rcc rId="3532" sId="2">
    <nc r="AK129" t="inlineStr">
      <is>
        <t>None</t>
      </is>
    </nc>
  </rcc>
  <rcc rId="3533" sId="2" numFmtId="19">
    <nc r="AE130">
      <v>43962</v>
    </nc>
  </rcc>
  <rcc rId="3534" sId="2" numFmtId="19">
    <nc r="AF130">
      <v>43962</v>
    </nc>
  </rcc>
  <rcc rId="3535" sId="2">
    <nc r="AG130" t="inlineStr">
      <is>
        <t>OK</t>
      </is>
    </nc>
  </rcc>
  <rcc rId="3536" sId="2" numFmtId="14">
    <nc r="AH130">
      <v>1</v>
    </nc>
  </rcc>
  <rcc rId="3537" sId="2" numFmtId="14">
    <nc r="AI130">
      <v>1</v>
    </nc>
  </rcc>
  <rcc rId="3538" sId="2" numFmtId="19">
    <nc r="AE131">
      <v>43962</v>
    </nc>
  </rcc>
  <rcc rId="3539" sId="2" numFmtId="19">
    <nc r="AF131">
      <v>43962</v>
    </nc>
  </rcc>
  <rcc rId="3540" sId="2">
    <nc r="AG131" t="inlineStr">
      <is>
        <t>OK</t>
      </is>
    </nc>
  </rcc>
  <rcc rId="3541" sId="2" numFmtId="14">
    <nc r="AH131">
      <v>1</v>
    </nc>
  </rcc>
  <rcc rId="3542" sId="2" numFmtId="14">
    <nc r="AI131">
      <v>1</v>
    </nc>
  </rcc>
  <rcc rId="3543" sId="2" numFmtId="14">
    <nc r="AJ131">
      <v>1</v>
    </nc>
  </rcc>
  <rcc rId="3544" sId="2">
    <nc r="AK131" t="inlineStr">
      <is>
        <t>None</t>
      </is>
    </nc>
  </rcc>
  <rcc rId="3545" sId="2" numFmtId="19">
    <nc r="AE132">
      <v>43962</v>
    </nc>
  </rcc>
  <rcc rId="3546" sId="2" numFmtId="19">
    <nc r="AF132">
      <v>43962</v>
    </nc>
  </rcc>
  <rcc rId="3547" sId="2">
    <nc r="AG132" t="inlineStr">
      <is>
        <t>OK</t>
      </is>
    </nc>
  </rcc>
  <rcc rId="3548" sId="2" numFmtId="14">
    <nc r="AH132">
      <v>1</v>
    </nc>
  </rcc>
  <rcc rId="3549" sId="2" numFmtId="14">
    <nc r="AI132">
      <v>1</v>
    </nc>
  </rcc>
  <rcc rId="3550" sId="2" numFmtId="14">
    <nc r="AJ132">
      <v>1</v>
    </nc>
  </rcc>
  <rcc rId="3551" sId="2">
    <nc r="AK132" t="inlineStr">
      <is>
        <t>None</t>
      </is>
    </nc>
  </rcc>
  <rcc rId="3552" sId="2" numFmtId="14">
    <nc r="AJ130">
      <v>0.25</v>
    </nc>
  </rcc>
  <rcc rId="3553" sId="2" odxf="1" dxf="1">
    <nc r="AL130" t="inlineStr">
      <is>
        <t>cannot cover MCDC at line 232 because RBNet_Variant_EPS_14A_CH1_Rx_b() always equal to 1.</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v guid="{336B6883-2145-4B58-921E-CEC7185A847E}" action="delete"/>
  <rdn rId="0" localSheetId="1" customView="1" name="Z_336B6883_2145_4B58_921E_CEC7185A847E_.wvu.FilterData" hidden="1" oldHidden="1">
    <formula>Merged_COEM!$P$47:$P$195</formula>
    <oldFormula>Merged_COEM!$P$47:$P$195</oldFormula>
  </rdn>
  <rdn rId="0" localSheetId="2" customView="1" name="Z_336B6883_2145_4B58_921E_CEC7185A847E_.wvu.FilterData" hidden="1" oldHidden="1">
    <formula>Merged_JOEM!$B$47:$AN$145</formula>
    <oldFormula>Merged_JOEM!$B$47:$AN$116</oldFormula>
  </rdn>
  <rcv guid="{336B6883-2145-4B58-921E-CEC7185A847E}" action="add"/>
</revisions>
</file>

<file path=xl/revisions/revisionLog3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56" sId="1">
    <oc r="C153">
      <v>20200507</v>
    </oc>
    <nc r="C153">
      <v>20200508</v>
    </nc>
  </rcc>
  <rfmt sheetId="1" sqref="B153">
    <dxf>
      <fill>
        <patternFill patternType="none">
          <bgColor auto="1"/>
        </patternFill>
      </fill>
    </dxf>
  </rfmt>
  <rcc rId="3557" sId="1">
    <nc r="E154" t="inlineStr">
      <is>
        <t>RC_242264_SOKON_S513EVR_ESP9.3</t>
      </is>
    </nc>
  </rcc>
  <rcc rId="3558" sId="1">
    <nc r="E155" t="inlineStr">
      <is>
        <t>RC_242264_SOKON_S513EVR_ESP9.3</t>
      </is>
    </nc>
  </rcc>
  <rcc rId="3559" sId="1">
    <nc r="E156" t="inlineStr">
      <is>
        <t>RC_242264_SOKON_S513EVR_ESP9.3</t>
      </is>
    </nc>
  </rcc>
  <rcc rId="3560" sId="1">
    <nc r="E157" t="inlineStr">
      <is>
        <t>RC_242264_SOKON_S513EVR_ESP9.3</t>
      </is>
    </nc>
  </rcc>
  <rcc rId="3561" sId="1">
    <nc r="E158" t="inlineStr">
      <is>
        <t>RC_242264_SOKON_S513EVR_ESP9.3</t>
      </is>
    </nc>
  </rcc>
  <rcc rId="3562" sId="1">
    <nc r="E159" t="inlineStr">
      <is>
        <t>RC_242264_SOKON_S513EVR_ESP9.3</t>
      </is>
    </nc>
  </rcc>
  <rcc rId="3563" sId="1">
    <nc r="E160" t="inlineStr">
      <is>
        <t>RC_242264_SOKON_S513EVR_ESP9.3</t>
      </is>
    </nc>
  </rcc>
  <rcc rId="3564" sId="1">
    <nc r="E161" t="inlineStr">
      <is>
        <t>RC_242264_SOKON_S513EVR_ESP9.3</t>
      </is>
    </nc>
  </rcc>
  <rcc rId="3565" sId="1">
    <nc r="E162" t="inlineStr">
      <is>
        <t>RC_242264_SOKON_S513EVR_ESP9.3</t>
      </is>
    </nc>
  </rcc>
  <rcc rId="3566" sId="1">
    <nc r="E164" t="inlineStr">
      <is>
        <t>RC_242264_SOKON_S513EVR_ESP9.3</t>
      </is>
    </nc>
  </rcc>
  <rcc rId="3567" sId="1">
    <nc r="E165" t="inlineStr">
      <is>
        <t>RC_242264_SOKON_S513EVR_ESP9.3</t>
      </is>
    </nc>
  </rcc>
  <rcc rId="3568" sId="1">
    <nc r="E166" t="inlineStr">
      <is>
        <t>RC_242264_SOKON_S513EVR_ESP9.3</t>
      </is>
    </nc>
  </rcc>
  <rcc rId="3569" sId="1">
    <nc r="E167" t="inlineStr">
      <is>
        <t>RC_242264_SOKON_S513EVR_ESP9.3</t>
      </is>
    </nc>
  </rcc>
  <rcc rId="3570" sId="1">
    <nc r="E168" t="inlineStr">
      <is>
        <t>RC_242264_SOKON_S513EVR_ESP9.3</t>
      </is>
    </nc>
  </rcc>
  <rcc rId="3571" sId="1">
    <nc r="E169" t="inlineStr">
      <is>
        <t>GAC_Carbon_RPA_ESPHevx_Mainpath_BL04</t>
      </is>
    </nc>
  </rcc>
  <rcc rId="3572" sId="1">
    <nc r="E170" t="inlineStr">
      <is>
        <t>GAC_Carbon_RPA_ESPHevx_Mainpath_BL04</t>
      </is>
    </nc>
  </rcc>
  <rcc rId="3573" sId="1">
    <nc r="E171" t="inlineStr">
      <is>
        <t>MC_237270_GAC_A55CP_Carbon_ESP_BL02</t>
      </is>
    </nc>
  </rcc>
  <rcc rId="3574" sId="1">
    <nc r="E172" t="inlineStr">
      <is>
        <t>MC_237270_GAC_A55CP_Carbon_ESP_BL02</t>
      </is>
    </nc>
  </rcc>
  <rcc rId="3575" sId="1">
    <nc r="E173" t="inlineStr">
      <is>
        <t>GAC_220680_Carbon_A18_ESPHevx_FPA/RPA_BL05</t>
      </is>
    </nc>
  </rcc>
  <rcc rId="3576" sId="1">
    <nc r="M169" t="inlineStr">
      <is>
        <t>BL04</t>
      </is>
    </nc>
  </rcc>
  <rcc rId="3577" sId="1">
    <nc r="M170" t="inlineStr">
      <is>
        <t>BL04</t>
      </is>
    </nc>
  </rcc>
  <rcc rId="3578" sId="1">
    <nc r="M171" t="inlineStr">
      <is>
        <t>BL02</t>
      </is>
    </nc>
  </rcc>
  <rcc rId="3579" sId="1">
    <nc r="M172" t="inlineStr">
      <is>
        <t>BL02</t>
      </is>
    </nc>
  </rcc>
  <rcc rId="3580" sId="1">
    <nc r="M173" t="inlineStr">
      <is>
        <t>BL05</t>
      </is>
    </nc>
  </rcc>
  <rcc rId="3581" sId="1" quotePrefix="1">
    <nc r="F154" t="inlineStr">
      <is>
        <t xml:space="preserve">rb\as\dfsk\core\app\dcom\RBAPLCust\src\                </t>
      </is>
    </nc>
  </rcc>
  <rcc rId="3582" sId="1" quotePrefix="1">
    <nc r="F155" t="inlineStr">
      <is>
        <t xml:space="preserve">rb\as\dfsk\core\app\dcom\RBAPLCust\src\                </t>
      </is>
    </nc>
  </rcc>
  <rcc rId="3583" sId="1" quotePrefix="1">
    <nc r="F156" t="inlineStr">
      <is>
        <t xml:space="preserve">rb\as\dfsk\core\app\dcom\RBAPLCust\src\                </t>
      </is>
    </nc>
  </rcc>
  <rcc rId="3584" sId="1" quotePrefix="1">
    <nc r="F157" t="inlineStr">
      <is>
        <t xml:space="preserve">rb\as\dfsk\core\app\dcom\RBAPLCust\src\                </t>
      </is>
    </nc>
  </rcc>
  <rcc rId="3585" sId="1" quotePrefix="1">
    <nc r="F158" t="inlineStr">
      <is>
        <t xml:space="preserve">rb\as\dfsk\core\app\dcom\RBAPLCust\src\                </t>
      </is>
    </nc>
  </rcc>
  <rcc rId="3586" sId="1" quotePrefix="1">
    <nc r="F159" t="inlineStr">
      <is>
        <t xml:space="preserve">rb\as\dfsk\core\app\dcom\RBAPLCust\src\                </t>
      </is>
    </nc>
  </rcc>
  <rcc rId="3587" sId="1" quotePrefix="1">
    <nc r="F160" t="inlineStr">
      <is>
        <t xml:space="preserve">rb\as\dfsk\core\app\dcom\RBAPLCust\src\                </t>
      </is>
    </nc>
  </rcc>
  <rcc rId="3588" sId="1" quotePrefix="1">
    <nc r="F161" t="inlineStr">
      <is>
        <t xml:space="preserve">rb\as\dfsk\core\app\dcom\RBAPLCust\src\                </t>
      </is>
    </nc>
  </rcc>
  <rcc rId="3589" sId="1" quotePrefix="1">
    <nc r="F162" t="inlineStr">
      <is>
        <t xml:space="preserve">rb\as\dfsk\CpiwAPB\app\net\RbNetPrj\RBNet_Can\src\     </t>
      </is>
    </nc>
  </rcc>
  <rcc rId="3590" sId="1" quotePrefix="1">
    <nc r="F164" t="inlineStr">
      <is>
        <t xml:space="preserve">rb\as\dfsk\CpiwAPB\app\net\RBScl_BB99581\src\          </t>
      </is>
    </nc>
  </rcc>
  <rcc rId="3591" sId="1" quotePrefix="1">
    <nc r="F165" t="inlineStr">
      <is>
        <t xml:space="preserve">rb\as\dfsk\CpiwAPB\app\net\RBSTSP_Crank\RBCN\SRC\      </t>
      </is>
    </nc>
  </rcc>
  <rcc rId="3592" sId="1" quotePrefix="1">
    <nc r="F166" t="inlineStr">
      <is>
        <t xml:space="preserve">rb\as\dfsk\CpiwAPB\hswpr\tst\hswsim\src\               </t>
      </is>
    </nc>
  </rcc>
  <rcc rId="3593" sId="1" quotePrefix="1">
    <nc r="F167" t="inlineStr">
      <is>
        <t xml:space="preserve">rba\Bldr_dfsk\config\ApplicationLayer\rba_BldrCmp\src\ </t>
      </is>
    </nc>
  </rcc>
  <rcc rId="3594" sId="1" quotePrefix="1">
    <nc r="F168" t="inlineStr">
      <is>
        <t>rba\Bldr_dfsk\config\ApplicationLayer\rba_BldrCmp\src\</t>
      </is>
    </nc>
  </rcc>
  <rcc rId="3595" sId="1" quotePrefix="1">
    <nc r="F171" t="inlineStr">
      <is>
        <t>rb/as/core/app/net/RBNetSAS/src/RBNetSAS_Functions.c</t>
      </is>
    </nc>
  </rcc>
  <rcc rId="3596" sId="1" quotePrefix="1">
    <nc r="F172" t="inlineStr">
      <is>
        <t>rb/as/cnms_core/app/net/scl/Sensors/Steering/src/SAS_LWS_Standard.c</t>
      </is>
    </nc>
  </rcc>
  <rcc rId="3597" sId="1" quotePrefix="1">
    <nc r="F173" t="inlineStr">
      <is>
        <t>rb\as\gaig\prj\dsmpr\src\RBHMI\src\RBHMI_ESPiB_WarningLamp_GAC.c</t>
      </is>
    </nc>
  </rcc>
  <rcc rId="3598" sId="1">
    <nc r="G154">
      <v>1457196</v>
    </nc>
  </rcc>
  <rcc rId="3599" sId="1">
    <nc r="G155">
      <v>1457196</v>
    </nc>
  </rcc>
  <rcc rId="3600" sId="1">
    <nc r="G156">
      <v>1457196</v>
    </nc>
  </rcc>
  <rcc rId="3601" sId="1">
    <nc r="G157">
      <v>1457196</v>
    </nc>
  </rcc>
  <rcc rId="3602" sId="1">
    <nc r="G158">
      <v>1457196</v>
    </nc>
  </rcc>
  <rcc rId="3603" sId="1">
    <nc r="G159">
      <v>1457196</v>
    </nc>
  </rcc>
  <rcc rId="3604" sId="1">
    <nc r="G160">
      <v>1457196</v>
    </nc>
  </rcc>
  <rcc rId="3605" sId="1">
    <nc r="G161">
      <v>1457196</v>
    </nc>
  </rcc>
  <rcc rId="3606" sId="1">
    <nc r="G162">
      <v>1457196</v>
    </nc>
  </rcc>
  <rcc rId="3607" sId="1">
    <nc r="G164">
      <v>1457196</v>
    </nc>
  </rcc>
  <rcc rId="3608" sId="1">
    <nc r="G165">
      <v>1457196</v>
    </nc>
  </rcc>
  <rcc rId="3609" sId="1">
    <nc r="G166">
      <v>1457196</v>
    </nc>
  </rcc>
  <rcc rId="3610" sId="1">
    <nc r="G167">
      <v>1457196</v>
    </nc>
  </rcc>
  <rcc rId="3611" sId="1">
    <nc r="G168">
      <v>1457196</v>
    </nc>
  </rcc>
  <rcc rId="3612" sId="1">
    <nc r="G169">
      <v>1457821</v>
    </nc>
  </rcc>
  <rcc rId="3613" sId="1">
    <nc r="G170">
      <v>1458024</v>
    </nc>
  </rcc>
  <rcc rId="3614" sId="1">
    <nc r="G171">
      <v>1413974</v>
    </nc>
  </rcc>
  <rcc rId="3615" sId="1">
    <nc r="G172">
      <v>1413974</v>
    </nc>
  </rcc>
  <rcc rId="3616" sId="1">
    <nc r="G173">
      <v>1458032</v>
    </nc>
  </rcc>
  <rcc rId="3617" sId="1">
    <nc r="I154" t="inlineStr">
      <is>
        <t>RBAPLCUST_DFSK_RoutineControl_CheckProgrammingPrecondition.c</t>
      </is>
    </nc>
  </rcc>
  <rcc rId="3618" sId="1">
    <nc r="I155" t="inlineStr">
      <is>
        <t>RBAPLCUST_DiagnosticSessionControl.c</t>
      </is>
    </nc>
  </rcc>
  <rcc rId="3619" sId="1">
    <nc r="I156" t="inlineStr">
      <is>
        <t>RBAPLCUST_RBDI_CustomerHardwareVersion.c</t>
      </is>
    </nc>
  </rcc>
  <rcc rId="3620" sId="1">
    <nc r="I157" t="inlineStr">
      <is>
        <t>RBAPLCUST_RBDI_CustomerSoftwareVersion.c</t>
      </is>
    </nc>
  </rcc>
  <rcc rId="3621" sId="1">
    <nc r="I158" t="inlineStr">
      <is>
        <t>RBAPLCUST_RBDI_NVMData.c</t>
      </is>
    </nc>
  </rcc>
  <rcc rId="3622" sId="1">
    <nc r="I159" t="inlineStr">
      <is>
        <t>RBAPLCUST_RBDI_VariandCode.c</t>
      </is>
    </nc>
  </rcc>
  <rcc rId="3623" sId="1">
    <nc r="I160" t="inlineStr">
      <is>
        <t>RBAPLCUST_SecurityAccess.c</t>
      </is>
    </nc>
  </rcc>
  <rcc rId="3624" sId="1">
    <nc r="I161" t="inlineStr">
      <is>
        <t>RBAPLCUST_WDBI_NVMData.c</t>
      </is>
    </nc>
  </rcc>
  <rcc rId="3625" sId="1">
    <nc r="I162" t="inlineStr">
      <is>
        <t>NET_MonitoringClasses_F30.c</t>
      </is>
    </nc>
  </rcc>
  <rcc rId="3626" sId="1">
    <nc r="I164" t="inlineStr">
      <is>
        <t>NET_SCL_Rx_VAM_SOKON.c</t>
      </is>
    </nc>
  </rcc>
  <rcc rId="3627" sId="1">
    <nc r="I165" t="inlineStr">
      <is>
        <t>rba_StartStopAndCranking.c</t>
      </is>
    </nc>
  </rcc>
  <rcc rId="3628" sId="1">
    <nc r="I166" t="inlineStr">
      <is>
        <t>TestEnvironment_Fee_S513.c</t>
      </is>
    </nc>
  </rcc>
  <rcc rId="3629" sId="1">
    <nc r="I167" t="inlineStr">
      <is>
        <t>rba_BldrCmp_Cfg_NvmIf.c</t>
      </is>
    </nc>
  </rcc>
  <rcc rId="3630" sId="1">
    <nc r="I168" t="inlineStr">
      <is>
        <t>rba_BldrCmp_Cfg_PrjFunctions.c</t>
      </is>
    </nc>
  </rcc>
  <rcc rId="3631" sId="1">
    <nc r="I169" t="inlineStr">
      <is>
        <t>NET_SCL_GAC_Complex_function.c</t>
      </is>
    </nc>
  </rcc>
  <rcc rId="3632" sId="1">
    <nc r="I170" t="inlineStr">
      <is>
        <t>RBA_NDS_YAWRATE_Callout.c</t>
      </is>
    </nc>
  </rcc>
  <rcc rId="3633" sId="1">
    <nc r="I171" t="inlineStr">
      <is>
        <t>RBNetSAS_Functions.c</t>
      </is>
    </nc>
  </rcc>
  <rcc rId="3634" sId="1">
    <nc r="I172" t="inlineStr">
      <is>
        <t>SAS_LWS_Standard.c</t>
      </is>
    </nc>
  </rcc>
  <rcc rId="3635" sId="1">
    <nc r="I173" t="inlineStr">
      <is>
        <t>RBHMI_ESPiB_WarningLamp_GAC.c</t>
      </is>
    </nc>
  </rcc>
  <rcc rId="3636" sId="1">
    <nc r="W155">
      <v>35</v>
    </nc>
  </rcc>
  <rcc rId="3637" sId="1">
    <nc r="W156">
      <v>271</v>
    </nc>
  </rcc>
  <rcc rId="3638" sId="1">
    <nc r="W157">
      <v>21</v>
    </nc>
  </rcc>
  <rcc rId="3639" sId="1">
    <nc r="W158">
      <v>21</v>
    </nc>
  </rcc>
  <rcc rId="3640" sId="1">
    <nc r="W159">
      <v>162</v>
    </nc>
  </rcc>
  <rcc rId="3641" sId="1">
    <nc r="W160">
      <v>229</v>
    </nc>
  </rcc>
  <rcc rId="3642" sId="1">
    <nc r="W161">
      <v>288</v>
    </nc>
  </rcc>
  <rcc rId="3643" sId="1">
    <nc r="W162">
      <v>46</v>
    </nc>
  </rcc>
  <rcc rId="3644" sId="1">
    <nc r="W164">
      <v>41</v>
    </nc>
  </rcc>
  <rcc rId="3645" sId="1">
    <nc r="W165">
      <v>485</v>
    </nc>
  </rcc>
  <rcc rId="3646" sId="1">
    <nc r="W166">
      <v>10</v>
    </nc>
  </rcc>
  <rcc rId="3647" sId="1">
    <nc r="W167">
      <v>135</v>
    </nc>
  </rcc>
  <rcc rId="3648" sId="1">
    <nc r="W168">
      <v>178</v>
    </nc>
  </rcc>
  <rcc rId="3649" sId="1">
    <nc r="W169">
      <v>1009</v>
    </nc>
  </rcc>
  <rcc rId="3650" sId="1">
    <nc r="W170">
      <v>90</v>
    </nc>
  </rcc>
  <rcc rId="3651" sId="1">
    <nc r="W171">
      <v>36</v>
    </nc>
  </rcc>
  <rcc rId="3652" sId="1">
    <nc r="W172">
      <v>236</v>
    </nc>
  </rcc>
  <rcc rId="3653" sId="1">
    <nc r="W173">
      <v>63</v>
    </nc>
  </rcc>
  <rcc rId="3654" sId="1" quotePrefix="1">
    <nc r="P154" t="inlineStr">
      <is>
        <t>Nguyen Hiep Thanh (RBVH/EAS11)</t>
      </is>
    </nc>
  </rcc>
  <rcc rId="3655" sId="1" quotePrefix="1">
    <nc r="P155" t="inlineStr">
      <is>
        <t>Nguyen Hiep Thanh (RBVH/EAS11)</t>
      </is>
    </nc>
  </rcc>
  <rcc rId="3656" sId="1" quotePrefix="1">
    <nc r="P156" t="inlineStr">
      <is>
        <t>Nguyen Hiep Thanh (RBVH/EAS11)</t>
      </is>
    </nc>
  </rcc>
  <rcc rId="3657" sId="1" quotePrefix="1">
    <nc r="P157" t="inlineStr">
      <is>
        <t>Nguyen Hiep Thanh (RBVH/EAS11)</t>
      </is>
    </nc>
  </rcc>
  <rcc rId="3658" sId="1" quotePrefix="1">
    <nc r="P158" t="inlineStr">
      <is>
        <t>Nguyen Hiep Thanh (RBVH/EAS11)</t>
      </is>
    </nc>
  </rcc>
  <rcc rId="3659" sId="1" quotePrefix="1">
    <nc r="P159" t="inlineStr">
      <is>
        <t>Nguyen Hiep Thanh (RBVH/EAS11)</t>
      </is>
    </nc>
  </rcc>
  <rcc rId="3660" sId="1" quotePrefix="1">
    <nc r="P160" t="inlineStr">
      <is>
        <t>Nguyen Hiep Thanh (RBVH/EAS11)</t>
      </is>
    </nc>
  </rcc>
  <rcc rId="3661" sId="1" quotePrefix="1">
    <nc r="P161" t="inlineStr">
      <is>
        <t>Nguyen Hiep Thanh (RBVH/EAS11)</t>
      </is>
    </nc>
  </rcc>
  <rcc rId="3662" sId="1" quotePrefix="1">
    <nc r="P162" t="inlineStr">
      <is>
        <t>Nguyen Hiep Thanh (RBVH/EAS11)</t>
      </is>
    </nc>
  </rcc>
  <rcc rId="3663" sId="1" quotePrefix="1">
    <nc r="P164" t="inlineStr">
      <is>
        <t>Nguyen Hiep Thanh (RBVH/EAS11)</t>
      </is>
    </nc>
  </rcc>
  <rcc rId="3664" sId="1" quotePrefix="1">
    <nc r="P165" t="inlineStr">
      <is>
        <t>Nguyen Hiep Thanh (RBVH/EAS11)</t>
      </is>
    </nc>
  </rcc>
  <rcc rId="3665" sId="1" quotePrefix="1">
    <nc r="P166" t="inlineStr">
      <is>
        <t>Nguyen Hiep Thanh (RBVH/EAS11)</t>
      </is>
    </nc>
  </rcc>
  <rcc rId="3666" sId="1" quotePrefix="1">
    <nc r="P167" t="inlineStr">
      <is>
        <t>Nguyen Hiep Thanh (RBVH/EAS11)</t>
      </is>
    </nc>
  </rcc>
  <rcc rId="3667" sId="1" quotePrefix="1">
    <nc r="P168" t="inlineStr">
      <is>
        <t>Nguyen Hiep Thanh (RBVH/EAS11)</t>
      </is>
    </nc>
  </rcc>
  <rcc rId="3668" sId="1" quotePrefix="1">
    <nc r="P169" t="inlineStr">
      <is>
        <t>ZHOU Xiaoxi (CC-AS/EVA-SW31-CN)</t>
      </is>
    </nc>
  </rcc>
  <rcc rId="3669" sId="1" quotePrefix="1">
    <nc r="P170" t="inlineStr">
      <is>
        <t>ZHOU Xiaoxi (CC-AS/EVA-SW31-CN)</t>
      </is>
    </nc>
  </rcc>
  <rcc rId="3670" sId="1" quotePrefix="1">
    <nc r="P171" t="inlineStr">
      <is>
        <t>ZHANG Yu (CC-AS/EVA-SW31-CN)</t>
      </is>
    </nc>
  </rcc>
  <rcc rId="3671" sId="1" quotePrefix="1">
    <nc r="P172" t="inlineStr">
      <is>
        <t>ZHANG Yu (CC-AS/EVA-SW31-CN)</t>
      </is>
    </nc>
  </rcc>
  <rcc rId="3672" sId="1" quotePrefix="1">
    <nc r="P173" t="inlineStr">
      <is>
        <t>CHEN Xiaomin (CC-AS/EVA-SW31-CN)</t>
      </is>
    </nc>
  </rcc>
  <rcc rId="3673" sId="1">
    <nc r="L154" t="inlineStr">
      <is>
        <t>None</t>
      </is>
    </nc>
  </rcc>
  <rcc rId="3674" sId="1">
    <nc r="L155" t="inlineStr">
      <is>
        <t>None</t>
      </is>
    </nc>
  </rcc>
  <rcc rId="3675" sId="1">
    <nc r="L156" t="inlineStr">
      <is>
        <t>None</t>
      </is>
    </nc>
  </rcc>
  <rcc rId="3676" sId="1">
    <nc r="L157" t="inlineStr">
      <is>
        <t>None</t>
      </is>
    </nc>
  </rcc>
  <rcc rId="3677" sId="1">
    <nc r="L158" t="inlineStr">
      <is>
        <t>None</t>
      </is>
    </nc>
  </rcc>
  <rcc rId="3678" sId="1">
    <nc r="L159" t="inlineStr">
      <is>
        <t>None</t>
      </is>
    </nc>
  </rcc>
  <rcc rId="3679" sId="1">
    <nc r="L160" t="inlineStr">
      <is>
        <t>None</t>
      </is>
    </nc>
  </rcc>
  <rcc rId="3680" sId="1">
    <nc r="L161" t="inlineStr">
      <is>
        <t>None</t>
      </is>
    </nc>
  </rcc>
  <rcc rId="3681" sId="1">
    <nc r="L162" t="inlineStr">
      <is>
        <t>None</t>
      </is>
    </nc>
  </rcc>
  <rcc rId="3682" sId="1">
    <nc r="L164" t="inlineStr">
      <is>
        <t>None</t>
      </is>
    </nc>
  </rcc>
  <rcc rId="3683" sId="1">
    <nc r="L165" t="inlineStr">
      <is>
        <t>None</t>
      </is>
    </nc>
  </rcc>
  <rcc rId="3684" sId="1">
    <nc r="L166" t="inlineStr">
      <is>
        <t>None</t>
      </is>
    </nc>
  </rcc>
  <rcc rId="3685" sId="1">
    <nc r="L167" t="inlineStr">
      <is>
        <t>None</t>
      </is>
    </nc>
  </rcc>
  <rcc rId="3686" sId="1">
    <nc r="L168" t="inlineStr">
      <is>
        <t>None</t>
      </is>
    </nc>
  </rcc>
  <rcc rId="3687" sId="1">
    <nc r="L169" t="inlineStr">
      <is>
        <t>BB99308</t>
      </is>
    </nc>
  </rcc>
  <rcc rId="3688" sId="1">
    <nc r="L170" t="inlineStr">
      <is>
        <t>BB99308</t>
      </is>
    </nc>
  </rcc>
  <rcc rId="3689" sId="1">
    <nc r="L171" t="inlineStr">
      <is>
        <t>BB81449</t>
      </is>
    </nc>
  </rcc>
  <rcc rId="3690" sId="1">
    <nc r="L172" t="inlineStr">
      <is>
        <t>BB81449</t>
      </is>
    </nc>
  </rcc>
  <rcc rId="3691" sId="1">
    <nc r="L173" t="inlineStr">
      <is>
        <t>BB99308</t>
      </is>
    </nc>
  </rcc>
  <rcc rId="3692" sId="1">
    <nc r="N154" t="inlineStr">
      <is>
        <t>DFSK_ESP93_EV_Mainstream_Int</t>
      </is>
    </nc>
  </rcc>
  <rcc rId="3693" sId="1">
    <nc r="N155" t="inlineStr">
      <is>
        <t>DFSK_ESP93_EV_Mainstream_Int</t>
      </is>
    </nc>
  </rcc>
  <rcc rId="3694" sId="1">
    <nc r="N156" t="inlineStr">
      <is>
        <t>DFSK_ESP93_EV_Mainstream_Int</t>
      </is>
    </nc>
  </rcc>
  <rcc rId="3695" sId="1">
    <nc r="N157" t="inlineStr">
      <is>
        <t>DFSK_ESP93_EV_Mainstream_Int</t>
      </is>
    </nc>
  </rcc>
  <rcc rId="3696" sId="1">
    <nc r="N158" t="inlineStr">
      <is>
        <t>DFSK_ESP93_EV_Mainstream_Int</t>
      </is>
    </nc>
  </rcc>
  <rcc rId="3697" sId="1">
    <nc r="N159" t="inlineStr">
      <is>
        <t>DFSK_ESP93_EV_Mainstream_Int</t>
      </is>
    </nc>
  </rcc>
  <rcc rId="3698" sId="1">
    <nc r="N160" t="inlineStr">
      <is>
        <t>DFSK_ESP93_EV_Mainstream_Int</t>
      </is>
    </nc>
  </rcc>
  <rcc rId="3699" sId="1">
    <nc r="N161" t="inlineStr">
      <is>
        <t>DFSK_ESP93_EV_Mainstream_Int</t>
      </is>
    </nc>
  </rcc>
  <rcc rId="3700" sId="1">
    <nc r="N162" t="inlineStr">
      <is>
        <t>DFSK_ESP93_EV_Mainstream_Int</t>
      </is>
    </nc>
  </rcc>
  <rcc rId="3701" sId="1">
    <nc r="N164" t="inlineStr">
      <is>
        <t>DFSK_ESP93_EV_Mainstream_Int</t>
      </is>
    </nc>
  </rcc>
  <rcc rId="3702" sId="1">
    <nc r="N165" t="inlineStr">
      <is>
        <t>DFSK_ESP93_EV_Mainstream_Int</t>
      </is>
    </nc>
  </rcc>
  <rcc rId="3703" sId="1">
    <nc r="N166" t="inlineStr">
      <is>
        <t>DFSK_ESP93_EV_Mainstream_Int</t>
      </is>
    </nc>
  </rcc>
  <rcc rId="3704" sId="1">
    <nc r="N167" t="inlineStr">
      <is>
        <t>DFSK_ESP93_EV_Mainstream_Int</t>
      </is>
    </nc>
  </rcc>
  <rcc rId="3705" sId="1">
    <nc r="N168" t="inlineStr">
      <is>
        <t>DFSK_ESP93_EV_Mainstream_Int</t>
      </is>
    </nc>
  </rcc>
  <rcc rId="3706" sId="1">
    <nc r="N169" t="inlineStr">
      <is>
        <t>GAC_ESPHevX_HADHAP_Int</t>
      </is>
    </nc>
  </rcc>
  <rcc rId="3707" sId="1">
    <nc r="N170" t="inlineStr">
      <is>
        <t>GAC_ESPHevX_HADHAP_Int</t>
      </is>
    </nc>
  </rcc>
  <rcc rId="3708" sId="1">
    <nc r="N171" t="inlineStr">
      <is>
        <t>GAC_ESP93CP_Carbon_Int</t>
      </is>
    </nc>
  </rcc>
  <rcc rId="3709" sId="1">
    <nc r="N172" t="inlineStr">
      <is>
        <t>GAC_ESP93CP_Carbon_Int</t>
      </is>
    </nc>
  </rcc>
  <rcc rId="3710" sId="1">
    <nc r="N173" t="inlineStr">
      <is>
        <t>GAC_ESPHevX_HADHAP_Int</t>
      </is>
    </nc>
  </rcc>
  <rcc rId="3711" sId="1" numFmtId="19">
    <nc r="AD154">
      <v>43965</v>
    </nc>
  </rcc>
  <rcc rId="3712" sId="1" numFmtId="19">
    <nc r="AD155">
      <v>43965</v>
    </nc>
  </rcc>
  <rcc rId="3713" sId="1" numFmtId="19">
    <nc r="AD156">
      <v>43965</v>
    </nc>
  </rcc>
  <rcc rId="3714" sId="1" numFmtId="19">
    <nc r="AD157">
      <v>43965</v>
    </nc>
  </rcc>
  <rcc rId="3715" sId="1" numFmtId="19">
    <nc r="AD158">
      <v>43965</v>
    </nc>
  </rcc>
  <rcc rId="3716" sId="1" numFmtId="19">
    <nc r="AD159">
      <v>43965</v>
    </nc>
  </rcc>
  <rcc rId="3717" sId="1" numFmtId="19">
    <nc r="AD160">
      <v>43965</v>
    </nc>
  </rcc>
  <rcc rId="3718" sId="1" numFmtId="19">
    <nc r="AD161">
      <v>43965</v>
    </nc>
  </rcc>
  <rcc rId="3719" sId="1" numFmtId="19">
    <nc r="AD162">
      <v>43965</v>
    </nc>
  </rcc>
  <rcc rId="3720" sId="1" numFmtId="19">
    <nc r="AD164">
      <v>43965</v>
    </nc>
  </rcc>
  <rcc rId="3721" sId="1" numFmtId="19">
    <nc r="AD165">
      <v>43965</v>
    </nc>
  </rcc>
  <rcc rId="3722" sId="1" numFmtId="19">
    <nc r="AD166">
      <v>43965</v>
    </nc>
  </rcc>
  <rcc rId="3723" sId="1" numFmtId="19">
    <nc r="AD167">
      <v>43965</v>
    </nc>
  </rcc>
  <rcc rId="3724" sId="1" numFmtId="19">
    <nc r="AD168">
      <v>43965</v>
    </nc>
  </rcc>
  <rcc rId="3725" sId="1" numFmtId="19">
    <nc r="AD169">
      <v>43962</v>
    </nc>
  </rcc>
  <rcc rId="3726" sId="1" numFmtId="19">
    <nc r="AD170">
      <v>43962</v>
    </nc>
  </rcc>
  <rcc rId="3727" sId="1" numFmtId="19">
    <nc r="AD171">
      <v>43962</v>
    </nc>
  </rcc>
  <rcc rId="3728" sId="1" numFmtId="19">
    <nc r="AD172">
      <v>43962</v>
    </nc>
  </rcc>
  <rcc rId="3729" sId="1" numFmtId="19">
    <nc r="AD173">
      <v>43962</v>
    </nc>
  </rcc>
  <rcc rId="3730" sId="1">
    <nc r="C163">
      <v>20200508</v>
    </nc>
  </rcc>
  <rcc rId="3731" sId="1">
    <nc r="E163" t="inlineStr">
      <is>
        <t>RC_242264_SOKON_S513EVR_ESP9.3</t>
      </is>
    </nc>
  </rcc>
  <rcc rId="3732" sId="1" quotePrefix="1">
    <nc r="F163" t="inlineStr">
      <is>
        <t>DFSK_ESP93_EV_Mainstream_Int\MainstreamF30\rb\as\dfsk\CpiwAPB\app\net\RbNetPrj\RBNet_Can\src\NET_SCL_InitPrc_CNMS.c</t>
      </is>
    </nc>
  </rcc>
  <rcc rId="3733" sId="1">
    <nc r="G163">
      <v>1457196</v>
    </nc>
  </rcc>
  <rcc rId="3734" sId="1">
    <nc r="H163" t="inlineStr">
      <is>
        <t>-</t>
      </is>
    </nc>
  </rcc>
  <rcc rId="3735" sId="1">
    <nc r="I163" t="inlineStr">
      <is>
        <t>NET_SCL_InitPrc_CNMS.c</t>
      </is>
    </nc>
  </rcc>
  <rcc rId="3736" sId="1">
    <nc r="J163" t="inlineStr">
      <is>
        <t>-</t>
      </is>
    </nc>
  </rcc>
  <rcc rId="3737" sId="1">
    <nc r="K163" t="inlineStr">
      <is>
        <t>Auto</t>
      </is>
    </nc>
  </rcc>
  <rcc rId="3738" sId="1">
    <nc r="L163" t="inlineStr">
      <is>
        <t>None</t>
      </is>
    </nc>
  </rcc>
  <rcc rId="3739" sId="1">
    <nc r="M163" t="inlineStr">
      <is>
        <t>None</t>
      </is>
    </nc>
  </rcc>
  <rcc rId="3740" sId="1">
    <nc r="N163" t="inlineStr">
      <is>
        <t>DFSK_ESP93_EV_Mainstream_Int</t>
      </is>
    </nc>
  </rcc>
  <rcc rId="3741" sId="1" quotePrefix="1">
    <nc r="P163" t="inlineStr">
      <is>
        <t>Nguyen Hiep Thanh (RBVH/EAS11)</t>
      </is>
    </nc>
  </rcc>
  <rcc rId="3742" sId="1">
    <nc r="R163" t="inlineStr">
      <is>
        <t>-</t>
      </is>
    </nc>
  </rcc>
  <rcc rId="3743" sId="1">
    <nc r="S163" t="inlineStr">
      <is>
        <t>bang.nguyen-duy</t>
      </is>
    </nc>
  </rcc>
  <rcc rId="3744" sId="1">
    <nc r="V163">
      <v>107</v>
    </nc>
  </rcc>
  <rcc rId="3745" sId="1">
    <nc r="W163">
      <v>107</v>
    </nc>
  </rcc>
  <rcc rId="3746" sId="1">
    <nc r="X163">
      <v>107</v>
    </nc>
  </rcc>
  <rcc rId="3747" sId="1">
    <nc r="Y163">
      <v>1.9</v>
    </nc>
  </rcc>
  <rcc rId="3748" sId="1">
    <nc r="Z163">
      <v>0.5</v>
    </nc>
  </rcc>
  <rcc rId="3749" sId="1">
    <nc r="AA163" t="inlineStr">
      <is>
        <t>Ready for review</t>
      </is>
    </nc>
  </rcc>
  <rcc rId="3750" sId="1" numFmtId="19">
    <nc r="AC163">
      <v>43962</v>
    </nc>
  </rcc>
  <rcc rId="3751" sId="1" numFmtId="19">
    <nc r="AD163">
      <v>43965</v>
    </nc>
  </rcc>
  <rcc rId="3752" sId="1" numFmtId="19">
    <nc r="AE163">
      <v>43962</v>
    </nc>
  </rcc>
  <rcc rId="3753" sId="1" numFmtId="19">
    <nc r="AF163">
      <v>43962</v>
    </nc>
  </rcc>
  <rcc rId="3754" sId="1">
    <nc r="AG163" t="inlineStr">
      <is>
        <t>OK</t>
      </is>
    </nc>
  </rcc>
  <rcc rId="3755" sId="1" numFmtId="14">
    <nc r="AH163">
      <v>1</v>
    </nc>
  </rcc>
  <rcc rId="3756" sId="1" numFmtId="14">
    <nc r="AI163">
      <v>1</v>
    </nc>
  </rcc>
  <rcc rId="3757" sId="1" numFmtId="14">
    <nc r="AJ163">
      <v>1</v>
    </nc>
  </rcc>
  <rcc rId="3758" sId="1">
    <nc r="AK163" t="inlineStr">
      <is>
        <t>None</t>
      </is>
    </nc>
  </rcc>
  <rrc rId="3759" sId="1" ref="A153:XFD153" action="deleteRow">
    <undo index="0" exp="area" ref3D="1" dr="$B$47:$AN$153" dn="Z_A2C66332_A809_458E_971B_FDB6D62C74C3_.wvu.FilterData" sId="1"/>
    <undo index="0" exp="area" ref3D="1" dr="$B$47:$AN$153" dn="_FilterDatabase" sId="1"/>
    <undo index="0" exp="area" ref3D="1" dr="$B$47:$AN$153" dn="Z_250915DF_0B97_45D7_B29D_7EED4C89C1C1_.wvu.FilterData" sId="1"/>
    <rfmt sheetId="1" xfDxf="1" sqref="A153:XFD153" start="0" length="0"/>
    <rcc rId="0" sId="1" dxf="1">
      <nc r="B153">
        <f>B152+1</f>
      </nc>
      <n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C153">
        <v>20200508</v>
      </nc>
      <ndxf>
        <alignment horizontal="left" vertical="top" readingOrder="0"/>
        <border outline="0">
          <left style="thin">
            <color indexed="64"/>
          </left>
          <right style="thin">
            <color indexed="64"/>
          </right>
          <top style="thin">
            <color indexed="64"/>
          </top>
          <bottom style="thin">
            <color indexed="64"/>
          </bottom>
        </border>
      </ndxf>
    </rcc>
    <rcc rId="0" sId="1" dxf="1">
      <nc r="D153" t="inlineStr">
        <is>
          <t>PSW</t>
        </is>
      </nc>
      <ndxf>
        <alignment horizontal="left" vertical="top" readingOrder="0"/>
        <border outline="0">
          <left style="thin">
            <color indexed="64"/>
          </left>
          <right style="thin">
            <color indexed="64"/>
          </right>
          <top style="thin">
            <color indexed="64"/>
          </top>
          <bottom style="thin">
            <color indexed="64"/>
          </bottom>
        </border>
      </ndxf>
    </rcc>
    <rcc rId="0" sId="1" dxf="1">
      <nc r="E153" t="inlineStr">
        <is>
          <t>RC_242264_SOKON_S513EVR_ESP9.3</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F153" t="inlineStr">
        <is>
          <t>DFSK_ESP93_EV_Mainstream_Int\MainstreamF30\rb\as\dfsk\CpiwAPB\app\net\RbNetPrj\RBNet_Can\src\NET_SCL_InitPrc_CNMS.c</t>
        </is>
      </nc>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0" sId="1" dxf="1">
      <nc r="G153">
        <v>1457196</v>
      </nc>
      <ndxf>
        <alignment horizontal="left" vertical="top" readingOrder="0"/>
        <border outline="0">
          <left style="thin">
            <color indexed="64"/>
          </left>
          <right style="thin">
            <color indexed="64"/>
          </right>
          <top style="thin">
            <color indexed="64"/>
          </top>
          <bottom style="thin">
            <color indexed="64"/>
          </bottom>
        </border>
      </ndxf>
    </rcc>
    <rcc rId="0" sId="1" dxf="1" quotePrefix="1">
      <nc r="H153"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I153"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0" sId="1" dxf="1" quotePrefix="1">
      <nc r="J153"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K153" t="inlineStr">
        <is>
          <t>Auto</t>
        </is>
      </nc>
      <ndxf>
        <alignment horizontal="left" vertical="top" readingOrder="0"/>
        <border outline="0">
          <left style="thin">
            <color indexed="64"/>
          </left>
          <right style="thin">
            <color indexed="64"/>
          </right>
          <top style="thin">
            <color indexed="64"/>
          </top>
          <bottom style="thin">
            <color indexed="64"/>
          </bottom>
        </border>
      </ndxf>
    </rcc>
    <rcc rId="0" sId="1" dxf="1">
      <nc r="L153"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M153" t="inlineStr">
        <is>
          <t>None</t>
        </is>
      </nc>
      <ndxf>
        <alignment horizontal="left" vertical="top" readingOrder="0"/>
        <border outline="0">
          <left style="thin">
            <color indexed="64"/>
          </left>
          <right style="thin">
            <color indexed="64"/>
          </right>
          <top style="thin">
            <color indexed="64"/>
          </top>
          <bottom style="thin">
            <color indexed="64"/>
          </bottom>
        </border>
      </ndxf>
    </rcc>
    <rcc rId="0" sId="1" dxf="1">
      <nc r="N153" t="inlineStr">
        <is>
          <t>DFSK_ESP93_EV_Mainstream_Int</t>
        </is>
      </nc>
      <ndxf>
        <alignment horizontal="left" vertical="top" readingOrder="0"/>
        <border outline="0">
          <left style="thin">
            <color indexed="64"/>
          </left>
          <right style="thin">
            <color indexed="64"/>
          </right>
          <top style="thin">
            <color indexed="64"/>
          </top>
          <bottom style="thin">
            <color indexed="64"/>
          </bottom>
        </border>
      </ndxf>
    </rcc>
    <rfmt sheetId="1" sqref="O153" start="0" length="0">
      <dxf>
        <alignment horizontal="left" vertical="top" readingOrder="0"/>
        <border outline="0">
          <left style="thin">
            <color indexed="64"/>
          </left>
          <right style="thin">
            <color indexed="64"/>
          </right>
          <top style="thin">
            <color indexed="64"/>
          </top>
          <bottom style="thin">
            <color indexed="64"/>
          </bottom>
        </border>
      </dxf>
    </rfmt>
    <rcc rId="0" sId="1" dxf="1" quotePrefix="1">
      <nc r="P153" t="inlineStr">
        <is>
          <t>Nguyen Hiep Thanh (RBVH/EAS11)</t>
        </is>
      </nc>
      <ndxf>
        <alignment horizontal="left" vertical="top" readingOrder="0"/>
        <border outline="0">
          <left style="thin">
            <color indexed="64"/>
          </left>
          <right style="thin">
            <color indexed="64"/>
          </right>
          <top style="thin">
            <color indexed="64"/>
          </top>
          <bottom style="thin">
            <color indexed="64"/>
          </bottom>
        </border>
      </ndxf>
    </rcc>
    <rfmt sheetId="1" sqref="Q153"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cc rId="0" sId="1" dxf="1" quotePrefix="1">
      <nc r="R153" t="inlineStr">
        <is>
          <t>-</t>
        </is>
      </nc>
      <n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ndxf>
    </rcc>
    <rcc rId="0" sId="1" dxf="1">
      <nc r="S153" t="inlineStr">
        <is>
          <t>bang.nguyen-duy</t>
        </is>
      </nc>
      <ndxf>
        <alignment horizontal="left" vertical="top" readingOrder="0"/>
        <border outline="0">
          <left style="thin">
            <color indexed="64"/>
          </left>
          <right style="thin">
            <color indexed="64"/>
          </right>
          <top style="thin">
            <color indexed="64"/>
          </top>
          <bottom style="thin">
            <color indexed="64"/>
          </bottom>
        </border>
      </ndxf>
    </rcc>
    <rfmt sheetId="1" sqref="T153" start="0" length="0">
      <dxf>
        <alignment horizontal="left" vertical="top" readingOrder="0"/>
        <border outline="0">
          <left style="thin">
            <color indexed="64"/>
          </left>
          <right style="thin">
            <color indexed="64"/>
          </right>
          <top style="thin">
            <color indexed="64"/>
          </top>
          <bottom style="thin">
            <color indexed="64"/>
          </bottom>
        </border>
      </dxf>
    </rfmt>
    <rfmt sheetId="1" sqref="U153" start="0" length="0">
      <dxf>
        <alignment horizontal="left" vertical="top" readingOrder="0"/>
        <border outline="0">
          <left style="thin">
            <color indexed="64"/>
          </left>
          <right style="thin">
            <color indexed="64"/>
          </right>
          <top style="thin">
            <color indexed="64"/>
          </top>
          <bottom style="thin">
            <color indexed="64"/>
          </bottom>
        </border>
      </dxf>
    </rfmt>
    <rcc rId="0" sId="1" dxf="1">
      <nc r="V153">
        <v>107</v>
      </nc>
      <ndxf>
        <alignment horizontal="left" vertical="top" readingOrder="0"/>
        <border outline="0">
          <left style="thin">
            <color indexed="64"/>
          </left>
          <right style="thin">
            <color indexed="64"/>
          </right>
          <top style="thin">
            <color indexed="64"/>
          </top>
          <bottom style="thin">
            <color indexed="64"/>
          </bottom>
        </border>
      </ndxf>
    </rcc>
    <rcc rId="0" sId="1" dxf="1">
      <nc r="W153">
        <f>V153</f>
      </nc>
      <ndxf>
        <alignment horizontal="left" vertical="top" readingOrder="0"/>
        <border outline="0">
          <left style="thin">
            <color indexed="64"/>
          </left>
          <right style="thin">
            <color indexed="64"/>
          </right>
          <top style="thin">
            <color indexed="64"/>
          </top>
          <bottom style="thin">
            <color indexed="64"/>
          </bottom>
        </border>
      </ndxf>
    </rcc>
    <rcc rId="0" sId="1" dxf="1">
      <nc r="X153">
        <f>W153</f>
      </nc>
      <ndxf>
        <alignment horizontal="left" vertical="top" readingOrder="0"/>
        <border outline="0">
          <left style="thin">
            <color indexed="64"/>
          </left>
          <right style="thin">
            <color indexed="64"/>
          </right>
          <top style="thin">
            <color indexed="64"/>
          </top>
          <bottom style="thin">
            <color indexed="64"/>
          </bottom>
        </border>
      </ndxf>
    </rcc>
    <rcc rId="0" sId="1" dxf="1">
      <nc r="Y153">
        <f>ROUNDDOWN(W153/HLOOKUP(D153,Table!$C$3:$D$4,2,0)*8,2)</f>
      </nc>
      <ndxf>
        <alignment horizontal="left" vertical="top" readingOrder="0"/>
        <border outline="0">
          <left style="thin">
            <color indexed="64"/>
          </left>
          <right style="thin">
            <color indexed="64"/>
          </right>
          <top style="thin">
            <color indexed="64"/>
          </top>
          <bottom style="thin">
            <color indexed="64"/>
          </bottom>
        </border>
      </ndxf>
    </rcc>
    <rcc rId="0" sId="1" dxf="1">
      <nc r="Z153">
        <v>0.5</v>
      </nc>
      <ndxf>
        <alignment horizontal="left" vertical="top" readingOrder="0"/>
        <border outline="0">
          <left style="thin">
            <color indexed="64"/>
          </left>
          <right style="thin">
            <color indexed="64"/>
          </right>
          <top style="thin">
            <color indexed="64"/>
          </top>
          <bottom style="thin">
            <color indexed="64"/>
          </bottom>
        </border>
      </ndxf>
    </rcc>
    <rcc rId="0" sId="1" dxf="1">
      <nc r="AA153" t="inlineStr">
        <is>
          <t>Ready for review</t>
        </is>
      </nc>
      <ndxf>
        <alignment horizontal="left" vertical="top" readingOrder="0"/>
        <border outline="0">
          <left style="thin">
            <color indexed="64"/>
          </left>
          <right style="thin">
            <color indexed="64"/>
          </right>
          <top style="thin">
            <color indexed="64"/>
          </top>
          <bottom style="thin">
            <color indexed="64"/>
          </bottom>
        </border>
      </ndxf>
    </rcc>
    <rfmt sheetId="1" sqref="AB153"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0" sId="1" dxf="1" numFmtId="19">
      <nc r="AC153">
        <v>43962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D153">
        <v>43965</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E153">
        <v>43962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153">
        <v>43962</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c r="AG153" t="inlineStr">
        <is>
          <t>OK</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4">
      <nc r="AH15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I15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umFmtId="14">
      <nc r="AJ15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0" sId="1" dxf="1">
      <nc r="AK153" t="inlineStr">
        <is>
          <t>None</t>
        </is>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fmt sheetId="1" sqref="AL153" start="0" length="0">
      <dxf>
        <alignment horizontal="left" vertical="top" readingOrder="0"/>
        <border outline="0">
          <left style="thin">
            <color indexed="64"/>
          </left>
          <right style="thin">
            <color indexed="64"/>
          </right>
          <top style="thin">
            <color indexed="64"/>
          </top>
          <bottom style="thin">
            <color indexed="64"/>
          </bottom>
        </border>
      </dxf>
    </rfmt>
    <rfmt sheetId="1" sqref="AM153" start="0" length="0">
      <dxf>
        <alignment horizontal="left" vertical="top" readingOrder="0"/>
        <border outline="0">
          <left style="thin">
            <color indexed="64"/>
          </left>
          <right style="thin">
            <color indexed="64"/>
          </right>
          <top style="thin">
            <color indexed="64"/>
          </top>
          <bottom style="thin">
            <color indexed="64"/>
          </bottom>
        </border>
      </dxf>
    </rfmt>
    <rfmt sheetId="1" sqref="AN153" start="0" length="0">
      <dxf>
        <alignment horizontal="left" vertical="top" readingOrder="0"/>
        <border outline="0">
          <left style="thin">
            <color indexed="64"/>
          </left>
          <right style="thin">
            <color indexed="64"/>
          </right>
          <top style="thin">
            <color indexed="64"/>
          </top>
          <bottom style="thin">
            <color indexed="64"/>
          </bottom>
        </border>
      </dxf>
    </rfmt>
  </rrc>
  <rcc rId="3760" sId="1">
    <nc r="B153">
      <f>B152+1</f>
    </nc>
  </rcc>
  <rcc rId="3761" sId="1">
    <nc r="B154">
      <f>B153+1</f>
    </nc>
  </rcc>
  <rcc rId="3762" sId="1">
    <nc r="B155">
      <f>B154+1</f>
    </nc>
  </rcc>
  <rcc rId="3763" sId="1">
    <nc r="B156">
      <f>B155+1</f>
    </nc>
  </rcc>
  <rcc rId="3764" sId="1">
    <nc r="B157">
      <f>B156+1</f>
    </nc>
  </rcc>
  <rcc rId="3765" sId="1">
    <nc r="B158">
      <f>B157+1</f>
    </nc>
  </rcc>
  <rcc rId="3766" sId="1">
    <nc r="B159">
      <f>B158+1</f>
    </nc>
  </rcc>
  <rcc rId="3767" sId="1">
    <nc r="B160">
      <f>B159+1</f>
    </nc>
  </rcc>
  <rcc rId="3768" sId="1">
    <nc r="B161">
      <f>B160+1</f>
    </nc>
  </rcc>
  <rcc rId="3769" sId="1">
    <nc r="B162">
      <f>B161+1</f>
    </nc>
  </rcc>
  <rcc rId="3770" sId="1">
    <nc r="B163">
      <f>B162+1</f>
    </nc>
  </rcc>
  <rcc rId="3771" sId="1">
    <nc r="B164">
      <f>B163+1</f>
    </nc>
  </rcc>
  <rcc rId="3772" sId="1">
    <nc r="B165">
      <f>B164+1</f>
    </nc>
  </rcc>
  <rcc rId="3773" sId="1">
    <nc r="B166">
      <f>B165+1</f>
    </nc>
  </rcc>
  <rcc rId="3774" sId="1">
    <nc r="B167">
      <f>B166+1</f>
    </nc>
  </rcc>
  <rcc rId="3775" sId="1">
    <nc r="B168">
      <f>B167+1</f>
    </nc>
  </rcc>
  <rcc rId="3776" sId="1">
    <nc r="B169">
      <f>B168+1</f>
    </nc>
  </rcc>
  <rcc rId="3777" sId="1">
    <nc r="B170">
      <f>B169+1</f>
    </nc>
  </rcc>
  <rcc rId="3778" sId="1">
    <nc r="B171">
      <f>B170+1</f>
    </nc>
  </rcc>
  <rcc rId="3779" sId="1">
    <nc r="B172">
      <f>B171+1</f>
    </nc>
  </rcc>
  <rcc rId="3780" sId="1">
    <nc r="C153">
      <v>20200508</v>
    </nc>
  </rcc>
  <rcc rId="3781" sId="1">
    <nc r="C154">
      <v>20200508</v>
    </nc>
  </rcc>
  <rcc rId="3782" sId="1">
    <nc r="C155">
      <v>20200508</v>
    </nc>
  </rcc>
  <rcc rId="3783" sId="1">
    <nc r="C156">
      <v>20200508</v>
    </nc>
  </rcc>
  <rcc rId="3784" sId="1">
    <nc r="C157">
      <v>20200508</v>
    </nc>
  </rcc>
  <rcc rId="3785" sId="1">
    <nc r="C158">
      <v>20200508</v>
    </nc>
  </rcc>
  <rcc rId="3786" sId="1">
    <nc r="C159">
      <v>20200508</v>
    </nc>
  </rcc>
  <rcc rId="3787" sId="1">
    <nc r="C160">
      <v>20200508</v>
    </nc>
  </rcc>
  <rcc rId="3788" sId="1">
    <nc r="C161">
      <v>20200508</v>
    </nc>
  </rcc>
  <rcc rId="3789" sId="1">
    <nc r="C163">
      <v>20200508</v>
    </nc>
  </rcc>
  <rcc rId="3790" sId="1">
    <nc r="C164">
      <v>20200508</v>
    </nc>
  </rcc>
  <rcc rId="3791" sId="1">
    <nc r="C165">
      <v>20200508</v>
    </nc>
  </rcc>
  <rcc rId="3792" sId="1">
    <nc r="C166">
      <v>20200508</v>
    </nc>
  </rcc>
  <rcc rId="3793" sId="1">
    <nc r="C167">
      <v>20200508</v>
    </nc>
  </rcc>
  <rcc rId="3794" sId="1">
    <nc r="C168">
      <v>20200508</v>
    </nc>
  </rcc>
  <rcc rId="3795" sId="1">
    <nc r="C169">
      <v>20200508</v>
    </nc>
  </rcc>
  <rcc rId="3796" sId="1">
    <nc r="C170">
      <v>20200508</v>
    </nc>
  </rcc>
  <rcc rId="3797" sId="1">
    <nc r="C171">
      <v>20200508</v>
    </nc>
  </rcc>
  <rcc rId="3798" sId="1">
    <nc r="C172">
      <v>20200508</v>
    </nc>
  </rcc>
  <rcc rId="3799" sId="1">
    <nc r="D153" t="inlineStr">
      <is>
        <t>PSW</t>
      </is>
    </nc>
  </rcc>
  <rcc rId="3800" sId="1">
    <nc r="D154" t="inlineStr">
      <is>
        <t>PSW</t>
      </is>
    </nc>
  </rcc>
  <rcc rId="3801" sId="1">
    <nc r="D155" t="inlineStr">
      <is>
        <t>PSW</t>
      </is>
    </nc>
  </rcc>
  <rcc rId="3802" sId="1">
    <nc r="D156" t="inlineStr">
      <is>
        <t>PSW</t>
      </is>
    </nc>
  </rcc>
  <rcc rId="3803" sId="1">
    <nc r="D157" t="inlineStr">
      <is>
        <t>PSW</t>
      </is>
    </nc>
  </rcc>
  <rcc rId="3804" sId="1">
    <nc r="D158" t="inlineStr">
      <is>
        <t>PSW</t>
      </is>
    </nc>
  </rcc>
  <rcc rId="3805" sId="1">
    <nc r="D159" t="inlineStr">
      <is>
        <t>PSW</t>
      </is>
    </nc>
  </rcc>
  <rcc rId="3806" sId="1">
    <nc r="D160" t="inlineStr">
      <is>
        <t>PSW</t>
      </is>
    </nc>
  </rcc>
  <rcc rId="3807" sId="1">
    <nc r="D161" t="inlineStr">
      <is>
        <t>PSW</t>
      </is>
    </nc>
  </rcc>
  <rcc rId="3808" sId="1">
    <nc r="D162" t="inlineStr">
      <is>
        <t>PSW</t>
      </is>
    </nc>
  </rcc>
  <rcc rId="3809" sId="1">
    <nc r="D163" t="inlineStr">
      <is>
        <t>PSW</t>
      </is>
    </nc>
  </rcc>
  <rcc rId="3810" sId="1">
    <nc r="D164" t="inlineStr">
      <is>
        <t>PSW</t>
      </is>
    </nc>
  </rcc>
  <rcc rId="3811" sId="1">
    <nc r="D165" t="inlineStr">
      <is>
        <t>PSW</t>
      </is>
    </nc>
  </rcc>
  <rcc rId="3812" sId="1">
    <nc r="D166" t="inlineStr">
      <is>
        <t>PSW</t>
      </is>
    </nc>
  </rcc>
  <rcc rId="3813" sId="1">
    <nc r="D167" t="inlineStr">
      <is>
        <t>PSW</t>
      </is>
    </nc>
  </rcc>
  <rcc rId="3814" sId="1">
    <nc r="D168" t="inlineStr">
      <is>
        <t>PSW</t>
      </is>
    </nc>
  </rcc>
  <rcc rId="3815" sId="1">
    <nc r="D169" t="inlineStr">
      <is>
        <t>PSW</t>
      </is>
    </nc>
  </rcc>
  <rcc rId="3816" sId="1">
    <nc r="D170" t="inlineStr">
      <is>
        <t>PSW</t>
      </is>
    </nc>
  </rcc>
  <rcc rId="3817" sId="1">
    <nc r="D171" t="inlineStr">
      <is>
        <t>PSW</t>
      </is>
    </nc>
  </rcc>
  <rcc rId="3818" sId="1">
    <nc r="D172" t="inlineStr">
      <is>
        <t>PSW</t>
      </is>
    </nc>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Merged_JOEM!$B$47:$AN$116</oldFormula>
  </rdn>
  <rcv guid="{250915DF-0B97-45D7-B29D-7EED4C89C1C1}" action="add"/>
</revisions>
</file>

<file path=xl/revisions/revisionLog3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21" sId="1" odxf="1" dxf="1" quotePrefix="1">
    <nc r="H153" t="inlineStr">
      <is>
        <t>-</t>
      </is>
    </nc>
    <odxf>
      <fill>
        <patternFill patternType="none">
          <bgColor indexed="65"/>
        </patternFill>
      </fill>
    </odxf>
    <ndxf>
      <fill>
        <patternFill patternType="solid">
          <bgColor theme="0" tint="-0.499984740745262"/>
        </patternFill>
      </fill>
    </ndxf>
  </rcc>
  <rcc rId="3822" sId="1" odxf="1" dxf="1" quotePrefix="1">
    <nc r="H154" t="inlineStr">
      <is>
        <t>-</t>
      </is>
    </nc>
    <odxf>
      <fill>
        <patternFill patternType="none">
          <bgColor indexed="65"/>
        </patternFill>
      </fill>
    </odxf>
    <ndxf>
      <fill>
        <patternFill patternType="solid">
          <bgColor theme="0" tint="-0.499984740745262"/>
        </patternFill>
      </fill>
    </ndxf>
  </rcc>
  <rcc rId="3823" sId="1" odxf="1" dxf="1" quotePrefix="1">
    <nc r="H155" t="inlineStr">
      <is>
        <t>-</t>
      </is>
    </nc>
    <odxf>
      <fill>
        <patternFill patternType="none">
          <bgColor indexed="65"/>
        </patternFill>
      </fill>
    </odxf>
    <ndxf>
      <fill>
        <patternFill patternType="solid">
          <bgColor theme="0" tint="-0.499984740745262"/>
        </patternFill>
      </fill>
    </ndxf>
  </rcc>
  <rcc rId="3824" sId="1" odxf="1" dxf="1" quotePrefix="1">
    <nc r="H156" t="inlineStr">
      <is>
        <t>-</t>
      </is>
    </nc>
    <odxf>
      <fill>
        <patternFill patternType="none">
          <bgColor indexed="65"/>
        </patternFill>
      </fill>
    </odxf>
    <ndxf>
      <fill>
        <patternFill patternType="solid">
          <bgColor theme="0" tint="-0.499984740745262"/>
        </patternFill>
      </fill>
    </ndxf>
  </rcc>
  <rcc rId="3825" sId="1" odxf="1" dxf="1" quotePrefix="1">
    <nc r="H157" t="inlineStr">
      <is>
        <t>-</t>
      </is>
    </nc>
    <odxf>
      <fill>
        <patternFill patternType="none">
          <bgColor indexed="65"/>
        </patternFill>
      </fill>
    </odxf>
    <ndxf>
      <fill>
        <patternFill patternType="solid">
          <bgColor theme="0" tint="-0.499984740745262"/>
        </patternFill>
      </fill>
    </ndxf>
  </rcc>
  <rcc rId="3826" sId="1" odxf="1" dxf="1" quotePrefix="1">
    <nc r="H158" t="inlineStr">
      <is>
        <t>-</t>
      </is>
    </nc>
    <odxf>
      <fill>
        <patternFill patternType="none">
          <bgColor indexed="65"/>
        </patternFill>
      </fill>
    </odxf>
    <ndxf>
      <fill>
        <patternFill patternType="solid">
          <bgColor theme="0" tint="-0.499984740745262"/>
        </patternFill>
      </fill>
    </ndxf>
  </rcc>
  <rcc rId="3827" sId="1" odxf="1" dxf="1" quotePrefix="1">
    <nc r="H159" t="inlineStr">
      <is>
        <t>-</t>
      </is>
    </nc>
    <odxf>
      <fill>
        <patternFill patternType="none">
          <bgColor indexed="65"/>
        </patternFill>
      </fill>
    </odxf>
    <ndxf>
      <fill>
        <patternFill patternType="solid">
          <bgColor theme="0" tint="-0.499984740745262"/>
        </patternFill>
      </fill>
    </ndxf>
  </rcc>
  <rcc rId="3828" sId="1" odxf="1" dxf="1" quotePrefix="1">
    <nc r="H160" t="inlineStr">
      <is>
        <t>-</t>
      </is>
    </nc>
    <odxf>
      <fill>
        <patternFill patternType="none">
          <bgColor indexed="65"/>
        </patternFill>
      </fill>
    </odxf>
    <ndxf>
      <fill>
        <patternFill patternType="solid">
          <bgColor theme="0" tint="-0.499984740745262"/>
        </patternFill>
      </fill>
    </ndxf>
  </rcc>
  <rcc rId="3829" sId="1" odxf="1" dxf="1" quotePrefix="1">
    <nc r="H161" t="inlineStr">
      <is>
        <t>-</t>
      </is>
    </nc>
    <odxf>
      <fill>
        <patternFill patternType="none">
          <bgColor indexed="65"/>
        </patternFill>
      </fill>
    </odxf>
    <ndxf>
      <fill>
        <patternFill patternType="solid">
          <bgColor theme="0" tint="-0.499984740745262"/>
        </patternFill>
      </fill>
    </ndxf>
  </rcc>
  <rfmt sheetId="1" sqref="H162" start="0" length="0">
    <dxf>
      <fill>
        <patternFill patternType="solid">
          <bgColor theme="0" tint="-0.499984740745262"/>
        </patternFill>
      </fill>
    </dxf>
  </rfmt>
  <rcc rId="3830" sId="1" odxf="1" dxf="1" quotePrefix="1">
    <nc r="H163" t="inlineStr">
      <is>
        <t>-</t>
      </is>
    </nc>
    <odxf>
      <fill>
        <patternFill patternType="none">
          <bgColor indexed="65"/>
        </patternFill>
      </fill>
    </odxf>
    <ndxf>
      <fill>
        <patternFill patternType="solid">
          <bgColor theme="0" tint="-0.499984740745262"/>
        </patternFill>
      </fill>
    </ndxf>
  </rcc>
  <rcc rId="3831" sId="1" odxf="1" dxf="1" quotePrefix="1">
    <nc r="H164" t="inlineStr">
      <is>
        <t>-</t>
      </is>
    </nc>
    <odxf>
      <fill>
        <patternFill patternType="none">
          <bgColor indexed="65"/>
        </patternFill>
      </fill>
    </odxf>
    <ndxf>
      <fill>
        <patternFill patternType="solid">
          <bgColor theme="0" tint="-0.499984740745262"/>
        </patternFill>
      </fill>
    </ndxf>
  </rcc>
  <rcc rId="3832" sId="1" odxf="1" dxf="1" quotePrefix="1">
    <nc r="H165" t="inlineStr">
      <is>
        <t>-</t>
      </is>
    </nc>
    <odxf>
      <fill>
        <patternFill patternType="none">
          <bgColor indexed="65"/>
        </patternFill>
      </fill>
    </odxf>
    <ndxf>
      <fill>
        <patternFill patternType="solid">
          <bgColor theme="0" tint="-0.499984740745262"/>
        </patternFill>
      </fill>
    </ndxf>
  </rcc>
  <rcc rId="3833" sId="1" odxf="1" dxf="1" quotePrefix="1">
    <nc r="H166" t="inlineStr">
      <is>
        <t>-</t>
      </is>
    </nc>
    <odxf>
      <fill>
        <patternFill patternType="none">
          <bgColor indexed="65"/>
        </patternFill>
      </fill>
    </odxf>
    <ndxf>
      <fill>
        <patternFill patternType="solid">
          <bgColor theme="0" tint="-0.499984740745262"/>
        </patternFill>
      </fill>
    </ndxf>
  </rcc>
  <rcc rId="3834" sId="1" odxf="1" dxf="1" quotePrefix="1">
    <nc r="H167" t="inlineStr">
      <is>
        <t>-</t>
      </is>
    </nc>
    <odxf>
      <fill>
        <patternFill patternType="none">
          <bgColor indexed="65"/>
        </patternFill>
      </fill>
    </odxf>
    <ndxf>
      <fill>
        <patternFill patternType="solid">
          <bgColor theme="0" tint="-0.499984740745262"/>
        </patternFill>
      </fill>
    </ndxf>
  </rcc>
  <rcc rId="3835" sId="1" odxf="1" dxf="1" quotePrefix="1">
    <nc r="H168" t="inlineStr">
      <is>
        <t>-</t>
      </is>
    </nc>
    <odxf>
      <fill>
        <patternFill patternType="none">
          <bgColor indexed="65"/>
        </patternFill>
      </fill>
    </odxf>
    <ndxf>
      <fill>
        <patternFill patternType="solid">
          <bgColor theme="0" tint="-0.499984740745262"/>
        </patternFill>
      </fill>
    </ndxf>
  </rcc>
  <rcc rId="3836" sId="1" odxf="1" dxf="1" quotePrefix="1">
    <nc r="H169" t="inlineStr">
      <is>
        <t>-</t>
      </is>
    </nc>
    <odxf>
      <fill>
        <patternFill patternType="none">
          <bgColor indexed="65"/>
        </patternFill>
      </fill>
    </odxf>
    <ndxf>
      <fill>
        <patternFill patternType="solid">
          <bgColor theme="0" tint="-0.499984740745262"/>
        </patternFill>
      </fill>
    </ndxf>
  </rcc>
  <rcc rId="3837" sId="1" odxf="1" dxf="1" quotePrefix="1">
    <nc r="H170" t="inlineStr">
      <is>
        <t>-</t>
      </is>
    </nc>
    <odxf>
      <fill>
        <patternFill patternType="none">
          <bgColor indexed="65"/>
        </patternFill>
      </fill>
    </odxf>
    <ndxf>
      <fill>
        <patternFill patternType="solid">
          <bgColor theme="0" tint="-0.499984740745262"/>
        </patternFill>
      </fill>
    </ndxf>
  </rcc>
  <rcc rId="3838" sId="1" odxf="1" dxf="1" quotePrefix="1">
    <nc r="H171" t="inlineStr">
      <is>
        <t>-</t>
      </is>
    </nc>
    <odxf>
      <fill>
        <patternFill patternType="none">
          <bgColor indexed="65"/>
        </patternFill>
      </fill>
    </odxf>
    <ndxf>
      <fill>
        <patternFill patternType="solid">
          <bgColor theme="0" tint="-0.499984740745262"/>
        </patternFill>
      </fill>
    </ndxf>
  </rcc>
  <rcc rId="3839" sId="1" odxf="1" dxf="1" quotePrefix="1">
    <nc r="H172" t="inlineStr">
      <is>
        <t>-</t>
      </is>
    </nc>
    <odxf>
      <fill>
        <patternFill patternType="none">
          <bgColor indexed="65"/>
        </patternFill>
      </fill>
    </odxf>
    <ndxf>
      <fill>
        <patternFill patternType="solid">
          <bgColor theme="0" tint="-0.499984740745262"/>
        </patternFill>
      </fill>
    </ndxf>
  </rcc>
  <rcc rId="3840" sId="1" odxf="1" dxf="1" quotePrefix="1">
    <nc r="J153" t="inlineStr">
      <is>
        <t>-</t>
      </is>
    </nc>
    <odxf>
      <fill>
        <patternFill patternType="none">
          <bgColor indexed="65"/>
        </patternFill>
      </fill>
    </odxf>
    <ndxf>
      <fill>
        <patternFill patternType="solid">
          <bgColor theme="0" tint="-0.499984740745262"/>
        </patternFill>
      </fill>
    </ndxf>
  </rcc>
  <rcc rId="3841" sId="1">
    <nc r="K153" t="inlineStr">
      <is>
        <t>Auto</t>
      </is>
    </nc>
  </rcc>
  <rcc rId="3842" sId="1" odxf="1" dxf="1" quotePrefix="1">
    <nc r="J154" t="inlineStr">
      <is>
        <t>-</t>
      </is>
    </nc>
    <odxf>
      <fill>
        <patternFill patternType="none">
          <bgColor indexed="65"/>
        </patternFill>
      </fill>
    </odxf>
    <ndxf>
      <fill>
        <patternFill patternType="solid">
          <bgColor theme="0" tint="-0.499984740745262"/>
        </patternFill>
      </fill>
    </ndxf>
  </rcc>
  <rcc rId="3843" sId="1">
    <nc r="K154" t="inlineStr">
      <is>
        <t>Auto</t>
      </is>
    </nc>
  </rcc>
  <rcc rId="3844" sId="1" odxf="1" dxf="1" quotePrefix="1">
    <nc r="J155" t="inlineStr">
      <is>
        <t>-</t>
      </is>
    </nc>
    <odxf>
      <fill>
        <patternFill patternType="none">
          <bgColor indexed="65"/>
        </patternFill>
      </fill>
    </odxf>
    <ndxf>
      <fill>
        <patternFill patternType="solid">
          <bgColor theme="0" tint="-0.499984740745262"/>
        </patternFill>
      </fill>
    </ndxf>
  </rcc>
  <rcc rId="3845" sId="1">
    <nc r="K155" t="inlineStr">
      <is>
        <t>Auto</t>
      </is>
    </nc>
  </rcc>
  <rcc rId="3846" sId="1" odxf="1" dxf="1" quotePrefix="1">
    <nc r="J156" t="inlineStr">
      <is>
        <t>-</t>
      </is>
    </nc>
    <odxf>
      <fill>
        <patternFill patternType="none">
          <bgColor indexed="65"/>
        </patternFill>
      </fill>
    </odxf>
    <ndxf>
      <fill>
        <patternFill patternType="solid">
          <bgColor theme="0" tint="-0.499984740745262"/>
        </patternFill>
      </fill>
    </ndxf>
  </rcc>
  <rcc rId="3847" sId="1">
    <nc r="K156" t="inlineStr">
      <is>
        <t>Auto</t>
      </is>
    </nc>
  </rcc>
  <rcc rId="3848" sId="1" odxf="1" dxf="1" quotePrefix="1">
    <nc r="J157" t="inlineStr">
      <is>
        <t>-</t>
      </is>
    </nc>
    <odxf>
      <fill>
        <patternFill patternType="none">
          <bgColor indexed="65"/>
        </patternFill>
      </fill>
    </odxf>
    <ndxf>
      <fill>
        <patternFill patternType="solid">
          <bgColor theme="0" tint="-0.499984740745262"/>
        </patternFill>
      </fill>
    </ndxf>
  </rcc>
  <rcc rId="3849" sId="1">
    <nc r="K157" t="inlineStr">
      <is>
        <t>Auto</t>
      </is>
    </nc>
  </rcc>
  <rcc rId="3850" sId="1" odxf="1" dxf="1" quotePrefix="1">
    <nc r="J158" t="inlineStr">
      <is>
        <t>-</t>
      </is>
    </nc>
    <odxf>
      <fill>
        <patternFill patternType="none">
          <bgColor indexed="65"/>
        </patternFill>
      </fill>
    </odxf>
    <ndxf>
      <fill>
        <patternFill patternType="solid">
          <bgColor theme="0" tint="-0.499984740745262"/>
        </patternFill>
      </fill>
    </ndxf>
  </rcc>
  <rcc rId="3851" sId="1">
    <nc r="K158" t="inlineStr">
      <is>
        <t>Auto</t>
      </is>
    </nc>
  </rcc>
  <rcc rId="3852" sId="1" odxf="1" dxf="1" quotePrefix="1">
    <nc r="J159" t="inlineStr">
      <is>
        <t>-</t>
      </is>
    </nc>
    <odxf>
      <fill>
        <patternFill patternType="none">
          <bgColor indexed="65"/>
        </patternFill>
      </fill>
    </odxf>
    <ndxf>
      <fill>
        <patternFill patternType="solid">
          <bgColor theme="0" tint="-0.499984740745262"/>
        </patternFill>
      </fill>
    </ndxf>
  </rcc>
  <rcc rId="3853" sId="1">
    <nc r="K159" t="inlineStr">
      <is>
        <t>Auto</t>
      </is>
    </nc>
  </rcc>
  <rcc rId="3854" sId="1" odxf="1" dxf="1" quotePrefix="1">
    <nc r="J160" t="inlineStr">
      <is>
        <t>-</t>
      </is>
    </nc>
    <odxf>
      <fill>
        <patternFill patternType="none">
          <bgColor indexed="65"/>
        </patternFill>
      </fill>
    </odxf>
    <ndxf>
      <fill>
        <patternFill patternType="solid">
          <bgColor theme="0" tint="-0.499984740745262"/>
        </patternFill>
      </fill>
    </ndxf>
  </rcc>
  <rcc rId="3855" sId="1">
    <nc r="K160" t="inlineStr">
      <is>
        <t>Auto</t>
      </is>
    </nc>
  </rcc>
  <rcc rId="3856" sId="1" odxf="1" dxf="1" quotePrefix="1">
    <nc r="J161" t="inlineStr">
      <is>
        <t>-</t>
      </is>
    </nc>
    <odxf>
      <fill>
        <patternFill patternType="none">
          <bgColor indexed="65"/>
        </patternFill>
      </fill>
    </odxf>
    <ndxf>
      <fill>
        <patternFill patternType="solid">
          <bgColor theme="0" tint="-0.499984740745262"/>
        </patternFill>
      </fill>
    </ndxf>
  </rcc>
  <rcc rId="3857" sId="1">
    <nc r="K161" t="inlineStr">
      <is>
        <t>Auto</t>
      </is>
    </nc>
  </rcc>
  <rfmt sheetId="1" sqref="J162" start="0" length="0">
    <dxf>
      <fill>
        <patternFill patternType="solid">
          <bgColor theme="0" tint="-0.499984740745262"/>
        </patternFill>
      </fill>
    </dxf>
  </rfmt>
  <rcc rId="3858" sId="1" odxf="1" dxf="1" quotePrefix="1">
    <nc r="J163" t="inlineStr">
      <is>
        <t>-</t>
      </is>
    </nc>
    <odxf>
      <fill>
        <patternFill patternType="none">
          <bgColor indexed="65"/>
        </patternFill>
      </fill>
    </odxf>
    <ndxf>
      <fill>
        <patternFill patternType="solid">
          <bgColor theme="0" tint="-0.499984740745262"/>
        </patternFill>
      </fill>
    </ndxf>
  </rcc>
  <rcc rId="3859" sId="1">
    <nc r="K163" t="inlineStr">
      <is>
        <t>Auto</t>
      </is>
    </nc>
  </rcc>
  <rcc rId="3860" sId="1" odxf="1" dxf="1" quotePrefix="1">
    <nc r="J164" t="inlineStr">
      <is>
        <t>-</t>
      </is>
    </nc>
    <odxf>
      <fill>
        <patternFill patternType="none">
          <bgColor indexed="65"/>
        </patternFill>
      </fill>
    </odxf>
    <ndxf>
      <fill>
        <patternFill patternType="solid">
          <bgColor theme="0" tint="-0.499984740745262"/>
        </patternFill>
      </fill>
    </ndxf>
  </rcc>
  <rcc rId="3861" sId="1">
    <nc r="K164" t="inlineStr">
      <is>
        <t>Auto</t>
      </is>
    </nc>
  </rcc>
  <rcc rId="3862" sId="1" odxf="1" dxf="1" quotePrefix="1">
    <nc r="J165" t="inlineStr">
      <is>
        <t>-</t>
      </is>
    </nc>
    <odxf>
      <fill>
        <patternFill patternType="none">
          <bgColor indexed="65"/>
        </patternFill>
      </fill>
    </odxf>
    <ndxf>
      <fill>
        <patternFill patternType="solid">
          <bgColor theme="0" tint="-0.499984740745262"/>
        </patternFill>
      </fill>
    </ndxf>
  </rcc>
  <rcc rId="3863" sId="1">
    <nc r="K165" t="inlineStr">
      <is>
        <t>Auto</t>
      </is>
    </nc>
  </rcc>
  <rcc rId="3864" sId="1" odxf="1" dxf="1" quotePrefix="1">
    <nc r="J166" t="inlineStr">
      <is>
        <t>-</t>
      </is>
    </nc>
    <odxf>
      <fill>
        <patternFill patternType="none">
          <bgColor indexed="65"/>
        </patternFill>
      </fill>
    </odxf>
    <ndxf>
      <fill>
        <patternFill patternType="solid">
          <bgColor theme="0" tint="-0.499984740745262"/>
        </patternFill>
      </fill>
    </ndxf>
  </rcc>
  <rcc rId="3865" sId="1">
    <nc r="K166" t="inlineStr">
      <is>
        <t>Auto</t>
      </is>
    </nc>
  </rcc>
  <rcc rId="3866" sId="1" odxf="1" dxf="1" quotePrefix="1">
    <nc r="J167" t="inlineStr">
      <is>
        <t>-</t>
      </is>
    </nc>
    <odxf>
      <fill>
        <patternFill patternType="none">
          <bgColor indexed="65"/>
        </patternFill>
      </fill>
    </odxf>
    <ndxf>
      <fill>
        <patternFill patternType="solid">
          <bgColor theme="0" tint="-0.499984740745262"/>
        </patternFill>
      </fill>
    </ndxf>
  </rcc>
  <rcc rId="3867" sId="1">
    <nc r="K167" t="inlineStr">
      <is>
        <t>Auto</t>
      </is>
    </nc>
  </rcc>
  <rcc rId="3868" sId="1" odxf="1" dxf="1" quotePrefix="1">
    <nc r="J168" t="inlineStr">
      <is>
        <t>-</t>
      </is>
    </nc>
    <odxf>
      <fill>
        <patternFill patternType="none">
          <bgColor indexed="65"/>
        </patternFill>
      </fill>
    </odxf>
    <ndxf>
      <fill>
        <patternFill patternType="solid">
          <bgColor theme="0" tint="-0.499984740745262"/>
        </patternFill>
      </fill>
    </ndxf>
  </rcc>
  <rcc rId="3869" sId="1">
    <nc r="K168" t="inlineStr">
      <is>
        <t>Auto</t>
      </is>
    </nc>
  </rcc>
  <rcc rId="3870" sId="1" odxf="1" dxf="1" quotePrefix="1">
    <nc r="J169" t="inlineStr">
      <is>
        <t>-</t>
      </is>
    </nc>
    <odxf>
      <fill>
        <patternFill patternType="none">
          <bgColor indexed="65"/>
        </patternFill>
      </fill>
    </odxf>
    <ndxf>
      <fill>
        <patternFill patternType="solid">
          <bgColor theme="0" tint="-0.499984740745262"/>
        </patternFill>
      </fill>
    </ndxf>
  </rcc>
  <rcc rId="3871" sId="1">
    <nc r="K169" t="inlineStr">
      <is>
        <t>Auto</t>
      </is>
    </nc>
  </rcc>
  <rcc rId="3872" sId="1" odxf="1" dxf="1" quotePrefix="1">
    <nc r="J170" t="inlineStr">
      <is>
        <t>-</t>
      </is>
    </nc>
    <odxf>
      <fill>
        <patternFill patternType="none">
          <bgColor indexed="65"/>
        </patternFill>
      </fill>
    </odxf>
    <ndxf>
      <fill>
        <patternFill patternType="solid">
          <bgColor theme="0" tint="-0.499984740745262"/>
        </patternFill>
      </fill>
    </ndxf>
  </rcc>
  <rcc rId="3873" sId="1">
    <nc r="K170" t="inlineStr">
      <is>
        <t>Auto</t>
      </is>
    </nc>
  </rcc>
  <rcc rId="3874" sId="1" odxf="1" dxf="1" quotePrefix="1">
    <nc r="J171" t="inlineStr">
      <is>
        <t>-</t>
      </is>
    </nc>
    <odxf>
      <fill>
        <patternFill patternType="none">
          <bgColor indexed="65"/>
        </patternFill>
      </fill>
    </odxf>
    <ndxf>
      <fill>
        <patternFill patternType="solid">
          <bgColor theme="0" tint="-0.499984740745262"/>
        </patternFill>
      </fill>
    </ndxf>
  </rcc>
  <rcc rId="3875" sId="1">
    <nc r="K171" t="inlineStr">
      <is>
        <t>Auto</t>
      </is>
    </nc>
  </rcc>
  <rcc rId="3876" sId="1" odxf="1" dxf="1" quotePrefix="1">
    <nc r="J172" t="inlineStr">
      <is>
        <t>-</t>
      </is>
    </nc>
    <odxf>
      <fill>
        <patternFill patternType="none">
          <bgColor indexed="65"/>
        </patternFill>
      </fill>
    </odxf>
    <ndxf>
      <fill>
        <patternFill patternType="solid">
          <bgColor theme="0" tint="-0.499984740745262"/>
        </patternFill>
      </fill>
    </ndxf>
  </rcc>
  <rcc rId="3877" sId="1">
    <nc r="K172" t="inlineStr">
      <is>
        <t>Auto</t>
      </is>
    </nc>
  </rcc>
  <rcc rId="3878" sId="1">
    <nc r="M153" t="inlineStr">
      <is>
        <t>None</t>
      </is>
    </nc>
  </rcc>
  <rcc rId="3879" sId="1">
    <nc r="M154" t="inlineStr">
      <is>
        <t>None</t>
      </is>
    </nc>
  </rcc>
  <rcc rId="3880" sId="1">
    <nc r="M155" t="inlineStr">
      <is>
        <t>None</t>
      </is>
    </nc>
  </rcc>
  <rcc rId="3881" sId="1">
    <nc r="M156" t="inlineStr">
      <is>
        <t>None</t>
      </is>
    </nc>
  </rcc>
  <rcc rId="3882" sId="1">
    <nc r="M157" t="inlineStr">
      <is>
        <t>None</t>
      </is>
    </nc>
  </rcc>
  <rcc rId="3883" sId="1">
    <nc r="M158" t="inlineStr">
      <is>
        <t>None</t>
      </is>
    </nc>
  </rcc>
  <rcc rId="3884" sId="1">
    <nc r="M159" t="inlineStr">
      <is>
        <t>None</t>
      </is>
    </nc>
  </rcc>
  <rcc rId="3885" sId="1">
    <nc r="M160" t="inlineStr">
      <is>
        <t>None</t>
      </is>
    </nc>
  </rcc>
  <rcc rId="3886" sId="1">
    <nc r="M161" t="inlineStr">
      <is>
        <t>None</t>
      </is>
    </nc>
  </rcc>
  <rcc rId="3887" sId="1">
    <nc r="M163" t="inlineStr">
      <is>
        <t>None</t>
      </is>
    </nc>
  </rcc>
  <rcc rId="3888" sId="1">
    <nc r="M164" t="inlineStr">
      <is>
        <t>None</t>
      </is>
    </nc>
  </rcc>
  <rcc rId="3889" sId="1">
    <nc r="M165" t="inlineStr">
      <is>
        <t>None</t>
      </is>
    </nc>
  </rcc>
  <rcc rId="3890" sId="1">
    <nc r="M166" t="inlineStr">
      <is>
        <t>None</t>
      </is>
    </nc>
  </rcc>
  <rcc rId="3891" sId="1">
    <nc r="M167" t="inlineStr">
      <is>
        <t>None</t>
      </is>
    </nc>
  </rcc>
  <rcc rId="3892" sId="1" odxf="1" dxf="1" quotePrefix="1">
    <nc r="R153" t="inlineStr">
      <is>
        <t>-</t>
      </is>
    </nc>
    <odxf>
      <fill>
        <patternFill patternType="none">
          <bgColor indexed="65"/>
        </patternFill>
      </fill>
    </odxf>
    <ndxf>
      <fill>
        <patternFill patternType="solid">
          <bgColor theme="0" tint="-0.499984740745262"/>
        </patternFill>
      </fill>
    </ndxf>
  </rcc>
  <rcc rId="3893" sId="1" odxf="1" dxf="1" quotePrefix="1">
    <nc r="R154" t="inlineStr">
      <is>
        <t>-</t>
      </is>
    </nc>
    <odxf>
      <fill>
        <patternFill patternType="none">
          <bgColor indexed="65"/>
        </patternFill>
      </fill>
    </odxf>
    <ndxf>
      <fill>
        <patternFill patternType="solid">
          <bgColor theme="0" tint="-0.499984740745262"/>
        </patternFill>
      </fill>
    </ndxf>
  </rcc>
  <rcc rId="3894" sId="1" odxf="1" dxf="1" quotePrefix="1">
    <nc r="R155" t="inlineStr">
      <is>
        <t>-</t>
      </is>
    </nc>
    <odxf>
      <fill>
        <patternFill patternType="none">
          <bgColor indexed="65"/>
        </patternFill>
      </fill>
    </odxf>
    <ndxf>
      <fill>
        <patternFill patternType="solid">
          <bgColor theme="0" tint="-0.499984740745262"/>
        </patternFill>
      </fill>
    </ndxf>
  </rcc>
  <rcc rId="3895" sId="1" odxf="1" dxf="1" quotePrefix="1">
    <nc r="R156" t="inlineStr">
      <is>
        <t>-</t>
      </is>
    </nc>
    <odxf>
      <fill>
        <patternFill patternType="none">
          <bgColor indexed="65"/>
        </patternFill>
      </fill>
    </odxf>
    <ndxf>
      <fill>
        <patternFill patternType="solid">
          <bgColor theme="0" tint="-0.499984740745262"/>
        </patternFill>
      </fill>
    </ndxf>
  </rcc>
  <rcc rId="3896" sId="1" odxf="1" dxf="1" quotePrefix="1">
    <nc r="R157" t="inlineStr">
      <is>
        <t>-</t>
      </is>
    </nc>
    <odxf>
      <fill>
        <patternFill patternType="none">
          <bgColor indexed="65"/>
        </patternFill>
      </fill>
    </odxf>
    <ndxf>
      <fill>
        <patternFill patternType="solid">
          <bgColor theme="0" tint="-0.499984740745262"/>
        </patternFill>
      </fill>
    </ndxf>
  </rcc>
  <rcc rId="3897" sId="1" odxf="1" dxf="1" quotePrefix="1">
    <nc r="R158" t="inlineStr">
      <is>
        <t>-</t>
      </is>
    </nc>
    <odxf>
      <fill>
        <patternFill patternType="none">
          <bgColor indexed="65"/>
        </patternFill>
      </fill>
    </odxf>
    <ndxf>
      <fill>
        <patternFill patternType="solid">
          <bgColor theme="0" tint="-0.499984740745262"/>
        </patternFill>
      </fill>
    </ndxf>
  </rcc>
  <rcc rId="3898" sId="1" odxf="1" dxf="1" quotePrefix="1">
    <nc r="R159" t="inlineStr">
      <is>
        <t>-</t>
      </is>
    </nc>
    <odxf>
      <fill>
        <patternFill patternType="none">
          <bgColor indexed="65"/>
        </patternFill>
      </fill>
    </odxf>
    <ndxf>
      <fill>
        <patternFill patternType="solid">
          <bgColor theme="0" tint="-0.499984740745262"/>
        </patternFill>
      </fill>
    </ndxf>
  </rcc>
  <rcc rId="3899" sId="1" odxf="1" dxf="1" quotePrefix="1">
    <nc r="R160" t="inlineStr">
      <is>
        <t>-</t>
      </is>
    </nc>
    <odxf>
      <fill>
        <patternFill patternType="none">
          <bgColor indexed="65"/>
        </patternFill>
      </fill>
    </odxf>
    <ndxf>
      <fill>
        <patternFill patternType="solid">
          <bgColor theme="0" tint="-0.499984740745262"/>
        </patternFill>
      </fill>
    </ndxf>
  </rcc>
  <rcc rId="3900" sId="1" odxf="1" dxf="1" quotePrefix="1">
    <nc r="R161" t="inlineStr">
      <is>
        <t>-</t>
      </is>
    </nc>
    <odxf>
      <fill>
        <patternFill patternType="none">
          <bgColor indexed="65"/>
        </patternFill>
      </fill>
    </odxf>
    <ndxf>
      <fill>
        <patternFill patternType="solid">
          <bgColor theme="0" tint="-0.499984740745262"/>
        </patternFill>
      </fill>
    </ndxf>
  </rcc>
  <rfmt sheetId="1" sqref="R162" start="0" length="0">
    <dxf>
      <fill>
        <patternFill patternType="solid">
          <bgColor theme="0" tint="-0.499984740745262"/>
        </patternFill>
      </fill>
    </dxf>
  </rfmt>
  <rcc rId="3901" sId="1" odxf="1" dxf="1" quotePrefix="1">
    <nc r="R163" t="inlineStr">
      <is>
        <t>-</t>
      </is>
    </nc>
    <odxf>
      <fill>
        <patternFill patternType="none">
          <bgColor indexed="65"/>
        </patternFill>
      </fill>
    </odxf>
    <ndxf>
      <fill>
        <patternFill patternType="solid">
          <bgColor theme="0" tint="-0.499984740745262"/>
        </patternFill>
      </fill>
    </ndxf>
  </rcc>
  <rcc rId="3902" sId="1" odxf="1" dxf="1" quotePrefix="1">
    <nc r="R164" t="inlineStr">
      <is>
        <t>-</t>
      </is>
    </nc>
    <odxf>
      <fill>
        <patternFill patternType="none">
          <bgColor indexed="65"/>
        </patternFill>
      </fill>
    </odxf>
    <ndxf>
      <fill>
        <patternFill patternType="solid">
          <bgColor theme="0" tint="-0.499984740745262"/>
        </patternFill>
      </fill>
    </ndxf>
  </rcc>
  <rcc rId="3903" sId="1" odxf="1" dxf="1" quotePrefix="1">
    <nc r="R165" t="inlineStr">
      <is>
        <t>-</t>
      </is>
    </nc>
    <odxf>
      <fill>
        <patternFill patternType="none">
          <bgColor indexed="65"/>
        </patternFill>
      </fill>
    </odxf>
    <ndxf>
      <fill>
        <patternFill patternType="solid">
          <bgColor theme="0" tint="-0.499984740745262"/>
        </patternFill>
      </fill>
    </ndxf>
  </rcc>
  <rcc rId="3904" sId="1" odxf="1" dxf="1" quotePrefix="1">
    <nc r="R166" t="inlineStr">
      <is>
        <t>-</t>
      </is>
    </nc>
    <odxf>
      <fill>
        <patternFill patternType="none">
          <bgColor indexed="65"/>
        </patternFill>
      </fill>
    </odxf>
    <ndxf>
      <fill>
        <patternFill patternType="solid">
          <bgColor theme="0" tint="-0.499984740745262"/>
        </patternFill>
      </fill>
    </ndxf>
  </rcc>
  <rcc rId="3905" sId="1" odxf="1" dxf="1" quotePrefix="1">
    <nc r="R167" t="inlineStr">
      <is>
        <t>-</t>
      </is>
    </nc>
    <odxf>
      <fill>
        <patternFill patternType="none">
          <bgColor indexed="65"/>
        </patternFill>
      </fill>
    </odxf>
    <ndxf>
      <fill>
        <patternFill patternType="solid">
          <bgColor theme="0" tint="-0.499984740745262"/>
        </patternFill>
      </fill>
    </ndxf>
  </rcc>
  <rcc rId="3906" sId="1" odxf="1" dxf="1" quotePrefix="1">
    <nc r="R168" t="inlineStr">
      <is>
        <t>-</t>
      </is>
    </nc>
    <odxf>
      <fill>
        <patternFill patternType="none">
          <bgColor indexed="65"/>
        </patternFill>
      </fill>
    </odxf>
    <ndxf>
      <fill>
        <patternFill patternType="solid">
          <bgColor theme="0" tint="-0.499984740745262"/>
        </patternFill>
      </fill>
    </ndxf>
  </rcc>
  <rcc rId="3907" sId="1" odxf="1" dxf="1" quotePrefix="1">
    <nc r="R169" t="inlineStr">
      <is>
        <t>-</t>
      </is>
    </nc>
    <odxf>
      <fill>
        <patternFill patternType="none">
          <bgColor indexed="65"/>
        </patternFill>
      </fill>
    </odxf>
    <ndxf>
      <fill>
        <patternFill patternType="solid">
          <bgColor theme="0" tint="-0.499984740745262"/>
        </patternFill>
      </fill>
    </ndxf>
  </rcc>
  <rcc rId="3908" sId="1" odxf="1" dxf="1" quotePrefix="1">
    <nc r="R170" t="inlineStr">
      <is>
        <t>-</t>
      </is>
    </nc>
    <odxf>
      <fill>
        <patternFill patternType="none">
          <bgColor indexed="65"/>
        </patternFill>
      </fill>
    </odxf>
    <ndxf>
      <fill>
        <patternFill patternType="solid">
          <bgColor theme="0" tint="-0.499984740745262"/>
        </patternFill>
      </fill>
    </ndxf>
  </rcc>
  <rcc rId="3909" sId="1" odxf="1" dxf="1" quotePrefix="1">
    <nc r="R171" t="inlineStr">
      <is>
        <t>-</t>
      </is>
    </nc>
    <odxf>
      <fill>
        <patternFill patternType="none">
          <bgColor indexed="65"/>
        </patternFill>
      </fill>
    </odxf>
    <ndxf>
      <fill>
        <patternFill patternType="solid">
          <bgColor theme="0" tint="-0.499984740745262"/>
        </patternFill>
      </fill>
    </ndxf>
  </rcc>
  <rcc rId="3910" sId="1" odxf="1" dxf="1" quotePrefix="1">
    <nc r="R172" t="inlineStr">
      <is>
        <t>-</t>
      </is>
    </nc>
    <odxf>
      <fill>
        <patternFill patternType="none">
          <bgColor indexed="65"/>
        </patternFill>
      </fill>
    </odxf>
    <ndxf>
      <fill>
        <patternFill patternType="solid">
          <bgColor theme="0" tint="-0.499984740745262"/>
        </patternFill>
      </fill>
    </ndxf>
  </rcc>
  <rfmt sheetId="1" sqref="B153:B172">
    <dxf>
      <fill>
        <patternFill patternType="solid">
          <bgColor rgb="FF00B0F0"/>
        </patternFill>
      </fill>
    </dxf>
  </rfmt>
  <rfmt sheetId="1" sqref="B153:B172">
    <dxf>
      <fill>
        <patternFill>
          <bgColor rgb="FF0070C0"/>
        </patternFill>
      </fill>
    </dxf>
  </rfmt>
  <rfmt sheetId="1" sqref="B153:B172">
    <dxf>
      <fill>
        <patternFill>
          <bgColor rgb="FFFFC000"/>
        </patternFill>
      </fill>
    </dxf>
  </rfmt>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13" sId="1">
    <nc r="S153" t="inlineStr">
      <is>
        <t>hieu.nguyen-trung</t>
      </is>
    </nc>
  </rcc>
  <rcc rId="3914" sId="1">
    <nc r="S154" t="inlineStr">
      <is>
        <t>hieu.nguyen-trung</t>
      </is>
    </nc>
  </rcc>
  <rcc rId="3915" sId="1">
    <nc r="S155" t="inlineStr">
      <is>
        <t>hieu.nguyen-trung</t>
      </is>
    </nc>
  </rcc>
  <rcc rId="3916" sId="1">
    <nc r="S156" t="inlineStr">
      <is>
        <t>hieu.nguyen-trung</t>
      </is>
    </nc>
  </rcc>
  <rcc rId="3917" sId="1">
    <nc r="S157" t="inlineStr">
      <is>
        <t>hieu.nguyen-trung</t>
      </is>
    </nc>
  </rcc>
  <rcc rId="3918" sId="1">
    <nc r="S158" t="inlineStr">
      <is>
        <t>hieu.nguyen-trung</t>
      </is>
    </nc>
  </rcc>
  <rcc rId="3919" sId="1">
    <nc r="S159" t="inlineStr">
      <is>
        <t>hieu.nguyen-trung</t>
      </is>
    </nc>
  </rcc>
  <rcc rId="3920" sId="1">
    <nc r="S160" t="inlineStr">
      <is>
        <t>hieu.nguyen-trung</t>
      </is>
    </nc>
  </rcc>
  <rcc rId="3921" sId="1">
    <nc r="S161" t="inlineStr">
      <is>
        <t>hieu.nguyen-trung</t>
      </is>
    </nc>
  </rcc>
  <rcc rId="3922" sId="1">
    <nc r="S163" t="inlineStr">
      <is>
        <t>bang.nguyen-duy</t>
      </is>
    </nc>
  </rcc>
  <rcc rId="3923" sId="1">
    <nc r="S164" t="inlineStr">
      <is>
        <t>bang.nguyen-duy</t>
      </is>
    </nc>
  </rcc>
  <rcc rId="3924" sId="1">
    <nc r="S165" t="inlineStr">
      <is>
        <t>bang.nguyen-duy</t>
      </is>
    </nc>
  </rcc>
  <rcc rId="3925" sId="1">
    <nc r="S166" t="inlineStr">
      <is>
        <t>bang.nguyen-duy</t>
      </is>
    </nc>
  </rcc>
  <rcc rId="3926" sId="1">
    <nc r="S167" t="inlineStr">
      <is>
        <t>bang.nguyen-duy</t>
      </is>
    </nc>
  </rcc>
  <rcc rId="3927" sId="1">
    <nc r="S168" t="inlineStr">
      <is>
        <t>hau.nguyen-tai</t>
      </is>
    </nc>
  </rcc>
  <rcc rId="3928" sId="1">
    <nc r="S169" t="inlineStr">
      <is>
        <t>phuong.nguyen-thanh</t>
      </is>
    </nc>
  </rcc>
  <rcc rId="3929" sId="1">
    <nc r="S170" t="inlineStr">
      <is>
        <t>phuong.nguyen-thanh</t>
      </is>
    </nc>
  </rcc>
  <rcc rId="3930" sId="1">
    <nc r="S171" t="inlineStr">
      <is>
        <t>phuong.nguyen-thanh</t>
      </is>
    </nc>
  </rcc>
  <rcc rId="3931" sId="1">
    <nc r="S172" t="inlineStr">
      <is>
        <t>phuong.nguyen-thanh</t>
      </is>
    </nc>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Merged_COEM!$B$47:$AN$152</formula>
    <oldFormula>Merged_COEM!$B$47:$AN$152</oldFormula>
  </rdn>
  <rdn rId="0" localSheetId="2" customView="1" name="Z_3B3E6719_EACB_4D2C_89C1_05FFAB6020FD_.wvu.FilterData" hidden="1" oldHidden="1">
    <formula>Merged_JOEM!$B$47:$AN$145</formula>
    <oldFormula>Merged_JOEM!$B$47:$AN$116</oldFormula>
  </rdn>
  <rcv guid="{3B3E6719-EACB-4D2C-89C1-05FFAB6020FD}" action="add"/>
</revisions>
</file>

<file path=xl/revisions/revisionLog3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38" sId="1">
    <oc r="S171" t="inlineStr">
      <is>
        <t>phuong.nguyen-thanh</t>
      </is>
    </oc>
    <nc r="S171" t="inlineStr">
      <is>
        <t>hieu.nguyen-trung</t>
      </is>
    </nc>
  </rcc>
  <rcc rId="3939" sId="1">
    <oc r="S168" t="inlineStr">
      <is>
        <t>hau.nguyen-tai</t>
      </is>
    </oc>
    <nc r="S168" t="inlineStr">
      <is>
        <t>bang.nguyen-duy</t>
      </is>
    </nc>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168:AD172">
    <dxf>
      <fill>
        <patternFill patternType="solid">
          <bgColor rgb="FFFFC000"/>
        </patternFill>
      </fill>
    </dxf>
  </rfmt>
</revisions>
</file>

<file path=xl/revisions/revisionLog3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Merged_COEM!$B$47:$AN$152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46" sId="1">
    <oc r="S168" t="inlineStr">
      <is>
        <t>bang.nguyen-duy</t>
      </is>
    </oc>
    <nc r="S168" t="inlineStr">
      <is>
        <t>hieu.nguyen-trung</t>
      </is>
    </nc>
  </rcc>
  <rcc rId="3947" sId="1">
    <oc r="S171" t="inlineStr">
      <is>
        <t>hieu.nguyen-trung</t>
      </is>
    </oc>
    <nc r="S171" t="inlineStr">
      <is>
        <t>bang.nguyen-duy</t>
      </is>
    </nc>
  </rc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62" start="0" length="2147483647">
    <dxf>
      <font>
        <b/>
      </font>
    </dxf>
  </rfmt>
  <rcc rId="3952" sId="1" quotePrefix="1">
    <oc r="F170" t="inlineStr">
      <is>
        <t>rb/as/core/app/net/RBNetSAS/src/RBNetSAS_Functions.c</t>
      </is>
    </oc>
    <nc r="F170" t="inlineStr">
      <is>
        <t>rb\as\core\app\net\RBNetSAS\src\RBNetSAS_Functions.c</t>
      </is>
    </nc>
  </rcc>
  <rcc rId="3953" sId="1" quotePrefix="1">
    <oc r="F171" t="inlineStr">
      <is>
        <t>rb/as/cnms_core/app/net/scl/Sensors/Steering/src/SAS_LWS_Standard.c</t>
      </is>
    </oc>
    <nc r="F171" t="inlineStr">
      <is>
        <t>rb\as\cnms_core\app\net\scl\Sensors\Steering\src\SAS_LWS_Standard.c</t>
      </is>
    </nc>
  </rcc>
</revisions>
</file>

<file path=xl/revisions/revisionLog3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Merged_COEM!$B$47:$AN$152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56" sId="1" quotePrefix="1">
    <nc r="F168" t="inlineStr">
      <is>
        <t>GAC_ESPHevX_HADHAP_Int/CNMSHevXHADHAP/rb/as/gaig/core/app/net/RBScl/src/NET_SCL_GAC_Complex_function.c</t>
      </is>
    </nc>
  </rcc>
  <rfmt sheetId="1" sqref="F168" start="0" length="2147483647">
    <dxf>
      <font>
        <b/>
      </font>
    </dxf>
  </rfmt>
  <rfmt sheetId="1" sqref="F168">
    <dxf>
      <fill>
        <patternFill patternType="solid">
          <bgColor rgb="FFFFC000"/>
        </patternFill>
      </fill>
    </dxf>
  </rfmt>
  <rcc rId="3957" sId="1">
    <nc r="AN168" t="inlineStr">
      <is>
        <t>Lack component</t>
      </is>
    </nc>
  </rcc>
</revisions>
</file>

<file path=xl/revisions/revisionLog3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58" sId="1">
    <nc r="X170">
      <v>36</v>
    </nc>
  </rcc>
  <rcc rId="3959" sId="1" numFmtId="19">
    <nc r="AE170">
      <v>43963</v>
    </nc>
  </rcc>
  <rcc rId="3960" sId="1" numFmtId="19">
    <nc r="AF170">
      <v>43963</v>
    </nc>
  </rcc>
  <rcc rId="3961" sId="1">
    <nc r="AG170" t="inlineStr">
      <is>
        <t>OK</t>
      </is>
    </nc>
  </rcc>
  <rcc rId="3962" sId="1" numFmtId="14">
    <nc r="AH170">
      <v>1</v>
    </nc>
  </rcc>
  <rcc rId="3963" sId="1" numFmtId="14">
    <nc r="AI170">
      <v>1</v>
    </nc>
  </rcc>
  <rcc rId="3964" sId="1" numFmtId="14">
    <nc r="AJ170">
      <v>1</v>
    </nc>
  </rcc>
  <rcc rId="3965" sId="1">
    <nc r="AK170" t="inlineStr">
      <is>
        <t>None</t>
      </is>
    </nc>
  </rc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0" sId="1" numFmtId="19">
    <nc r="AE172">
      <v>43963</v>
    </nc>
  </rcc>
  <rcc rId="3971" sId="1" numFmtId="19">
    <nc r="AF172">
      <v>43963</v>
    </nc>
  </rcc>
  <rcc rId="3972" sId="1">
    <nc r="AG172" t="inlineStr">
      <is>
        <t>OK</t>
      </is>
    </nc>
  </rcc>
  <rcc rId="3973" sId="1" numFmtId="14">
    <nc r="AH172">
      <v>1</v>
    </nc>
  </rcc>
  <rcc rId="3974" sId="1" numFmtId="14">
    <nc r="AI172">
      <v>1</v>
    </nc>
  </rcc>
  <rcc rId="3975" sId="1" numFmtId="14">
    <nc r="AJ172">
      <v>1</v>
    </nc>
  </rcc>
  <rcc rId="3976" sId="1">
    <nc r="AK172" t="inlineStr">
      <is>
        <t>None</t>
      </is>
    </nc>
  </rc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9" sId="1" odxf="1" dxf="1">
    <nc r="X169">
      <v>90</v>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3980" sId="1">
    <nc r="AA169" t="inlineStr">
      <is>
        <t>Ready for review</t>
      </is>
    </nc>
  </rcc>
  <rcc rId="3981" sId="1">
    <nc r="AA170" t="inlineStr">
      <is>
        <t>Ready for review</t>
      </is>
    </nc>
  </rcc>
  <rcc rId="3982" sId="1" numFmtId="19">
    <nc r="AE169">
      <v>43963</v>
    </nc>
  </rcc>
  <rcc rId="3983" sId="1" numFmtId="19">
    <nc r="AF169">
      <v>43963</v>
    </nc>
  </rcc>
  <rcc rId="3984" sId="1">
    <nc r="AG169" t="inlineStr">
      <is>
        <t>OK</t>
      </is>
    </nc>
  </rcc>
  <rcc rId="3985" sId="1" numFmtId="14">
    <nc r="AH169">
      <v>1</v>
    </nc>
  </rcc>
  <rcc rId="3986" sId="1" numFmtId="14">
    <nc r="AI169">
      <v>1</v>
    </nc>
  </rcc>
  <rcc rId="3987" sId="1" numFmtId="14">
    <nc r="AJ169">
      <v>1</v>
    </nc>
  </rcc>
  <rcc rId="3988" sId="1">
    <nc r="AK169" t="inlineStr">
      <is>
        <t>None</t>
      </is>
    </nc>
  </rc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91" sId="1">
    <nc r="X172">
      <v>63</v>
    </nc>
  </rc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94" sId="1">
    <nc r="Y169">
      <v>0.12</v>
    </nc>
  </rcc>
  <rcc rId="3995" sId="1" odxf="1" dxf="1">
    <nc r="Y170">
      <v>0.12</v>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3996" sId="1" odxf="1" dxf="1">
    <nc r="Y172">
      <v>0.12</v>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evisions>
</file>

<file path=xl/revisions/revisionLog3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97" sId="1" odxf="1" dxf="1">
    <oc r="Y169">
      <v>0.12</v>
    </oc>
    <nc r="Y169"/>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3998" sId="1" odxf="1" dxf="1">
    <oc r="Y170">
      <v>0.12</v>
    </oc>
    <nc r="Y170"/>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3999" sId="1" odxf="1" dxf="1">
    <oc r="Y172">
      <v>0.12</v>
    </oc>
    <nc r="Y172"/>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4000" sId="1">
    <nc r="Z169">
      <v>0.12</v>
    </nc>
  </rcc>
  <rcc rId="4001" sId="1">
    <nc r="Z170">
      <v>0.12</v>
    </nc>
  </rcc>
  <rcc rId="4002" sId="1">
    <nc r="Z172">
      <v>0.12</v>
    </nc>
  </rcc>
  <rcc rId="4003" sId="1">
    <nc r="AA172" t="inlineStr">
      <is>
        <t>Ready for review</t>
      </is>
    </nc>
  </rc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06" sId="1">
    <nc r="AL169" t="inlineStr">
      <is>
        <t>-</t>
      </is>
    </nc>
  </rcc>
  <rcc rId="4007" sId="1">
    <nc r="AM169" t="inlineStr">
      <is>
        <t>-</t>
      </is>
    </nc>
  </rcc>
  <rcc rId="4008" sId="1">
    <nc r="AN169" t="inlineStr">
      <is>
        <t>-</t>
      </is>
    </nc>
  </rcc>
  <rcc rId="4009" sId="1">
    <nc r="AL170" t="inlineStr">
      <is>
        <t>-</t>
      </is>
    </nc>
  </rcc>
  <rcc rId="4010" sId="1">
    <nc r="AM170" t="inlineStr">
      <is>
        <t>-</t>
      </is>
    </nc>
  </rcc>
  <rcc rId="4011" sId="1">
    <nc r="AN170" t="inlineStr">
      <is>
        <t>-</t>
      </is>
    </nc>
  </rcc>
  <rcc rId="4012" sId="1">
    <nc r="AL172" t="inlineStr">
      <is>
        <t>-</t>
      </is>
    </nc>
  </rcc>
  <rcc rId="4013" sId="1">
    <nc r="AM172" t="inlineStr">
      <is>
        <t>-</t>
      </is>
    </nc>
  </rcc>
  <rcc rId="4014" sId="1">
    <nc r="AN172" t="inlineStr">
      <is>
        <t>-</t>
      </is>
    </nc>
  </rc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17" sId="1">
    <oc r="Z169">
      <v>0.12</v>
    </oc>
    <nc r="Z169">
      <v>0.15</v>
    </nc>
  </rcc>
</revisions>
</file>

<file path=xl/revisions/revisionLog3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169" start="0" length="0">
    <dxf>
      <alignment horizontal="left" vertical="top" readingOrder="0"/>
      <border outline="0">
        <left style="thin">
          <color indexed="64"/>
        </left>
        <right style="thin">
          <color indexed="64"/>
        </right>
        <top style="thin">
          <color indexed="64"/>
        </top>
        <bottom style="thin">
          <color indexed="64"/>
        </bottom>
      </border>
    </dxf>
  </rfmt>
  <rcc rId="4020" sId="1" quotePrefix="1">
    <nc r="F169" t="inlineStr">
      <is>
        <t>GAC_ESPHevX_HADHAP_Int\CNMSHevXHADHAP\rb\as\cnms_core\app\net\scl_callout\src</t>
      </is>
    </nc>
  </rc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3" sId="1">
    <oc r="S153" t="inlineStr">
      <is>
        <t>hieu.nguyen-trung</t>
      </is>
    </oc>
    <nc r="S153" t="inlineStr">
      <is>
        <t>hau.nguyen-tai</t>
      </is>
    </nc>
  </rcc>
  <rcc rId="4024" sId="1">
    <oc r="S154" t="inlineStr">
      <is>
        <t>hieu.nguyen-trung</t>
      </is>
    </oc>
    <nc r="S154" t="inlineStr">
      <is>
        <t>hau.nguyen-tai</t>
      </is>
    </nc>
  </rcc>
  <rcc rId="4025" sId="1">
    <oc r="S155" t="inlineStr">
      <is>
        <t>hieu.nguyen-trung</t>
      </is>
    </oc>
    <nc r="S155" t="inlineStr">
      <is>
        <t>hau.nguyen-tai</t>
      </is>
    </nc>
  </rcc>
  <rcc rId="4026" sId="1">
    <oc r="S156" t="inlineStr">
      <is>
        <t>hieu.nguyen-trung</t>
      </is>
    </oc>
    <nc r="S156" t="inlineStr">
      <is>
        <t>hau.nguyen-tai</t>
      </is>
    </nc>
  </rcc>
  <rcc rId="4027" sId="1">
    <oc r="S157" t="inlineStr">
      <is>
        <t>hieu.nguyen-trung</t>
      </is>
    </oc>
    <nc r="S157" t="inlineStr">
      <is>
        <t>hau.nguyen-tai</t>
      </is>
    </nc>
  </rcc>
  <rcc rId="4028" sId="1">
    <oc r="S158" t="inlineStr">
      <is>
        <t>hieu.nguyen-trung</t>
      </is>
    </oc>
    <nc r="S158" t="inlineStr">
      <is>
        <t>hau.nguyen-tai</t>
      </is>
    </nc>
  </rcc>
  <rcc rId="4029" sId="1">
    <oc r="S159" t="inlineStr">
      <is>
        <t>hieu.nguyen-trung</t>
      </is>
    </oc>
    <nc r="S159" t="inlineStr">
      <is>
        <t>hau.nguyen-tai</t>
      </is>
    </nc>
  </rcc>
  <rcv guid="{250915DF-0B97-45D7-B29D-7EED4C89C1C1}" action="delete"/>
  <rdn rId="0" localSheetId="1" customView="1" name="Z_250915DF_0B97_45D7_B29D_7EED4C89C1C1_.wvu.FilterData" hidden="1" oldHidden="1">
    <formula>Merged_COEM!$B$47:$AN$172</formula>
    <oldFormula>Merged_COEM!$B$47:$AN$152</oldFormula>
  </rdn>
  <rdn rId="0" localSheetId="2" customView="1" name="Z_250915DF_0B97_45D7_B29D_7EED4C89C1C1_.wvu.FilterData" hidden="1" oldHidden="1">
    <formula>Merged_JOEM!$B$47:$AN$145</formula>
    <oldFormula>Merged_JOEM!$B$47:$AN$145</oldFormula>
  </rdn>
  <rcv guid="{250915DF-0B97-45D7-B29D-7EED4C89C1C1}" action="add"/>
</revisions>
</file>

<file path=xl/revisions/revisionLog3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8" sId="2">
    <nc r="X133">
      <v>360</v>
    </nc>
  </rcc>
  <rcc rId="4039" sId="2">
    <nc r="X134">
      <v>360</v>
    </nc>
  </rcc>
  <rcc rId="4040" sId="2">
    <nc r="Z133">
      <v>4</v>
    </nc>
  </rcc>
  <rcc rId="4041" sId="2">
    <nc r="Z134">
      <v>4</v>
    </nc>
  </rcc>
  <rcc rId="4042" sId="2">
    <nc r="AA133" t="inlineStr">
      <is>
        <t>Ready for review</t>
      </is>
    </nc>
  </rcc>
  <rcc rId="4043" sId="2">
    <nc r="AA134" t="inlineStr">
      <is>
        <t>Ready for review</t>
      </is>
    </nc>
  </rcc>
  <rcc rId="4044" sId="2" numFmtId="19">
    <nc r="AE133">
      <v>43963</v>
    </nc>
  </rcc>
  <rcc rId="4045" sId="2" numFmtId="19">
    <nc r="AE134">
      <v>43963</v>
    </nc>
  </rcc>
  <rcc rId="4046" sId="2" numFmtId="19">
    <nc r="AF133">
      <v>43963</v>
    </nc>
  </rcc>
  <rcc rId="4047" sId="2" numFmtId="19">
    <nc r="AF134">
      <v>43963</v>
    </nc>
  </rcc>
  <rcc rId="4048" sId="2">
    <nc r="AG133" t="inlineStr">
      <is>
        <t>OK</t>
      </is>
    </nc>
  </rcc>
  <rcc rId="4049" sId="2">
    <nc r="AG134" t="inlineStr">
      <is>
        <t>OK</t>
      </is>
    </nc>
  </rcc>
  <rcc rId="4050" sId="2" numFmtId="14">
    <nc r="AJ134">
      <v>0.9</v>
    </nc>
  </rcc>
  <rcc rId="4051" sId="2">
    <nc r="AL134" t="inlineStr">
      <is>
        <t>cannot cover false case MCDC at line 1414, 1415 because litmited at 2 condition at line 1397, 1405</t>
      </is>
    </nc>
  </rcc>
  <rcc rId="4052" sId="2" numFmtId="14">
    <nc r="AH134">
      <v>1</v>
    </nc>
  </rcc>
  <rcc rId="4053" sId="2" numFmtId="14">
    <nc r="AI134">
      <v>1</v>
    </nc>
  </rcc>
  <rcc rId="4054" sId="2" numFmtId="14">
    <nc r="AH133">
      <v>1</v>
    </nc>
  </rcc>
  <rcc rId="4055" sId="2" numFmtId="14">
    <nc r="AI133">
      <v>1</v>
    </nc>
  </rcc>
  <rcc rId="4056" sId="2" numFmtId="14">
    <nc r="AJ133">
      <v>1</v>
    </nc>
  </rcc>
  <rcc rId="4057" sId="2">
    <nc r="AK133" t="inlineStr">
      <is>
        <t>None</t>
      </is>
    </nc>
  </rcc>
  <rcv guid="{336B6883-2145-4B58-921E-CEC7185A847E}" action="delete"/>
  <rdn rId="0" localSheetId="1" customView="1" name="Z_336B6883_2145_4B58_921E_CEC7185A847E_.wvu.FilterData" hidden="1" oldHidden="1">
    <formula>Merged_COEM!$P$47:$P$194</formula>
    <oldFormula>Merged_COEM!$P$47:$P$194</oldFormula>
  </rdn>
  <rdn rId="0" localSheetId="2" customView="1" name="Z_336B6883_2145_4B58_921E_CEC7185A847E_.wvu.FilterData" hidden="1" oldHidden="1">
    <formula>Merged_JOEM!$B$47:$AN$145</formula>
    <oldFormula>Merged_JOEM!$B$47:$AN$145</oldFormula>
  </rdn>
  <rcv guid="{336B6883-2145-4B58-921E-CEC7185A847E}" action="add"/>
</revisions>
</file>

<file path=xl/revisions/revisionLog3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62" sId="1">
    <nc r="Y154">
      <f>ROUNDDOWN(W154/HLOOKUP(D154,Table!$C$3:$D$4,2,0)*8,2)</f>
    </nc>
  </rcc>
  <rcc rId="4063" sId="1">
    <nc r="Y155">
      <f>ROUNDDOWN(W155/HLOOKUP(D155,Table!$C$3:$D$4,2,0)*8,2)</f>
    </nc>
  </rcc>
  <rcc rId="4064" sId="1">
    <nc r="Y156">
      <f>ROUNDDOWN(W156/HLOOKUP(D156,Table!$C$3:$D$4,2,0)*8,2)</f>
    </nc>
  </rcc>
  <rcc rId="4065" sId="1">
    <nc r="Y157">
      <f>ROUNDDOWN(W157/HLOOKUP(D157,Table!$C$3:$D$4,2,0)*8,2)</f>
    </nc>
  </rcc>
  <rcc rId="4066" sId="1">
    <nc r="Y158">
      <f>ROUNDDOWN(W158/HLOOKUP(D158,Table!$C$3:$D$4,2,0)*8,2)</f>
    </nc>
  </rcc>
  <rcc rId="4067" sId="1">
    <nc r="Y159">
      <f>ROUNDDOWN(W159/HLOOKUP(D159,Table!$C$3:$D$4,2,0)*8,2)</f>
    </nc>
  </rcc>
  <rfmt sheetId="1" sqref="AL159" start="0" length="0">
    <dxf>
      <alignment horizontal="general" vertical="bottom" readingOrder="0"/>
      <border outline="0">
        <left/>
        <right/>
        <top/>
        <bottom/>
      </border>
    </dxf>
  </rfmt>
  <rfmt sheetId="1" sqref="AL159" start="0" length="0">
    <dxf>
      <font>
        <sz val="10"/>
        <color theme="1"/>
        <name val="Arial"/>
        <scheme val="none"/>
      </font>
    </dxf>
  </rfmt>
  <rcc rId="4068" sId="1" xfDxf="1" dxf="1">
    <nc r="AL159" t="inlineStr">
      <is>
        <r>
          <t xml:space="preserve">Can’t cover FALSE case at line #301. Because of the macro </t>
        </r>
        <r>
          <rPr>
            <sz val="10"/>
            <color rgb="FF000000"/>
            <rFont val="Courier New"/>
            <family val="3"/>
          </rPr>
          <t xml:space="preserve">DCM_CFG_DSP_NUMSECURITY </t>
        </r>
        <r>
          <rPr>
            <sz val="10"/>
            <color rgb="FF000000"/>
            <rFont val="Arial"/>
            <family val="2"/>
          </rPr>
          <t>is defined as 1.</t>
        </r>
      </is>
    </nc>
    <ndxf>
      <font>
        <sz val="10"/>
        <name val="Arial"/>
        <scheme val="none"/>
      </font>
    </ndxf>
  </rcc>
  <rcc rId="4069" sId="1" numFmtId="19">
    <nc r="AE159">
      <v>43963</v>
    </nc>
  </rcc>
  <rcc rId="4070" sId="1" numFmtId="19">
    <nc r="AF159">
      <v>43963</v>
    </nc>
  </rcc>
  <rcc rId="4071" sId="1">
    <nc r="AG159" t="inlineStr">
      <is>
        <t>NG</t>
      </is>
    </nc>
  </rcc>
  <rcc rId="4072" sId="1" numFmtId="14">
    <nc r="AH159">
      <v>0.99</v>
    </nc>
  </rcc>
  <rcc rId="4073" sId="1" numFmtId="14">
    <nc r="AI159">
      <v>0.97</v>
    </nc>
  </rcc>
  <rcc rId="4074" sId="1" numFmtId="14">
    <nc r="AJ159">
      <v>1</v>
    </nc>
  </rcc>
  <rcc rId="4075" sId="1">
    <nc r="AK159" t="inlineStr">
      <is>
        <t>OPL</t>
      </is>
    </nc>
  </rcc>
  <rcv guid="{7ECC2B8E-6A82-42F5-8AB0-4A51C54EA5EC}" action="delete"/>
  <rdn rId="0" localSheetId="1" customView="1" name="Z_7ECC2B8E_6A82_42F5_8AB0_4A51C54EA5EC_.wvu.FilterData" hidden="1" oldHidden="1">
    <formula>Merged_COEM!$B$47:$AN$172</formula>
    <oldFormula>Merged_COEM!$B$47:$AN$152</oldFormula>
  </rdn>
  <rdn rId="0" localSheetId="2" customView="1" name="Z_7ECC2B8E_6A82_42F5_8AB0_4A51C54EA5EC_.wvu.FilterData" hidden="1" oldHidden="1">
    <formula>Merged_JOEM!$B$47:$AN$145</formula>
    <oldFormula>Merged_JOEM!$B$47:$AN$116</oldFormula>
  </rdn>
  <rcv guid="{7ECC2B8E-6A82-42F5-8AB0-4A51C54EA5EC}" action="add"/>
</revisions>
</file>

<file path=xl/revisions/revisionLog3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8" sId="1">
    <nc r="AA159" t="inlineStr">
      <is>
        <t>Ready for review</t>
      </is>
    </nc>
  </rcc>
  <rcv guid="{7ECC2B8E-6A82-42F5-8AB0-4A51C54EA5EC}" action="delete"/>
  <rdn rId="0" localSheetId="1" customView="1" name="Z_7ECC2B8E_6A82_42F5_8AB0_4A51C54EA5EC_.wvu.FilterData" hidden="1" oldHidden="1">
    <formula>Merged_COEM!$B$47:$AN$172</formula>
    <oldFormula>Merged_COEM!$B$47:$AN$172</oldFormula>
  </rdn>
  <rdn rId="0" localSheetId="2" customView="1" name="Z_7ECC2B8E_6A82_42F5_8AB0_4A51C54EA5EC_.wvu.FilterData" hidden="1" oldHidden="1">
    <formula>Merged_JOEM!$B$47:$AN$145</formula>
    <oldFormula>Merged_JOEM!$B$47:$AN$145</oldFormula>
  </rdn>
  <rcv guid="{7ECC2B8E-6A82-42F5-8AB0-4A51C54EA5EC}" action="add"/>
</revisions>
</file>

<file path=xl/revisions/revisionLog3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Merged_COEM!$B$47:$AN$172</formula>
    <oldFormula>Merged_COEM!$B$47:$AN$172</oldFormula>
  </rdn>
  <rdn rId="0" localSheetId="2" customView="1" name="Z_3B3E6719_EACB_4D2C_89C1_05FFAB6020FD_.wvu.FilterData" hidden="1" oldHidden="1">
    <formula>Merged_JOEM!$B$47:$AN$145</formula>
    <oldFormula>Merged_JOEM!$B$47:$AN$145</oldFormula>
  </rdn>
  <rcv guid="{3B3E6719-EACB-4D2C-89C1-05FFAB6020FD}" action="add"/>
</revisions>
</file>

<file path=xl/revisions/revisionLog3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83" sId="1">
    <nc r="AA155" t="inlineStr">
      <is>
        <t>Ready for review</t>
      </is>
    </nc>
  </rcc>
  <rcc rId="4084" sId="1">
    <nc r="AG155" t="inlineStr">
      <is>
        <t>OK</t>
      </is>
    </nc>
  </rcc>
  <rcc rId="4085" sId="1" numFmtId="14">
    <nc r="AH155">
      <v>1</v>
    </nc>
  </rcc>
  <rcc rId="4086" sId="1" numFmtId="14">
    <nc r="AI155">
      <v>1</v>
    </nc>
  </rcc>
  <rcc rId="4087" sId="1" numFmtId="14">
    <nc r="AJ155">
      <v>1</v>
    </nc>
  </rcc>
  <rcc rId="4088" sId="1">
    <nc r="AK155" t="inlineStr">
      <is>
        <t>None</t>
      </is>
    </nc>
  </rcc>
  <rcv guid="{7ECC2B8E-6A82-42F5-8AB0-4A51C54EA5EC}" action="delete"/>
  <rdn rId="0" localSheetId="1" customView="1" name="Z_7ECC2B8E_6A82_42F5_8AB0_4A51C54EA5EC_.wvu.FilterData" hidden="1" oldHidden="1">
    <formula>Merged_COEM!$B$47:$AN$172</formula>
    <oldFormula>Merged_COEM!$B$47:$AN$172</oldFormula>
  </rdn>
  <rdn rId="0" localSheetId="2" customView="1" name="Z_7ECC2B8E_6A82_42F5_8AB0_4A51C54EA5EC_.wvu.FilterData" hidden="1" oldHidden="1">
    <formula>Merged_JOEM!$B$47:$AN$145</formula>
    <oldFormula>Merged_JOEM!$B$47:$AN$145</oldFormula>
  </rdn>
  <rcv guid="{7ECC2B8E-6A82-42F5-8AB0-4A51C54EA5EC}" action="add"/>
</revisions>
</file>

<file path=xl/revisions/revisionLog3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91" sId="1" numFmtId="19">
    <nc r="AE155">
      <v>43963</v>
    </nc>
  </rcc>
  <rcc rId="4092" sId="1" numFmtId="19">
    <nc r="AF155">
      <v>43963</v>
    </nc>
  </rcc>
  <rcv guid="{7ECC2B8E-6A82-42F5-8AB0-4A51C54EA5EC}" action="delete"/>
  <rdn rId="0" localSheetId="1" customView="1" name="Z_7ECC2B8E_6A82_42F5_8AB0_4A51C54EA5EC_.wvu.FilterData" hidden="1" oldHidden="1">
    <formula>Merged_COEM!$B$47:$AN$172</formula>
    <oldFormula>Merged_COEM!$B$47:$AN$172</oldFormula>
  </rdn>
  <rdn rId="0" localSheetId="2" customView="1" name="Z_7ECC2B8E_6A82_42F5_8AB0_4A51C54EA5EC_.wvu.FilterData" hidden="1" oldHidden="1">
    <formula>Merged_JOEM!$B$47:$AN$145</formula>
    <oldFormula>Merged_JOEM!$B$47:$AN$145</oldFormula>
  </rdn>
  <rcv guid="{7ECC2B8E-6A82-42F5-8AB0-4A51C54EA5EC}"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0">
  <userInfo guid="{D2D05B57-BC27-4428-84ED-5CFC5481D234}" name="EXTERNAL Nguyen Kim Thanh (Ban Vien, RBVH/EPS45)" id="-41251539" dateTime="2020-05-06T13:29:03"/>
  <userInfo guid="{C95F0C28-210D-424C-9FE9-6098AB6E5B24}" name="GUP7HC" id="-676879371" dateTime="2020-05-07T13:06:10"/>
  <userInfo guid="{2691F6EE-8322-425A-9D58-E8A9956CEFC1}" name="EXTERNAL Nguyen Tuan Duong (Ban Vien, RBVH/EPS45)" id="-567361597" dateTime="2020-05-07T17:14:22"/>
  <userInfo guid="{1D04E125-3B54-499F-A6DE-C3BB5C2D1574}" name="EXTERNAL Nguyen Kim Thanh (Ban Vien, RBVH/EPS45)" id="-41262779" dateTime="2020-05-08T13:23:50"/>
  <userInfo guid="{383A2E6B-BA51-49C9-864B-843A3F262BDF}" name="EXTERNAL Ly Chung (Ban Vien, RBVH/EPS45)" id="-274401960" dateTime="2020-05-08T15:02:55"/>
  <userInfo guid="{7EC6A811-3FF6-4EB0-9E35-193E527AFE37}" name="EXTERNAL Do Phu Loc (Ban Vien, RBVH/EPS45)" id="-1167966920" dateTime="2020-05-11T09:50:48"/>
  <userInfo guid="{3764A7EB-4784-4766-AD6C-CF18881EE928}" name="EXTERNAL Do Phu Loc (Ban Vien, RBVH/EPS45)" id="-1167973643" dateTime="2020-05-11T10:41:02"/>
  <userInfo guid="{BE5B1AF3-C6A8-4F86-BED4-FE1AC1E84EC9}" name="EXTERNAL Nguyen Duy Bang (Ban Vien, RBVH/EPS45)" id="-1953155880" dateTime="2020-05-12T09:15:58"/>
  <userInfo guid="{895E97F6-7612-497F-8245-82F97D0D62BD}" name="EXTERNAL Nguyen Tai Hau (Ban Vien, RBVH/EPS45)" id="-1204096421" dateTime="2020-05-12T10:50:38"/>
  <userInfo guid="{9C6FD125-4662-4C49-97F0-0BA4B3DA0F90}" name="EXTERNAL Nguyen Trung Hieu (Ban Vien, RBVH/EPS45)" id="-241746348" dateTime="2020-05-12T14:43:20"/>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5" Type="http://schemas.openxmlformats.org/officeDocument/2006/relationships/printerSettings" Target="../printerSettings/printerSettings16.bin"/><Relationship Id="rId10" Type="http://schemas.openxmlformats.org/officeDocument/2006/relationships/printerSettings" Target="../printerSettings/printerSettings21.bin"/><Relationship Id="rId4" Type="http://schemas.openxmlformats.org/officeDocument/2006/relationships/printerSettings" Target="../printerSettings/printerSettings15.bin"/><Relationship Id="rId9" Type="http://schemas.openxmlformats.org/officeDocument/2006/relationships/printerSettings" Target="../printerSettings/printerSettings20.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0.bin"/><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11" Type="http://schemas.openxmlformats.org/officeDocument/2006/relationships/printerSettings" Target="../printerSettings/printerSettings33.bin"/><Relationship Id="rId5" Type="http://schemas.openxmlformats.org/officeDocument/2006/relationships/printerSettings" Target="../printerSettings/printerSettings27.bin"/><Relationship Id="rId10" Type="http://schemas.openxmlformats.org/officeDocument/2006/relationships/printerSettings" Target="../printerSettings/printerSettings32.bin"/><Relationship Id="rId4" Type="http://schemas.openxmlformats.org/officeDocument/2006/relationships/printerSettings" Target="../printerSettings/printerSettings26.bin"/><Relationship Id="rId9" Type="http://schemas.openxmlformats.org/officeDocument/2006/relationships/printerSettings" Target="../printerSettings/printerSettings3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4.bin"/><Relationship Id="rId3" Type="http://schemas.openxmlformats.org/officeDocument/2006/relationships/printerSettings" Target="../printerSettings/printerSettings39.bin"/><Relationship Id="rId7" Type="http://schemas.openxmlformats.org/officeDocument/2006/relationships/printerSettings" Target="../printerSettings/printerSettings43.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11" Type="http://schemas.openxmlformats.org/officeDocument/2006/relationships/printerSettings" Target="../printerSettings/printerSettings47.bin"/><Relationship Id="rId5" Type="http://schemas.openxmlformats.org/officeDocument/2006/relationships/printerSettings" Target="../printerSettings/printerSettings41.bin"/><Relationship Id="rId10" Type="http://schemas.openxmlformats.org/officeDocument/2006/relationships/printerSettings" Target="../printerSettings/printerSettings46.bin"/><Relationship Id="rId4" Type="http://schemas.openxmlformats.org/officeDocument/2006/relationships/printerSettings" Target="../printerSettings/printerSettings40.bin"/><Relationship Id="rId9"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B050"/>
  </sheetPr>
  <dimension ref="A1:AN194"/>
  <sheetViews>
    <sheetView tabSelected="1" topLeftCell="T28" zoomScale="70" zoomScaleNormal="70" workbookViewId="0">
      <selection activeCell="AG155" sqref="AG155"/>
    </sheetView>
  </sheetViews>
  <sheetFormatPr defaultRowHeight="15" x14ac:dyDescent="0.25"/>
  <cols>
    <col min="3" max="3" width="12.140625" customWidth="1"/>
    <col min="4" max="4" width="10.140625" customWidth="1"/>
    <col min="5" max="5" width="47.28515625" customWidth="1"/>
    <col min="6" max="6" width="129.85546875" bestFit="1" customWidth="1"/>
    <col min="7" max="7" width="14.140625" customWidth="1"/>
    <col min="8" max="8" width="11.5703125" customWidth="1"/>
    <col min="9" max="9" width="48.140625" bestFit="1" customWidth="1"/>
    <col min="10" max="10" width="17" bestFit="1" customWidth="1"/>
    <col min="11" max="11" width="10.140625" customWidth="1"/>
    <col min="12" max="12" width="17.28515625" customWidth="1"/>
    <col min="13" max="13" width="20.5703125" customWidth="1"/>
    <col min="14" max="14" width="30.7109375" customWidth="1"/>
    <col min="15" max="15" width="16" bestFit="1" customWidth="1"/>
    <col min="16" max="16" width="20.7109375" customWidth="1"/>
    <col min="19" max="19" width="23.42578125" bestFit="1" customWidth="1"/>
    <col min="24" max="24" width="19.28515625" bestFit="1" customWidth="1"/>
    <col min="25" max="25" width="17.42578125" bestFit="1" customWidth="1"/>
    <col min="26" max="26" width="16" bestFit="1" customWidth="1"/>
    <col min="27" max="28" width="15" bestFit="1" customWidth="1"/>
    <col min="29" max="29" width="17.42578125" bestFit="1" customWidth="1"/>
    <col min="30" max="30" width="16" bestFit="1" customWidth="1"/>
    <col min="31" max="31" width="14.140625" customWidth="1"/>
    <col min="32" max="32" width="14" customWidth="1"/>
    <col min="33" max="33" width="7.7109375" bestFit="1" customWidth="1"/>
    <col min="34" max="35" width="9.140625" bestFit="1" customWidth="1"/>
    <col min="36" max="36" width="9.85546875" bestFit="1" customWidth="1"/>
    <col min="37" max="37" width="17.7109375" bestFit="1" customWidth="1"/>
    <col min="38" max="38" width="48.85546875" customWidth="1"/>
    <col min="39" max="39" width="35.85546875" bestFit="1" customWidth="1"/>
    <col min="40" max="40" width="45.140625" customWidth="1"/>
  </cols>
  <sheetData>
    <row r="1" spans="1:13" x14ac:dyDescent="0.25">
      <c r="A1" s="74" t="s">
        <v>150</v>
      </c>
    </row>
    <row r="2" spans="1:13" x14ac:dyDescent="0.25">
      <c r="B2" s="74" t="s">
        <v>52</v>
      </c>
      <c r="C2" s="24"/>
      <c r="D2" s="24"/>
      <c r="E2" s="24"/>
      <c r="F2" s="24"/>
      <c r="G2" s="24"/>
      <c r="H2" s="24"/>
    </row>
    <row r="3" spans="1:13" x14ac:dyDescent="0.25">
      <c r="B3" s="67" t="s">
        <v>0</v>
      </c>
      <c r="C3" s="67" t="s">
        <v>8</v>
      </c>
      <c r="D3" s="67" t="s">
        <v>129</v>
      </c>
      <c r="E3" s="67" t="s">
        <v>53</v>
      </c>
      <c r="F3" s="67" t="s">
        <v>136</v>
      </c>
      <c r="G3" s="67" t="s">
        <v>643</v>
      </c>
      <c r="H3" s="68" t="s">
        <v>24</v>
      </c>
      <c r="J3" s="74" t="s">
        <v>39</v>
      </c>
    </row>
    <row r="4" spans="1:13" x14ac:dyDescent="0.25">
      <c r="B4" s="69">
        <v>1</v>
      </c>
      <c r="C4" s="80" t="s">
        <v>6</v>
      </c>
      <c r="D4" s="71">
        <f>SUMIFS($W$48:$W$193,$D$48:$D$193,Table!$D$3,$S$48:$S$193,C4)</f>
        <v>4158</v>
      </c>
      <c r="E4" s="71">
        <f>SUMIFS($W$48:$W$193,$D$48:$D$193,Table!$D$3,$S$48:$S$193,C4)-SUM(SUMIFS($W$48:$W$193,$D$48:$D$193,Table!$D$3,$S$48:$S$193,C4,$AA$48:$AA$193,{"Ongoing","N\A",""}))</f>
        <v>2815</v>
      </c>
      <c r="F4" s="71">
        <f>1/8*(SUMIFS($Z$48:$Z$193,$D$48:$D$193,Table!$D$3,$S$48:$S$193,C4)-SUM(SUMIFS($Z$48:$Z$193,$D$48:$D$193,Table!$D$3,$S$48:$S$193,C4,$AA$48:$AA$193,{"Ongoing","N/A",""})))</f>
        <v>1.75</v>
      </c>
      <c r="G4" s="71">
        <f>IF(ISERROR(E4/(F4)),"N/A",E4/F4)</f>
        <v>1608.5714285714287</v>
      </c>
      <c r="H4" s="72">
        <f>IF(ISERROR(E4/D4),"N/A",E4/D4)</f>
        <v>0.67700817700817706</v>
      </c>
      <c r="K4" s="74" t="s">
        <v>41</v>
      </c>
    </row>
    <row r="5" spans="1:13" x14ac:dyDescent="0.25">
      <c r="B5" s="69">
        <v>2</v>
      </c>
      <c r="C5" s="80" t="s">
        <v>64</v>
      </c>
      <c r="D5" s="71">
        <f>SUMIFS($W$48:$W$193,$D$48:$D$193,Table!$D$3,$S$48:$S$193,C5)</f>
        <v>4827</v>
      </c>
      <c r="E5" s="71">
        <f>SUMIFS($W$48:$W$193,$D$48:$D$193,Table!$D$3,$S$48:$S$193,C5)-SUM(SUMIFS($W$48:$W$193,$D$48:$D$193,Table!$D$3,$S$48:$S$193,C5,$AA$48:$AA$193,{"Ongoing","N/A",""}))</f>
        <v>4588</v>
      </c>
      <c r="F5" s="71">
        <f>1/8*(SUMIFS($Z$48:$Z$193,$D$48:$D$193,Table!$D$3,$S$48:$S$193,C5)-SUM(SUMIFS($Z$48:$Z$193,$D$48:$D$193,Table!$D$3,$S$48:$S$193,C5,$AA$48:$AA$193,{"Ongoing","N/A",""})))</f>
        <v>3.875</v>
      </c>
      <c r="G5" s="71">
        <f t="shared" ref="G5:G6" si="0">IF(ISERROR(E5/(F5)),"N/A",E5/F5)</f>
        <v>1184</v>
      </c>
      <c r="H5" s="72">
        <f t="shared" ref="H5:H14" si="1">IF(ISERROR(E5/D5),"N/A",E5/D5)</f>
        <v>0.95048684483115808</v>
      </c>
      <c r="L5" s="24" t="s">
        <v>40</v>
      </c>
    </row>
    <row r="6" spans="1:13" x14ac:dyDescent="0.25">
      <c r="B6" s="69">
        <v>3</v>
      </c>
      <c r="C6" s="80" t="s">
        <v>65</v>
      </c>
      <c r="D6" s="71">
        <f>SUMIFS($W$48:$W$193,$D$48:$D$193,Table!$D$3,$S$48:$S$193,C6)</f>
        <v>3660</v>
      </c>
      <c r="E6" s="71">
        <f>SUMIFS($W$48:$W$193,$D$48:$D$193,Table!$D$3,$S$48:$S$193,C6)-SUM(SUMIFS($W$48:$W$193,$D$48:$D$193,Table!$D$3,$S$48:$S$193,C6,$AA$48:$AA$193,{"Ongoing","N/A",""}))</f>
        <v>2575</v>
      </c>
      <c r="F6" s="71">
        <f>1/8*(SUMIFS($Z$48:$Z$193,$D$48:$D$193,Table!$D$3,$S$48:$S$193,C6)-SUM(SUMIFS($Z$48:$Z$193,$D$48:$D$193,Table!$D$3,$S$48:$S$193,C6,$AA$48:$AA$193,{"Ongoing","N/A",""})))</f>
        <v>1.625</v>
      </c>
      <c r="G6" s="71">
        <f t="shared" si="0"/>
        <v>1584.6153846153845</v>
      </c>
      <c r="H6" s="72">
        <f t="shared" si="1"/>
        <v>0.70355191256830596</v>
      </c>
      <c r="L6" s="24" t="s">
        <v>100</v>
      </c>
    </row>
    <row r="7" spans="1:13" x14ac:dyDescent="0.25">
      <c r="B7" s="69">
        <v>4</v>
      </c>
      <c r="C7" s="84" t="s">
        <v>66</v>
      </c>
      <c r="D7" s="71">
        <f>SUMIFS($W$48:$W$193,$D$48:$D$193,Table!$D$3,$S$48:$S$193,C7)</f>
        <v>0</v>
      </c>
      <c r="E7" s="71">
        <f>SUMIFS($W$48:$W$193,$D$48:$D$193,Table!$D$3,$S$48:$S$193,C7)-SUM(SUMIFS($W$48:$W$193,$D$48:$D$193,Table!$D$3,$S$48:$S$193,C7,$AA$48:$AA$193,{"Ongoing","N/A",""}))</f>
        <v>0</v>
      </c>
      <c r="F7" s="71">
        <f>1/8*(SUMIFS($Z$48:$Z$193,$D$48:$D$193,Table!$D$3,$S$48:$S$193,C7)-SUM(SUMIFS($Z$48:$Z$193,$D$48:$D$193,Table!$D$3,$S$48:$S$193,C7,$AA$48:$AA$193,{"Ongoing","N/A",""})))</f>
        <v>0</v>
      </c>
      <c r="G7" s="71" t="str">
        <f t="shared" ref="G7:G13" si="2">IF(ISERROR(E7/(F7)),"N/A",E7/F7)</f>
        <v>N/A</v>
      </c>
      <c r="H7" s="72" t="str">
        <f t="shared" ref="H7:H13" si="3">IF(ISERROR(E7/D7),"N/A",E7/D7)</f>
        <v>N/A</v>
      </c>
      <c r="K7" s="74" t="s">
        <v>42</v>
      </c>
    </row>
    <row r="8" spans="1:13" x14ac:dyDescent="0.25">
      <c r="B8" s="69">
        <v>5</v>
      </c>
      <c r="C8" s="80" t="s">
        <v>67</v>
      </c>
      <c r="D8" s="71">
        <f>SUMIFS($W$48:$W$193,$D$48:$D$193,Table!$D$3,$S$48:$S$193,C8)</f>
        <v>4013</v>
      </c>
      <c r="E8" s="71">
        <f>SUMIFS($W$48:$W$193,$D$48:$D$193,Table!$D$3,$S$48:$S$193,C8)-SUM(SUMIFS($W$48:$W$193,$D$48:$D$193,Table!$D$3,$S$48:$S$193,C8,$AA$48:$AA$193,{"Ongoing","N/A",""}))</f>
        <v>4013</v>
      </c>
      <c r="F8" s="71">
        <f>1/8*(SUMIFS($Z$48:$Z$193,$D$48:$D$193,Table!$D$3,$S$48:$S$193,C8)-SUM(SUMIFS($Z$48:$Z$193,$D$48:$D$193,Table!$D$3,$S$48:$S$193,C8,$AA$48:$AA$193,{"Ongoing","N/A",""})))</f>
        <v>5.5625</v>
      </c>
      <c r="G8" s="71">
        <f t="shared" si="2"/>
        <v>721.43820224719104</v>
      </c>
      <c r="H8" s="72">
        <f t="shared" si="3"/>
        <v>1</v>
      </c>
      <c r="L8" s="24" t="s">
        <v>43</v>
      </c>
    </row>
    <row r="9" spans="1:13" x14ac:dyDescent="0.25">
      <c r="B9" s="69">
        <v>6</v>
      </c>
      <c r="C9" s="80" t="s">
        <v>68</v>
      </c>
      <c r="D9" s="71">
        <f>SUMIFS($W$48:$W$193,$D$48:$D$193,Table!$D$3,$S$48:$S$193,C9)</f>
        <v>3682</v>
      </c>
      <c r="E9" s="71">
        <f>SUMIFS($W$48:$W$193,$D$48:$D$193,Table!$D$3,$S$48:$S$193,C9)-SUM(SUMIFS($W$48:$W$193,$D$48:$D$193,Table!$D$3,$S$48:$S$193,C9,$AA$48:$AA$193,{"Ongoing","N/A",""}))</f>
        <v>3682</v>
      </c>
      <c r="F9" s="71">
        <f>1/8*(SUMIFS($Z$48:$Z$193,$D$48:$D$193,Table!$D$3,$S$48:$S$193,C9)-SUM(SUMIFS($Z$48:$Z$193,$D$48:$D$193,Table!$D$3,$S$48:$S$193,C9,$AA$48:$AA$193,{"Ongoing","N/A",""})))</f>
        <v>4.75</v>
      </c>
      <c r="G9" s="71">
        <f t="shared" si="2"/>
        <v>775.15789473684208</v>
      </c>
      <c r="H9" s="72">
        <f t="shared" si="3"/>
        <v>1</v>
      </c>
      <c r="L9" s="24" t="s">
        <v>44</v>
      </c>
    </row>
    <row r="10" spans="1:13" x14ac:dyDescent="0.25">
      <c r="B10" s="69">
        <v>7</v>
      </c>
      <c r="C10" s="80" t="s">
        <v>69</v>
      </c>
      <c r="D10" s="71">
        <f>SUMIFS($W$48:$W$193,$D$48:$D$193,Table!$D$3,$S$48:$S$193,C10)</f>
        <v>3146</v>
      </c>
      <c r="E10" s="71">
        <f>SUMIFS($W$48:$W$193,$D$48:$D$193,Table!$D$3,$S$48:$S$193,C10)-SUM(SUMIFS($W$48:$W$193,$D$48:$D$193,Table!$D$3,$S$48:$S$193,C10,$AA$48:$AA$193,{"Ongoing","N/A",""}))</f>
        <v>3146</v>
      </c>
      <c r="F10" s="71">
        <f>1/8*(SUMIFS($Z$48:$Z$193,$D$48:$D$193,Table!$D$3,$S$48:$S$193,C10)-SUM(SUMIFS($Z$48:$Z$193,$D$48:$D$193,Table!$D$3,$S$48:$S$193,C10,$AA$48:$AA$193,{"Ongoing","N/A",""})))</f>
        <v>4.05</v>
      </c>
      <c r="G10" s="71">
        <f t="shared" si="2"/>
        <v>776.79012345679018</v>
      </c>
      <c r="H10" s="72">
        <f t="shared" si="3"/>
        <v>1</v>
      </c>
    </row>
    <row r="11" spans="1:13" x14ac:dyDescent="0.25">
      <c r="B11" s="69">
        <v>8</v>
      </c>
      <c r="C11" s="80" t="s">
        <v>70</v>
      </c>
      <c r="D11" s="71">
        <f>SUMIFS($W$48:$W$193,$D$48:$D$193,Table!$D$3,$S$48:$S$193,C11)</f>
        <v>4002</v>
      </c>
      <c r="E11" s="71">
        <f>SUMIFS($W$48:$W$193,$D$48:$D$193,Table!$D$3,$S$48:$S$193,C11)-SUM(SUMIFS($W$48:$W$193,$D$48:$D$193,Table!$D$3,$S$48:$S$193,C11,$AA$48:$AA$193,{"Ongoing","N/A",""}))</f>
        <v>4002</v>
      </c>
      <c r="F11" s="71">
        <f>1/8*(SUMIFS($Z$48:$Z$193,$D$48:$D$193,Table!$D$3,$S$48:$S$193,C11)-SUM(SUMIFS($Z$48:$Z$193,$D$48:$D$193,Table!$D$3,$S$48:$S$193,C11,$AA$48:$AA$193,{"Ongoing","N/A",""})))</f>
        <v>2.875</v>
      </c>
      <c r="G11" s="71">
        <f t="shared" si="2"/>
        <v>1392</v>
      </c>
      <c r="H11" s="72">
        <f t="shared" si="3"/>
        <v>1</v>
      </c>
    </row>
    <row r="12" spans="1:13" x14ac:dyDescent="0.25">
      <c r="B12" s="69">
        <v>9</v>
      </c>
      <c r="C12" s="70" t="s">
        <v>156</v>
      </c>
      <c r="D12" s="71">
        <f>SUMIFS($W$48:$W$193,$D$48:$D$193,Table!$D$3,$S$48:$S$193,C12)</f>
        <v>0</v>
      </c>
      <c r="E12" s="71">
        <f>SUMIFS($W$48:$W$193,$D$48:$D$193,Table!$D$3,$S$48:$S$193,C12)-SUM(SUMIFS($W$48:$W$193,$D$48:$D$193,Table!$D$3,$S$48:$S$193,C12,$AA$48:$AA$193,{"Ongoing","N/A",""}))</f>
        <v>0</v>
      </c>
      <c r="F12" s="71">
        <f>1/8*(SUMIFS($Z$48:$Z$193,$D$48:$D$193,Table!$D$3,$S$48:$S$193,C12)-SUM(SUMIFS($Z$48:$Z$193,$D$48:$D$193,Table!$D$3,$S$48:$S$193,C12,$AA$48:$AA$193,{"Ongoing","N/A",""})))</f>
        <v>0</v>
      </c>
      <c r="G12" s="71" t="str">
        <f t="shared" si="2"/>
        <v>N/A</v>
      </c>
      <c r="H12" s="72" t="str">
        <f t="shared" si="3"/>
        <v>N/A</v>
      </c>
    </row>
    <row r="13" spans="1:13" x14ac:dyDescent="0.25">
      <c r="B13" s="69">
        <v>10</v>
      </c>
      <c r="C13" s="80" t="s">
        <v>157</v>
      </c>
      <c r="D13" s="71">
        <f>SUMIFS($W$48:$W$193,$D$48:$D$193,Table!$D$3,$S$48:$S$193,C13)</f>
        <v>3222</v>
      </c>
      <c r="E13" s="71">
        <f>SUMIFS($W$48:$W$193,$D$48:$D$193,Table!$D$3,$S$48:$S$193,C13)-SUM(SUMIFS($W$48:$W$193,$D$48:$D$193,Table!$D$3,$S$48:$S$193,C13,$AA$48:$AA$193,{"Ongoing","N/A",""}))</f>
        <v>3222</v>
      </c>
      <c r="F13" s="71">
        <f>1/8*(SUMIFS($Z$48:$Z$193,$D$48:$D$193,Table!$D$3,$S$48:$S$193,C13)-SUM(SUMIFS($Z$48:$Z$193,$D$48:$D$193,Table!$D$3,$S$48:$S$193,C13,$AA$48:$AA$193,{"Ongoing","N/A",""})))</f>
        <v>2.97</v>
      </c>
      <c r="G13" s="71">
        <f t="shared" si="2"/>
        <v>1084.8484848484848</v>
      </c>
      <c r="H13" s="72">
        <f t="shared" si="3"/>
        <v>1</v>
      </c>
      <c r="J13" s="74" t="s">
        <v>38</v>
      </c>
      <c r="K13" s="76">
        <v>43952</v>
      </c>
      <c r="M13" s="76">
        <f ca="1">TODAY()</f>
        <v>43963</v>
      </c>
    </row>
    <row r="14" spans="1:13" x14ac:dyDescent="0.25">
      <c r="B14" s="67" t="s">
        <v>109</v>
      </c>
      <c r="C14" s="73"/>
      <c r="D14" s="75">
        <f>SUMIFS($W$48:$W$193,$D$48:$D$193,Table!$D$3)</f>
        <v>30710</v>
      </c>
      <c r="E14" s="75">
        <f>SUMIFS($W$48:$W$193,$D$48:$D$193,Table!$D$3)-SUM(SUMIFS($W$48:$W$193,$D$48:$D$193,Table!$D$3,$AA$48:$AA$193,{"Ongoing","N/A",""}))</f>
        <v>28043</v>
      </c>
      <c r="F14" s="75">
        <f>1/8*(SUMIFS($Z$48:$Z$193,$D$48:$D$193,Table!$D$3)-SUM(SUMIFS($Z$48:$Z$193,$D$48:$D$193,Table!$D$3,$AA$48:$AA$193,{"Ongoing","N/A",""})))</f>
        <v>27.457500000000003</v>
      </c>
      <c r="G14" s="71">
        <f>IF(ISERROR(E14/(F14)),"N/A",E14/F14)</f>
        <v>1021.3238641536919</v>
      </c>
      <c r="H14" s="72">
        <f t="shared" si="1"/>
        <v>0.91315532399869748</v>
      </c>
      <c r="J14" s="74" t="s">
        <v>30</v>
      </c>
      <c r="K14" s="77">
        <f ca="1">SUM(INT((WEEKDAY(K13-{2,3,4,5,6}) +M13-K13)/7))</f>
        <v>8</v>
      </c>
    </row>
    <row r="15" spans="1:13" x14ac:dyDescent="0.25">
      <c r="J15" s="74" t="s">
        <v>145</v>
      </c>
      <c r="K15" s="77">
        <v>1</v>
      </c>
      <c r="L15" s="78" t="s">
        <v>319</v>
      </c>
    </row>
    <row r="16" spans="1:13" x14ac:dyDescent="0.25">
      <c r="J16" s="74" t="s">
        <v>111</v>
      </c>
      <c r="K16" s="24">
        <f ca="1">IF(TODAY()&lt;M13,SUM(INT((WEEKDAY(K13-{2,3,4,5,6})+TODAY()-K13)/7)),SUM(INT((WEEKDAY(K13-{2,3,4,5,6})+M13-K13)/7)))-K15</f>
        <v>7</v>
      </c>
    </row>
    <row r="17" spans="1:13" x14ac:dyDescent="0.25">
      <c r="B17" s="74" t="s">
        <v>51</v>
      </c>
    </row>
    <row r="18" spans="1:13" x14ac:dyDescent="0.25">
      <c r="B18" s="67" t="s">
        <v>0</v>
      </c>
      <c r="C18" s="67" t="s">
        <v>8</v>
      </c>
      <c r="D18" s="67" t="s">
        <v>129</v>
      </c>
      <c r="E18" s="67" t="s">
        <v>53</v>
      </c>
      <c r="F18" s="67" t="s">
        <v>136</v>
      </c>
      <c r="G18" s="67" t="s">
        <v>22</v>
      </c>
      <c r="H18" s="68" t="s">
        <v>24</v>
      </c>
    </row>
    <row r="19" spans="1:13" x14ac:dyDescent="0.25">
      <c r="B19" s="69">
        <v>1</v>
      </c>
      <c r="C19" s="80" t="s">
        <v>6</v>
      </c>
      <c r="D19" s="71">
        <f>SUMIFS($W$48:$W$193,$D$48:$D$193,Table!$C$3,$S$48:$S$193,C19)</f>
        <v>0</v>
      </c>
      <c r="E19" s="71">
        <f>SUMIFS($X$48:$X$193,$D$48:$D$193,Table!$C$3,$S$48:$S$193,C19)-SUM(SUMIFS($X$48:$X$193,$D$48:$D$193,Table!$C$3,$S$48:$S$193,C19,$AA$48:$AA$193,{"Ongoing","N/A",""}))</f>
        <v>0</v>
      </c>
      <c r="F19" s="71">
        <f>1/8*(SUMIFS($Z$48:$Z$193,$D$48:$D$193,Table!$C$3,$S$48:$S$193,C19)-SUM(SUMIFS($Z$48:$Z$193,$D$48:$D$193,Table!$C$3,$S$48:$S$193,C19,$AA$48:$AA$193,{"Ongoing","N/A",""})))</f>
        <v>0</v>
      </c>
      <c r="G19" s="71" t="str">
        <f>IF(ISERROR(E19/(F19)),"N/A",E19/F19)</f>
        <v>N/A</v>
      </c>
      <c r="H19" s="72" t="str">
        <f>IF(ISERROR(E19/D19),"N/A",E19/D19)</f>
        <v>N/A</v>
      </c>
      <c r="J19" s="88"/>
      <c r="K19" s="76"/>
      <c r="M19" s="76"/>
    </row>
    <row r="20" spans="1:13" x14ac:dyDescent="0.25">
      <c r="B20" s="69">
        <v>2</v>
      </c>
      <c r="C20" s="80" t="s">
        <v>64</v>
      </c>
      <c r="D20" s="71">
        <f>SUMIFS($W$48:$W$193,$D$48:$D$193,Table!$C$3,$S$48:$S$193,C20)</f>
        <v>0</v>
      </c>
      <c r="E20" s="71">
        <f>SUMIFS($X$48:$X$193,$D$48:$D$193,Table!$C$3,$S$48:$S$193,C20)-SUM(SUMIFS($X$48:$X$193,$D$48:$D$193,Table!$C$3,$S$48:$S$193,C20,$AA$48:$AA$193,{"Ongoing","N/A",""}))</f>
        <v>0</v>
      </c>
      <c r="F20" s="71">
        <f>1/8*(SUMIFS($Z$48:$Z$193,$D$48:$D$193,Table!$C$3,$S$48:$S$193,C20)-SUM(SUMIFS($Z$48:$Z$193,$D$48:$D$193,Table!$C$3,$S$48:$S$193,C20,$AA$48:$AA$193,{"Ongoing","N/A",""})))</f>
        <v>0</v>
      </c>
      <c r="G20" s="71" t="str">
        <f t="shared" ref="G20:G29" si="4">IF(ISERROR(E20/(F20)),"N/A",E20/F20)</f>
        <v>N/A</v>
      </c>
      <c r="H20" s="72" t="str">
        <f t="shared" ref="H20:H29" si="5">IF(ISERROR(E20/D20),"N/A",E20/D20)</f>
        <v>N/A</v>
      </c>
      <c r="J20" s="88"/>
      <c r="K20" s="24"/>
    </row>
    <row r="21" spans="1:13" x14ac:dyDescent="0.25">
      <c r="B21" s="69">
        <v>3</v>
      </c>
      <c r="C21" s="80" t="s">
        <v>65</v>
      </c>
      <c r="D21" s="71">
        <f>SUMIFS($W$48:$W$193,$D$48:$D$193,Table!$C$3,$S$48:$S$193,C21)</f>
        <v>0</v>
      </c>
      <c r="E21" s="71">
        <f>SUMIFS($X$48:$X$193,$D$48:$D$193,Table!$C$3,$S$48:$S$193,C21)-SUM(SUMIFS($X$48:$X$193,$D$48:$D$193,Table!$C$3,$S$48:$S$193,C21,$AA$48:$AA$193,{"Ongoing","N/A",""}))</f>
        <v>0</v>
      </c>
      <c r="F21" s="71">
        <f>1/8*(SUMIFS($Z$48:$Z$193,$D$48:$D$193,Table!$C$3,$S$48:$S$193,C21)-SUM(SUMIFS($Z$48:$Z$193,$D$48:$D$193,Table!$C$3,$S$48:$S$193,C21,$AA$48:$AA$193,{"Ongoing","N/A",""})))</f>
        <v>0</v>
      </c>
      <c r="G21" s="71" t="str">
        <f t="shared" ref="G21:G28" si="6">IF(ISERROR(E21/(F21)),"N/A",E21/F21)</f>
        <v>N/A</v>
      </c>
      <c r="H21" s="72" t="str">
        <f t="shared" ref="H21:H28" si="7">IF(ISERROR(E21/D21),"N/A",E21/D21)</f>
        <v>N/A</v>
      </c>
      <c r="J21" s="88"/>
      <c r="K21" s="24"/>
      <c r="L21" s="78"/>
    </row>
    <row r="22" spans="1:13" x14ac:dyDescent="0.25">
      <c r="B22" s="69">
        <v>4</v>
      </c>
      <c r="C22" s="84" t="s">
        <v>66</v>
      </c>
      <c r="D22" s="71">
        <f>SUMIFS($W$48:$W$193,$D$48:$D$193,Table!$C$3,$S$48:$S$193,C22)</f>
        <v>0</v>
      </c>
      <c r="E22" s="71">
        <f>SUMIFS($X$48:$X$193,$D$48:$D$193,Table!$C$3,$S$48:$S$193,C22)-SUM(SUMIFS($X$48:$X$193,$D$48:$D$193,Table!$C$3,$S$48:$S$193,C22,$AA$48:$AA$193,{"Ongoing","N/A",""}))</f>
        <v>0</v>
      </c>
      <c r="F22" s="71">
        <f>1/8*(SUMIFS($Z$48:$Z$193,$D$48:$D$193,Table!$C$3,$S$48:$S$193,C22)-SUM(SUMIFS($Z$48:$Z$193,$D$48:$D$193,Table!$C$3,$S$48:$S$193,C22,$AA$48:$AA$193,{"Ongoing","N/A",""})))</f>
        <v>0</v>
      </c>
      <c r="G22" s="71" t="str">
        <f t="shared" si="6"/>
        <v>N/A</v>
      </c>
      <c r="H22" s="72" t="str">
        <f t="shared" si="7"/>
        <v>N/A</v>
      </c>
      <c r="J22" s="88"/>
      <c r="K22" s="24"/>
    </row>
    <row r="23" spans="1:13" x14ac:dyDescent="0.25">
      <c r="B23" s="69">
        <v>5</v>
      </c>
      <c r="C23" s="80" t="s">
        <v>67</v>
      </c>
      <c r="D23" s="71">
        <f>SUMIFS($W$48:$W$193,$D$48:$D$193,Table!$C$3,$S$48:$S$193,C23)</f>
        <v>53</v>
      </c>
      <c r="E23" s="71">
        <f>SUMIFS($X$48:$X$193,$D$48:$D$193,Table!$C$3,$S$48:$S$193,C23)-SUM(SUMIFS($X$48:$X$193,$D$48:$D$193,Table!$C$3,$S$48:$S$193,C23,$AA$48:$AA$193,{"Ongoing","N/A",""}))</f>
        <v>53</v>
      </c>
      <c r="F23" s="71">
        <f>1/8*(SUMIFS($Z$48:$Z$193,$D$48:$D$193,Table!$C$3,$S$48:$S$193,C23)-SUM(SUMIFS($Z$48:$Z$193,$D$48:$D$193,Table!$C$3,$S$48:$S$193,C23,$AA$48:$AA$193,{"Ongoing","N/A",""})))</f>
        <v>0.4375</v>
      </c>
      <c r="G23" s="71">
        <f t="shared" si="6"/>
        <v>121.14285714285714</v>
      </c>
      <c r="H23" s="72">
        <f t="shared" si="7"/>
        <v>1</v>
      </c>
    </row>
    <row r="24" spans="1:13" x14ac:dyDescent="0.25">
      <c r="B24" s="69">
        <v>6</v>
      </c>
      <c r="C24" s="80" t="s">
        <v>68</v>
      </c>
      <c r="D24" s="71">
        <f>SUMIFS($W$48:$W$193,$D$48:$D$193,Table!$C$3,$S$48:$S$193,C24)</f>
        <v>166</v>
      </c>
      <c r="E24" s="71">
        <f>SUMIFS($X$48:$X$193,$D$48:$D$193,Table!$C$3,$S$48:$S$193,C24)-SUM(SUMIFS($X$48:$X$193,$D$48:$D$193,Table!$C$3,$S$48:$S$193,C24,$AA$48:$AA$193,{"Ongoing","N/A",""}))</f>
        <v>166</v>
      </c>
      <c r="F24" s="71">
        <f>1/8*(SUMIFS($Z$48:$Z$193,$D$48:$D$193,Table!$C$3,$S$48:$S$193,C24)-SUM(SUMIFS($Z$48:$Z$193,$D$48:$D$193,Table!$C$3,$S$48:$S$193,C24,$AA$48:$AA$193,{"Ongoing","N/A",""})))</f>
        <v>1</v>
      </c>
      <c r="G24" s="71">
        <f t="shared" si="6"/>
        <v>166</v>
      </c>
      <c r="H24" s="72">
        <f t="shared" si="7"/>
        <v>1</v>
      </c>
    </row>
    <row r="25" spans="1:13" x14ac:dyDescent="0.25">
      <c r="B25" s="69">
        <v>7</v>
      </c>
      <c r="C25" s="80" t="s">
        <v>69</v>
      </c>
      <c r="D25" s="71">
        <f>SUMIFS($W$48:$W$193,$D$48:$D$193,Table!$C$3,$S$48:$S$193,C25)</f>
        <v>152</v>
      </c>
      <c r="E25" s="71">
        <f>SUMIFS($X$48:$X$193,$D$48:$D$193,Table!$C$3,$S$48:$S$193,C25)-SUM(SUMIFS($X$48:$X$193,$D$48:$D$193,Table!$C$3,$S$48:$S$193,C25,$AA$48:$AA$193,{"Ongoing","N/A",""}))</f>
        <v>152</v>
      </c>
      <c r="F25" s="71">
        <f>1/8*(SUMIFS($Z$48:$Z$193,$D$48:$D$193,Table!$C$3,$S$48:$S$193,C25)-SUM(SUMIFS($Z$48:$Z$193,$D$48:$D$193,Table!$C$3,$S$48:$S$193,C25,$AA$48:$AA$193,{"Ongoing","N/A",""})))</f>
        <v>1.125</v>
      </c>
      <c r="G25" s="71">
        <f t="shared" si="6"/>
        <v>135.11111111111111</v>
      </c>
      <c r="H25" s="72">
        <f t="shared" si="7"/>
        <v>1</v>
      </c>
    </row>
    <row r="26" spans="1:13" x14ac:dyDescent="0.25">
      <c r="B26" s="69">
        <v>8</v>
      </c>
      <c r="C26" s="80" t="s">
        <v>70</v>
      </c>
      <c r="D26" s="71">
        <f>SUMIFS($W$48:$W$193,$D$48:$D$193,Table!$C$3,$S$48:$S$193,C26)</f>
        <v>0</v>
      </c>
      <c r="E26" s="71">
        <f>SUMIFS($X$48:$X$193,$D$48:$D$193,Table!$C$3,$S$48:$S$193,C26)-SUM(SUMIFS($X$48:$X$193,$D$48:$D$193,Table!$C$3,$S$48:$S$193,C26,$AA$48:$AA$193,{"Ongoing","N/A",""}))</f>
        <v>0</v>
      </c>
      <c r="F26" s="71">
        <f>1/8*(SUMIFS($Z$48:$Z$193,$D$48:$D$193,Table!$C$3,$S$48:$S$193,C26)-SUM(SUMIFS($Z$48:$Z$193,$D$48:$D$193,Table!$C$3,$S$48:$S$193,C26,$AA$48:$AA$193,{"Ongoing","N/A",""})))</f>
        <v>0</v>
      </c>
      <c r="G26" s="71" t="str">
        <f t="shared" si="6"/>
        <v>N/A</v>
      </c>
      <c r="H26" s="72" t="str">
        <f t="shared" si="7"/>
        <v>N/A</v>
      </c>
    </row>
    <row r="27" spans="1:13" x14ac:dyDescent="0.25">
      <c r="B27" s="69">
        <v>9</v>
      </c>
      <c r="C27" s="70" t="s">
        <v>156</v>
      </c>
      <c r="D27" s="71">
        <f>SUMIFS($W$48:$W$193,$D$48:$D$193,Table!$C$3,$S$48:$S$193,C27)</f>
        <v>0</v>
      </c>
      <c r="E27" s="71">
        <f>SUMIFS($X$48:$X$193,$D$48:$D$193,Table!$C$3,$S$48:$S$193,C27)-SUM(SUMIFS($X$48:$X$193,$D$48:$D$193,Table!$C$3,$S$48:$S$193,C27,$AA$48:$AA$193,{"Ongoing","N/A",""}))</f>
        <v>0</v>
      </c>
      <c r="F27" s="71">
        <f>1/8*(SUMIFS($Z$48:$Z$193,$D$48:$D$193,Table!$C$3,$S$48:$S$193,C27)-SUM(SUMIFS($Z$48:$Z$193,$D$48:$D$193,Table!$C$3,$S$48:$S$193,C27,$AA$48:$AA$193,{"Ongoing","N/A",""})))</f>
        <v>0</v>
      </c>
      <c r="G27" s="71" t="str">
        <f t="shared" si="6"/>
        <v>N/A</v>
      </c>
      <c r="H27" s="72" t="str">
        <f t="shared" si="7"/>
        <v>N/A</v>
      </c>
    </row>
    <row r="28" spans="1:13" x14ac:dyDescent="0.25">
      <c r="B28" s="69">
        <v>10</v>
      </c>
      <c r="C28" s="80" t="s">
        <v>157</v>
      </c>
      <c r="D28" s="71">
        <f>SUMIFS($W$48:$W$193,$D$48:$D$193,Table!$C$3,$S$48:$S$193,C28)</f>
        <v>0</v>
      </c>
      <c r="E28" s="71">
        <f>SUMIFS($X$48:$X$193,$D$48:$D$193,Table!$C$3,$S$48:$S$193,C28)-SUM(SUMIFS($X$48:$X$193,$D$48:$D$193,Table!$C$3,$S$48:$S$193,C28,$AA$48:$AA$193,{"Ongoing","N/A",""}))</f>
        <v>0</v>
      </c>
      <c r="F28" s="71">
        <f>1/8*(SUMIFS($Z$48:$Z$193,$D$48:$D$193,Table!$C$3,$S$48:$S$193,C28)-SUM(SUMIFS($Z$48:$Z$193,$D$48:$D$193,Table!$C$3,$S$48:$S$193,C28,$AA$48:$AA$193,{"Ongoing","N/A",""})))</f>
        <v>0</v>
      </c>
      <c r="G28" s="71" t="str">
        <f t="shared" si="6"/>
        <v>N/A</v>
      </c>
      <c r="H28" s="72" t="str">
        <f t="shared" si="7"/>
        <v>N/A</v>
      </c>
    </row>
    <row r="29" spans="1:13" x14ac:dyDescent="0.25">
      <c r="B29" s="67" t="s">
        <v>109</v>
      </c>
      <c r="C29" s="73"/>
      <c r="D29" s="75">
        <f>ROUND(SUMIFS($W$48:$W$193,$D$48:$D$193,Table!$C$3),3)</f>
        <v>371</v>
      </c>
      <c r="E29" s="75">
        <f>ROUND(SUMIFS($W$48:$W$193,$D$48:$D$193,Table!$C$3)-SUM(SUMIFS($W$48:$W$193,$D$48:$D$193,Table!$C$3,$AA$48:$AA$193,{"Ongoing","N/A",""})),3)</f>
        <v>371</v>
      </c>
      <c r="F29" s="75">
        <f>1/8*(SUMIFS($Z$48:$Z$193,$D$48:$D$193,Table!$C$3)-SUM(SUMIFS($Z$48:$Z$193,$D$48:$D$193,Table!$C$3,$AA$48:$AA$193,{"Ongoing","N/A",""})))</f>
        <v>2.5625</v>
      </c>
      <c r="G29" s="71">
        <f t="shared" si="4"/>
        <v>144.78048780487805</v>
      </c>
      <c r="H29" s="72">
        <f t="shared" si="5"/>
        <v>1</v>
      </c>
      <c r="L29" s="6"/>
    </row>
    <row r="31" spans="1:13" ht="19.5" customHeight="1" x14ac:dyDescent="0.25"/>
    <row r="32" spans="1:13" x14ac:dyDescent="0.25">
      <c r="A32" s="1" t="s">
        <v>418</v>
      </c>
      <c r="B32" s="74" t="s">
        <v>110</v>
      </c>
    </row>
    <row r="33" spans="2:40" x14ac:dyDescent="0.25">
      <c r="B33" s="67" t="s">
        <v>0</v>
      </c>
      <c r="C33" s="67" t="s">
        <v>8</v>
      </c>
      <c r="D33" s="67" t="s">
        <v>129</v>
      </c>
      <c r="E33" s="67" t="s">
        <v>53</v>
      </c>
      <c r="F33" s="67" t="s">
        <v>102</v>
      </c>
      <c r="G33" s="67" t="s">
        <v>22</v>
      </c>
      <c r="H33" s="68" t="s">
        <v>24</v>
      </c>
      <c r="I33" s="96" t="s">
        <v>149</v>
      </c>
      <c r="J33" s="97" t="s">
        <v>164</v>
      </c>
    </row>
    <row r="34" spans="2:40" ht="15.75" x14ac:dyDescent="0.25">
      <c r="B34" s="69">
        <v>1</v>
      </c>
      <c r="C34" s="80" t="s">
        <v>6</v>
      </c>
      <c r="D34" s="71">
        <f>SUM(D19*Table!$D$4/Table!$C$4,D4)</f>
        <v>4158</v>
      </c>
      <c r="E34" s="71">
        <f>SUM(E19*Table!$D$4/Table!$C$4,E4)</f>
        <v>2815</v>
      </c>
      <c r="F34" s="71">
        <f ca="1">$K$16</f>
        <v>7</v>
      </c>
      <c r="G34" s="71">
        <f t="shared" ref="G34" ca="1" si="8">IF(ISERROR(E34/(F34)),"N/A",E34/F34)</f>
        <v>402.14285714285717</v>
      </c>
      <c r="H34" s="72">
        <f t="shared" ref="H34:H44" si="9">IF(ISERROR(E34/D34),"N/A",E34/D34)</f>
        <v>0.67700817700817706</v>
      </c>
      <c r="I34" s="98">
        <f>COUNTIFS($S$48:$S$193,C34,$AK$48:$AK$193,Table!$C$36)</f>
        <v>0</v>
      </c>
      <c r="J34" s="98">
        <f>COUNTIFS($S$48:$S$193,C34,$AK$48:$AK$193,Table!$C$37)</f>
        <v>0</v>
      </c>
    </row>
    <row r="35" spans="2:40" ht="15.75" x14ac:dyDescent="0.25">
      <c r="B35" s="69">
        <v>2</v>
      </c>
      <c r="C35" s="80" t="s">
        <v>64</v>
      </c>
      <c r="D35" s="71">
        <f>SUM(D20*Table!$D$4/Table!$C$4,D5)</f>
        <v>4827</v>
      </c>
      <c r="E35" s="71">
        <f>SUM(E20*Table!$D$4/Table!$C$4,E5)</f>
        <v>4588</v>
      </c>
      <c r="F35" s="71">
        <f t="shared" ref="F35:F43" ca="1" si="10">$K$16</f>
        <v>7</v>
      </c>
      <c r="G35" s="71">
        <f ca="1">IF(ISERROR(E35/(F35)),"N/A",E35/F35)</f>
        <v>655.42857142857144</v>
      </c>
      <c r="H35" s="72">
        <f t="shared" si="9"/>
        <v>0.95048684483115808</v>
      </c>
      <c r="I35" s="98">
        <f>COUNTIFS($S$48:$S$193,C35,$AK$48:$AK$193,Table!$C$36)</f>
        <v>1</v>
      </c>
      <c r="J35" s="98">
        <f>COUNTIFS($S$48:$S$193,C35,$AK$48:$AK$193,Table!$C$37)</f>
        <v>0</v>
      </c>
    </row>
    <row r="36" spans="2:40" ht="15.75" x14ac:dyDescent="0.25">
      <c r="B36" s="69">
        <v>3</v>
      </c>
      <c r="C36" s="80" t="s">
        <v>65</v>
      </c>
      <c r="D36" s="71">
        <f>SUM(D21*Table!$D$4/Table!$C$4,D6)</f>
        <v>3660</v>
      </c>
      <c r="E36" s="71">
        <f>SUM(E21*Table!$D$4/Table!$C$4,E6)</f>
        <v>2575</v>
      </c>
      <c r="F36" s="71">
        <f t="shared" ca="1" si="10"/>
        <v>7</v>
      </c>
      <c r="G36" s="71">
        <f t="shared" ref="G36:G43" ca="1" si="11">IF(ISERROR(E36/(F36)),"N/A",E36/F36)</f>
        <v>367.85714285714283</v>
      </c>
      <c r="H36" s="72">
        <f t="shared" ref="H36:H43" si="12">IF(ISERROR(E36/D36),"N/A",E36/D36)</f>
        <v>0.70355191256830596</v>
      </c>
      <c r="I36" s="98">
        <f>COUNTIFS($S$48:$S$193,C36,$AK$48:$AK$193,Table!$C$36)</f>
        <v>1</v>
      </c>
      <c r="J36" s="98">
        <f>COUNTIFS($S$48:$S$193,C36,$AK$48:$AK$193,Table!$C$37)</f>
        <v>0</v>
      </c>
    </row>
    <row r="37" spans="2:40" ht="15.75" x14ac:dyDescent="0.25">
      <c r="B37" s="69">
        <v>4</v>
      </c>
      <c r="C37" s="84" t="s">
        <v>66</v>
      </c>
      <c r="D37" s="71">
        <f>SUM(D22*Table!$D$4/Table!$C$4,D7)</f>
        <v>0</v>
      </c>
      <c r="E37" s="71">
        <f>SUM(E22*Table!$D$4/Table!$C$4,E7)</f>
        <v>0</v>
      </c>
      <c r="F37" s="71">
        <f t="shared" ca="1" si="10"/>
        <v>7</v>
      </c>
      <c r="G37" s="71">
        <f t="shared" ca="1" si="11"/>
        <v>0</v>
      </c>
      <c r="H37" s="72" t="str">
        <f t="shared" si="12"/>
        <v>N/A</v>
      </c>
      <c r="I37" s="98">
        <f>COUNTIFS($S$48:$S$193,C37,$AK$48:$AK$193,Table!$C$36)</f>
        <v>0</v>
      </c>
      <c r="J37" s="98">
        <f>COUNTIFS($S$48:$S$193,C37,$AK$48:$AK$193,Table!$C$37)</f>
        <v>0</v>
      </c>
    </row>
    <row r="38" spans="2:40" ht="15.75" x14ac:dyDescent="0.25">
      <c r="B38" s="69">
        <v>5</v>
      </c>
      <c r="C38" s="80" t="s">
        <v>67</v>
      </c>
      <c r="D38" s="71">
        <f>SUM(D23*Table!$D$4/Table!$C$4,D8)</f>
        <v>4196.4615384615381</v>
      </c>
      <c r="E38" s="71">
        <f>SUM(E23*Table!$D$4/Table!$C$4,E8)</f>
        <v>4196.4615384615381</v>
      </c>
      <c r="F38" s="71">
        <f t="shared" ca="1" si="10"/>
        <v>7</v>
      </c>
      <c r="G38" s="71">
        <f t="shared" ca="1" si="11"/>
        <v>599.49450549450546</v>
      </c>
      <c r="H38" s="72">
        <f t="shared" si="12"/>
        <v>1</v>
      </c>
      <c r="I38" s="98">
        <f>COUNTIFS($S$48:$S$193,C38,$AK$48:$AK$193,Table!$C$36)</f>
        <v>3</v>
      </c>
      <c r="J38" s="98">
        <f>COUNTIFS($S$48:$S$193,C38,$AK$48:$AK$193,Table!$C$37)</f>
        <v>0</v>
      </c>
      <c r="M38" s="5"/>
      <c r="N38" s="5"/>
      <c r="O38" s="5"/>
      <c r="P38" s="5"/>
      <c r="Q38" s="5"/>
    </row>
    <row r="39" spans="2:40" ht="15.75" x14ac:dyDescent="0.25">
      <c r="B39" s="69">
        <v>6</v>
      </c>
      <c r="C39" s="80" t="s">
        <v>68</v>
      </c>
      <c r="D39" s="71">
        <f>SUM(D24*Table!$D$4/Table!$C$4,D9)</f>
        <v>4256.6153846153848</v>
      </c>
      <c r="E39" s="71">
        <f>SUM(E24*Table!$D$4/Table!$C$4,E9)</f>
        <v>4256.6153846153848</v>
      </c>
      <c r="F39" s="71">
        <f t="shared" ca="1" si="10"/>
        <v>7</v>
      </c>
      <c r="G39" s="71">
        <f t="shared" ca="1" si="11"/>
        <v>608.08791208791206</v>
      </c>
      <c r="H39" s="72">
        <f t="shared" si="12"/>
        <v>1</v>
      </c>
      <c r="I39" s="98">
        <f>COUNTIFS($S$48:$S$193,C39,$AK$48:$AK$193,Table!$C$36)</f>
        <v>2</v>
      </c>
      <c r="J39" s="98">
        <f>COUNTIFS($S$48:$S$193,C39,$AK$48:$AK$193,Table!$C$37)</f>
        <v>0</v>
      </c>
      <c r="M39" s="5"/>
      <c r="N39" s="132"/>
      <c r="O39" s="133"/>
      <c r="P39" s="132"/>
      <c r="Q39" s="5"/>
    </row>
    <row r="40" spans="2:40" ht="15.75" x14ac:dyDescent="0.25">
      <c r="B40" s="69">
        <v>7</v>
      </c>
      <c r="C40" s="80" t="s">
        <v>69</v>
      </c>
      <c r="D40" s="71">
        <f>SUM(D25*Table!$D$4/Table!$C$4,D10)</f>
        <v>3672.1538461538462</v>
      </c>
      <c r="E40" s="71">
        <f>SUM(E25*Table!$D$4/Table!$C$4,E10)</f>
        <v>3672.1538461538462</v>
      </c>
      <c r="F40" s="71">
        <f t="shared" ca="1" si="10"/>
        <v>7</v>
      </c>
      <c r="G40" s="71">
        <f t="shared" ca="1" si="11"/>
        <v>524.5934065934066</v>
      </c>
      <c r="H40" s="72">
        <f t="shared" si="12"/>
        <v>1</v>
      </c>
      <c r="I40" s="98">
        <f>COUNTIFS($S$48:$S$193,C40,$AK$48:$AK$193,Table!$C$36)</f>
        <v>6</v>
      </c>
      <c r="J40" s="98">
        <f>COUNTIFS($S$48:$S$193,C40,$AK$48:$AK$193,Table!$C$37)</f>
        <v>0</v>
      </c>
      <c r="M40" s="5"/>
      <c r="N40" s="5"/>
      <c r="O40" s="5"/>
      <c r="P40" s="5"/>
      <c r="Q40" s="5"/>
    </row>
    <row r="41" spans="2:40" ht="15.75" x14ac:dyDescent="0.25">
      <c r="B41" s="69">
        <v>8</v>
      </c>
      <c r="C41" s="80" t="s">
        <v>70</v>
      </c>
      <c r="D41" s="71">
        <f>SUM(D26*Table!$D$4/Table!$C$4,D11)</f>
        <v>4002</v>
      </c>
      <c r="E41" s="71">
        <f>SUM(E26*Table!$D$4/Table!$C$4,E11)</f>
        <v>4002</v>
      </c>
      <c r="F41" s="71">
        <f t="shared" ca="1" si="10"/>
        <v>7</v>
      </c>
      <c r="G41" s="71">
        <f t="shared" ca="1" si="11"/>
        <v>571.71428571428567</v>
      </c>
      <c r="H41" s="72">
        <f t="shared" si="12"/>
        <v>1</v>
      </c>
      <c r="I41" s="98">
        <f>COUNTIFS($S$48:$S$193,C41,$AK$48:$AK$193,Table!$C$36)</f>
        <v>4</v>
      </c>
      <c r="J41" s="98">
        <f>COUNTIFS($S$48:$S$193,C41,$AK$48:$AK$193,Table!$C$37)</f>
        <v>0</v>
      </c>
    </row>
    <row r="42" spans="2:40" ht="15.75" x14ac:dyDescent="0.25">
      <c r="B42" s="69">
        <v>9</v>
      </c>
      <c r="C42" s="70" t="s">
        <v>156</v>
      </c>
      <c r="D42" s="71">
        <f>SUM(D27*Table!$D$4/Table!$C$4,D12)</f>
        <v>0</v>
      </c>
      <c r="E42" s="71">
        <f>SUM(E27*Table!$D$4/Table!$C$4,E12)</f>
        <v>0</v>
      </c>
      <c r="F42" s="71">
        <f t="shared" ca="1" si="10"/>
        <v>7</v>
      </c>
      <c r="G42" s="71">
        <f t="shared" ca="1" si="11"/>
        <v>0</v>
      </c>
      <c r="H42" s="72" t="str">
        <f t="shared" si="12"/>
        <v>N/A</v>
      </c>
      <c r="I42" s="98">
        <f>COUNTIFS($S$48:$S$193,C42,$AK$48:$AK$193,Table!$C$36)</f>
        <v>0</v>
      </c>
      <c r="J42" s="98">
        <f>COUNTIFS($S$48:$S$193,C42,$AK$48:$AK$193,Table!$C$37)</f>
        <v>0</v>
      </c>
    </row>
    <row r="43" spans="2:40" ht="15.75" x14ac:dyDescent="0.25">
      <c r="B43" s="69">
        <v>10</v>
      </c>
      <c r="C43" s="80" t="s">
        <v>157</v>
      </c>
      <c r="D43" s="71">
        <f>SUM(D28*Table!$D$4/Table!$C$4,D13)</f>
        <v>3222</v>
      </c>
      <c r="E43" s="71">
        <f>SUM(E28*Table!$D$4/Table!$C$4,E13)</f>
        <v>3222</v>
      </c>
      <c r="F43" s="71">
        <f t="shared" ca="1" si="10"/>
        <v>7</v>
      </c>
      <c r="G43" s="71">
        <f t="shared" ca="1" si="11"/>
        <v>460.28571428571428</v>
      </c>
      <c r="H43" s="72">
        <f t="shared" si="12"/>
        <v>1</v>
      </c>
      <c r="I43" s="98">
        <f>COUNTIFS($S$48:$S$193,C43,$AK$48:$AK$193,Table!$C$36)</f>
        <v>0</v>
      </c>
      <c r="J43" s="98">
        <f>COUNTIFS($S$48:$S$193,C43,$AK$48:$AK$193,Table!$C$37)</f>
        <v>0</v>
      </c>
    </row>
    <row r="44" spans="2:40" ht="15.75" x14ac:dyDescent="0.25">
      <c r="B44" s="67" t="s">
        <v>109</v>
      </c>
      <c r="C44" s="73"/>
      <c r="D44" s="71">
        <f>SUM(D34:D43)</f>
        <v>31994.23076923077</v>
      </c>
      <c r="E44" s="71">
        <f>SUM(E34:E43)</f>
        <v>29327.23076923077</v>
      </c>
      <c r="F44" s="71">
        <f ca="1">$K$16*COUNTA(C34:C43)</f>
        <v>70</v>
      </c>
      <c r="G44" s="71">
        <f ca="1">IF(ISERROR(E44/(F44)),"N/A",E44/F44)</f>
        <v>418.96043956043957</v>
      </c>
      <c r="H44" s="72">
        <f t="shared" si="9"/>
        <v>0.9166412213740458</v>
      </c>
      <c r="I44" s="98">
        <f>SUM(I34:I43)</f>
        <v>17</v>
      </c>
      <c r="J44" s="98">
        <f>SUM(J34:J43)</f>
        <v>0</v>
      </c>
    </row>
    <row r="47" spans="2:40" x14ac:dyDescent="0.25">
      <c r="B47" s="62" t="s">
        <v>0</v>
      </c>
      <c r="C47" s="62" t="s">
        <v>63</v>
      </c>
      <c r="D47" s="62" t="s">
        <v>1</v>
      </c>
      <c r="E47" s="62" t="s">
        <v>56</v>
      </c>
      <c r="F47" s="62" t="s">
        <v>57</v>
      </c>
      <c r="G47" s="62" t="s">
        <v>158</v>
      </c>
      <c r="H47" s="62" t="s">
        <v>113</v>
      </c>
      <c r="I47" s="62" t="s">
        <v>58</v>
      </c>
      <c r="J47" s="62" t="s">
        <v>112</v>
      </c>
      <c r="K47" s="62" t="s">
        <v>159</v>
      </c>
      <c r="L47" s="62" t="s">
        <v>72</v>
      </c>
      <c r="M47" s="62" t="s">
        <v>162</v>
      </c>
      <c r="N47" s="62" t="s">
        <v>71</v>
      </c>
      <c r="O47" s="62" t="s">
        <v>62</v>
      </c>
      <c r="P47" s="62" t="s">
        <v>80</v>
      </c>
      <c r="Q47" s="59" t="s">
        <v>55</v>
      </c>
      <c r="R47" s="63" t="s">
        <v>7</v>
      </c>
      <c r="S47" s="63" t="s">
        <v>8</v>
      </c>
      <c r="T47" s="63" t="s">
        <v>78</v>
      </c>
      <c r="U47" s="63" t="s">
        <v>92</v>
      </c>
      <c r="V47" s="63" t="s">
        <v>75</v>
      </c>
      <c r="W47" s="63" t="s">
        <v>76</v>
      </c>
      <c r="X47" s="63" t="s">
        <v>53</v>
      </c>
      <c r="Y47" s="63" t="s">
        <v>79</v>
      </c>
      <c r="Z47" s="63" t="s">
        <v>54</v>
      </c>
      <c r="AA47" s="63" t="s">
        <v>17</v>
      </c>
      <c r="AB47" s="63" t="s">
        <v>184</v>
      </c>
      <c r="AC47" s="63" t="s">
        <v>59</v>
      </c>
      <c r="AD47" s="63" t="s">
        <v>60</v>
      </c>
      <c r="AE47" s="62" t="s">
        <v>12</v>
      </c>
      <c r="AF47" s="62" t="s">
        <v>13</v>
      </c>
      <c r="AG47" s="62" t="s">
        <v>77</v>
      </c>
      <c r="AH47" s="62" t="s">
        <v>14</v>
      </c>
      <c r="AI47" s="62" t="s">
        <v>15</v>
      </c>
      <c r="AJ47" s="63" t="s">
        <v>16</v>
      </c>
      <c r="AK47" s="62" t="s">
        <v>160</v>
      </c>
      <c r="AL47" s="63" t="s">
        <v>147</v>
      </c>
      <c r="AM47" s="63" t="s">
        <v>146</v>
      </c>
      <c r="AN47" s="63" t="s">
        <v>81</v>
      </c>
    </row>
    <row r="48" spans="2:40" hidden="1" x14ac:dyDescent="0.25">
      <c r="B48" s="79">
        <v>1</v>
      </c>
      <c r="C48" s="17">
        <v>20200428</v>
      </c>
      <c r="D48" s="16" t="s">
        <v>3</v>
      </c>
      <c r="E48" s="16" t="s">
        <v>320</v>
      </c>
      <c r="F48" s="81" t="s">
        <v>451</v>
      </c>
      <c r="G48" s="18">
        <v>1435905</v>
      </c>
      <c r="H48" s="58" t="s">
        <v>61</v>
      </c>
      <c r="I48" s="16" t="s">
        <v>176</v>
      </c>
      <c r="J48" s="58" t="s">
        <v>61</v>
      </c>
      <c r="K48" s="16" t="s">
        <v>161</v>
      </c>
      <c r="L48" s="16" t="s">
        <v>324</v>
      </c>
      <c r="M48" s="16" t="s">
        <v>171</v>
      </c>
      <c r="N48" s="16" t="s">
        <v>334</v>
      </c>
      <c r="O48" s="18" t="s">
        <v>61</v>
      </c>
      <c r="P48" s="18" t="s">
        <v>329</v>
      </c>
      <c r="Q48" s="19"/>
      <c r="R48" s="58" t="s">
        <v>61</v>
      </c>
      <c r="S48" s="16" t="s">
        <v>157</v>
      </c>
      <c r="T48" s="16"/>
      <c r="U48" s="16"/>
      <c r="V48" s="16">
        <v>145</v>
      </c>
      <c r="W48" s="16">
        <f>V48</f>
        <v>145</v>
      </c>
      <c r="X48" s="16">
        <f>W48</f>
        <v>145</v>
      </c>
      <c r="Y48" s="16">
        <f>ROUNDDOWN(W48/HLOOKUP(D48,Table!$C$3:$D$4,2,0)*8,2)</f>
        <v>2.57</v>
      </c>
      <c r="Z48" s="16">
        <v>2</v>
      </c>
      <c r="AA48" s="16" t="s">
        <v>21</v>
      </c>
      <c r="AB48" s="20">
        <v>43956</v>
      </c>
      <c r="AC48" s="20">
        <v>43949</v>
      </c>
      <c r="AD48" s="20">
        <v>43956</v>
      </c>
      <c r="AE48" s="20">
        <v>43956</v>
      </c>
      <c r="AF48" s="20">
        <v>43956</v>
      </c>
      <c r="AG48" s="20" t="s">
        <v>336</v>
      </c>
      <c r="AH48" s="32">
        <v>1</v>
      </c>
      <c r="AI48" s="32">
        <v>1</v>
      </c>
      <c r="AJ48" s="32">
        <v>1</v>
      </c>
      <c r="AK48" s="20" t="s">
        <v>165</v>
      </c>
      <c r="AL48" s="16" t="s">
        <v>61</v>
      </c>
      <c r="AM48" s="16" t="s">
        <v>61</v>
      </c>
      <c r="AN48" s="131" t="s">
        <v>61</v>
      </c>
    </row>
    <row r="49" spans="2:40" hidden="1" x14ac:dyDescent="0.25">
      <c r="B49" s="79">
        <f t="shared" ref="B49:B52" si="13">B48+1</f>
        <v>2</v>
      </c>
      <c r="C49" s="17">
        <v>20200428</v>
      </c>
      <c r="D49" s="16" t="s">
        <v>3</v>
      </c>
      <c r="E49" s="16" t="s">
        <v>320</v>
      </c>
      <c r="F49" s="81" t="s">
        <v>452</v>
      </c>
      <c r="G49" s="18">
        <v>1435905</v>
      </c>
      <c r="H49" s="58" t="s">
        <v>61</v>
      </c>
      <c r="I49" s="16" t="s">
        <v>172</v>
      </c>
      <c r="J49" s="58" t="s">
        <v>61</v>
      </c>
      <c r="K49" s="16" t="s">
        <v>161</v>
      </c>
      <c r="L49" s="16" t="s">
        <v>324</v>
      </c>
      <c r="M49" s="16" t="s">
        <v>171</v>
      </c>
      <c r="N49" s="16" t="s">
        <v>334</v>
      </c>
      <c r="O49" s="18" t="s">
        <v>61</v>
      </c>
      <c r="P49" s="18" t="s">
        <v>329</v>
      </c>
      <c r="Q49" s="19"/>
      <c r="R49" s="58" t="s">
        <v>61</v>
      </c>
      <c r="S49" s="16" t="s">
        <v>157</v>
      </c>
      <c r="T49" s="16"/>
      <c r="U49" s="16"/>
      <c r="V49" s="16">
        <v>101</v>
      </c>
      <c r="W49" s="16">
        <f t="shared" ref="W49:W111" si="14">V49</f>
        <v>101</v>
      </c>
      <c r="X49" s="16">
        <f t="shared" ref="X49:X55" si="15">W49</f>
        <v>101</v>
      </c>
      <c r="Y49" s="16">
        <f>ROUNDDOWN(W49/HLOOKUP(D49,Table!$C$3:$D$4,2,0)*8,2)</f>
        <v>1.79</v>
      </c>
      <c r="Z49" s="16">
        <v>1</v>
      </c>
      <c r="AA49" s="16" t="s">
        <v>21</v>
      </c>
      <c r="AB49" s="20">
        <v>43956</v>
      </c>
      <c r="AC49" s="20">
        <v>43949</v>
      </c>
      <c r="AD49" s="20">
        <v>43956</v>
      </c>
      <c r="AE49" s="20">
        <v>43955</v>
      </c>
      <c r="AF49" s="20">
        <v>43955</v>
      </c>
      <c r="AG49" s="20" t="s">
        <v>336</v>
      </c>
      <c r="AH49" s="32">
        <v>1</v>
      </c>
      <c r="AI49" s="32">
        <v>1</v>
      </c>
      <c r="AJ49" s="32">
        <v>1</v>
      </c>
      <c r="AK49" s="20" t="s">
        <v>165</v>
      </c>
      <c r="AL49" s="16" t="s">
        <v>61</v>
      </c>
      <c r="AM49" s="16" t="s">
        <v>61</v>
      </c>
      <c r="AN49" s="16" t="s">
        <v>61</v>
      </c>
    </row>
    <row r="50" spans="2:40" hidden="1" x14ac:dyDescent="0.25">
      <c r="B50" s="79">
        <f t="shared" si="13"/>
        <v>3</v>
      </c>
      <c r="C50" s="17">
        <v>20200428</v>
      </c>
      <c r="D50" s="16" t="s">
        <v>3</v>
      </c>
      <c r="E50" s="16" t="s">
        <v>320</v>
      </c>
      <c r="F50" s="81" t="s">
        <v>453</v>
      </c>
      <c r="G50" s="18">
        <v>1435905</v>
      </c>
      <c r="H50" s="58" t="s">
        <v>61</v>
      </c>
      <c r="I50" s="16" t="s">
        <v>173</v>
      </c>
      <c r="J50" s="58" t="s">
        <v>61</v>
      </c>
      <c r="K50" s="16" t="s">
        <v>161</v>
      </c>
      <c r="L50" s="16" t="s">
        <v>324</v>
      </c>
      <c r="M50" s="16" t="s">
        <v>171</v>
      </c>
      <c r="N50" s="16" t="s">
        <v>334</v>
      </c>
      <c r="O50" s="18" t="s">
        <v>61</v>
      </c>
      <c r="P50" s="18" t="s">
        <v>329</v>
      </c>
      <c r="Q50" s="19"/>
      <c r="R50" s="58" t="s">
        <v>61</v>
      </c>
      <c r="S50" s="16" t="s">
        <v>157</v>
      </c>
      <c r="T50" s="16"/>
      <c r="U50" s="16"/>
      <c r="V50" s="16">
        <v>154</v>
      </c>
      <c r="W50" s="16">
        <f t="shared" si="14"/>
        <v>154</v>
      </c>
      <c r="X50" s="16">
        <f t="shared" si="15"/>
        <v>154</v>
      </c>
      <c r="Y50" s="16">
        <f>ROUNDDOWN(W50/HLOOKUP(D50,Table!$C$3:$D$4,2,0)*8,2)</f>
        <v>2.73</v>
      </c>
      <c r="Z50" s="16">
        <v>2</v>
      </c>
      <c r="AA50" s="16" t="s">
        <v>21</v>
      </c>
      <c r="AB50" s="20">
        <v>43956</v>
      </c>
      <c r="AC50" s="20">
        <v>43949</v>
      </c>
      <c r="AD50" s="20">
        <v>43956</v>
      </c>
      <c r="AE50" s="20">
        <v>43955</v>
      </c>
      <c r="AF50" s="20">
        <v>43955</v>
      </c>
      <c r="AG50" s="20" t="s">
        <v>337</v>
      </c>
      <c r="AH50" s="32">
        <v>0.96</v>
      </c>
      <c r="AI50" s="32">
        <v>0.9</v>
      </c>
      <c r="AJ50" s="32">
        <v>1</v>
      </c>
      <c r="AK50" s="20" t="s">
        <v>165</v>
      </c>
      <c r="AL50" s="16" t="s">
        <v>423</v>
      </c>
      <c r="AM50" s="16"/>
      <c r="AN50" s="16" t="s">
        <v>488</v>
      </c>
    </row>
    <row r="51" spans="2:40" hidden="1" x14ac:dyDescent="0.25">
      <c r="B51" s="79">
        <f t="shared" si="13"/>
        <v>4</v>
      </c>
      <c r="C51" s="17">
        <v>20200428</v>
      </c>
      <c r="D51" s="16" t="s">
        <v>3</v>
      </c>
      <c r="E51" s="16" t="s">
        <v>320</v>
      </c>
      <c r="F51" s="81" t="s">
        <v>454</v>
      </c>
      <c r="G51" s="18">
        <v>1435905</v>
      </c>
      <c r="H51" s="58" t="s">
        <v>61</v>
      </c>
      <c r="I51" s="16" t="s">
        <v>177</v>
      </c>
      <c r="J51" s="58" t="s">
        <v>61</v>
      </c>
      <c r="K51" s="16" t="s">
        <v>161</v>
      </c>
      <c r="L51" s="16" t="s">
        <v>324</v>
      </c>
      <c r="M51" s="16" t="s">
        <v>171</v>
      </c>
      <c r="N51" s="16" t="s">
        <v>334</v>
      </c>
      <c r="O51" s="18" t="s">
        <v>61</v>
      </c>
      <c r="P51" s="18" t="s">
        <v>329</v>
      </c>
      <c r="Q51" s="19"/>
      <c r="R51" s="58" t="s">
        <v>61</v>
      </c>
      <c r="S51" s="16" t="s">
        <v>157</v>
      </c>
      <c r="T51" s="16"/>
      <c r="U51" s="16"/>
      <c r="V51" s="16">
        <v>120</v>
      </c>
      <c r="W51" s="16">
        <f t="shared" si="14"/>
        <v>120</v>
      </c>
      <c r="X51" s="16">
        <f t="shared" si="15"/>
        <v>120</v>
      </c>
      <c r="Y51" s="16">
        <f>ROUNDDOWN(W51/HLOOKUP(D51,Table!$C$3:$D$4,2,0)*8,2)</f>
        <v>2.13</v>
      </c>
      <c r="Z51" s="16">
        <v>2</v>
      </c>
      <c r="AA51" s="16" t="s">
        <v>21</v>
      </c>
      <c r="AB51" s="20">
        <v>43956</v>
      </c>
      <c r="AC51" s="20">
        <v>43949</v>
      </c>
      <c r="AD51" s="20">
        <v>43956</v>
      </c>
      <c r="AE51" s="20">
        <v>43955</v>
      </c>
      <c r="AF51" s="20">
        <v>43955</v>
      </c>
      <c r="AG51" s="20" t="s">
        <v>337</v>
      </c>
      <c r="AH51" s="32">
        <v>1</v>
      </c>
      <c r="AI51" s="32">
        <v>0.98</v>
      </c>
      <c r="AJ51" s="32">
        <v>1</v>
      </c>
      <c r="AK51" s="20" t="s">
        <v>165</v>
      </c>
      <c r="AL51" s="16" t="s">
        <v>483</v>
      </c>
      <c r="AM51" s="16"/>
      <c r="AN51" s="118" t="s">
        <v>450</v>
      </c>
    </row>
    <row r="52" spans="2:40" x14ac:dyDescent="0.25">
      <c r="B52" s="79">
        <f t="shared" si="13"/>
        <v>5</v>
      </c>
      <c r="C52" s="17">
        <v>20200428</v>
      </c>
      <c r="D52" s="16" t="s">
        <v>3</v>
      </c>
      <c r="E52" s="16" t="s">
        <v>320</v>
      </c>
      <c r="F52" s="81" t="s">
        <v>455</v>
      </c>
      <c r="G52" s="18">
        <v>1435905</v>
      </c>
      <c r="H52" s="58" t="s">
        <v>61</v>
      </c>
      <c r="I52" s="16" t="s">
        <v>178</v>
      </c>
      <c r="J52" s="58" t="s">
        <v>61</v>
      </c>
      <c r="K52" s="16" t="s">
        <v>161</v>
      </c>
      <c r="L52" s="16" t="s">
        <v>324</v>
      </c>
      <c r="M52" s="16" t="s">
        <v>171</v>
      </c>
      <c r="N52" s="16" t="s">
        <v>334</v>
      </c>
      <c r="O52" s="18" t="s">
        <v>61</v>
      </c>
      <c r="P52" s="18" t="s">
        <v>329</v>
      </c>
      <c r="Q52" s="19"/>
      <c r="R52" s="58" t="s">
        <v>61</v>
      </c>
      <c r="S52" s="16" t="s">
        <v>64</v>
      </c>
      <c r="T52" s="16"/>
      <c r="U52" s="16"/>
      <c r="V52" s="16">
        <v>178</v>
      </c>
      <c r="W52" s="16">
        <f t="shared" si="14"/>
        <v>178</v>
      </c>
      <c r="X52" s="16">
        <f t="shared" si="15"/>
        <v>178</v>
      </c>
      <c r="Y52" s="16">
        <f>ROUNDDOWN(W52/HLOOKUP(D52,Table!$C$3:$D$4,2,0)*8,2)</f>
        <v>3.16</v>
      </c>
      <c r="Z52" s="16">
        <v>1</v>
      </c>
      <c r="AA52" s="16" t="s">
        <v>21</v>
      </c>
      <c r="AB52" s="20">
        <v>43956</v>
      </c>
      <c r="AC52" s="20">
        <v>43949</v>
      </c>
      <c r="AD52" s="20">
        <v>43956</v>
      </c>
      <c r="AE52" s="20">
        <v>43955</v>
      </c>
      <c r="AF52" s="20">
        <v>43955</v>
      </c>
      <c r="AG52" s="20" t="s">
        <v>336</v>
      </c>
      <c r="AH52" s="32" t="s">
        <v>61</v>
      </c>
      <c r="AI52" s="32" t="s">
        <v>61</v>
      </c>
      <c r="AJ52" s="32" t="s">
        <v>61</v>
      </c>
      <c r="AK52" s="20" t="s">
        <v>165</v>
      </c>
      <c r="AL52" s="16"/>
      <c r="AM52" s="16"/>
      <c r="AN52" s="16" t="s">
        <v>419</v>
      </c>
    </row>
    <row r="53" spans="2:40" x14ac:dyDescent="0.25">
      <c r="B53" s="79">
        <f t="shared" ref="B53:B116" si="16">B52+1</f>
        <v>6</v>
      </c>
      <c r="C53" s="17">
        <v>20200428</v>
      </c>
      <c r="D53" s="16" t="s">
        <v>3</v>
      </c>
      <c r="E53" s="16" t="s">
        <v>320</v>
      </c>
      <c r="F53" s="81" t="s">
        <v>456</v>
      </c>
      <c r="G53" s="18">
        <v>1435905</v>
      </c>
      <c r="H53" s="58" t="s">
        <v>61</v>
      </c>
      <c r="I53" s="16" t="s">
        <v>174</v>
      </c>
      <c r="J53" s="58" t="s">
        <v>61</v>
      </c>
      <c r="K53" s="16" t="s">
        <v>161</v>
      </c>
      <c r="L53" s="16" t="s">
        <v>324</v>
      </c>
      <c r="M53" s="16" t="s">
        <v>171</v>
      </c>
      <c r="N53" s="16" t="s">
        <v>334</v>
      </c>
      <c r="O53" s="18" t="s">
        <v>61</v>
      </c>
      <c r="P53" s="18" t="s">
        <v>329</v>
      </c>
      <c r="Q53" s="19"/>
      <c r="R53" s="58" t="s">
        <v>61</v>
      </c>
      <c r="S53" s="16" t="s">
        <v>64</v>
      </c>
      <c r="T53" s="16"/>
      <c r="U53" s="16"/>
      <c r="V53" s="16">
        <v>124</v>
      </c>
      <c r="W53" s="16">
        <f t="shared" si="14"/>
        <v>124</v>
      </c>
      <c r="X53" s="16">
        <f t="shared" si="15"/>
        <v>124</v>
      </c>
      <c r="Y53" s="16">
        <f>ROUNDDOWN(W53/HLOOKUP(D53,Table!$C$3:$D$4,2,0)*8,2)</f>
        <v>2.2000000000000002</v>
      </c>
      <c r="Z53" s="16">
        <v>2</v>
      </c>
      <c r="AA53" s="16" t="s">
        <v>21</v>
      </c>
      <c r="AB53" s="20">
        <v>43956</v>
      </c>
      <c r="AC53" s="20">
        <v>43949</v>
      </c>
      <c r="AD53" s="20">
        <v>43956</v>
      </c>
      <c r="AE53" s="20">
        <v>43955</v>
      </c>
      <c r="AF53" s="20">
        <v>43955</v>
      </c>
      <c r="AG53" s="20" t="s">
        <v>337</v>
      </c>
      <c r="AH53" s="32">
        <v>1</v>
      </c>
      <c r="AI53" s="32">
        <v>1</v>
      </c>
      <c r="AJ53" s="32">
        <v>1</v>
      </c>
      <c r="AK53" s="20" t="s">
        <v>165</v>
      </c>
      <c r="AL53" s="16"/>
      <c r="AM53" s="16"/>
      <c r="AN53" s="16" t="s">
        <v>440</v>
      </c>
    </row>
    <row r="54" spans="2:40" x14ac:dyDescent="0.25">
      <c r="B54" s="79">
        <f t="shared" si="16"/>
        <v>7</v>
      </c>
      <c r="C54" s="17">
        <v>20200428</v>
      </c>
      <c r="D54" s="16" t="s">
        <v>3</v>
      </c>
      <c r="E54" s="16" t="s">
        <v>320</v>
      </c>
      <c r="F54" s="81" t="s">
        <v>457</v>
      </c>
      <c r="G54" s="18">
        <v>1435905</v>
      </c>
      <c r="H54" s="58" t="s">
        <v>61</v>
      </c>
      <c r="I54" s="16" t="s">
        <v>323</v>
      </c>
      <c r="J54" s="58" t="s">
        <v>61</v>
      </c>
      <c r="K54" s="16" t="s">
        <v>161</v>
      </c>
      <c r="L54" s="16" t="s">
        <v>324</v>
      </c>
      <c r="M54" s="16" t="s">
        <v>171</v>
      </c>
      <c r="N54" s="16" t="s">
        <v>334</v>
      </c>
      <c r="O54" s="18" t="s">
        <v>61</v>
      </c>
      <c r="P54" s="18" t="s">
        <v>329</v>
      </c>
      <c r="Q54" s="19"/>
      <c r="R54" s="58" t="s">
        <v>61</v>
      </c>
      <c r="S54" s="16" t="s">
        <v>64</v>
      </c>
      <c r="T54" s="16"/>
      <c r="U54" s="16"/>
      <c r="V54" s="16">
        <v>106</v>
      </c>
      <c r="W54" s="16">
        <f t="shared" si="14"/>
        <v>106</v>
      </c>
      <c r="X54" s="16">
        <f t="shared" si="15"/>
        <v>106</v>
      </c>
      <c r="Y54" s="16">
        <f>ROUNDDOWN(W54/HLOOKUP(D54,Table!$C$3:$D$4,2,0)*8,2)</f>
        <v>1.88</v>
      </c>
      <c r="Z54" s="16">
        <v>2</v>
      </c>
      <c r="AA54" s="16" t="s">
        <v>21</v>
      </c>
      <c r="AB54" s="20">
        <v>43956</v>
      </c>
      <c r="AC54" s="20">
        <v>43949</v>
      </c>
      <c r="AD54" s="20">
        <v>43956</v>
      </c>
      <c r="AE54" s="20">
        <v>43955</v>
      </c>
      <c r="AF54" s="20">
        <v>43955</v>
      </c>
      <c r="AG54" s="20" t="s">
        <v>337</v>
      </c>
      <c r="AH54" s="32">
        <v>0.36</v>
      </c>
      <c r="AI54" s="32">
        <v>0</v>
      </c>
      <c r="AJ54" s="32">
        <v>1</v>
      </c>
      <c r="AK54" s="20" t="s">
        <v>165</v>
      </c>
      <c r="AL54" s="16" t="s">
        <v>485</v>
      </c>
      <c r="AM54" s="16"/>
      <c r="AN54" s="16" t="s">
        <v>450</v>
      </c>
    </row>
    <row r="55" spans="2:40" x14ac:dyDescent="0.25">
      <c r="B55" s="79">
        <f t="shared" si="16"/>
        <v>8</v>
      </c>
      <c r="C55" s="17">
        <v>20200428</v>
      </c>
      <c r="D55" s="16" t="s">
        <v>3</v>
      </c>
      <c r="E55" s="16" t="s">
        <v>169</v>
      </c>
      <c r="F55" s="81" t="s">
        <v>458</v>
      </c>
      <c r="G55" s="18">
        <v>1439160</v>
      </c>
      <c r="H55" s="58" t="s">
        <v>61</v>
      </c>
      <c r="I55" s="16" t="s">
        <v>182</v>
      </c>
      <c r="J55" s="58" t="s">
        <v>61</v>
      </c>
      <c r="K55" s="16" t="s">
        <v>161</v>
      </c>
      <c r="L55" s="16" t="s">
        <v>325</v>
      </c>
      <c r="M55" s="19" t="s">
        <v>335</v>
      </c>
      <c r="N55" s="16" t="s">
        <v>327</v>
      </c>
      <c r="O55" s="18" t="s">
        <v>61</v>
      </c>
      <c r="P55" s="18" t="s">
        <v>167</v>
      </c>
      <c r="Q55" s="19"/>
      <c r="R55" s="58" t="s">
        <v>61</v>
      </c>
      <c r="S55" s="16" t="s">
        <v>64</v>
      </c>
      <c r="T55" s="16"/>
      <c r="U55" s="16"/>
      <c r="V55" s="16">
        <v>188</v>
      </c>
      <c r="W55" s="16">
        <f t="shared" si="14"/>
        <v>188</v>
      </c>
      <c r="X55" s="16">
        <f t="shared" si="15"/>
        <v>188</v>
      </c>
      <c r="Y55" s="16">
        <f>ROUNDDOWN(W55/HLOOKUP(D55,Table!$C$3:$D$4,2,0)*8,2)</f>
        <v>3.34</v>
      </c>
      <c r="Z55" s="16">
        <v>1</v>
      </c>
      <c r="AA55" s="16" t="s">
        <v>21</v>
      </c>
      <c r="AB55" s="20">
        <v>43956</v>
      </c>
      <c r="AC55" s="20">
        <v>43949</v>
      </c>
      <c r="AD55" s="20">
        <v>43956</v>
      </c>
      <c r="AE55" s="20">
        <v>43955</v>
      </c>
      <c r="AF55" s="20">
        <v>43955</v>
      </c>
      <c r="AG55" s="20" t="s">
        <v>336</v>
      </c>
      <c r="AH55" s="32" t="s">
        <v>61</v>
      </c>
      <c r="AI55" s="32" t="s">
        <v>61</v>
      </c>
      <c r="AJ55" s="32" t="s">
        <v>61</v>
      </c>
      <c r="AK55" s="20" t="s">
        <v>165</v>
      </c>
      <c r="AL55" s="16"/>
      <c r="AM55" s="16"/>
      <c r="AN55" s="16" t="s">
        <v>419</v>
      </c>
    </row>
    <row r="56" spans="2:40" x14ac:dyDescent="0.25">
      <c r="B56" s="79">
        <f t="shared" si="16"/>
        <v>9</v>
      </c>
      <c r="C56" s="17">
        <v>20200428</v>
      </c>
      <c r="D56" s="16" t="s">
        <v>3</v>
      </c>
      <c r="E56" s="16" t="s">
        <v>169</v>
      </c>
      <c r="F56" s="81" t="s">
        <v>459</v>
      </c>
      <c r="G56" s="18">
        <v>1439160</v>
      </c>
      <c r="H56" s="58" t="s">
        <v>61</v>
      </c>
      <c r="I56" s="16" t="s">
        <v>181</v>
      </c>
      <c r="J56" s="58" t="s">
        <v>61</v>
      </c>
      <c r="K56" s="16" t="s">
        <v>161</v>
      </c>
      <c r="L56" s="16" t="s">
        <v>325</v>
      </c>
      <c r="M56" s="19" t="s">
        <v>335</v>
      </c>
      <c r="N56" s="16" t="s">
        <v>327</v>
      </c>
      <c r="O56" s="18" t="s">
        <v>61</v>
      </c>
      <c r="P56" s="18" t="s">
        <v>167</v>
      </c>
      <c r="Q56" s="19"/>
      <c r="R56" s="58" t="s">
        <v>61</v>
      </c>
      <c r="S56" s="16" t="s">
        <v>64</v>
      </c>
      <c r="T56" s="16"/>
      <c r="U56" s="16"/>
      <c r="V56" s="16">
        <v>257</v>
      </c>
      <c r="W56" s="16">
        <f t="shared" si="14"/>
        <v>257</v>
      </c>
      <c r="X56" s="16">
        <f t="shared" ref="X56:X57" si="17">W56</f>
        <v>257</v>
      </c>
      <c r="Y56" s="16">
        <f>ROUNDDOWN(W56/HLOOKUP(D56,Table!$C$3:$D$4,2,0)*8,2)</f>
        <v>4.5599999999999996</v>
      </c>
      <c r="Z56" s="16">
        <v>2</v>
      </c>
      <c r="AA56" s="16" t="s">
        <v>21</v>
      </c>
      <c r="AB56" s="20">
        <v>43956</v>
      </c>
      <c r="AC56" s="20">
        <v>43949</v>
      </c>
      <c r="AD56" s="20">
        <v>43956</v>
      </c>
      <c r="AE56" s="20">
        <v>43955</v>
      </c>
      <c r="AF56" s="20">
        <v>43955</v>
      </c>
      <c r="AG56" s="20" t="s">
        <v>336</v>
      </c>
      <c r="AH56" s="32">
        <v>1</v>
      </c>
      <c r="AI56" s="32">
        <v>1</v>
      </c>
      <c r="AJ56" s="32">
        <v>1</v>
      </c>
      <c r="AK56" s="20" t="s">
        <v>165</v>
      </c>
      <c r="AL56" s="16"/>
      <c r="AM56" s="16"/>
      <c r="AN56" s="16"/>
    </row>
    <row r="57" spans="2:40" x14ac:dyDescent="0.25">
      <c r="B57" s="79">
        <f t="shared" si="16"/>
        <v>10</v>
      </c>
      <c r="C57" s="17">
        <v>20200428</v>
      </c>
      <c r="D57" s="16" t="s">
        <v>3</v>
      </c>
      <c r="E57" s="16" t="s">
        <v>169</v>
      </c>
      <c r="F57" s="81" t="s">
        <v>460</v>
      </c>
      <c r="G57" s="18">
        <v>1439160</v>
      </c>
      <c r="H57" s="58" t="s">
        <v>61</v>
      </c>
      <c r="I57" s="16" t="s">
        <v>183</v>
      </c>
      <c r="J57" s="58" t="s">
        <v>61</v>
      </c>
      <c r="K57" s="16" t="s">
        <v>161</v>
      </c>
      <c r="L57" s="16" t="s">
        <v>325</v>
      </c>
      <c r="M57" s="19" t="s">
        <v>335</v>
      </c>
      <c r="N57" s="16" t="s">
        <v>327</v>
      </c>
      <c r="O57" s="18" t="s">
        <v>61</v>
      </c>
      <c r="P57" s="18" t="s">
        <v>167</v>
      </c>
      <c r="Q57" s="19"/>
      <c r="R57" s="58" t="s">
        <v>61</v>
      </c>
      <c r="S57" s="16" t="s">
        <v>64</v>
      </c>
      <c r="T57" s="16"/>
      <c r="U57" s="16"/>
      <c r="V57" s="16">
        <v>1141</v>
      </c>
      <c r="W57" s="16">
        <f t="shared" si="14"/>
        <v>1141</v>
      </c>
      <c r="X57" s="16">
        <f t="shared" si="17"/>
        <v>1141</v>
      </c>
      <c r="Y57" s="16">
        <f>ROUNDDOWN(W57/HLOOKUP(D57,Table!$C$3:$D$4,2,0)*8,2)</f>
        <v>20.28</v>
      </c>
      <c r="Z57" s="16">
        <v>4</v>
      </c>
      <c r="AA57" s="16" t="s">
        <v>21</v>
      </c>
      <c r="AB57" s="20">
        <v>43956</v>
      </c>
      <c r="AC57" s="20">
        <v>43949</v>
      </c>
      <c r="AD57" s="20">
        <v>43956</v>
      </c>
      <c r="AE57" s="20">
        <v>43950</v>
      </c>
      <c r="AF57" s="20">
        <v>43950</v>
      </c>
      <c r="AG57" s="20" t="s">
        <v>336</v>
      </c>
      <c r="AH57" s="32">
        <v>1</v>
      </c>
      <c r="AI57" s="32">
        <v>1</v>
      </c>
      <c r="AJ57" s="32">
        <v>1</v>
      </c>
      <c r="AK57" s="20" t="s">
        <v>165</v>
      </c>
      <c r="AL57" s="16"/>
      <c r="AM57" s="16"/>
      <c r="AN57" s="16"/>
    </row>
    <row r="58" spans="2:40" hidden="1" x14ac:dyDescent="0.25">
      <c r="B58" s="79">
        <f t="shared" si="16"/>
        <v>11</v>
      </c>
      <c r="C58" s="17">
        <v>20200428</v>
      </c>
      <c r="D58" s="16" t="s">
        <v>3</v>
      </c>
      <c r="E58" s="16" t="s">
        <v>169</v>
      </c>
      <c r="F58" s="81" t="s">
        <v>461</v>
      </c>
      <c r="G58" s="18">
        <v>1439160</v>
      </c>
      <c r="H58" s="58" t="s">
        <v>61</v>
      </c>
      <c r="I58" s="16" t="s">
        <v>168</v>
      </c>
      <c r="J58" s="58" t="s">
        <v>61</v>
      </c>
      <c r="K58" s="16" t="s">
        <v>161</v>
      </c>
      <c r="L58" s="16" t="s">
        <v>325</v>
      </c>
      <c r="M58" s="19" t="s">
        <v>335</v>
      </c>
      <c r="N58" s="16" t="s">
        <v>327</v>
      </c>
      <c r="O58" s="18" t="s">
        <v>61</v>
      </c>
      <c r="P58" s="18" t="s">
        <v>167</v>
      </c>
      <c r="Q58" s="19"/>
      <c r="R58" s="58" t="s">
        <v>61</v>
      </c>
      <c r="S58" s="16" t="s">
        <v>65</v>
      </c>
      <c r="T58" s="16"/>
      <c r="U58" s="16"/>
      <c r="V58" s="16">
        <v>997</v>
      </c>
      <c r="W58" s="16">
        <f t="shared" si="14"/>
        <v>997</v>
      </c>
      <c r="X58" s="16">
        <f t="shared" ref="X58:X71" si="18">W58</f>
        <v>997</v>
      </c>
      <c r="Y58" s="16">
        <f>ROUNDDOWN(W58/HLOOKUP(D58,Table!$C$3:$D$4,2,0)*8,2)</f>
        <v>17.72</v>
      </c>
      <c r="Z58" s="16">
        <v>2</v>
      </c>
      <c r="AA58" s="16" t="s">
        <v>21</v>
      </c>
      <c r="AB58" s="20">
        <v>43956</v>
      </c>
      <c r="AC58" s="20">
        <v>43949</v>
      </c>
      <c r="AD58" s="20">
        <v>43956</v>
      </c>
      <c r="AE58" s="20">
        <v>43956</v>
      </c>
      <c r="AF58" s="20">
        <v>43956</v>
      </c>
      <c r="AG58" s="20" t="s">
        <v>336</v>
      </c>
      <c r="AH58" s="32">
        <v>1</v>
      </c>
      <c r="AI58" s="32">
        <v>1</v>
      </c>
      <c r="AJ58" s="32">
        <v>1</v>
      </c>
      <c r="AK58" s="20" t="s">
        <v>165</v>
      </c>
      <c r="AL58" s="16"/>
      <c r="AM58" s="16"/>
      <c r="AN58" s="16"/>
    </row>
    <row r="59" spans="2:40" hidden="1" x14ac:dyDescent="0.25">
      <c r="B59" s="79">
        <f t="shared" si="16"/>
        <v>12</v>
      </c>
      <c r="C59" s="17">
        <v>20200428</v>
      </c>
      <c r="D59" s="16" t="s">
        <v>3</v>
      </c>
      <c r="E59" s="16" t="s">
        <v>321</v>
      </c>
      <c r="F59" s="81" t="s">
        <v>462</v>
      </c>
      <c r="G59" s="18">
        <v>1439436</v>
      </c>
      <c r="H59" s="58" t="s">
        <v>61</v>
      </c>
      <c r="I59" s="16" t="s">
        <v>182</v>
      </c>
      <c r="J59" s="58" t="s">
        <v>61</v>
      </c>
      <c r="K59" s="16" t="s">
        <v>161</v>
      </c>
      <c r="L59" s="16" t="s">
        <v>326</v>
      </c>
      <c r="M59" s="16" t="s">
        <v>332</v>
      </c>
      <c r="N59" s="16" t="s">
        <v>328</v>
      </c>
      <c r="O59" s="18" t="s">
        <v>61</v>
      </c>
      <c r="P59" s="18" t="s">
        <v>330</v>
      </c>
      <c r="Q59" s="19"/>
      <c r="R59" s="58" t="s">
        <v>61</v>
      </c>
      <c r="S59" s="16" t="s">
        <v>157</v>
      </c>
      <c r="T59" s="16"/>
      <c r="U59" s="16"/>
      <c r="V59" s="16">
        <v>142</v>
      </c>
      <c r="W59" s="16">
        <f t="shared" si="14"/>
        <v>142</v>
      </c>
      <c r="X59" s="16">
        <f t="shared" si="18"/>
        <v>142</v>
      </c>
      <c r="Y59" s="16">
        <f>ROUNDDOWN(W59/HLOOKUP(D59,Table!$C$3:$D$4,2,0)*8,2)</f>
        <v>2.52</v>
      </c>
      <c r="Z59" s="16">
        <v>0.1</v>
      </c>
      <c r="AA59" s="16" t="s">
        <v>21</v>
      </c>
      <c r="AB59" s="20">
        <v>43956</v>
      </c>
      <c r="AC59" s="20">
        <v>43949</v>
      </c>
      <c r="AD59" s="20">
        <v>43956</v>
      </c>
      <c r="AE59" s="20">
        <v>43955</v>
      </c>
      <c r="AF59" s="20">
        <v>43955</v>
      </c>
      <c r="AG59" s="20" t="s">
        <v>336</v>
      </c>
      <c r="AH59" s="32" t="s">
        <v>61</v>
      </c>
      <c r="AI59" s="32" t="s">
        <v>61</v>
      </c>
      <c r="AJ59" s="32" t="s">
        <v>61</v>
      </c>
      <c r="AK59" s="20" t="s">
        <v>165</v>
      </c>
      <c r="AL59" s="16"/>
      <c r="AM59" s="16"/>
      <c r="AN59" s="16" t="s">
        <v>419</v>
      </c>
    </row>
    <row r="60" spans="2:40" hidden="1" x14ac:dyDescent="0.25">
      <c r="B60" s="79">
        <f t="shared" si="16"/>
        <v>13</v>
      </c>
      <c r="C60" s="17">
        <v>20200428</v>
      </c>
      <c r="D60" s="16" t="s">
        <v>3</v>
      </c>
      <c r="E60" s="16" t="s">
        <v>321</v>
      </c>
      <c r="F60" s="81" t="s">
        <v>463</v>
      </c>
      <c r="G60" s="18">
        <v>1439436</v>
      </c>
      <c r="H60" s="58" t="s">
        <v>61</v>
      </c>
      <c r="I60" s="16" t="s">
        <v>183</v>
      </c>
      <c r="J60" s="58" t="s">
        <v>61</v>
      </c>
      <c r="K60" s="16" t="s">
        <v>161</v>
      </c>
      <c r="L60" s="16" t="s">
        <v>326</v>
      </c>
      <c r="M60" s="16" t="s">
        <v>332</v>
      </c>
      <c r="N60" s="16" t="s">
        <v>328</v>
      </c>
      <c r="O60" s="18" t="s">
        <v>61</v>
      </c>
      <c r="P60" s="18" t="s">
        <v>330</v>
      </c>
      <c r="Q60" s="19"/>
      <c r="R60" s="58" t="s">
        <v>61</v>
      </c>
      <c r="S60" s="16" t="s">
        <v>157</v>
      </c>
      <c r="T60" s="16"/>
      <c r="U60" s="16"/>
      <c r="V60" s="16">
        <v>35</v>
      </c>
      <c r="W60" s="16">
        <f t="shared" si="14"/>
        <v>35</v>
      </c>
      <c r="X60" s="16">
        <f t="shared" si="18"/>
        <v>35</v>
      </c>
      <c r="Y60" s="16">
        <f>ROUNDDOWN(W60/HLOOKUP(D60,Table!$C$3:$D$4,2,0)*8,2)</f>
        <v>0.62</v>
      </c>
      <c r="Z60" s="16">
        <v>0.15</v>
      </c>
      <c r="AA60" s="16" t="s">
        <v>21</v>
      </c>
      <c r="AB60" s="20">
        <v>43956</v>
      </c>
      <c r="AC60" s="20">
        <v>43949</v>
      </c>
      <c r="AD60" s="20">
        <v>43956</v>
      </c>
      <c r="AE60" s="20">
        <v>43949</v>
      </c>
      <c r="AF60" s="20">
        <v>43949</v>
      </c>
      <c r="AG60" s="20" t="s">
        <v>336</v>
      </c>
      <c r="AH60" s="32">
        <v>1</v>
      </c>
      <c r="AI60" s="32">
        <v>1</v>
      </c>
      <c r="AJ60" s="32">
        <v>1</v>
      </c>
      <c r="AK60" s="20" t="s">
        <v>165</v>
      </c>
      <c r="AL60" s="16"/>
      <c r="AM60" s="16"/>
      <c r="AN60" s="16"/>
    </row>
    <row r="61" spans="2:40" hidden="1" x14ac:dyDescent="0.25">
      <c r="B61" s="79">
        <f t="shared" si="16"/>
        <v>14</v>
      </c>
      <c r="C61" s="17">
        <v>20200428</v>
      </c>
      <c r="D61" s="16" t="s">
        <v>3</v>
      </c>
      <c r="E61" s="16" t="s">
        <v>321</v>
      </c>
      <c r="F61" s="81" t="s">
        <v>464</v>
      </c>
      <c r="G61" s="18">
        <v>1439436</v>
      </c>
      <c r="H61" s="58" t="s">
        <v>61</v>
      </c>
      <c r="I61" s="16" t="s">
        <v>168</v>
      </c>
      <c r="J61" s="58" t="s">
        <v>61</v>
      </c>
      <c r="K61" s="16" t="s">
        <v>161</v>
      </c>
      <c r="L61" s="16" t="s">
        <v>326</v>
      </c>
      <c r="M61" s="16" t="s">
        <v>332</v>
      </c>
      <c r="N61" s="16" t="s">
        <v>328</v>
      </c>
      <c r="O61" s="18" t="s">
        <v>61</v>
      </c>
      <c r="P61" s="18" t="s">
        <v>330</v>
      </c>
      <c r="Q61" s="19"/>
      <c r="R61" s="58" t="s">
        <v>61</v>
      </c>
      <c r="S61" s="16" t="s">
        <v>157</v>
      </c>
      <c r="T61" s="16"/>
      <c r="U61" s="16"/>
      <c r="V61" s="16">
        <v>34</v>
      </c>
      <c r="W61" s="99">
        <v>278</v>
      </c>
      <c r="X61" s="17">
        <f t="shared" si="18"/>
        <v>278</v>
      </c>
      <c r="Y61" s="16">
        <f>ROUNDDOWN(W61/HLOOKUP(D61,Table!$C$3:$D$4,2,0)*8,2)</f>
        <v>4.9400000000000004</v>
      </c>
      <c r="Z61" s="16">
        <v>1</v>
      </c>
      <c r="AA61" s="16" t="s">
        <v>21</v>
      </c>
      <c r="AB61" s="20">
        <v>43956</v>
      </c>
      <c r="AC61" s="20">
        <v>43949</v>
      </c>
      <c r="AD61" s="20">
        <v>43956</v>
      </c>
      <c r="AE61" s="20">
        <v>43955</v>
      </c>
      <c r="AF61" s="20">
        <v>43955</v>
      </c>
      <c r="AG61" s="20" t="s">
        <v>336</v>
      </c>
      <c r="AH61" s="32">
        <v>1</v>
      </c>
      <c r="AI61" s="32">
        <v>1</v>
      </c>
      <c r="AJ61" s="32">
        <v>1</v>
      </c>
      <c r="AK61" s="20" t="s">
        <v>165</v>
      </c>
      <c r="AL61" s="16"/>
      <c r="AM61" s="16"/>
      <c r="AN61" s="16" t="s">
        <v>437</v>
      </c>
    </row>
    <row r="62" spans="2:40" hidden="1" x14ac:dyDescent="0.25">
      <c r="B62" s="79">
        <f t="shared" si="16"/>
        <v>15</v>
      </c>
      <c r="C62" s="17">
        <v>20200428</v>
      </c>
      <c r="D62" s="16" t="s">
        <v>3</v>
      </c>
      <c r="E62" s="16" t="s">
        <v>322</v>
      </c>
      <c r="F62" s="81" t="s">
        <v>465</v>
      </c>
      <c r="G62" s="18">
        <v>1417033</v>
      </c>
      <c r="H62" s="58" t="s">
        <v>61</v>
      </c>
      <c r="I62" s="16" t="s">
        <v>181</v>
      </c>
      <c r="J62" s="58" t="s">
        <v>61</v>
      </c>
      <c r="K62" s="16" t="s">
        <v>161</v>
      </c>
      <c r="L62" s="16" t="s">
        <v>165</v>
      </c>
      <c r="M62" s="16" t="s">
        <v>170</v>
      </c>
      <c r="N62" s="16" t="s">
        <v>175</v>
      </c>
      <c r="O62" s="18" t="s">
        <v>61</v>
      </c>
      <c r="P62" s="18" t="s">
        <v>331</v>
      </c>
      <c r="Q62" s="19"/>
      <c r="R62" s="58" t="s">
        <v>61</v>
      </c>
      <c r="S62" s="16" t="s">
        <v>157</v>
      </c>
      <c r="T62" s="16"/>
      <c r="U62" s="16"/>
      <c r="V62" s="16">
        <v>76</v>
      </c>
      <c r="W62" s="16">
        <f t="shared" si="14"/>
        <v>76</v>
      </c>
      <c r="X62" s="16">
        <f t="shared" si="18"/>
        <v>76</v>
      </c>
      <c r="Y62" s="16">
        <f>ROUNDDOWN(W62/HLOOKUP(D62,Table!$C$3:$D$4,2,0)*8,2)</f>
        <v>1.35</v>
      </c>
      <c r="Z62" s="16">
        <v>1</v>
      </c>
      <c r="AA62" s="16" t="s">
        <v>21</v>
      </c>
      <c r="AB62" s="20">
        <v>43956</v>
      </c>
      <c r="AC62" s="20">
        <v>43949</v>
      </c>
      <c r="AD62" s="20">
        <v>43956</v>
      </c>
      <c r="AE62" s="20">
        <v>43949</v>
      </c>
      <c r="AF62" s="20">
        <v>43949</v>
      </c>
      <c r="AG62" s="20" t="s">
        <v>336</v>
      </c>
      <c r="AH62" s="32">
        <v>1</v>
      </c>
      <c r="AI62" s="32">
        <v>1</v>
      </c>
      <c r="AJ62" s="32">
        <v>1</v>
      </c>
      <c r="AK62" s="20" t="s">
        <v>165</v>
      </c>
      <c r="AL62" s="16"/>
      <c r="AM62" s="16"/>
      <c r="AN62" s="16"/>
    </row>
    <row r="63" spans="2:40" hidden="1" x14ac:dyDescent="0.25">
      <c r="B63" s="79">
        <f t="shared" si="16"/>
        <v>16</v>
      </c>
      <c r="C63" s="17">
        <v>20200428</v>
      </c>
      <c r="D63" s="16" t="s">
        <v>3</v>
      </c>
      <c r="E63" s="16" t="s">
        <v>322</v>
      </c>
      <c r="F63" s="81" t="s">
        <v>466</v>
      </c>
      <c r="G63" s="18">
        <v>1417033</v>
      </c>
      <c r="H63" s="58" t="s">
        <v>61</v>
      </c>
      <c r="I63" s="16" t="s">
        <v>168</v>
      </c>
      <c r="J63" s="58" t="s">
        <v>61</v>
      </c>
      <c r="K63" s="16" t="s">
        <v>161</v>
      </c>
      <c r="L63" s="16" t="s">
        <v>165</v>
      </c>
      <c r="M63" s="16" t="s">
        <v>170</v>
      </c>
      <c r="N63" s="16" t="s">
        <v>175</v>
      </c>
      <c r="O63" s="18" t="s">
        <v>61</v>
      </c>
      <c r="P63" s="18" t="s">
        <v>331</v>
      </c>
      <c r="Q63" s="19"/>
      <c r="R63" s="58" t="s">
        <v>61</v>
      </c>
      <c r="S63" s="16" t="s">
        <v>157</v>
      </c>
      <c r="T63" s="16"/>
      <c r="U63" s="16"/>
      <c r="V63" s="16">
        <v>61</v>
      </c>
      <c r="W63" s="16">
        <f t="shared" si="14"/>
        <v>61</v>
      </c>
      <c r="X63" s="16">
        <f t="shared" si="18"/>
        <v>61</v>
      </c>
      <c r="Y63" s="16">
        <f>ROUNDDOWN(W63/HLOOKUP(D63,Table!$C$3:$D$4,2,0)*8,2)</f>
        <v>1.08</v>
      </c>
      <c r="Z63" s="16">
        <v>0.5</v>
      </c>
      <c r="AA63" s="16" t="s">
        <v>21</v>
      </c>
      <c r="AB63" s="20">
        <v>43956</v>
      </c>
      <c r="AC63" s="20">
        <v>43949</v>
      </c>
      <c r="AD63" s="20">
        <v>43956</v>
      </c>
      <c r="AE63" s="20">
        <v>43949</v>
      </c>
      <c r="AF63" s="20">
        <v>43949</v>
      </c>
      <c r="AG63" s="20" t="s">
        <v>336</v>
      </c>
      <c r="AH63" s="32">
        <v>1</v>
      </c>
      <c r="AI63" s="32">
        <v>1</v>
      </c>
      <c r="AJ63" s="32">
        <v>1</v>
      </c>
      <c r="AK63" s="20" t="s">
        <v>165</v>
      </c>
      <c r="AL63" s="16"/>
      <c r="AM63" s="16"/>
      <c r="AN63" s="16"/>
    </row>
    <row r="64" spans="2:40" hidden="1" x14ac:dyDescent="0.25">
      <c r="B64" s="85">
        <f t="shared" si="16"/>
        <v>17</v>
      </c>
      <c r="C64" s="17">
        <v>20200429</v>
      </c>
      <c r="D64" s="16" t="s">
        <v>3</v>
      </c>
      <c r="E64" s="16" t="s">
        <v>339</v>
      </c>
      <c r="F64" s="81" t="s">
        <v>467</v>
      </c>
      <c r="G64" s="18">
        <v>1439430</v>
      </c>
      <c r="H64" s="58" t="s">
        <v>61</v>
      </c>
      <c r="I64" s="16" t="s">
        <v>350</v>
      </c>
      <c r="J64" s="58" t="s">
        <v>61</v>
      </c>
      <c r="K64" s="16" t="s">
        <v>161</v>
      </c>
      <c r="L64" s="16" t="s">
        <v>346</v>
      </c>
      <c r="M64" s="16" t="s">
        <v>341</v>
      </c>
      <c r="N64" s="16" t="s">
        <v>348</v>
      </c>
      <c r="O64" s="18" t="s">
        <v>61</v>
      </c>
      <c r="P64" s="18" t="s">
        <v>343</v>
      </c>
      <c r="Q64" s="19"/>
      <c r="R64" s="58" t="s">
        <v>61</v>
      </c>
      <c r="S64" s="16" t="s">
        <v>65</v>
      </c>
      <c r="T64" s="16"/>
      <c r="U64" s="16"/>
      <c r="V64" s="16">
        <v>431</v>
      </c>
      <c r="W64" s="16">
        <f t="shared" si="14"/>
        <v>431</v>
      </c>
      <c r="X64" s="16">
        <f t="shared" si="18"/>
        <v>431</v>
      </c>
      <c r="Y64" s="16">
        <f>ROUNDDOWN(W64/HLOOKUP(D64,Table!$C$3:$D$4,2,0)*8,2)</f>
        <v>7.66</v>
      </c>
      <c r="Z64" s="16">
        <v>1</v>
      </c>
      <c r="AA64" s="16" t="s">
        <v>74</v>
      </c>
      <c r="AB64" s="20">
        <v>43957</v>
      </c>
      <c r="AC64" s="20">
        <v>43950</v>
      </c>
      <c r="AD64" s="20">
        <v>43957</v>
      </c>
      <c r="AE64" s="20">
        <v>43956</v>
      </c>
      <c r="AF64" s="20">
        <v>43956</v>
      </c>
      <c r="AG64" s="20" t="s">
        <v>336</v>
      </c>
      <c r="AH64" s="32">
        <v>1</v>
      </c>
      <c r="AI64" s="32">
        <v>1</v>
      </c>
      <c r="AJ64" s="32">
        <v>1</v>
      </c>
      <c r="AK64" s="20" t="s">
        <v>165</v>
      </c>
      <c r="AL64" s="16"/>
      <c r="AM64" s="16"/>
      <c r="AN64" s="16"/>
    </row>
    <row r="65" spans="1:40" hidden="1" x14ac:dyDescent="0.25">
      <c r="B65" s="85">
        <f t="shared" si="16"/>
        <v>18</v>
      </c>
      <c r="C65" s="17">
        <v>20200429</v>
      </c>
      <c r="D65" s="16" t="s">
        <v>3</v>
      </c>
      <c r="E65" s="16" t="s">
        <v>339</v>
      </c>
      <c r="F65" s="81" t="s">
        <v>468</v>
      </c>
      <c r="G65" s="18">
        <v>1439430</v>
      </c>
      <c r="H65" s="58" t="s">
        <v>61</v>
      </c>
      <c r="I65" s="16" t="s">
        <v>351</v>
      </c>
      <c r="J65" s="58" t="s">
        <v>61</v>
      </c>
      <c r="K65" s="16" t="s">
        <v>161</v>
      </c>
      <c r="L65" s="16" t="s">
        <v>346</v>
      </c>
      <c r="M65" s="16" t="s">
        <v>341</v>
      </c>
      <c r="N65" s="16" t="s">
        <v>348</v>
      </c>
      <c r="O65" s="18" t="s">
        <v>61</v>
      </c>
      <c r="P65" s="18" t="s">
        <v>343</v>
      </c>
      <c r="Q65" s="19"/>
      <c r="R65" s="58" t="s">
        <v>61</v>
      </c>
      <c r="S65" s="16" t="s">
        <v>65</v>
      </c>
      <c r="T65" s="16"/>
      <c r="U65" s="16"/>
      <c r="V65" s="16">
        <v>184</v>
      </c>
      <c r="W65" s="16">
        <f t="shared" si="14"/>
        <v>184</v>
      </c>
      <c r="X65" s="16">
        <f t="shared" si="18"/>
        <v>184</v>
      </c>
      <c r="Y65" s="16">
        <f>ROUNDDOWN(W65/HLOOKUP(D65,Table!$C$3:$D$4,2,0)*8,2)</f>
        <v>3.27</v>
      </c>
      <c r="Z65" s="16">
        <v>1</v>
      </c>
      <c r="AA65" s="16" t="s">
        <v>74</v>
      </c>
      <c r="AB65" s="20">
        <v>43957</v>
      </c>
      <c r="AC65" s="20">
        <v>43950</v>
      </c>
      <c r="AD65" s="20">
        <v>43957</v>
      </c>
      <c r="AE65" s="20">
        <v>43956</v>
      </c>
      <c r="AF65" s="20">
        <v>43956</v>
      </c>
      <c r="AG65" s="20" t="s">
        <v>336</v>
      </c>
      <c r="AH65" s="32">
        <v>1</v>
      </c>
      <c r="AI65" s="32">
        <v>1</v>
      </c>
      <c r="AJ65" s="32">
        <v>1</v>
      </c>
      <c r="AK65" s="20" t="s">
        <v>165</v>
      </c>
      <c r="AL65" s="16"/>
      <c r="AM65" s="16"/>
      <c r="AN65" s="16"/>
    </row>
    <row r="66" spans="1:40" hidden="1" x14ac:dyDescent="0.25">
      <c r="B66" s="85">
        <f t="shared" si="16"/>
        <v>19</v>
      </c>
      <c r="C66" s="17">
        <v>20200429</v>
      </c>
      <c r="D66" s="16" t="s">
        <v>3</v>
      </c>
      <c r="E66" s="16" t="s">
        <v>340</v>
      </c>
      <c r="F66" s="81" t="s">
        <v>469</v>
      </c>
      <c r="G66" s="18">
        <v>1416489</v>
      </c>
      <c r="H66" s="58" t="s">
        <v>61</v>
      </c>
      <c r="I66" s="16" t="s">
        <v>352</v>
      </c>
      <c r="J66" s="58" t="s">
        <v>61</v>
      </c>
      <c r="K66" s="16" t="s">
        <v>161</v>
      </c>
      <c r="L66" s="16" t="s">
        <v>347</v>
      </c>
      <c r="M66" s="16" t="s">
        <v>342</v>
      </c>
      <c r="N66" s="16" t="s">
        <v>349</v>
      </c>
      <c r="O66" s="18" t="s">
        <v>61</v>
      </c>
      <c r="P66" s="18" t="s">
        <v>344</v>
      </c>
      <c r="Q66" s="19"/>
      <c r="R66" s="58" t="s">
        <v>61</v>
      </c>
      <c r="S66" s="16" t="s">
        <v>157</v>
      </c>
      <c r="T66" s="16"/>
      <c r="U66" s="16"/>
      <c r="V66" s="16">
        <v>332</v>
      </c>
      <c r="W66" s="99">
        <v>636</v>
      </c>
      <c r="X66" s="16">
        <f t="shared" si="18"/>
        <v>636</v>
      </c>
      <c r="Y66" s="16">
        <f>ROUNDDOWN(W66/HLOOKUP(D66,Table!$C$3:$D$4,2,0)*8,2)</f>
        <v>11.3</v>
      </c>
      <c r="Z66" s="94">
        <v>2</v>
      </c>
      <c r="AA66" s="93" t="s">
        <v>21</v>
      </c>
      <c r="AB66" s="20">
        <v>43957</v>
      </c>
      <c r="AC66" s="20">
        <v>43950</v>
      </c>
      <c r="AD66" s="20">
        <v>43957</v>
      </c>
      <c r="AE66" s="104">
        <v>43956</v>
      </c>
      <c r="AF66" s="104">
        <v>43956</v>
      </c>
      <c r="AG66" s="104" t="s">
        <v>336</v>
      </c>
      <c r="AH66" s="105">
        <v>1</v>
      </c>
      <c r="AI66" s="105">
        <v>1</v>
      </c>
      <c r="AJ66" s="105">
        <v>1</v>
      </c>
      <c r="AK66" s="104" t="s">
        <v>165</v>
      </c>
      <c r="AM66" s="16"/>
      <c r="AN66" s="16" t="s">
        <v>487</v>
      </c>
    </row>
    <row r="67" spans="1:40" hidden="1" x14ac:dyDescent="0.25">
      <c r="B67" s="85">
        <f t="shared" si="16"/>
        <v>20</v>
      </c>
      <c r="C67" s="17">
        <v>20200429</v>
      </c>
      <c r="D67" s="16" t="s">
        <v>3</v>
      </c>
      <c r="E67" s="16" t="s">
        <v>322</v>
      </c>
      <c r="F67" s="81" t="s">
        <v>470</v>
      </c>
      <c r="G67" s="18">
        <v>1442021</v>
      </c>
      <c r="H67" s="58" t="s">
        <v>61</v>
      </c>
      <c r="I67" s="16" t="s">
        <v>353</v>
      </c>
      <c r="J67" s="58" t="s">
        <v>61</v>
      </c>
      <c r="K67" s="16" t="s">
        <v>161</v>
      </c>
      <c r="L67" s="16" t="s">
        <v>165</v>
      </c>
      <c r="M67" s="16" t="s">
        <v>170</v>
      </c>
      <c r="N67" s="16" t="s">
        <v>175</v>
      </c>
      <c r="O67" s="18" t="s">
        <v>61</v>
      </c>
      <c r="P67" s="18" t="s">
        <v>345</v>
      </c>
      <c r="Q67" s="19"/>
      <c r="R67" s="58" t="s">
        <v>61</v>
      </c>
      <c r="S67" s="16" t="s">
        <v>157</v>
      </c>
      <c r="T67" s="16"/>
      <c r="U67" s="16"/>
      <c r="V67" s="16">
        <v>163</v>
      </c>
      <c r="W67" s="16">
        <f t="shared" si="14"/>
        <v>163</v>
      </c>
      <c r="X67" s="16">
        <f t="shared" si="18"/>
        <v>163</v>
      </c>
      <c r="Y67" s="16">
        <f>ROUNDDOWN(W67/HLOOKUP(D67,Table!$C$3:$D$4,2,0)*8,2)</f>
        <v>2.89</v>
      </c>
      <c r="Z67" s="16">
        <v>2</v>
      </c>
      <c r="AA67" s="16" t="s">
        <v>93</v>
      </c>
      <c r="AB67" s="20">
        <v>43957</v>
      </c>
      <c r="AC67" s="20">
        <v>43950</v>
      </c>
      <c r="AD67" s="20">
        <v>43957</v>
      </c>
      <c r="AE67" s="20">
        <v>43956</v>
      </c>
      <c r="AF67" s="20">
        <v>43956</v>
      </c>
      <c r="AG67" s="20" t="s">
        <v>337</v>
      </c>
      <c r="AH67" s="32">
        <v>1</v>
      </c>
      <c r="AI67" s="32">
        <v>0.91</v>
      </c>
      <c r="AJ67" s="32">
        <v>0.66</v>
      </c>
      <c r="AK67" s="20" t="s">
        <v>165</v>
      </c>
      <c r="AL67" s="16" t="s">
        <v>593</v>
      </c>
      <c r="AM67" s="16"/>
      <c r="AN67" s="93" t="s">
        <v>589</v>
      </c>
    </row>
    <row r="68" spans="1:40" hidden="1" x14ac:dyDescent="0.25">
      <c r="B68" s="46">
        <f t="shared" si="16"/>
        <v>21</v>
      </c>
      <c r="C68" s="17">
        <v>20200429</v>
      </c>
      <c r="D68" s="16" t="s">
        <v>2</v>
      </c>
      <c r="E68" s="16" t="s">
        <v>355</v>
      </c>
      <c r="F68" s="116" t="s">
        <v>61</v>
      </c>
      <c r="G68" s="18">
        <v>1445483</v>
      </c>
      <c r="H68" s="58" t="s">
        <v>61</v>
      </c>
      <c r="I68" s="16" t="s">
        <v>358</v>
      </c>
      <c r="J68" s="58" t="s">
        <v>61</v>
      </c>
      <c r="K68" s="16" t="s">
        <v>354</v>
      </c>
      <c r="L68" s="16" t="s">
        <v>165</v>
      </c>
      <c r="M68" s="16" t="s">
        <v>165</v>
      </c>
      <c r="N68" s="16" t="s">
        <v>367</v>
      </c>
      <c r="O68" s="18" t="s">
        <v>366</v>
      </c>
      <c r="P68" s="18" t="s">
        <v>368</v>
      </c>
      <c r="Q68" s="19"/>
      <c r="R68" s="58" t="s">
        <v>61</v>
      </c>
      <c r="S68" s="16" t="s">
        <v>68</v>
      </c>
      <c r="T68" s="16"/>
      <c r="U68" s="16"/>
      <c r="V68" s="16">
        <f>42*2</f>
        <v>84</v>
      </c>
      <c r="W68" s="16">
        <f t="shared" si="14"/>
        <v>84</v>
      </c>
      <c r="X68" s="16">
        <f t="shared" si="18"/>
        <v>84</v>
      </c>
      <c r="Y68" s="16">
        <f>ROUNDDOWN(W68/HLOOKUP(D68,Table!$C$3:$D$4,2,0)*8,2)</f>
        <v>5.16</v>
      </c>
      <c r="Z68" s="16">
        <v>4</v>
      </c>
      <c r="AA68" s="16" t="s">
        <v>21</v>
      </c>
      <c r="AB68" s="20">
        <v>43958</v>
      </c>
      <c r="AC68" s="20">
        <v>43955</v>
      </c>
      <c r="AD68" s="20">
        <v>43959</v>
      </c>
      <c r="AE68" s="20">
        <v>43957</v>
      </c>
      <c r="AF68" s="20">
        <v>43957</v>
      </c>
      <c r="AG68" s="20" t="s">
        <v>337</v>
      </c>
      <c r="AH68" s="32">
        <v>0.93799999999999994</v>
      </c>
      <c r="AI68" s="32">
        <v>0.94699999999999995</v>
      </c>
      <c r="AJ68" s="32">
        <v>1</v>
      </c>
      <c r="AK68" s="20" t="s">
        <v>165</v>
      </c>
      <c r="AL68" s="18" t="s">
        <v>445</v>
      </c>
      <c r="AM68" s="16"/>
      <c r="AN68" s="16"/>
    </row>
    <row r="69" spans="1:40" hidden="1" x14ac:dyDescent="0.25">
      <c r="B69" s="46">
        <f t="shared" si="16"/>
        <v>22</v>
      </c>
      <c r="C69" s="17">
        <v>20200429</v>
      </c>
      <c r="D69" s="16" t="s">
        <v>3</v>
      </c>
      <c r="E69" s="16" t="s">
        <v>356</v>
      </c>
      <c r="F69" s="81" t="s">
        <v>471</v>
      </c>
      <c r="G69" s="18">
        <v>1373116</v>
      </c>
      <c r="H69" s="58" t="s">
        <v>61</v>
      </c>
      <c r="I69" s="16" t="s">
        <v>359</v>
      </c>
      <c r="J69" s="58" t="s">
        <v>61</v>
      </c>
      <c r="K69" s="16" t="s">
        <v>354</v>
      </c>
      <c r="L69" s="16" t="s">
        <v>165</v>
      </c>
      <c r="M69" s="16" t="s">
        <v>165</v>
      </c>
      <c r="N69" s="16" t="s">
        <v>420</v>
      </c>
      <c r="O69" s="18" t="s">
        <v>61</v>
      </c>
      <c r="P69" s="18" t="s">
        <v>369</v>
      </c>
      <c r="Q69" s="19"/>
      <c r="R69" s="58" t="s">
        <v>61</v>
      </c>
      <c r="S69" s="16" t="s">
        <v>67</v>
      </c>
      <c r="T69" s="16"/>
      <c r="U69" s="16"/>
      <c r="V69" s="16">
        <f>632*2</f>
        <v>1264</v>
      </c>
      <c r="W69" s="16">
        <f t="shared" si="14"/>
        <v>1264</v>
      </c>
      <c r="X69" s="16">
        <f t="shared" si="18"/>
        <v>1264</v>
      </c>
      <c r="Y69" s="16">
        <f>ROUNDDOWN(W69/HLOOKUP(D69,Table!$C$3:$D$4,2,0)*8,2)</f>
        <v>22.47</v>
      </c>
      <c r="Z69" s="16">
        <v>8</v>
      </c>
      <c r="AA69" s="16" t="s">
        <v>21</v>
      </c>
      <c r="AB69" s="20">
        <v>43958</v>
      </c>
      <c r="AC69" s="20">
        <v>43955</v>
      </c>
      <c r="AD69" s="20">
        <v>43959</v>
      </c>
      <c r="AE69" s="20">
        <v>43955</v>
      </c>
      <c r="AF69" s="20">
        <v>43955</v>
      </c>
      <c r="AG69" s="20" t="s">
        <v>336</v>
      </c>
      <c r="AH69" s="32">
        <v>1</v>
      </c>
      <c r="AI69" s="32">
        <v>1</v>
      </c>
      <c r="AJ69" s="32">
        <v>1</v>
      </c>
      <c r="AK69" s="20" t="s">
        <v>165</v>
      </c>
      <c r="AL69" s="16" t="s">
        <v>61</v>
      </c>
      <c r="AM69" s="16" t="s">
        <v>61</v>
      </c>
      <c r="AN69" s="16" t="s">
        <v>61</v>
      </c>
    </row>
    <row r="70" spans="1:40" hidden="1" x14ac:dyDescent="0.25">
      <c r="B70" s="46">
        <f t="shared" si="16"/>
        <v>23</v>
      </c>
      <c r="C70" s="17">
        <v>20200429</v>
      </c>
      <c r="D70" s="16" t="s">
        <v>3</v>
      </c>
      <c r="E70" s="16" t="s">
        <v>356</v>
      </c>
      <c r="F70" s="81" t="s">
        <v>471</v>
      </c>
      <c r="G70" s="18">
        <v>1373116</v>
      </c>
      <c r="H70" s="58" t="s">
        <v>61</v>
      </c>
      <c r="I70" s="16" t="s">
        <v>648</v>
      </c>
      <c r="J70" s="58" t="s">
        <v>61</v>
      </c>
      <c r="K70" s="16" t="s">
        <v>354</v>
      </c>
      <c r="L70" s="16" t="s">
        <v>165</v>
      </c>
      <c r="M70" s="16" t="s">
        <v>165</v>
      </c>
      <c r="N70" s="16" t="s">
        <v>420</v>
      </c>
      <c r="O70" s="18" t="s">
        <v>61</v>
      </c>
      <c r="P70" s="18" t="s">
        <v>369</v>
      </c>
      <c r="Q70" s="19"/>
      <c r="R70" s="58" t="s">
        <v>61</v>
      </c>
      <c r="S70" s="16" t="s">
        <v>70</v>
      </c>
      <c r="T70" s="16"/>
      <c r="U70" s="16"/>
      <c r="V70" s="16">
        <f>162*2</f>
        <v>324</v>
      </c>
      <c r="W70" s="16">
        <f t="shared" si="14"/>
        <v>324</v>
      </c>
      <c r="X70" s="16">
        <f t="shared" si="18"/>
        <v>324</v>
      </c>
      <c r="Y70" s="16">
        <f>ROUNDDOWN(W70/HLOOKUP(D70,Table!$C$3:$D$4,2,0)*8,2)</f>
        <v>5.76</v>
      </c>
      <c r="Z70" s="16">
        <v>3</v>
      </c>
      <c r="AA70" s="16" t="s">
        <v>21</v>
      </c>
      <c r="AB70" s="20">
        <v>43958</v>
      </c>
      <c r="AC70" s="20">
        <v>43955</v>
      </c>
      <c r="AD70" s="20">
        <v>43959</v>
      </c>
      <c r="AE70" s="20">
        <v>43955</v>
      </c>
      <c r="AF70" s="20">
        <v>43955</v>
      </c>
      <c r="AG70" s="20" t="s">
        <v>336</v>
      </c>
      <c r="AH70" s="32">
        <v>1</v>
      </c>
      <c r="AI70" s="32">
        <v>1</v>
      </c>
      <c r="AJ70" s="32">
        <v>1</v>
      </c>
      <c r="AK70" s="20" t="s">
        <v>165</v>
      </c>
      <c r="AL70" s="16" t="s">
        <v>61</v>
      </c>
      <c r="AM70" s="16" t="s">
        <v>61</v>
      </c>
      <c r="AN70" s="16" t="s">
        <v>61</v>
      </c>
    </row>
    <row r="71" spans="1:40" ht="30" hidden="1" x14ac:dyDescent="0.25">
      <c r="B71" s="46">
        <f t="shared" si="16"/>
        <v>24</v>
      </c>
      <c r="C71" s="17">
        <v>20200429</v>
      </c>
      <c r="D71" s="16" t="s">
        <v>2</v>
      </c>
      <c r="E71" s="16" t="s">
        <v>357</v>
      </c>
      <c r="F71" s="116" t="s">
        <v>61</v>
      </c>
      <c r="G71" s="18">
        <v>1352203</v>
      </c>
      <c r="H71" s="58" t="s">
        <v>61</v>
      </c>
      <c r="I71" s="16" t="s">
        <v>360</v>
      </c>
      <c r="J71" s="58" t="s">
        <v>61</v>
      </c>
      <c r="K71" s="16" t="s">
        <v>354</v>
      </c>
      <c r="L71" s="16" t="s">
        <v>165</v>
      </c>
      <c r="M71" s="16" t="s">
        <v>165</v>
      </c>
      <c r="N71" s="16">
        <v>1352203</v>
      </c>
      <c r="O71" s="18" t="s">
        <v>366</v>
      </c>
      <c r="P71" s="18" t="s">
        <v>370</v>
      </c>
      <c r="Q71" s="19"/>
      <c r="R71" s="58" t="s">
        <v>61</v>
      </c>
      <c r="S71" s="16" t="s">
        <v>69</v>
      </c>
      <c r="T71" s="16"/>
      <c r="U71" s="16"/>
      <c r="V71" s="16">
        <f>18*2</f>
        <v>36</v>
      </c>
      <c r="W71" s="16">
        <f t="shared" si="14"/>
        <v>36</v>
      </c>
      <c r="X71" s="16">
        <f t="shared" si="18"/>
        <v>36</v>
      </c>
      <c r="Y71" s="16">
        <f>ROUNDDOWN(W71/HLOOKUP(D71,Table!$C$3:$D$4,2,0)*8,2)</f>
        <v>2.21</v>
      </c>
      <c r="Z71" s="16">
        <v>1</v>
      </c>
      <c r="AA71" s="16" t="s">
        <v>21</v>
      </c>
      <c r="AB71" s="20">
        <v>43958</v>
      </c>
      <c r="AC71" s="20">
        <v>43955</v>
      </c>
      <c r="AD71" s="20">
        <v>43959</v>
      </c>
      <c r="AE71" s="20">
        <v>43955</v>
      </c>
      <c r="AF71" s="20">
        <v>43955</v>
      </c>
      <c r="AG71" s="20" t="s">
        <v>337</v>
      </c>
      <c r="AH71" s="32">
        <v>1</v>
      </c>
      <c r="AI71" s="32">
        <v>1</v>
      </c>
      <c r="AJ71" s="32">
        <v>0.83299999999999996</v>
      </c>
      <c r="AK71" s="20" t="s">
        <v>149</v>
      </c>
      <c r="AL71" s="16" t="s">
        <v>409</v>
      </c>
      <c r="AM71" s="16"/>
      <c r="AN71" s="127" t="s">
        <v>641</v>
      </c>
    </row>
    <row r="72" spans="1:40" hidden="1" x14ac:dyDescent="0.25">
      <c r="B72" s="46">
        <f t="shared" si="16"/>
        <v>25</v>
      </c>
      <c r="C72" s="17">
        <v>20200429</v>
      </c>
      <c r="D72" s="16" t="s">
        <v>2</v>
      </c>
      <c r="E72" s="16" t="s">
        <v>357</v>
      </c>
      <c r="F72" s="116" t="s">
        <v>61</v>
      </c>
      <c r="G72" s="18">
        <v>1352203</v>
      </c>
      <c r="H72" s="58" t="s">
        <v>61</v>
      </c>
      <c r="I72" s="16" t="s">
        <v>361</v>
      </c>
      <c r="J72" s="58" t="s">
        <v>61</v>
      </c>
      <c r="K72" s="16" t="s">
        <v>354</v>
      </c>
      <c r="L72" s="16" t="s">
        <v>165</v>
      </c>
      <c r="M72" s="16" t="s">
        <v>165</v>
      </c>
      <c r="N72" s="16">
        <v>1352203</v>
      </c>
      <c r="O72" s="18" t="s">
        <v>363</v>
      </c>
      <c r="P72" s="18" t="s">
        <v>370</v>
      </c>
      <c r="Q72" s="19"/>
      <c r="R72" s="58" t="s">
        <v>61</v>
      </c>
      <c r="S72" s="16" t="s">
        <v>69</v>
      </c>
      <c r="T72" s="16"/>
      <c r="U72" s="16"/>
      <c r="V72" s="16">
        <f>58*2</f>
        <v>116</v>
      </c>
      <c r="W72" s="16">
        <f t="shared" si="14"/>
        <v>116</v>
      </c>
      <c r="X72" s="16">
        <f>W72</f>
        <v>116</v>
      </c>
      <c r="Y72" s="16">
        <f>ROUNDDOWN(W72/HLOOKUP(D72,Table!$C$3:$D$4,2,0)*8,2)</f>
        <v>7.13</v>
      </c>
      <c r="Z72" s="16">
        <v>8</v>
      </c>
      <c r="AA72" s="16" t="s">
        <v>21</v>
      </c>
      <c r="AB72" s="20">
        <v>43958</v>
      </c>
      <c r="AC72" s="20">
        <v>43955</v>
      </c>
      <c r="AD72" s="20">
        <v>43959</v>
      </c>
      <c r="AE72" s="20">
        <v>43957</v>
      </c>
      <c r="AF72" s="20">
        <v>43957</v>
      </c>
      <c r="AG72" s="20" t="s">
        <v>336</v>
      </c>
      <c r="AH72" s="32">
        <v>1</v>
      </c>
      <c r="AI72" s="32">
        <v>1</v>
      </c>
      <c r="AJ72" s="32">
        <v>1</v>
      </c>
      <c r="AK72" s="20" t="s">
        <v>165</v>
      </c>
      <c r="AL72" s="16"/>
      <c r="AM72" s="16"/>
      <c r="AN72" s="128" t="s">
        <v>642</v>
      </c>
    </row>
    <row r="73" spans="1:40" ht="18" hidden="1" customHeight="1" x14ac:dyDescent="0.25">
      <c r="B73" s="46">
        <f t="shared" si="16"/>
        <v>26</v>
      </c>
      <c r="C73" s="17">
        <v>20200429</v>
      </c>
      <c r="D73" s="16" t="s">
        <v>2</v>
      </c>
      <c r="E73" s="16" t="s">
        <v>357</v>
      </c>
      <c r="F73" s="116" t="s">
        <v>61</v>
      </c>
      <c r="G73" s="18">
        <v>1352203</v>
      </c>
      <c r="H73" s="58" t="s">
        <v>61</v>
      </c>
      <c r="I73" s="16" t="s">
        <v>362</v>
      </c>
      <c r="J73" s="58" t="s">
        <v>61</v>
      </c>
      <c r="K73" s="16" t="s">
        <v>354</v>
      </c>
      <c r="L73" s="16" t="s">
        <v>165</v>
      </c>
      <c r="M73" s="16" t="s">
        <v>165</v>
      </c>
      <c r="N73" s="16">
        <v>1352203</v>
      </c>
      <c r="O73" s="18" t="s">
        <v>364</v>
      </c>
      <c r="P73" s="18" t="s">
        <v>370</v>
      </c>
      <c r="Q73" s="19"/>
      <c r="R73" s="58" t="s">
        <v>61</v>
      </c>
      <c r="S73" s="16" t="s">
        <v>68</v>
      </c>
      <c r="T73" s="16"/>
      <c r="U73" s="16"/>
      <c r="V73" s="111">
        <v>28</v>
      </c>
      <c r="W73" s="19">
        <f>41*2</f>
        <v>82</v>
      </c>
      <c r="X73" s="16">
        <f>W73</f>
        <v>82</v>
      </c>
      <c r="Y73" s="16">
        <f>ROUNDDOWN(W73/HLOOKUP(D73,Table!$C$3:$D$4,2,0)*8,2)</f>
        <v>5.04</v>
      </c>
      <c r="Z73" s="16">
        <v>4</v>
      </c>
      <c r="AA73" s="16" t="s">
        <v>21</v>
      </c>
      <c r="AB73" s="20">
        <v>43958</v>
      </c>
      <c r="AC73" s="20">
        <v>43955</v>
      </c>
      <c r="AD73" s="20">
        <v>43959</v>
      </c>
      <c r="AE73" s="20">
        <v>43957</v>
      </c>
      <c r="AF73" s="20">
        <v>43957</v>
      </c>
      <c r="AG73" s="20" t="s">
        <v>337</v>
      </c>
      <c r="AH73" s="32">
        <v>1</v>
      </c>
      <c r="AI73" s="32">
        <v>1</v>
      </c>
      <c r="AJ73" s="32">
        <v>0.77800000000000002</v>
      </c>
      <c r="AK73" s="20" t="s">
        <v>149</v>
      </c>
      <c r="AL73" s="117" t="s">
        <v>639</v>
      </c>
      <c r="AM73" s="16"/>
      <c r="AN73" s="16"/>
    </row>
    <row r="74" spans="1:40" hidden="1" x14ac:dyDescent="0.25">
      <c r="B74" s="46">
        <f t="shared" si="16"/>
        <v>27</v>
      </c>
      <c r="C74" s="17">
        <v>20200429</v>
      </c>
      <c r="D74" s="16" t="s">
        <v>2</v>
      </c>
      <c r="E74" s="16" t="s">
        <v>357</v>
      </c>
      <c r="F74" s="116" t="s">
        <v>61</v>
      </c>
      <c r="G74" s="18">
        <v>1352203</v>
      </c>
      <c r="H74" s="58" t="s">
        <v>61</v>
      </c>
      <c r="I74" s="16" t="s">
        <v>443</v>
      </c>
      <c r="J74" s="58" t="s">
        <v>61</v>
      </c>
      <c r="K74" s="16" t="s">
        <v>354</v>
      </c>
      <c r="L74" s="16" t="s">
        <v>165</v>
      </c>
      <c r="M74" s="16" t="s">
        <v>165</v>
      </c>
      <c r="N74" s="16">
        <v>1352203</v>
      </c>
      <c r="O74" s="18" t="s">
        <v>365</v>
      </c>
      <c r="P74" s="18" t="s">
        <v>370</v>
      </c>
      <c r="Q74" s="19"/>
      <c r="R74" s="58" t="s">
        <v>61</v>
      </c>
      <c r="S74" s="16" t="s">
        <v>67</v>
      </c>
      <c r="T74" s="16"/>
      <c r="U74" s="16"/>
      <c r="V74" s="16">
        <f>4*2</f>
        <v>8</v>
      </c>
      <c r="W74" s="16">
        <f t="shared" si="14"/>
        <v>8</v>
      </c>
      <c r="X74" s="16">
        <v>8</v>
      </c>
      <c r="Y74" s="16">
        <f>ROUNDDOWN(W74/HLOOKUP(D74,Table!$C$3:$D$4,2,0)*8,2)</f>
        <v>0.49</v>
      </c>
      <c r="Z74" s="16">
        <v>0.5</v>
      </c>
      <c r="AA74" s="16" t="s">
        <v>21</v>
      </c>
      <c r="AB74" s="20">
        <v>43958</v>
      </c>
      <c r="AC74" s="20">
        <v>43955</v>
      </c>
      <c r="AD74" s="20">
        <v>43959</v>
      </c>
      <c r="AE74" s="20">
        <v>43957</v>
      </c>
      <c r="AF74" s="20">
        <v>43957</v>
      </c>
      <c r="AG74" s="20" t="s">
        <v>336</v>
      </c>
      <c r="AH74" s="32">
        <v>1</v>
      </c>
      <c r="AI74" s="32">
        <v>1</v>
      </c>
      <c r="AJ74" s="32">
        <v>1</v>
      </c>
      <c r="AK74" s="20" t="s">
        <v>165</v>
      </c>
      <c r="AL74" s="16" t="s">
        <v>61</v>
      </c>
      <c r="AM74" s="16" t="s">
        <v>61</v>
      </c>
      <c r="AN74" s="16" t="s">
        <v>61</v>
      </c>
    </row>
    <row r="75" spans="1:40" hidden="1" x14ac:dyDescent="0.25">
      <c r="B75" s="86">
        <f t="shared" si="16"/>
        <v>28</v>
      </c>
      <c r="C75" s="17">
        <v>20200429</v>
      </c>
      <c r="D75" s="16" t="s">
        <v>3</v>
      </c>
      <c r="E75" s="16" t="s">
        <v>371</v>
      </c>
      <c r="F75" s="81" t="s">
        <v>472</v>
      </c>
      <c r="G75" s="121">
        <v>1411876</v>
      </c>
      <c r="H75" s="119" t="s">
        <v>61</v>
      </c>
      <c r="I75" s="120" t="s">
        <v>372</v>
      </c>
      <c r="J75" s="119" t="s">
        <v>61</v>
      </c>
      <c r="K75" s="120" t="s">
        <v>161</v>
      </c>
      <c r="L75" s="120" t="s">
        <v>165</v>
      </c>
      <c r="M75" s="120" t="s">
        <v>165</v>
      </c>
      <c r="N75" s="120" t="s">
        <v>421</v>
      </c>
      <c r="O75" s="121" t="s">
        <v>61</v>
      </c>
      <c r="P75" s="121" t="s">
        <v>404</v>
      </c>
      <c r="Q75" s="122"/>
      <c r="R75" s="119" t="s">
        <v>61</v>
      </c>
      <c r="S75" s="120" t="s">
        <v>68</v>
      </c>
      <c r="T75" s="120"/>
      <c r="U75" s="120"/>
      <c r="V75" s="120">
        <v>92</v>
      </c>
      <c r="W75" s="16">
        <f t="shared" si="14"/>
        <v>92</v>
      </c>
      <c r="X75" s="16">
        <f>W75</f>
        <v>92</v>
      </c>
      <c r="Y75" s="16">
        <f>ROUNDDOWN(W75/HLOOKUP(D75,Table!$C$3:$D$4,2,0)*8,2)</f>
        <v>1.63</v>
      </c>
      <c r="Z75" s="16">
        <v>1</v>
      </c>
      <c r="AA75" s="16" t="s">
        <v>18</v>
      </c>
      <c r="AB75" s="20"/>
      <c r="AC75" s="20">
        <v>43955</v>
      </c>
      <c r="AD75" s="20">
        <v>43966</v>
      </c>
      <c r="AE75" s="20">
        <v>43959</v>
      </c>
      <c r="AF75" s="20">
        <v>43959</v>
      </c>
      <c r="AG75" s="20" t="s">
        <v>336</v>
      </c>
      <c r="AH75" s="32">
        <v>1</v>
      </c>
      <c r="AI75" s="32">
        <v>1</v>
      </c>
      <c r="AJ75" s="32">
        <v>1</v>
      </c>
      <c r="AK75" s="20" t="s">
        <v>165</v>
      </c>
      <c r="AL75" s="16" t="s">
        <v>61</v>
      </c>
      <c r="AM75" s="16" t="s">
        <v>61</v>
      </c>
      <c r="AN75" s="16" t="s">
        <v>61</v>
      </c>
    </row>
    <row r="76" spans="1:40" hidden="1" x14ac:dyDescent="0.25">
      <c r="B76" s="86">
        <f t="shared" si="16"/>
        <v>29</v>
      </c>
      <c r="C76" s="17">
        <v>20200429</v>
      </c>
      <c r="D76" s="16" t="s">
        <v>3</v>
      </c>
      <c r="E76" s="16" t="s">
        <v>371</v>
      </c>
      <c r="F76" s="81" t="s">
        <v>473</v>
      </c>
      <c r="G76" s="18">
        <v>1411876</v>
      </c>
      <c r="H76" s="58" t="s">
        <v>61</v>
      </c>
      <c r="I76" s="16" t="s">
        <v>373</v>
      </c>
      <c r="J76" s="58" t="s">
        <v>61</v>
      </c>
      <c r="K76" s="16" t="s">
        <v>161</v>
      </c>
      <c r="L76" s="16" t="s">
        <v>165</v>
      </c>
      <c r="M76" s="16" t="s">
        <v>165</v>
      </c>
      <c r="N76" s="16" t="s">
        <v>421</v>
      </c>
      <c r="O76" s="18" t="s">
        <v>61</v>
      </c>
      <c r="P76" s="18" t="s">
        <v>404</v>
      </c>
      <c r="Q76" s="19"/>
      <c r="R76" s="58" t="s">
        <v>61</v>
      </c>
      <c r="S76" s="16" t="s">
        <v>67</v>
      </c>
      <c r="T76" s="16"/>
      <c r="U76" s="16"/>
      <c r="V76" s="16">
        <v>99</v>
      </c>
      <c r="W76" s="16">
        <f t="shared" si="14"/>
        <v>99</v>
      </c>
      <c r="X76" s="16">
        <v>99</v>
      </c>
      <c r="Y76" s="16">
        <f>ROUNDDOWN(W76/HLOOKUP(D76,Table!$C$3:$D$4,2,0)*8,2)</f>
        <v>1.76</v>
      </c>
      <c r="Z76" s="16">
        <v>0.5</v>
      </c>
      <c r="AA76" s="16" t="s">
        <v>18</v>
      </c>
      <c r="AB76" s="20"/>
      <c r="AC76" s="20">
        <v>43955</v>
      </c>
      <c r="AD76" s="20">
        <v>43966</v>
      </c>
      <c r="AE76" s="20">
        <v>43956</v>
      </c>
      <c r="AF76" s="20">
        <v>43956</v>
      </c>
      <c r="AG76" s="16" t="s">
        <v>61</v>
      </c>
      <c r="AH76" s="16" t="s">
        <v>61</v>
      </c>
      <c r="AI76" s="16" t="s">
        <v>61</v>
      </c>
      <c r="AJ76" s="16" t="s">
        <v>61</v>
      </c>
      <c r="AK76" s="16" t="s">
        <v>61</v>
      </c>
      <c r="AL76" s="16" t="s">
        <v>61</v>
      </c>
      <c r="AM76" s="16" t="s">
        <v>61</v>
      </c>
      <c r="AN76" s="17" t="s">
        <v>419</v>
      </c>
    </row>
    <row r="77" spans="1:40" hidden="1" x14ac:dyDescent="0.25">
      <c r="B77" s="86">
        <f t="shared" si="16"/>
        <v>30</v>
      </c>
      <c r="C77" s="17">
        <v>20200429</v>
      </c>
      <c r="D77" s="16" t="s">
        <v>3</v>
      </c>
      <c r="E77" s="16" t="s">
        <v>371</v>
      </c>
      <c r="F77" s="81" t="s">
        <v>474</v>
      </c>
      <c r="G77" s="18">
        <v>1411876</v>
      </c>
      <c r="H77" s="58" t="s">
        <v>61</v>
      </c>
      <c r="I77" s="16" t="s">
        <v>374</v>
      </c>
      <c r="J77" s="58" t="s">
        <v>61</v>
      </c>
      <c r="K77" s="16" t="s">
        <v>161</v>
      </c>
      <c r="L77" s="16" t="s">
        <v>165</v>
      </c>
      <c r="M77" s="16" t="s">
        <v>165</v>
      </c>
      <c r="N77" s="16" t="s">
        <v>421</v>
      </c>
      <c r="O77" s="18" t="s">
        <v>61</v>
      </c>
      <c r="P77" s="18" t="s">
        <v>404</v>
      </c>
      <c r="Q77" s="19"/>
      <c r="R77" s="58" t="s">
        <v>61</v>
      </c>
      <c r="S77" s="16" t="s">
        <v>67</v>
      </c>
      <c r="T77" s="16"/>
      <c r="U77" s="16"/>
      <c r="V77" s="16">
        <v>1</v>
      </c>
      <c r="W77" s="99">
        <v>16</v>
      </c>
      <c r="X77" s="16">
        <v>16</v>
      </c>
      <c r="Y77" s="16">
        <f>ROUNDDOWN(W77/HLOOKUP(D77,Table!$C$3:$D$4,2,0)*8,2)</f>
        <v>0.28000000000000003</v>
      </c>
      <c r="Z77" s="16">
        <v>0.2</v>
      </c>
      <c r="AA77" s="16" t="s">
        <v>18</v>
      </c>
      <c r="AB77" s="20"/>
      <c r="AC77" s="20">
        <v>43955</v>
      </c>
      <c r="AD77" s="20">
        <v>43966</v>
      </c>
      <c r="AE77" s="20">
        <v>43956</v>
      </c>
      <c r="AF77" s="20">
        <v>43956</v>
      </c>
      <c r="AG77" s="20" t="s">
        <v>336</v>
      </c>
      <c r="AH77" s="32">
        <v>1</v>
      </c>
      <c r="AI77" s="32">
        <v>1</v>
      </c>
      <c r="AJ77" s="32">
        <v>1</v>
      </c>
      <c r="AK77" s="20" t="s">
        <v>165</v>
      </c>
      <c r="AL77" s="16" t="s">
        <v>61</v>
      </c>
      <c r="AM77" s="16" t="s">
        <v>61</v>
      </c>
      <c r="AN77" s="16" t="s">
        <v>61</v>
      </c>
    </row>
    <row r="78" spans="1:40" hidden="1" x14ac:dyDescent="0.25">
      <c r="B78" s="86">
        <f t="shared" si="16"/>
        <v>31</v>
      </c>
      <c r="C78" s="17">
        <v>20200429</v>
      </c>
      <c r="D78" s="16" t="s">
        <v>3</v>
      </c>
      <c r="E78" s="16" t="s">
        <v>371</v>
      </c>
      <c r="F78" s="81" t="s">
        <v>475</v>
      </c>
      <c r="G78" s="18">
        <v>1411876</v>
      </c>
      <c r="H78" s="58" t="s">
        <v>61</v>
      </c>
      <c r="I78" s="16" t="s">
        <v>375</v>
      </c>
      <c r="J78" s="58" t="s">
        <v>61</v>
      </c>
      <c r="K78" s="16" t="s">
        <v>161</v>
      </c>
      <c r="L78" s="16" t="s">
        <v>165</v>
      </c>
      <c r="M78" s="16" t="s">
        <v>165</v>
      </c>
      <c r="N78" s="16" t="s">
        <v>421</v>
      </c>
      <c r="O78" s="18" t="s">
        <v>61</v>
      </c>
      <c r="P78" s="18" t="s">
        <v>404</v>
      </c>
      <c r="Q78" s="19"/>
      <c r="R78" s="58" t="s">
        <v>61</v>
      </c>
      <c r="S78" s="16" t="s">
        <v>69</v>
      </c>
      <c r="T78" s="16"/>
      <c r="U78" s="16"/>
      <c r="V78" s="16">
        <v>108</v>
      </c>
      <c r="W78" s="16">
        <f t="shared" si="14"/>
        <v>108</v>
      </c>
      <c r="X78" s="16">
        <f t="shared" ref="X78:X86" si="19">W78</f>
        <v>108</v>
      </c>
      <c r="Y78" s="16">
        <f>ROUNDDOWN(W78/HLOOKUP(D78,Table!$C$3:$D$4,2,0)*8,2)</f>
        <v>1.92</v>
      </c>
      <c r="Z78" s="16">
        <v>1</v>
      </c>
      <c r="AA78" s="16" t="s">
        <v>18</v>
      </c>
      <c r="AB78" s="100"/>
      <c r="AC78" s="20">
        <v>43955</v>
      </c>
      <c r="AD78" s="20">
        <v>43966</v>
      </c>
      <c r="AE78" s="20">
        <v>43955</v>
      </c>
      <c r="AF78" s="20">
        <v>43955</v>
      </c>
      <c r="AG78" s="20" t="s">
        <v>337</v>
      </c>
      <c r="AH78" s="32">
        <v>0.36</v>
      </c>
      <c r="AI78" s="32">
        <v>0.31</v>
      </c>
      <c r="AJ78" s="32">
        <v>0.33</v>
      </c>
      <c r="AK78" s="20" t="s">
        <v>149</v>
      </c>
      <c r="AL78" s="16" t="s">
        <v>439</v>
      </c>
      <c r="AM78" s="16"/>
      <c r="AN78" s="16" t="s">
        <v>61</v>
      </c>
    </row>
    <row r="79" spans="1:40" hidden="1" x14ac:dyDescent="0.25">
      <c r="B79" s="86">
        <f t="shared" si="16"/>
        <v>32</v>
      </c>
      <c r="C79" s="17">
        <v>20200429</v>
      </c>
      <c r="D79" s="16" t="s">
        <v>3</v>
      </c>
      <c r="E79" s="16" t="s">
        <v>371</v>
      </c>
      <c r="F79" s="81" t="s">
        <v>476</v>
      </c>
      <c r="G79" s="18">
        <v>1411876</v>
      </c>
      <c r="H79" s="58" t="s">
        <v>61</v>
      </c>
      <c r="I79" s="16" t="s">
        <v>376</v>
      </c>
      <c r="J79" s="58" t="s">
        <v>61</v>
      </c>
      <c r="K79" s="16" t="s">
        <v>161</v>
      </c>
      <c r="L79" s="16" t="s">
        <v>165</v>
      </c>
      <c r="M79" s="16" t="s">
        <v>165</v>
      </c>
      <c r="N79" s="16" t="s">
        <v>421</v>
      </c>
      <c r="O79" s="18" t="s">
        <v>61</v>
      </c>
      <c r="P79" s="18" t="s">
        <v>404</v>
      </c>
      <c r="Q79" s="19"/>
      <c r="R79" s="58" t="s">
        <v>61</v>
      </c>
      <c r="S79" s="16" t="s">
        <v>70</v>
      </c>
      <c r="T79" s="16"/>
      <c r="U79" s="16"/>
      <c r="V79" s="16">
        <v>159</v>
      </c>
      <c r="W79" s="16">
        <f t="shared" si="14"/>
        <v>159</v>
      </c>
      <c r="X79" s="16">
        <f t="shared" si="19"/>
        <v>159</v>
      </c>
      <c r="Y79" s="16">
        <f>ROUNDDOWN(W79/HLOOKUP(D79,Table!$C$3:$D$4,2,0)*8,2)</f>
        <v>2.82</v>
      </c>
      <c r="Z79" s="16">
        <v>1</v>
      </c>
      <c r="AA79" s="16" t="s">
        <v>18</v>
      </c>
      <c r="AB79" s="20"/>
      <c r="AC79" s="20">
        <v>43955</v>
      </c>
      <c r="AD79" s="20">
        <v>43966</v>
      </c>
      <c r="AE79" s="20">
        <v>43956</v>
      </c>
      <c r="AF79" s="20">
        <v>43956</v>
      </c>
      <c r="AG79" s="20" t="s">
        <v>336</v>
      </c>
      <c r="AH79" s="32">
        <v>1</v>
      </c>
      <c r="AI79" s="32">
        <v>1</v>
      </c>
      <c r="AJ79" s="32">
        <v>1</v>
      </c>
      <c r="AK79" s="20" t="s">
        <v>165</v>
      </c>
      <c r="AL79" s="16" t="s">
        <v>61</v>
      </c>
      <c r="AM79" s="16" t="s">
        <v>61</v>
      </c>
      <c r="AN79" s="16" t="s">
        <v>61</v>
      </c>
    </row>
    <row r="80" spans="1:40" hidden="1" x14ac:dyDescent="0.25">
      <c r="B80" s="86">
        <f t="shared" si="16"/>
        <v>33</v>
      </c>
      <c r="C80" s="17">
        <v>20200429</v>
      </c>
      <c r="D80" s="16" t="s">
        <v>3</v>
      </c>
      <c r="E80" s="16" t="s">
        <v>371</v>
      </c>
      <c r="F80" s="81" t="s">
        <v>476</v>
      </c>
      <c r="G80" s="121">
        <v>1411876</v>
      </c>
      <c r="H80" s="119" t="s">
        <v>61</v>
      </c>
      <c r="I80" s="120" t="s">
        <v>377</v>
      </c>
      <c r="J80" s="119" t="s">
        <v>61</v>
      </c>
      <c r="K80" s="120" t="s">
        <v>161</v>
      </c>
      <c r="L80" s="120" t="s">
        <v>165</v>
      </c>
      <c r="M80" s="120" t="s">
        <v>165</v>
      </c>
      <c r="N80" s="120" t="s">
        <v>421</v>
      </c>
      <c r="O80" s="121" t="s">
        <v>61</v>
      </c>
      <c r="P80" s="121" t="s">
        <v>404</v>
      </c>
      <c r="Q80" s="122"/>
      <c r="R80" s="119" t="s">
        <v>61</v>
      </c>
      <c r="S80" s="120" t="s">
        <v>68</v>
      </c>
      <c r="T80" s="120"/>
      <c r="U80" s="120"/>
      <c r="V80" s="120">
        <v>51</v>
      </c>
      <c r="W80" s="16">
        <f t="shared" si="14"/>
        <v>51</v>
      </c>
      <c r="X80" s="16">
        <f t="shared" si="19"/>
        <v>51</v>
      </c>
      <c r="Y80" s="16">
        <f>ROUNDDOWN(W80/HLOOKUP(D80,Table!$C$3:$D$4,2,0)*8,2)</f>
        <v>0.9</v>
      </c>
      <c r="Z80" s="16">
        <v>1</v>
      </c>
      <c r="AA80" s="16" t="s">
        <v>18</v>
      </c>
      <c r="AB80" s="20"/>
      <c r="AC80" s="20">
        <v>43955</v>
      </c>
      <c r="AD80" s="20">
        <v>43966</v>
      </c>
      <c r="AE80" s="20">
        <v>43959</v>
      </c>
      <c r="AF80" s="20">
        <v>43959</v>
      </c>
      <c r="AG80" s="20" t="s">
        <v>336</v>
      </c>
      <c r="AH80" s="32">
        <v>1</v>
      </c>
      <c r="AI80" s="32">
        <v>1</v>
      </c>
      <c r="AJ80" s="32">
        <v>1</v>
      </c>
      <c r="AK80" s="20" t="s">
        <v>165</v>
      </c>
      <c r="AL80" s="16" t="s">
        <v>61</v>
      </c>
      <c r="AM80" s="16" t="s">
        <v>61</v>
      </c>
      <c r="AN80" s="16" t="s">
        <v>61</v>
      </c>
    </row>
    <row r="81" spans="2:40" hidden="1" x14ac:dyDescent="0.25">
      <c r="B81" s="86">
        <f t="shared" si="16"/>
        <v>34</v>
      </c>
      <c r="C81" s="17">
        <v>20200429</v>
      </c>
      <c r="D81" s="16" t="s">
        <v>3</v>
      </c>
      <c r="E81" s="16" t="s">
        <v>371</v>
      </c>
      <c r="F81" s="81" t="s">
        <v>476</v>
      </c>
      <c r="G81" s="18">
        <v>1411876</v>
      </c>
      <c r="H81" s="58" t="s">
        <v>61</v>
      </c>
      <c r="I81" s="16" t="s">
        <v>378</v>
      </c>
      <c r="J81" s="58" t="s">
        <v>61</v>
      </c>
      <c r="K81" s="16" t="s">
        <v>161</v>
      </c>
      <c r="L81" s="16" t="s">
        <v>165</v>
      </c>
      <c r="M81" s="16" t="s">
        <v>165</v>
      </c>
      <c r="N81" s="16" t="s">
        <v>421</v>
      </c>
      <c r="O81" s="18" t="s">
        <v>61</v>
      </c>
      <c r="P81" s="18" t="s">
        <v>404</v>
      </c>
      <c r="Q81" s="19"/>
      <c r="R81" s="58" t="s">
        <v>61</v>
      </c>
      <c r="S81" s="16" t="s">
        <v>70</v>
      </c>
      <c r="T81" s="16"/>
      <c r="U81" s="16"/>
      <c r="V81" s="16">
        <v>44</v>
      </c>
      <c r="W81" s="16">
        <f t="shared" si="14"/>
        <v>44</v>
      </c>
      <c r="X81" s="16">
        <f t="shared" si="19"/>
        <v>44</v>
      </c>
      <c r="Y81" s="16">
        <f>ROUNDDOWN(W81/HLOOKUP(D81,Table!$C$3:$D$4,2,0)*8,2)</f>
        <v>0.78</v>
      </c>
      <c r="Z81" s="16">
        <v>1</v>
      </c>
      <c r="AA81" s="16" t="s">
        <v>18</v>
      </c>
      <c r="AB81" s="20"/>
      <c r="AC81" s="20">
        <v>43955</v>
      </c>
      <c r="AD81" s="20">
        <v>43966</v>
      </c>
      <c r="AE81" s="20">
        <v>43955</v>
      </c>
      <c r="AF81" s="20">
        <v>43955</v>
      </c>
      <c r="AG81" s="20" t="s">
        <v>336</v>
      </c>
      <c r="AH81" s="32">
        <v>1</v>
      </c>
      <c r="AI81" s="32">
        <v>1</v>
      </c>
      <c r="AJ81" s="32">
        <v>1</v>
      </c>
      <c r="AK81" s="20" t="s">
        <v>165</v>
      </c>
      <c r="AL81" s="16" t="s">
        <v>61</v>
      </c>
      <c r="AM81" s="16" t="s">
        <v>61</v>
      </c>
      <c r="AN81" s="16" t="s">
        <v>61</v>
      </c>
    </row>
    <row r="82" spans="2:40" hidden="1" x14ac:dyDescent="0.25">
      <c r="B82" s="86">
        <f t="shared" si="16"/>
        <v>35</v>
      </c>
      <c r="C82" s="17">
        <v>20200429</v>
      </c>
      <c r="D82" s="16" t="s">
        <v>3</v>
      </c>
      <c r="E82" s="16" t="s">
        <v>371</v>
      </c>
      <c r="F82" s="81" t="s">
        <v>476</v>
      </c>
      <c r="G82" s="18">
        <v>1411876</v>
      </c>
      <c r="H82" s="58" t="s">
        <v>61</v>
      </c>
      <c r="I82" s="16" t="s">
        <v>379</v>
      </c>
      <c r="J82" s="58" t="s">
        <v>61</v>
      </c>
      <c r="K82" s="16" t="s">
        <v>161</v>
      </c>
      <c r="L82" s="16" t="s">
        <v>165</v>
      </c>
      <c r="M82" s="16" t="s">
        <v>165</v>
      </c>
      <c r="N82" s="16" t="s">
        <v>421</v>
      </c>
      <c r="O82" s="18" t="s">
        <v>61</v>
      </c>
      <c r="P82" s="18" t="s">
        <v>404</v>
      </c>
      <c r="Q82" s="19"/>
      <c r="R82" s="58" t="s">
        <v>61</v>
      </c>
      <c r="S82" s="16" t="s">
        <v>70</v>
      </c>
      <c r="T82" s="16"/>
      <c r="U82" s="16"/>
      <c r="V82" s="16">
        <v>119</v>
      </c>
      <c r="W82" s="16">
        <f t="shared" si="14"/>
        <v>119</v>
      </c>
      <c r="X82" s="16">
        <f t="shared" si="19"/>
        <v>119</v>
      </c>
      <c r="Y82" s="16">
        <f>ROUNDDOWN(W82/HLOOKUP(D82,Table!$C$3:$D$4,2,0)*8,2)</f>
        <v>2.11</v>
      </c>
      <c r="Z82" s="16">
        <v>2</v>
      </c>
      <c r="AA82" s="16" t="s">
        <v>18</v>
      </c>
      <c r="AB82" s="20"/>
      <c r="AC82" s="20">
        <v>43955</v>
      </c>
      <c r="AD82" s="20">
        <v>43966</v>
      </c>
      <c r="AE82" s="20">
        <v>43955</v>
      </c>
      <c r="AF82" s="20">
        <v>43955</v>
      </c>
      <c r="AG82" s="20" t="s">
        <v>337</v>
      </c>
      <c r="AH82" s="32">
        <v>1</v>
      </c>
      <c r="AI82" s="32">
        <v>0.96</v>
      </c>
      <c r="AJ82" s="32">
        <v>0.96</v>
      </c>
      <c r="AK82" s="20" t="s">
        <v>149</v>
      </c>
      <c r="AL82" s="18" t="s">
        <v>422</v>
      </c>
      <c r="AM82" s="16" t="s">
        <v>61</v>
      </c>
      <c r="AN82" s="16" t="s">
        <v>61</v>
      </c>
    </row>
    <row r="83" spans="2:40" hidden="1" x14ac:dyDescent="0.25">
      <c r="B83" s="86">
        <f t="shared" si="16"/>
        <v>36</v>
      </c>
      <c r="C83" s="17">
        <v>20200429</v>
      </c>
      <c r="D83" s="16" t="s">
        <v>3</v>
      </c>
      <c r="E83" s="16" t="s">
        <v>371</v>
      </c>
      <c r="F83" s="81" t="s">
        <v>476</v>
      </c>
      <c r="G83" s="18">
        <v>1411876</v>
      </c>
      <c r="H83" s="58" t="s">
        <v>61</v>
      </c>
      <c r="I83" s="16" t="s">
        <v>380</v>
      </c>
      <c r="J83" s="58" t="s">
        <v>61</v>
      </c>
      <c r="K83" s="16" t="s">
        <v>161</v>
      </c>
      <c r="L83" s="16" t="s">
        <v>165</v>
      </c>
      <c r="M83" s="16" t="s">
        <v>165</v>
      </c>
      <c r="N83" s="16" t="s">
        <v>421</v>
      </c>
      <c r="O83" s="18" t="s">
        <v>61</v>
      </c>
      <c r="P83" s="18" t="s">
        <v>404</v>
      </c>
      <c r="Q83" s="19"/>
      <c r="R83" s="58" t="s">
        <v>61</v>
      </c>
      <c r="S83" s="16" t="s">
        <v>69</v>
      </c>
      <c r="T83" s="16"/>
      <c r="U83" s="16"/>
      <c r="V83" s="16">
        <v>131</v>
      </c>
      <c r="W83" s="16">
        <f t="shared" si="14"/>
        <v>131</v>
      </c>
      <c r="X83" s="16">
        <f t="shared" si="19"/>
        <v>131</v>
      </c>
      <c r="Y83" s="16">
        <f>ROUNDDOWN(W83/HLOOKUP(D83,Table!$C$3:$D$4,2,0)*8,2)</f>
        <v>2.3199999999999998</v>
      </c>
      <c r="Z83" s="16">
        <v>1</v>
      </c>
      <c r="AA83" s="16" t="s">
        <v>18</v>
      </c>
      <c r="AB83" s="20"/>
      <c r="AC83" s="20">
        <v>43955</v>
      </c>
      <c r="AD83" s="20">
        <v>43966</v>
      </c>
      <c r="AE83" s="20">
        <v>43956</v>
      </c>
      <c r="AF83" s="20">
        <v>43956</v>
      </c>
      <c r="AG83" s="20" t="s">
        <v>336</v>
      </c>
      <c r="AH83" s="32">
        <v>1</v>
      </c>
      <c r="AI83" s="32">
        <v>1</v>
      </c>
      <c r="AJ83" s="32">
        <v>1</v>
      </c>
      <c r="AK83" s="20" t="s">
        <v>165</v>
      </c>
      <c r="AL83" s="16"/>
      <c r="AM83" s="16"/>
      <c r="AN83" s="16"/>
    </row>
    <row r="84" spans="2:40" hidden="1" x14ac:dyDescent="0.25">
      <c r="B84" s="86">
        <f t="shared" si="16"/>
        <v>37</v>
      </c>
      <c r="C84" s="17">
        <v>20200429</v>
      </c>
      <c r="D84" s="16" t="s">
        <v>3</v>
      </c>
      <c r="E84" s="16" t="s">
        <v>371</v>
      </c>
      <c r="F84" s="81" t="s">
        <v>476</v>
      </c>
      <c r="G84" s="18">
        <v>1411876</v>
      </c>
      <c r="H84" s="58" t="s">
        <v>61</v>
      </c>
      <c r="I84" s="16" t="s">
        <v>381</v>
      </c>
      <c r="J84" s="58" t="s">
        <v>61</v>
      </c>
      <c r="K84" s="16" t="s">
        <v>161</v>
      </c>
      <c r="L84" s="16" t="s">
        <v>165</v>
      </c>
      <c r="M84" s="16" t="s">
        <v>165</v>
      </c>
      <c r="N84" s="16" t="s">
        <v>421</v>
      </c>
      <c r="O84" s="18" t="s">
        <v>61</v>
      </c>
      <c r="P84" s="18" t="s">
        <v>404</v>
      </c>
      <c r="Q84" s="19"/>
      <c r="R84" s="58" t="s">
        <v>61</v>
      </c>
      <c r="S84" s="16" t="s">
        <v>70</v>
      </c>
      <c r="T84" s="16"/>
      <c r="U84" s="16"/>
      <c r="V84" s="16">
        <v>265</v>
      </c>
      <c r="W84" s="16">
        <f t="shared" si="14"/>
        <v>265</v>
      </c>
      <c r="X84" s="16">
        <f t="shared" si="19"/>
        <v>265</v>
      </c>
      <c r="Y84" s="16">
        <f>ROUNDDOWN(W84/HLOOKUP(D84,Table!$C$3:$D$4,2,0)*8,2)</f>
        <v>4.71</v>
      </c>
      <c r="Z84" s="16">
        <v>3</v>
      </c>
      <c r="AA84" s="16" t="s">
        <v>18</v>
      </c>
      <c r="AB84" s="20"/>
      <c r="AC84" s="20">
        <v>43955</v>
      </c>
      <c r="AD84" s="20">
        <v>43966</v>
      </c>
      <c r="AE84" s="20">
        <v>43955</v>
      </c>
      <c r="AF84" s="20">
        <v>43955</v>
      </c>
      <c r="AG84" s="20" t="s">
        <v>336</v>
      </c>
      <c r="AH84" s="32">
        <v>1</v>
      </c>
      <c r="AI84" s="32">
        <v>1</v>
      </c>
      <c r="AJ84" s="32">
        <v>1</v>
      </c>
      <c r="AK84" s="20" t="s">
        <v>165</v>
      </c>
      <c r="AL84" s="16" t="s">
        <v>61</v>
      </c>
      <c r="AM84" s="16" t="s">
        <v>61</v>
      </c>
      <c r="AN84" s="16" t="s">
        <v>61</v>
      </c>
    </row>
    <row r="85" spans="2:40" hidden="1" x14ac:dyDescent="0.25">
      <c r="B85" s="86">
        <f t="shared" si="16"/>
        <v>38</v>
      </c>
      <c r="C85" s="17">
        <v>20200429</v>
      </c>
      <c r="D85" s="16" t="s">
        <v>3</v>
      </c>
      <c r="E85" s="16" t="s">
        <v>371</v>
      </c>
      <c r="F85" s="81" t="s">
        <v>476</v>
      </c>
      <c r="G85" s="18">
        <v>1411876</v>
      </c>
      <c r="H85" s="58" t="s">
        <v>61</v>
      </c>
      <c r="I85" s="16" t="s">
        <v>382</v>
      </c>
      <c r="J85" s="58" t="s">
        <v>61</v>
      </c>
      <c r="K85" s="16" t="s">
        <v>161</v>
      </c>
      <c r="L85" s="16" t="s">
        <v>165</v>
      </c>
      <c r="M85" s="16" t="s">
        <v>165</v>
      </c>
      <c r="N85" s="16" t="s">
        <v>421</v>
      </c>
      <c r="O85" s="18" t="s">
        <v>61</v>
      </c>
      <c r="P85" s="18" t="s">
        <v>404</v>
      </c>
      <c r="Q85" s="19"/>
      <c r="R85" s="58" t="s">
        <v>61</v>
      </c>
      <c r="S85" s="16" t="s">
        <v>70</v>
      </c>
      <c r="T85" s="16"/>
      <c r="U85" s="16"/>
      <c r="V85" s="16">
        <v>368</v>
      </c>
      <c r="W85" s="16">
        <f t="shared" si="14"/>
        <v>368</v>
      </c>
      <c r="X85" s="16">
        <f t="shared" si="19"/>
        <v>368</v>
      </c>
      <c r="Y85" s="16">
        <f>ROUNDDOWN(W85/HLOOKUP(D85,Table!$C$3:$D$4,2,0)*8,2)</f>
        <v>6.54</v>
      </c>
      <c r="Z85" s="16">
        <v>6</v>
      </c>
      <c r="AA85" s="16" t="s">
        <v>18</v>
      </c>
      <c r="AB85" s="20"/>
      <c r="AC85" s="20">
        <v>43955</v>
      </c>
      <c r="AD85" s="20">
        <v>43966</v>
      </c>
      <c r="AE85" s="20">
        <v>43956</v>
      </c>
      <c r="AF85" s="20">
        <v>43956</v>
      </c>
      <c r="AG85" s="20" t="s">
        <v>337</v>
      </c>
      <c r="AH85" s="32">
        <v>1</v>
      </c>
      <c r="AI85" s="32">
        <v>0.99</v>
      </c>
      <c r="AJ85" s="32">
        <v>0.99</v>
      </c>
      <c r="AK85" s="20" t="s">
        <v>149</v>
      </c>
      <c r="AL85" s="18" t="s">
        <v>441</v>
      </c>
      <c r="AM85" s="16"/>
      <c r="AN85" s="16"/>
    </row>
    <row r="86" spans="2:40" hidden="1" x14ac:dyDescent="0.25">
      <c r="B86" s="86">
        <f t="shared" si="16"/>
        <v>39</v>
      </c>
      <c r="C86" s="17">
        <v>20200429</v>
      </c>
      <c r="D86" s="16" t="s">
        <v>3</v>
      </c>
      <c r="E86" s="16" t="s">
        <v>371</v>
      </c>
      <c r="F86" s="81" t="s">
        <v>476</v>
      </c>
      <c r="G86" s="18">
        <v>1411876</v>
      </c>
      <c r="H86" s="58" t="s">
        <v>61</v>
      </c>
      <c r="I86" s="16" t="s">
        <v>383</v>
      </c>
      <c r="J86" s="58" t="s">
        <v>61</v>
      </c>
      <c r="K86" s="16" t="s">
        <v>161</v>
      </c>
      <c r="L86" s="16" t="s">
        <v>165</v>
      </c>
      <c r="M86" s="16" t="s">
        <v>165</v>
      </c>
      <c r="N86" s="16" t="s">
        <v>421</v>
      </c>
      <c r="O86" s="18" t="s">
        <v>61</v>
      </c>
      <c r="P86" s="18" t="s">
        <v>404</v>
      </c>
      <c r="Q86" s="19"/>
      <c r="R86" s="58" t="s">
        <v>61</v>
      </c>
      <c r="S86" s="16" t="s">
        <v>67</v>
      </c>
      <c r="T86" s="16"/>
      <c r="U86" s="16"/>
      <c r="V86" s="16">
        <v>195</v>
      </c>
      <c r="W86" s="16">
        <f t="shared" si="14"/>
        <v>195</v>
      </c>
      <c r="X86" s="16">
        <f t="shared" si="19"/>
        <v>195</v>
      </c>
      <c r="Y86" s="16">
        <f>ROUNDDOWN(W86/HLOOKUP(D86,Table!$C$3:$D$4,2,0)*8,2)</f>
        <v>3.46</v>
      </c>
      <c r="Z86" s="16">
        <v>5</v>
      </c>
      <c r="AA86" s="16" t="s">
        <v>18</v>
      </c>
      <c r="AB86" s="20"/>
      <c r="AC86" s="20">
        <v>43955</v>
      </c>
      <c r="AD86" s="20">
        <v>43966</v>
      </c>
      <c r="AE86" s="20">
        <v>43959</v>
      </c>
      <c r="AF86" s="20">
        <v>43959</v>
      </c>
      <c r="AG86" s="20" t="s">
        <v>337</v>
      </c>
      <c r="AH86" s="32">
        <v>0.98</v>
      </c>
      <c r="AI86" s="32">
        <v>0.97</v>
      </c>
      <c r="AJ86" s="32">
        <v>1</v>
      </c>
      <c r="AK86" s="20" t="s">
        <v>149</v>
      </c>
      <c r="AL86" s="16" t="s">
        <v>623</v>
      </c>
      <c r="AM86" s="16" t="s">
        <v>61</v>
      </c>
      <c r="AN86" s="16" t="s">
        <v>61</v>
      </c>
    </row>
    <row r="87" spans="2:40" hidden="1" x14ac:dyDescent="0.25">
      <c r="B87" s="86">
        <f t="shared" si="16"/>
        <v>40</v>
      </c>
      <c r="C87" s="17">
        <v>20200429</v>
      </c>
      <c r="D87" s="16" t="s">
        <v>3</v>
      </c>
      <c r="E87" s="16" t="s">
        <v>371</v>
      </c>
      <c r="F87" s="81" t="s">
        <v>476</v>
      </c>
      <c r="G87" s="18">
        <v>1411876</v>
      </c>
      <c r="H87" s="58" t="s">
        <v>61</v>
      </c>
      <c r="I87" s="16" t="s">
        <v>384</v>
      </c>
      <c r="J87" s="58" t="s">
        <v>61</v>
      </c>
      <c r="K87" s="16" t="s">
        <v>161</v>
      </c>
      <c r="L87" s="16" t="s">
        <v>165</v>
      </c>
      <c r="M87" s="16" t="s">
        <v>165</v>
      </c>
      <c r="N87" s="16" t="s">
        <v>421</v>
      </c>
      <c r="O87" s="18" t="s">
        <v>61</v>
      </c>
      <c r="P87" s="18" t="s">
        <v>404</v>
      </c>
      <c r="Q87" s="19"/>
      <c r="R87" s="58" t="s">
        <v>61</v>
      </c>
      <c r="S87" s="16" t="s">
        <v>68</v>
      </c>
      <c r="T87" s="16"/>
      <c r="U87" s="16"/>
      <c r="V87" s="16">
        <v>351</v>
      </c>
      <c r="W87" s="16">
        <f t="shared" si="14"/>
        <v>351</v>
      </c>
      <c r="X87" s="16">
        <f t="shared" ref="X87:X93" si="20">W87</f>
        <v>351</v>
      </c>
      <c r="Y87" s="16">
        <f>ROUNDDOWN(W87/HLOOKUP(D87,Table!$C$3:$D$4,2,0)*8,2)</f>
        <v>6.24</v>
      </c>
      <c r="Z87" s="16">
        <v>6</v>
      </c>
      <c r="AA87" s="16" t="s">
        <v>18</v>
      </c>
      <c r="AB87" s="20"/>
      <c r="AC87" s="20">
        <v>43955</v>
      </c>
      <c r="AD87" s="20">
        <v>43966</v>
      </c>
      <c r="AE87" s="20">
        <v>43955</v>
      </c>
      <c r="AF87" s="20">
        <v>43955</v>
      </c>
      <c r="AG87" s="20" t="s">
        <v>336</v>
      </c>
      <c r="AH87" s="32">
        <v>1</v>
      </c>
      <c r="AI87" s="32">
        <v>1</v>
      </c>
      <c r="AJ87" s="32">
        <v>1</v>
      </c>
      <c r="AK87" s="20" t="s">
        <v>165</v>
      </c>
      <c r="AL87" s="16" t="s">
        <v>61</v>
      </c>
      <c r="AM87" s="16" t="s">
        <v>61</v>
      </c>
      <c r="AN87" s="16" t="s">
        <v>61</v>
      </c>
    </row>
    <row r="88" spans="2:40" hidden="1" x14ac:dyDescent="0.25">
      <c r="B88" s="86">
        <f t="shared" si="16"/>
        <v>41</v>
      </c>
      <c r="C88" s="17">
        <v>20200429</v>
      </c>
      <c r="D88" s="16" t="s">
        <v>3</v>
      </c>
      <c r="E88" s="16" t="s">
        <v>371</v>
      </c>
      <c r="F88" s="81" t="s">
        <v>476</v>
      </c>
      <c r="G88" s="18">
        <v>1411876</v>
      </c>
      <c r="H88" s="58" t="s">
        <v>61</v>
      </c>
      <c r="I88" s="16" t="s">
        <v>385</v>
      </c>
      <c r="J88" s="58" t="s">
        <v>61</v>
      </c>
      <c r="K88" s="16" t="s">
        <v>161</v>
      </c>
      <c r="L88" s="16" t="s">
        <v>165</v>
      </c>
      <c r="M88" s="16" t="s">
        <v>165</v>
      </c>
      <c r="N88" s="16" t="s">
        <v>421</v>
      </c>
      <c r="O88" s="18" t="s">
        <v>61</v>
      </c>
      <c r="P88" s="18" t="s">
        <v>404</v>
      </c>
      <c r="Q88" s="19"/>
      <c r="R88" s="58" t="s">
        <v>61</v>
      </c>
      <c r="S88" s="16" t="s">
        <v>69</v>
      </c>
      <c r="T88" s="16"/>
      <c r="U88" s="16"/>
      <c r="V88" s="16">
        <v>164</v>
      </c>
      <c r="W88" s="16">
        <f t="shared" si="14"/>
        <v>164</v>
      </c>
      <c r="X88" s="16">
        <f t="shared" si="20"/>
        <v>164</v>
      </c>
      <c r="Y88" s="16">
        <f>ROUNDDOWN(W88/HLOOKUP(D88,Table!$C$3:$D$4,2,0)*8,2)</f>
        <v>2.91</v>
      </c>
      <c r="Z88" s="16">
        <v>2</v>
      </c>
      <c r="AA88" s="16" t="s">
        <v>18</v>
      </c>
      <c r="AB88" s="100"/>
      <c r="AC88" s="20">
        <v>43955</v>
      </c>
      <c r="AD88" s="20">
        <v>43966</v>
      </c>
      <c r="AE88" s="20">
        <v>43955</v>
      </c>
      <c r="AF88" s="20">
        <v>43955</v>
      </c>
      <c r="AG88" s="20" t="s">
        <v>337</v>
      </c>
      <c r="AH88" s="32">
        <v>1</v>
      </c>
      <c r="AI88" s="32">
        <v>0.96</v>
      </c>
      <c r="AJ88" s="32">
        <v>0.5</v>
      </c>
      <c r="AK88" s="20" t="s">
        <v>149</v>
      </c>
      <c r="AL88" s="16" t="s">
        <v>484</v>
      </c>
      <c r="AM88" s="16"/>
      <c r="AN88" s="16"/>
    </row>
    <row r="89" spans="2:40" hidden="1" x14ac:dyDescent="0.25">
      <c r="B89" s="86">
        <f t="shared" si="16"/>
        <v>42</v>
      </c>
      <c r="C89" s="17">
        <v>20200429</v>
      </c>
      <c r="D89" s="16" t="s">
        <v>3</v>
      </c>
      <c r="E89" s="16" t="s">
        <v>371</v>
      </c>
      <c r="F89" s="81" t="s">
        <v>476</v>
      </c>
      <c r="G89" s="18">
        <v>1411876</v>
      </c>
      <c r="H89" s="58" t="s">
        <v>61</v>
      </c>
      <c r="I89" s="16" t="s">
        <v>386</v>
      </c>
      <c r="J89" s="58" t="s">
        <v>61</v>
      </c>
      <c r="K89" s="16" t="s">
        <v>161</v>
      </c>
      <c r="L89" s="16" t="s">
        <v>165</v>
      </c>
      <c r="M89" s="16" t="s">
        <v>165</v>
      </c>
      <c r="N89" s="16" t="s">
        <v>421</v>
      </c>
      <c r="O89" s="18" t="s">
        <v>61</v>
      </c>
      <c r="P89" s="18" t="s">
        <v>404</v>
      </c>
      <c r="Q89" s="19"/>
      <c r="R89" s="58" t="s">
        <v>61</v>
      </c>
      <c r="S89" s="16" t="s">
        <v>69</v>
      </c>
      <c r="T89" s="16"/>
      <c r="U89" s="16"/>
      <c r="V89" s="16">
        <v>24</v>
      </c>
      <c r="W89" s="16">
        <f t="shared" si="14"/>
        <v>24</v>
      </c>
      <c r="X89" s="16">
        <f t="shared" si="20"/>
        <v>24</v>
      </c>
      <c r="Y89" s="16">
        <f>ROUNDDOWN(W89/HLOOKUP(D89,Table!$C$3:$D$4,2,0)*8,2)</f>
        <v>0.42</v>
      </c>
      <c r="Z89" s="16">
        <f>0.4</f>
        <v>0.4</v>
      </c>
      <c r="AA89" s="16" t="s">
        <v>18</v>
      </c>
      <c r="AB89" s="100"/>
      <c r="AC89" s="20">
        <v>43955</v>
      </c>
      <c r="AD89" s="20">
        <v>43966</v>
      </c>
      <c r="AE89" s="20">
        <v>43955</v>
      </c>
      <c r="AF89" s="20">
        <v>43955</v>
      </c>
      <c r="AG89" s="20" t="s">
        <v>336</v>
      </c>
      <c r="AH89" s="32">
        <v>1</v>
      </c>
      <c r="AI89" s="32">
        <v>1</v>
      </c>
      <c r="AJ89" s="32">
        <v>1</v>
      </c>
      <c r="AK89" s="20" t="s">
        <v>165</v>
      </c>
      <c r="AL89" s="16"/>
      <c r="AM89" s="16"/>
      <c r="AN89" s="16"/>
    </row>
    <row r="90" spans="2:40" hidden="1" x14ac:dyDescent="0.25">
      <c r="B90" s="86">
        <f t="shared" si="16"/>
        <v>43</v>
      </c>
      <c r="C90" s="17">
        <v>20200429</v>
      </c>
      <c r="D90" s="16" t="s">
        <v>3</v>
      </c>
      <c r="E90" s="16" t="s">
        <v>371</v>
      </c>
      <c r="F90" s="81" t="s">
        <v>476</v>
      </c>
      <c r="G90" s="18">
        <v>1411876</v>
      </c>
      <c r="H90" s="58" t="s">
        <v>61</v>
      </c>
      <c r="I90" s="16" t="s">
        <v>387</v>
      </c>
      <c r="J90" s="58" t="s">
        <v>61</v>
      </c>
      <c r="K90" s="16" t="s">
        <v>161</v>
      </c>
      <c r="L90" s="16" t="s">
        <v>165</v>
      </c>
      <c r="M90" s="16" t="s">
        <v>165</v>
      </c>
      <c r="N90" s="16" t="s">
        <v>421</v>
      </c>
      <c r="O90" s="18" t="s">
        <v>61</v>
      </c>
      <c r="P90" s="18" t="s">
        <v>404</v>
      </c>
      <c r="Q90" s="19"/>
      <c r="R90" s="58" t="s">
        <v>61</v>
      </c>
      <c r="S90" s="16" t="s">
        <v>69</v>
      </c>
      <c r="T90" s="16"/>
      <c r="U90" s="16"/>
      <c r="V90" s="16">
        <v>182</v>
      </c>
      <c r="W90" s="16">
        <f t="shared" si="14"/>
        <v>182</v>
      </c>
      <c r="X90" s="16">
        <f t="shared" si="20"/>
        <v>182</v>
      </c>
      <c r="Y90" s="16">
        <f>ROUNDDOWN(W90/HLOOKUP(D90,Table!$C$3:$D$4,2,0)*8,2)</f>
        <v>3.23</v>
      </c>
      <c r="Z90" s="16">
        <v>2</v>
      </c>
      <c r="AA90" s="16" t="s">
        <v>18</v>
      </c>
      <c r="AB90" s="100"/>
      <c r="AC90" s="20">
        <v>43955</v>
      </c>
      <c r="AD90" s="20">
        <v>43966</v>
      </c>
      <c r="AE90" s="20">
        <v>43955</v>
      </c>
      <c r="AF90" s="20">
        <v>43955</v>
      </c>
      <c r="AG90" s="20" t="s">
        <v>336</v>
      </c>
      <c r="AH90" s="32">
        <v>1</v>
      </c>
      <c r="AI90" s="32">
        <v>1</v>
      </c>
      <c r="AJ90" s="32">
        <v>1</v>
      </c>
      <c r="AK90" s="20" t="s">
        <v>165</v>
      </c>
      <c r="AL90" s="16"/>
      <c r="AM90" s="16"/>
      <c r="AN90" s="16"/>
    </row>
    <row r="91" spans="2:40" hidden="1" x14ac:dyDescent="0.25">
      <c r="B91" s="86">
        <f t="shared" si="16"/>
        <v>44</v>
      </c>
      <c r="C91" s="17">
        <v>20200429</v>
      </c>
      <c r="D91" s="16" t="s">
        <v>3</v>
      </c>
      <c r="E91" s="16" t="s">
        <v>371</v>
      </c>
      <c r="F91" s="81" t="s">
        <v>476</v>
      </c>
      <c r="G91" s="18">
        <v>1411876</v>
      </c>
      <c r="H91" s="58" t="s">
        <v>61</v>
      </c>
      <c r="I91" s="16" t="s">
        <v>388</v>
      </c>
      <c r="J91" s="58" t="s">
        <v>61</v>
      </c>
      <c r="K91" s="16" t="s">
        <v>161</v>
      </c>
      <c r="L91" s="16" t="s">
        <v>165</v>
      </c>
      <c r="M91" s="16" t="s">
        <v>165</v>
      </c>
      <c r="N91" s="16" t="s">
        <v>421</v>
      </c>
      <c r="O91" s="18" t="s">
        <v>61</v>
      </c>
      <c r="P91" s="18" t="s">
        <v>404</v>
      </c>
      <c r="Q91" s="19"/>
      <c r="R91" s="58" t="s">
        <v>61</v>
      </c>
      <c r="S91" s="16" t="s">
        <v>69</v>
      </c>
      <c r="T91" s="16"/>
      <c r="U91" s="16"/>
      <c r="V91" s="16">
        <v>161</v>
      </c>
      <c r="W91" s="16">
        <f t="shared" si="14"/>
        <v>161</v>
      </c>
      <c r="X91" s="16">
        <f t="shared" si="20"/>
        <v>161</v>
      </c>
      <c r="Y91" s="16">
        <f>ROUNDDOWN(W91/HLOOKUP(D91,Table!$C$3:$D$4,2,0)*8,2)</f>
        <v>2.86</v>
      </c>
      <c r="Z91" s="16">
        <v>1.5</v>
      </c>
      <c r="AA91" s="16" t="s">
        <v>18</v>
      </c>
      <c r="AB91" s="100"/>
      <c r="AC91" s="20">
        <v>43955</v>
      </c>
      <c r="AD91" s="20">
        <v>43966</v>
      </c>
      <c r="AE91" s="20">
        <v>43955</v>
      </c>
      <c r="AF91" s="20">
        <v>43955</v>
      </c>
      <c r="AG91" s="20" t="s">
        <v>336</v>
      </c>
      <c r="AH91" s="32">
        <v>1</v>
      </c>
      <c r="AI91" s="32">
        <v>1</v>
      </c>
      <c r="AJ91" s="32">
        <v>1</v>
      </c>
      <c r="AK91" s="20" t="s">
        <v>165</v>
      </c>
      <c r="AL91" s="16"/>
      <c r="AM91" s="16"/>
      <c r="AN91" s="16"/>
    </row>
    <row r="92" spans="2:40" hidden="1" x14ac:dyDescent="0.25">
      <c r="B92" s="86">
        <f t="shared" si="16"/>
        <v>45</v>
      </c>
      <c r="C92" s="17">
        <v>20200429</v>
      </c>
      <c r="D92" s="16" t="s">
        <v>3</v>
      </c>
      <c r="E92" s="16" t="s">
        <v>371</v>
      </c>
      <c r="F92" s="81" t="s">
        <v>476</v>
      </c>
      <c r="G92" s="18">
        <v>1411876</v>
      </c>
      <c r="H92" s="58" t="s">
        <v>61</v>
      </c>
      <c r="I92" s="16" t="s">
        <v>176</v>
      </c>
      <c r="J92" s="58" t="s">
        <v>61</v>
      </c>
      <c r="K92" s="16" t="s">
        <v>161</v>
      </c>
      <c r="L92" s="16" t="s">
        <v>165</v>
      </c>
      <c r="M92" s="16" t="s">
        <v>165</v>
      </c>
      <c r="N92" s="16" t="s">
        <v>421</v>
      </c>
      <c r="O92" s="18" t="s">
        <v>61</v>
      </c>
      <c r="P92" s="18" t="s">
        <v>404</v>
      </c>
      <c r="Q92" s="19"/>
      <c r="R92" s="58" t="s">
        <v>61</v>
      </c>
      <c r="S92" s="16" t="s">
        <v>69</v>
      </c>
      <c r="T92" s="16"/>
      <c r="U92" s="16"/>
      <c r="V92" s="16">
        <v>210</v>
      </c>
      <c r="W92" s="16">
        <f t="shared" si="14"/>
        <v>210</v>
      </c>
      <c r="X92" s="16">
        <f t="shared" si="20"/>
        <v>210</v>
      </c>
      <c r="Y92" s="16">
        <f>ROUNDDOWN(W92/HLOOKUP(D92,Table!$C$3:$D$4,2,0)*8,2)</f>
        <v>3.73</v>
      </c>
      <c r="Z92" s="16">
        <v>3</v>
      </c>
      <c r="AA92" s="16" t="s">
        <v>18</v>
      </c>
      <c r="AB92" s="20"/>
      <c r="AC92" s="20">
        <v>43955</v>
      </c>
      <c r="AD92" s="20">
        <v>43966</v>
      </c>
      <c r="AE92" s="20">
        <v>43956</v>
      </c>
      <c r="AF92" s="20">
        <v>43956</v>
      </c>
      <c r="AG92" s="20" t="s">
        <v>337</v>
      </c>
      <c r="AH92" s="32">
        <v>0.92</v>
      </c>
      <c r="AI92" s="32">
        <v>0.92</v>
      </c>
      <c r="AJ92" s="32">
        <v>0</v>
      </c>
      <c r="AK92" s="20" t="s">
        <v>149</v>
      </c>
      <c r="AL92" s="18" t="s">
        <v>442</v>
      </c>
      <c r="AM92" s="16"/>
      <c r="AN92" s="16"/>
    </row>
    <row r="93" spans="2:40" hidden="1" x14ac:dyDescent="0.25">
      <c r="B93" s="86">
        <f t="shared" si="16"/>
        <v>46</v>
      </c>
      <c r="C93" s="17">
        <v>20200429</v>
      </c>
      <c r="D93" s="16" t="s">
        <v>3</v>
      </c>
      <c r="E93" s="16" t="s">
        <v>371</v>
      </c>
      <c r="F93" s="81" t="s">
        <v>476</v>
      </c>
      <c r="G93" s="18">
        <v>1411876</v>
      </c>
      <c r="H93" s="58" t="s">
        <v>61</v>
      </c>
      <c r="I93" s="16" t="s">
        <v>389</v>
      </c>
      <c r="J93" s="58" t="s">
        <v>61</v>
      </c>
      <c r="K93" s="16" t="s">
        <v>161</v>
      </c>
      <c r="L93" s="16" t="s">
        <v>165</v>
      </c>
      <c r="M93" s="16" t="s">
        <v>165</v>
      </c>
      <c r="N93" s="16" t="s">
        <v>421</v>
      </c>
      <c r="O93" s="18" t="s">
        <v>61</v>
      </c>
      <c r="P93" s="18" t="s">
        <v>404</v>
      </c>
      <c r="Q93" s="19"/>
      <c r="R93" s="58" t="s">
        <v>61</v>
      </c>
      <c r="S93" s="16" t="s">
        <v>69</v>
      </c>
      <c r="T93" s="16"/>
      <c r="U93" s="16"/>
      <c r="V93" s="16">
        <v>83</v>
      </c>
      <c r="W93" s="16">
        <f t="shared" si="14"/>
        <v>83</v>
      </c>
      <c r="X93" s="16">
        <f t="shared" si="20"/>
        <v>83</v>
      </c>
      <c r="Y93" s="16">
        <f>ROUNDDOWN(W93/HLOOKUP(D93,Table!$C$3:$D$4,2,0)*8,2)</f>
        <v>1.47</v>
      </c>
      <c r="Z93" s="16">
        <v>0.5</v>
      </c>
      <c r="AA93" s="16" t="s">
        <v>18</v>
      </c>
      <c r="AB93" s="100"/>
      <c r="AC93" s="20">
        <v>43955</v>
      </c>
      <c r="AD93" s="20">
        <v>43966</v>
      </c>
      <c r="AE93" s="20">
        <v>43955</v>
      </c>
      <c r="AF93" s="20">
        <v>43955</v>
      </c>
      <c r="AG93" s="20" t="s">
        <v>336</v>
      </c>
      <c r="AH93" s="32">
        <v>1</v>
      </c>
      <c r="AI93" s="32">
        <v>1</v>
      </c>
      <c r="AJ93" s="32">
        <v>1</v>
      </c>
      <c r="AK93" s="20" t="s">
        <v>165</v>
      </c>
      <c r="AL93" s="16"/>
      <c r="AM93" s="16"/>
      <c r="AN93" s="16"/>
    </row>
    <row r="94" spans="2:40" hidden="1" x14ac:dyDescent="0.25">
      <c r="B94" s="86">
        <f t="shared" si="16"/>
        <v>47</v>
      </c>
      <c r="C94" s="17">
        <v>20200429</v>
      </c>
      <c r="D94" s="16" t="s">
        <v>3</v>
      </c>
      <c r="E94" s="16" t="s">
        <v>371</v>
      </c>
      <c r="F94" s="81" t="s">
        <v>476</v>
      </c>
      <c r="G94" s="18">
        <v>1411876</v>
      </c>
      <c r="H94" s="58" t="s">
        <v>61</v>
      </c>
      <c r="I94" s="16" t="s">
        <v>172</v>
      </c>
      <c r="J94" s="58" t="s">
        <v>61</v>
      </c>
      <c r="K94" s="16" t="s">
        <v>161</v>
      </c>
      <c r="L94" s="16" t="s">
        <v>165</v>
      </c>
      <c r="M94" s="16" t="s">
        <v>165</v>
      </c>
      <c r="N94" s="16" t="s">
        <v>421</v>
      </c>
      <c r="O94" s="18" t="s">
        <v>61</v>
      </c>
      <c r="P94" s="18" t="s">
        <v>404</v>
      </c>
      <c r="Q94" s="19"/>
      <c r="R94" s="58" t="s">
        <v>61</v>
      </c>
      <c r="S94" s="16" t="s">
        <v>67</v>
      </c>
      <c r="T94" s="16"/>
      <c r="U94" s="16"/>
      <c r="V94" s="16">
        <v>101</v>
      </c>
      <c r="W94" s="16">
        <f t="shared" si="14"/>
        <v>101</v>
      </c>
      <c r="X94" s="16">
        <f>W94</f>
        <v>101</v>
      </c>
      <c r="Y94" s="16">
        <f>ROUNDDOWN(W94/HLOOKUP(D94,Table!$C$3:$D$4,2,0)*8,2)</f>
        <v>1.79</v>
      </c>
      <c r="Z94" s="16">
        <v>1.8</v>
      </c>
      <c r="AA94" s="16" t="s">
        <v>18</v>
      </c>
      <c r="AB94" s="20"/>
      <c r="AC94" s="20">
        <v>43955</v>
      </c>
      <c r="AD94" s="20">
        <v>43966</v>
      </c>
      <c r="AE94" s="20">
        <v>43959</v>
      </c>
      <c r="AF94" s="20">
        <v>43959</v>
      </c>
      <c r="AG94" s="20" t="s">
        <v>336</v>
      </c>
      <c r="AH94" s="32">
        <v>1</v>
      </c>
      <c r="AI94" s="32">
        <v>1</v>
      </c>
      <c r="AJ94" s="32">
        <v>1</v>
      </c>
      <c r="AK94" s="20" t="s">
        <v>165</v>
      </c>
      <c r="AL94" s="16" t="s">
        <v>61</v>
      </c>
      <c r="AM94" s="16" t="s">
        <v>61</v>
      </c>
      <c r="AN94" s="16" t="s">
        <v>61</v>
      </c>
    </row>
    <row r="95" spans="2:40" hidden="1" x14ac:dyDescent="0.25">
      <c r="B95" s="86">
        <f t="shared" si="16"/>
        <v>48</v>
      </c>
      <c r="C95" s="17">
        <v>20200429</v>
      </c>
      <c r="D95" s="16" t="s">
        <v>3</v>
      </c>
      <c r="E95" s="16" t="s">
        <v>371</v>
      </c>
      <c r="F95" s="81" t="s">
        <v>476</v>
      </c>
      <c r="G95" s="18">
        <v>1411876</v>
      </c>
      <c r="H95" s="58" t="s">
        <v>61</v>
      </c>
      <c r="I95" s="16" t="s">
        <v>173</v>
      </c>
      <c r="J95" s="58" t="s">
        <v>61</v>
      </c>
      <c r="K95" s="16" t="s">
        <v>161</v>
      </c>
      <c r="L95" s="16" t="s">
        <v>165</v>
      </c>
      <c r="M95" s="16" t="s">
        <v>165</v>
      </c>
      <c r="N95" s="16" t="s">
        <v>421</v>
      </c>
      <c r="O95" s="18" t="s">
        <v>61</v>
      </c>
      <c r="P95" s="18" t="s">
        <v>404</v>
      </c>
      <c r="Q95" s="19"/>
      <c r="R95" s="58" t="s">
        <v>61</v>
      </c>
      <c r="S95" s="16" t="s">
        <v>67</v>
      </c>
      <c r="T95" s="16"/>
      <c r="U95" s="16"/>
      <c r="V95" s="16">
        <v>116</v>
      </c>
      <c r="W95" s="16">
        <f t="shared" si="14"/>
        <v>116</v>
      </c>
      <c r="X95" s="16">
        <f>W95</f>
        <v>116</v>
      </c>
      <c r="Y95" s="16">
        <f>ROUNDDOWN(W95/HLOOKUP(D95,Table!$C$3:$D$4,2,0)*8,2)</f>
        <v>2.06</v>
      </c>
      <c r="Z95" s="16">
        <v>2</v>
      </c>
      <c r="AA95" s="16" t="s">
        <v>18</v>
      </c>
      <c r="AB95" s="20"/>
      <c r="AC95" s="20">
        <v>43955</v>
      </c>
      <c r="AD95" s="20">
        <v>43966</v>
      </c>
      <c r="AE95" s="20">
        <v>43959</v>
      </c>
      <c r="AF95" s="20">
        <v>43959</v>
      </c>
      <c r="AG95" s="20" t="s">
        <v>337</v>
      </c>
      <c r="AH95" s="32">
        <v>0.93</v>
      </c>
      <c r="AI95" s="32">
        <v>0.85</v>
      </c>
      <c r="AJ95" s="32">
        <v>1</v>
      </c>
      <c r="AK95" s="20" t="s">
        <v>149</v>
      </c>
      <c r="AL95" s="16" t="s">
        <v>622</v>
      </c>
      <c r="AM95" s="16"/>
      <c r="AN95" s="16"/>
    </row>
    <row r="96" spans="2:40" hidden="1" x14ac:dyDescent="0.25">
      <c r="B96" s="86">
        <f t="shared" si="16"/>
        <v>49</v>
      </c>
      <c r="C96" s="17">
        <v>20200429</v>
      </c>
      <c r="D96" s="16" t="s">
        <v>3</v>
      </c>
      <c r="E96" s="16" t="s">
        <v>371</v>
      </c>
      <c r="F96" s="81" t="s">
        <v>476</v>
      </c>
      <c r="G96" s="18">
        <v>1411876</v>
      </c>
      <c r="H96" s="58" t="s">
        <v>61</v>
      </c>
      <c r="I96" s="16" t="s">
        <v>177</v>
      </c>
      <c r="J96" s="58" t="s">
        <v>61</v>
      </c>
      <c r="K96" s="16" t="s">
        <v>161</v>
      </c>
      <c r="L96" s="16" t="s">
        <v>165</v>
      </c>
      <c r="M96" s="16" t="s">
        <v>165</v>
      </c>
      <c r="N96" s="16" t="s">
        <v>421</v>
      </c>
      <c r="O96" s="18" t="s">
        <v>61</v>
      </c>
      <c r="P96" s="18" t="s">
        <v>404</v>
      </c>
      <c r="Q96" s="19"/>
      <c r="R96" s="58" t="s">
        <v>61</v>
      </c>
      <c r="S96" s="16" t="s">
        <v>67</v>
      </c>
      <c r="T96" s="16"/>
      <c r="U96" s="16"/>
      <c r="V96" s="16">
        <v>204</v>
      </c>
      <c r="W96" s="16">
        <f t="shared" si="14"/>
        <v>204</v>
      </c>
      <c r="X96" s="16">
        <f>W96</f>
        <v>204</v>
      </c>
      <c r="Y96" s="16">
        <f>ROUNDDOWN(W96/HLOOKUP(D96,Table!$C$3:$D$4,2,0)*8,2)</f>
        <v>3.62</v>
      </c>
      <c r="Z96" s="16">
        <v>3</v>
      </c>
      <c r="AA96" s="16" t="s">
        <v>18</v>
      </c>
      <c r="AB96" s="20"/>
      <c r="AC96" s="20">
        <v>43955</v>
      </c>
      <c r="AD96" s="20">
        <v>43966</v>
      </c>
      <c r="AE96" s="20">
        <v>43959</v>
      </c>
      <c r="AF96" s="20">
        <v>43959</v>
      </c>
      <c r="AG96" s="20" t="s">
        <v>336</v>
      </c>
      <c r="AH96" s="32">
        <v>1</v>
      </c>
      <c r="AI96" s="32">
        <v>1</v>
      </c>
      <c r="AJ96" s="32">
        <v>1</v>
      </c>
      <c r="AK96" s="20" t="s">
        <v>165</v>
      </c>
      <c r="AL96" s="16" t="s">
        <v>61</v>
      </c>
      <c r="AM96" s="16" t="s">
        <v>61</v>
      </c>
      <c r="AN96" s="16" t="s">
        <v>61</v>
      </c>
    </row>
    <row r="97" spans="2:40" hidden="1" x14ac:dyDescent="0.25">
      <c r="B97" s="86">
        <f t="shared" si="16"/>
        <v>50</v>
      </c>
      <c r="C97" s="17">
        <v>20200429</v>
      </c>
      <c r="D97" s="16" t="s">
        <v>3</v>
      </c>
      <c r="E97" s="16" t="s">
        <v>371</v>
      </c>
      <c r="F97" s="81" t="s">
        <v>476</v>
      </c>
      <c r="G97" s="18">
        <v>1411876</v>
      </c>
      <c r="H97" s="58" t="s">
        <v>61</v>
      </c>
      <c r="I97" s="16" t="s">
        <v>178</v>
      </c>
      <c r="J97" s="58" t="s">
        <v>61</v>
      </c>
      <c r="K97" s="16" t="s">
        <v>161</v>
      </c>
      <c r="L97" s="16" t="s">
        <v>165</v>
      </c>
      <c r="M97" s="16" t="s">
        <v>165</v>
      </c>
      <c r="N97" s="16" t="s">
        <v>421</v>
      </c>
      <c r="O97" s="18" t="s">
        <v>61</v>
      </c>
      <c r="P97" s="18" t="s">
        <v>404</v>
      </c>
      <c r="Q97" s="19"/>
      <c r="R97" s="58" t="s">
        <v>61</v>
      </c>
      <c r="S97" s="16" t="s">
        <v>68</v>
      </c>
      <c r="T97" s="16"/>
      <c r="U97" s="16"/>
      <c r="V97" s="16">
        <v>210</v>
      </c>
      <c r="W97" s="16">
        <f t="shared" si="14"/>
        <v>210</v>
      </c>
      <c r="X97" s="16">
        <f t="shared" ref="X97:X103" si="21">W97</f>
        <v>210</v>
      </c>
      <c r="Y97" s="16">
        <f>ROUNDDOWN(W97/HLOOKUP(D97,Table!$C$3:$D$4,2,0)*8,2)</f>
        <v>3.73</v>
      </c>
      <c r="Z97" s="16">
        <v>2</v>
      </c>
      <c r="AA97" s="16" t="s">
        <v>18</v>
      </c>
      <c r="AB97" s="20"/>
      <c r="AC97" s="20">
        <v>43955</v>
      </c>
      <c r="AD97" s="20">
        <v>43966</v>
      </c>
      <c r="AE97" s="20">
        <v>43955</v>
      </c>
      <c r="AF97" s="20">
        <v>43955</v>
      </c>
      <c r="AG97" s="20" t="s">
        <v>336</v>
      </c>
      <c r="AH97" s="32">
        <v>1</v>
      </c>
      <c r="AI97" s="32">
        <v>1</v>
      </c>
      <c r="AJ97" s="32">
        <v>1</v>
      </c>
      <c r="AK97" s="20" t="s">
        <v>165</v>
      </c>
      <c r="AL97" s="16" t="s">
        <v>61</v>
      </c>
      <c r="AM97" s="16" t="s">
        <v>61</v>
      </c>
      <c r="AN97" s="16" t="s">
        <v>61</v>
      </c>
    </row>
    <row r="98" spans="2:40" hidden="1" x14ac:dyDescent="0.25">
      <c r="B98" s="86">
        <f t="shared" si="16"/>
        <v>51</v>
      </c>
      <c r="C98" s="17">
        <v>20200429</v>
      </c>
      <c r="D98" s="16" t="s">
        <v>3</v>
      </c>
      <c r="E98" s="16" t="s">
        <v>371</v>
      </c>
      <c r="F98" s="81" t="s">
        <v>474</v>
      </c>
      <c r="G98" s="18">
        <v>1411876</v>
      </c>
      <c r="H98" s="58" t="s">
        <v>61</v>
      </c>
      <c r="I98" s="16" t="s">
        <v>390</v>
      </c>
      <c r="J98" s="58" t="s">
        <v>61</v>
      </c>
      <c r="K98" s="16" t="s">
        <v>161</v>
      </c>
      <c r="L98" s="16" t="s">
        <v>165</v>
      </c>
      <c r="M98" s="16" t="s">
        <v>165</v>
      </c>
      <c r="N98" s="16" t="s">
        <v>421</v>
      </c>
      <c r="O98" s="18" t="s">
        <v>61</v>
      </c>
      <c r="P98" s="18" t="s">
        <v>404</v>
      </c>
      <c r="Q98" s="19"/>
      <c r="R98" s="58" t="s">
        <v>61</v>
      </c>
      <c r="S98" s="16" t="s">
        <v>68</v>
      </c>
      <c r="T98" s="16"/>
      <c r="U98" s="16"/>
      <c r="V98" s="16">
        <v>182</v>
      </c>
      <c r="W98" s="16">
        <f t="shared" si="14"/>
        <v>182</v>
      </c>
      <c r="X98" s="16">
        <f t="shared" si="21"/>
        <v>182</v>
      </c>
      <c r="Y98" s="16">
        <f>ROUNDDOWN(W98/HLOOKUP(D98,Table!$C$3:$D$4,2,0)*8,2)</f>
        <v>3.23</v>
      </c>
      <c r="Z98" s="16">
        <v>4</v>
      </c>
      <c r="AA98" s="16" t="s">
        <v>18</v>
      </c>
      <c r="AB98" s="20"/>
      <c r="AC98" s="20">
        <v>43955</v>
      </c>
      <c r="AD98" s="20">
        <v>43966</v>
      </c>
      <c r="AE98" s="20">
        <v>43956</v>
      </c>
      <c r="AF98" s="20">
        <v>43956</v>
      </c>
      <c r="AG98" s="20" t="s">
        <v>336</v>
      </c>
      <c r="AH98" s="32">
        <v>1</v>
      </c>
      <c r="AI98" s="32">
        <v>1</v>
      </c>
      <c r="AJ98" s="32">
        <v>1</v>
      </c>
      <c r="AK98" s="20" t="s">
        <v>165</v>
      </c>
      <c r="AL98" s="16" t="s">
        <v>61</v>
      </c>
      <c r="AM98" s="16" t="s">
        <v>61</v>
      </c>
      <c r="AN98" s="16" t="s">
        <v>61</v>
      </c>
    </row>
    <row r="99" spans="2:40" hidden="1" x14ac:dyDescent="0.25">
      <c r="B99" s="86">
        <f t="shared" si="16"/>
        <v>52</v>
      </c>
      <c r="C99" s="17">
        <v>20200429</v>
      </c>
      <c r="D99" s="16" t="s">
        <v>3</v>
      </c>
      <c r="E99" s="16" t="s">
        <v>371</v>
      </c>
      <c r="F99" s="81" t="s">
        <v>474</v>
      </c>
      <c r="G99" s="18">
        <v>1411876</v>
      </c>
      <c r="H99" s="58" t="s">
        <v>61</v>
      </c>
      <c r="I99" s="16" t="s">
        <v>391</v>
      </c>
      <c r="J99" s="58" t="s">
        <v>61</v>
      </c>
      <c r="K99" s="16" t="s">
        <v>161</v>
      </c>
      <c r="L99" s="16" t="s">
        <v>165</v>
      </c>
      <c r="M99" s="16" t="s">
        <v>165</v>
      </c>
      <c r="N99" s="16" t="s">
        <v>421</v>
      </c>
      <c r="O99" s="18" t="s">
        <v>61</v>
      </c>
      <c r="P99" s="18" t="s">
        <v>404</v>
      </c>
      <c r="Q99" s="19"/>
      <c r="R99" s="58" t="s">
        <v>61</v>
      </c>
      <c r="S99" s="16" t="s">
        <v>68</v>
      </c>
      <c r="T99" s="16"/>
      <c r="U99" s="16"/>
      <c r="V99" s="16">
        <v>92</v>
      </c>
      <c r="W99" s="16">
        <f t="shared" si="14"/>
        <v>92</v>
      </c>
      <c r="X99" s="16">
        <f t="shared" si="21"/>
        <v>92</v>
      </c>
      <c r="Y99" s="16">
        <f>ROUNDDOWN(W99/HLOOKUP(D99,Table!$C$3:$D$4,2,0)*8,2)</f>
        <v>1.63</v>
      </c>
      <c r="Z99" s="16">
        <v>2</v>
      </c>
      <c r="AA99" s="16" t="s">
        <v>18</v>
      </c>
      <c r="AB99" s="20"/>
      <c r="AC99" s="20">
        <v>43955</v>
      </c>
      <c r="AD99" s="20">
        <v>43966</v>
      </c>
      <c r="AE99" s="20">
        <v>43958</v>
      </c>
      <c r="AF99" s="20">
        <v>43958</v>
      </c>
      <c r="AG99" s="20" t="s">
        <v>336</v>
      </c>
      <c r="AH99" s="32">
        <v>1</v>
      </c>
      <c r="AI99" s="32">
        <v>1</v>
      </c>
      <c r="AJ99" s="32">
        <v>1</v>
      </c>
      <c r="AK99" s="20" t="s">
        <v>165</v>
      </c>
      <c r="AL99" s="16" t="s">
        <v>61</v>
      </c>
      <c r="AM99" s="16" t="s">
        <v>61</v>
      </c>
      <c r="AN99" s="16" t="s">
        <v>61</v>
      </c>
    </row>
    <row r="100" spans="2:40" hidden="1" x14ac:dyDescent="0.25">
      <c r="B100" s="86">
        <f t="shared" si="16"/>
        <v>53</v>
      </c>
      <c r="C100" s="17">
        <v>20200429</v>
      </c>
      <c r="D100" s="16" t="s">
        <v>3</v>
      </c>
      <c r="E100" s="16" t="s">
        <v>371</v>
      </c>
      <c r="F100" s="81" t="s">
        <v>477</v>
      </c>
      <c r="G100" s="18">
        <v>1411876</v>
      </c>
      <c r="H100" s="58" t="s">
        <v>61</v>
      </c>
      <c r="I100" s="16" t="s">
        <v>392</v>
      </c>
      <c r="J100" s="58" t="s">
        <v>61</v>
      </c>
      <c r="K100" s="16" t="s">
        <v>161</v>
      </c>
      <c r="L100" s="16" t="s">
        <v>165</v>
      </c>
      <c r="M100" s="16" t="s">
        <v>165</v>
      </c>
      <c r="N100" s="16" t="s">
        <v>421</v>
      </c>
      <c r="O100" s="18" t="s">
        <v>61</v>
      </c>
      <c r="P100" s="18" t="s">
        <v>404</v>
      </c>
      <c r="Q100" s="19"/>
      <c r="R100" s="58" t="s">
        <v>61</v>
      </c>
      <c r="S100" s="16" t="s">
        <v>70</v>
      </c>
      <c r="T100" s="16"/>
      <c r="U100" s="16"/>
      <c r="V100" s="16">
        <v>767</v>
      </c>
      <c r="W100" s="16">
        <f t="shared" si="14"/>
        <v>767</v>
      </c>
      <c r="X100" s="16">
        <f t="shared" si="21"/>
        <v>767</v>
      </c>
      <c r="Y100" s="16">
        <f>ROUNDDOWN(W100/HLOOKUP(D100,Table!$C$3:$D$4,2,0)*8,2)</f>
        <v>13.63</v>
      </c>
      <c r="Z100" s="16">
        <v>1</v>
      </c>
      <c r="AA100" s="16" t="s">
        <v>18</v>
      </c>
      <c r="AB100" s="20"/>
      <c r="AC100" s="20">
        <v>43955</v>
      </c>
      <c r="AD100" s="20">
        <v>43966</v>
      </c>
      <c r="AE100" s="20">
        <v>43956</v>
      </c>
      <c r="AF100" s="20">
        <v>43956</v>
      </c>
      <c r="AG100" s="20" t="s">
        <v>336</v>
      </c>
      <c r="AH100" s="32">
        <v>1</v>
      </c>
      <c r="AI100" s="32">
        <v>1</v>
      </c>
      <c r="AJ100" s="32">
        <v>1</v>
      </c>
      <c r="AK100" s="20" t="s">
        <v>165</v>
      </c>
      <c r="AL100" s="16" t="s">
        <v>61</v>
      </c>
      <c r="AM100" s="16" t="s">
        <v>61</v>
      </c>
      <c r="AN100" s="16" t="s">
        <v>61</v>
      </c>
    </row>
    <row r="101" spans="2:40" hidden="1" x14ac:dyDescent="0.25">
      <c r="B101" s="86">
        <f t="shared" si="16"/>
        <v>54</v>
      </c>
      <c r="C101" s="17">
        <v>20200429</v>
      </c>
      <c r="D101" s="16" t="s">
        <v>3</v>
      </c>
      <c r="E101" s="16" t="s">
        <v>371</v>
      </c>
      <c r="F101" s="81" t="s">
        <v>477</v>
      </c>
      <c r="G101" s="18">
        <v>1411876</v>
      </c>
      <c r="H101" s="58" t="s">
        <v>61</v>
      </c>
      <c r="I101" s="114" t="s">
        <v>393</v>
      </c>
      <c r="J101" s="58" t="s">
        <v>61</v>
      </c>
      <c r="K101" s="16" t="s">
        <v>161</v>
      </c>
      <c r="L101" s="16" t="s">
        <v>165</v>
      </c>
      <c r="M101" s="16" t="s">
        <v>165</v>
      </c>
      <c r="N101" s="16" t="s">
        <v>421</v>
      </c>
      <c r="O101" s="18" t="s">
        <v>61</v>
      </c>
      <c r="P101" s="18" t="s">
        <v>404</v>
      </c>
      <c r="Q101" s="19"/>
      <c r="R101" s="58" t="s">
        <v>61</v>
      </c>
      <c r="S101" s="16" t="s">
        <v>68</v>
      </c>
      <c r="T101" s="16"/>
      <c r="U101" s="16"/>
      <c r="V101" s="16">
        <v>93</v>
      </c>
      <c r="W101" s="16">
        <f t="shared" si="14"/>
        <v>93</v>
      </c>
      <c r="X101" s="16">
        <f t="shared" si="21"/>
        <v>93</v>
      </c>
      <c r="Y101" s="16">
        <f>ROUNDDOWN(W101/HLOOKUP(D101,Table!$C$3:$D$4,2,0)*8,2)</f>
        <v>1.65</v>
      </c>
      <c r="Z101" s="16">
        <v>1</v>
      </c>
      <c r="AA101" s="16" t="s">
        <v>18</v>
      </c>
      <c r="AB101" s="20"/>
      <c r="AC101" s="20">
        <v>43955</v>
      </c>
      <c r="AD101" s="20">
        <v>43966</v>
      </c>
      <c r="AE101" s="20">
        <v>43958</v>
      </c>
      <c r="AF101" s="20">
        <v>43958</v>
      </c>
      <c r="AG101" s="20" t="s">
        <v>336</v>
      </c>
      <c r="AH101" s="32">
        <v>1</v>
      </c>
      <c r="AI101" s="32">
        <v>1</v>
      </c>
      <c r="AJ101" s="32">
        <v>1</v>
      </c>
      <c r="AK101" s="20" t="s">
        <v>165</v>
      </c>
      <c r="AL101" s="16" t="s">
        <v>61</v>
      </c>
      <c r="AM101" s="16" t="s">
        <v>61</v>
      </c>
      <c r="AN101" s="16" t="s">
        <v>61</v>
      </c>
    </row>
    <row r="102" spans="2:40" hidden="1" x14ac:dyDescent="0.25">
      <c r="B102" s="86">
        <f t="shared" si="16"/>
        <v>55</v>
      </c>
      <c r="C102" s="17">
        <v>20200429</v>
      </c>
      <c r="D102" s="16" t="s">
        <v>3</v>
      </c>
      <c r="E102" s="16" t="s">
        <v>371</v>
      </c>
      <c r="F102" s="81" t="s">
        <v>477</v>
      </c>
      <c r="G102" s="18">
        <v>1411876</v>
      </c>
      <c r="H102" s="58" t="s">
        <v>61</v>
      </c>
      <c r="I102" s="94" t="s">
        <v>394</v>
      </c>
      <c r="J102" s="58" t="s">
        <v>61</v>
      </c>
      <c r="K102" s="16" t="s">
        <v>161</v>
      </c>
      <c r="L102" s="16" t="s">
        <v>165</v>
      </c>
      <c r="M102" s="16" t="s">
        <v>165</v>
      </c>
      <c r="N102" s="16" t="s">
        <v>421</v>
      </c>
      <c r="O102" s="18" t="s">
        <v>61</v>
      </c>
      <c r="P102" s="18" t="s">
        <v>404</v>
      </c>
      <c r="Q102" s="19"/>
      <c r="R102" s="58" t="s">
        <v>61</v>
      </c>
      <c r="S102" s="16" t="s">
        <v>69</v>
      </c>
      <c r="T102" s="16"/>
      <c r="U102" s="16"/>
      <c r="V102" s="16">
        <v>118</v>
      </c>
      <c r="W102" s="16">
        <f t="shared" si="14"/>
        <v>118</v>
      </c>
      <c r="X102" s="16">
        <f t="shared" si="21"/>
        <v>118</v>
      </c>
      <c r="Y102" s="16">
        <f>ROUNDDOWN(W102/HLOOKUP(D102,Table!$C$3:$D$4,2,0)*8,2)</f>
        <v>2.09</v>
      </c>
      <c r="Z102" s="16">
        <v>1</v>
      </c>
      <c r="AA102" s="16" t="s">
        <v>18</v>
      </c>
      <c r="AB102" s="20"/>
      <c r="AC102" s="20">
        <v>43955</v>
      </c>
      <c r="AD102" s="20">
        <v>43966</v>
      </c>
      <c r="AE102" s="20">
        <v>43956</v>
      </c>
      <c r="AF102" s="20">
        <v>43956</v>
      </c>
      <c r="AG102" s="20" t="s">
        <v>336</v>
      </c>
      <c r="AH102" s="32">
        <v>1</v>
      </c>
      <c r="AI102" s="32">
        <v>1</v>
      </c>
      <c r="AJ102" s="32">
        <v>1</v>
      </c>
      <c r="AK102" s="20" t="s">
        <v>165</v>
      </c>
      <c r="AL102" s="16"/>
      <c r="AM102" s="16"/>
      <c r="AN102" s="16"/>
    </row>
    <row r="103" spans="2:40" hidden="1" x14ac:dyDescent="0.25">
      <c r="B103" s="86">
        <f t="shared" si="16"/>
        <v>56</v>
      </c>
      <c r="C103" s="17">
        <v>20200429</v>
      </c>
      <c r="D103" s="16" t="s">
        <v>3</v>
      </c>
      <c r="E103" s="16" t="s">
        <v>371</v>
      </c>
      <c r="F103" s="81" t="s">
        <v>476</v>
      </c>
      <c r="G103" s="18">
        <v>1411876</v>
      </c>
      <c r="H103" s="58" t="s">
        <v>61</v>
      </c>
      <c r="I103" s="94" t="s">
        <v>395</v>
      </c>
      <c r="J103" s="58" t="s">
        <v>61</v>
      </c>
      <c r="K103" s="16" t="s">
        <v>161</v>
      </c>
      <c r="L103" s="16" t="s">
        <v>165</v>
      </c>
      <c r="M103" s="16" t="s">
        <v>165</v>
      </c>
      <c r="N103" s="16" t="s">
        <v>421</v>
      </c>
      <c r="O103" s="18" t="s">
        <v>61</v>
      </c>
      <c r="P103" s="18" t="s">
        <v>404</v>
      </c>
      <c r="Q103" s="19"/>
      <c r="R103" s="58" t="s">
        <v>61</v>
      </c>
      <c r="S103" s="16" t="s">
        <v>69</v>
      </c>
      <c r="T103" s="16"/>
      <c r="U103" s="16"/>
      <c r="V103" s="16">
        <v>47</v>
      </c>
      <c r="W103" s="16">
        <f t="shared" si="14"/>
        <v>47</v>
      </c>
      <c r="X103" s="16">
        <f t="shared" si="21"/>
        <v>47</v>
      </c>
      <c r="Y103" s="16">
        <f>ROUNDDOWN(W103/HLOOKUP(D103,Table!$C$3:$D$4,2,0)*8,2)</f>
        <v>0.83</v>
      </c>
      <c r="Z103" s="16">
        <v>0.5</v>
      </c>
      <c r="AA103" s="16" t="s">
        <v>18</v>
      </c>
      <c r="AB103" s="20"/>
      <c r="AC103" s="20">
        <v>43955</v>
      </c>
      <c r="AD103" s="20">
        <v>43966</v>
      </c>
      <c r="AE103" s="20">
        <v>43956</v>
      </c>
      <c r="AF103" s="20">
        <v>43956</v>
      </c>
      <c r="AG103" s="20" t="s">
        <v>336</v>
      </c>
      <c r="AH103" s="32">
        <v>1</v>
      </c>
      <c r="AI103" s="32">
        <v>1</v>
      </c>
      <c r="AJ103" s="32">
        <v>1</v>
      </c>
      <c r="AK103" s="20" t="s">
        <v>165</v>
      </c>
      <c r="AL103" s="16"/>
      <c r="AM103" s="16"/>
      <c r="AN103" s="16"/>
    </row>
    <row r="104" spans="2:40" hidden="1" x14ac:dyDescent="0.25">
      <c r="B104" s="86">
        <f t="shared" si="16"/>
        <v>57</v>
      </c>
      <c r="C104" s="17">
        <v>20200429</v>
      </c>
      <c r="D104" s="16" t="s">
        <v>3</v>
      </c>
      <c r="E104" s="16" t="s">
        <v>371</v>
      </c>
      <c r="F104" s="81" t="s">
        <v>476</v>
      </c>
      <c r="G104" s="18">
        <v>1411876</v>
      </c>
      <c r="H104" s="58" t="s">
        <v>61</v>
      </c>
      <c r="I104" s="114" t="s">
        <v>396</v>
      </c>
      <c r="J104" s="58" t="s">
        <v>61</v>
      </c>
      <c r="K104" s="16" t="s">
        <v>161</v>
      </c>
      <c r="L104" s="16" t="s">
        <v>165</v>
      </c>
      <c r="M104" s="16" t="s">
        <v>165</v>
      </c>
      <c r="N104" s="16" t="s">
        <v>421</v>
      </c>
      <c r="O104" s="18" t="s">
        <v>61</v>
      </c>
      <c r="P104" s="18" t="s">
        <v>404</v>
      </c>
      <c r="Q104" s="19"/>
      <c r="R104" s="58" t="s">
        <v>61</v>
      </c>
      <c r="S104" s="16" t="s">
        <v>68</v>
      </c>
      <c r="T104" s="16"/>
      <c r="U104" s="16"/>
      <c r="V104" s="16">
        <v>104</v>
      </c>
      <c r="W104" s="16">
        <f t="shared" si="14"/>
        <v>104</v>
      </c>
      <c r="X104" s="16">
        <f t="shared" ref="X104:X112" si="22">W104</f>
        <v>104</v>
      </c>
      <c r="Y104" s="16">
        <f>ROUNDDOWN(W104/HLOOKUP(D104,Table!$C$3:$D$4,2,0)*8,2)</f>
        <v>1.84</v>
      </c>
      <c r="Z104" s="16">
        <v>1</v>
      </c>
      <c r="AA104" s="16" t="s">
        <v>18</v>
      </c>
      <c r="AB104" s="20"/>
      <c r="AC104" s="20">
        <v>43955</v>
      </c>
      <c r="AD104" s="20">
        <v>43966</v>
      </c>
      <c r="AE104" s="20">
        <v>43958</v>
      </c>
      <c r="AF104" s="20">
        <v>43958</v>
      </c>
      <c r="AG104" s="20" t="s">
        <v>336</v>
      </c>
      <c r="AH104" s="32">
        <v>1</v>
      </c>
      <c r="AI104" s="32">
        <v>1</v>
      </c>
      <c r="AJ104" s="32">
        <v>1</v>
      </c>
      <c r="AK104" s="20" t="s">
        <v>165</v>
      </c>
      <c r="AL104" s="16" t="s">
        <v>61</v>
      </c>
      <c r="AM104" s="16" t="s">
        <v>61</v>
      </c>
      <c r="AN104" s="16" t="s">
        <v>61</v>
      </c>
    </row>
    <row r="105" spans="2:40" hidden="1" x14ac:dyDescent="0.25">
      <c r="B105" s="86">
        <f t="shared" si="16"/>
        <v>58</v>
      </c>
      <c r="C105" s="17">
        <v>20200429</v>
      </c>
      <c r="D105" s="16" t="s">
        <v>3</v>
      </c>
      <c r="E105" s="16" t="s">
        <v>371</v>
      </c>
      <c r="F105" s="81" t="s">
        <v>476</v>
      </c>
      <c r="G105" s="18">
        <v>1411876</v>
      </c>
      <c r="H105" s="58" t="s">
        <v>61</v>
      </c>
      <c r="I105" s="126" t="s">
        <v>397</v>
      </c>
      <c r="J105" s="58" t="s">
        <v>61</v>
      </c>
      <c r="K105" s="16" t="s">
        <v>161</v>
      </c>
      <c r="L105" s="16" t="s">
        <v>165</v>
      </c>
      <c r="M105" s="16" t="s">
        <v>165</v>
      </c>
      <c r="N105" s="16" t="s">
        <v>421</v>
      </c>
      <c r="O105" s="18" t="s">
        <v>61</v>
      </c>
      <c r="P105" s="18" t="s">
        <v>404</v>
      </c>
      <c r="Q105" s="19"/>
      <c r="R105" s="58" t="s">
        <v>61</v>
      </c>
      <c r="S105" s="16" t="s">
        <v>68</v>
      </c>
      <c r="T105" s="16"/>
      <c r="U105" s="16"/>
      <c r="V105" s="16">
        <v>138</v>
      </c>
      <c r="W105" s="16">
        <f t="shared" si="14"/>
        <v>138</v>
      </c>
      <c r="X105" s="16">
        <f t="shared" si="22"/>
        <v>138</v>
      </c>
      <c r="Y105" s="16">
        <f>ROUNDDOWN(W105/HLOOKUP(D105,Table!$C$3:$D$4,2,0)*8,2)</f>
        <v>2.4500000000000002</v>
      </c>
      <c r="Z105" s="16">
        <v>1</v>
      </c>
      <c r="AA105" s="16" t="s">
        <v>18</v>
      </c>
      <c r="AB105" s="20"/>
      <c r="AC105" s="20">
        <v>43955</v>
      </c>
      <c r="AD105" s="20">
        <v>43966</v>
      </c>
      <c r="AE105" s="20">
        <v>43959</v>
      </c>
      <c r="AF105" s="20">
        <v>43959</v>
      </c>
      <c r="AG105" s="20" t="s">
        <v>336</v>
      </c>
      <c r="AH105" s="32">
        <v>1</v>
      </c>
      <c r="AI105" s="32">
        <v>1</v>
      </c>
      <c r="AJ105" s="32">
        <v>1</v>
      </c>
      <c r="AK105" s="20" t="s">
        <v>165</v>
      </c>
      <c r="AL105" s="16" t="s">
        <v>61</v>
      </c>
      <c r="AM105" s="16" t="s">
        <v>61</v>
      </c>
      <c r="AN105" s="16" t="s">
        <v>61</v>
      </c>
    </row>
    <row r="106" spans="2:40" hidden="1" x14ac:dyDescent="0.25">
      <c r="B106" s="86">
        <f t="shared" si="16"/>
        <v>59</v>
      </c>
      <c r="C106" s="17">
        <v>20200429</v>
      </c>
      <c r="D106" s="16" t="s">
        <v>3</v>
      </c>
      <c r="E106" s="16" t="s">
        <v>371</v>
      </c>
      <c r="F106" s="81" t="s">
        <v>476</v>
      </c>
      <c r="G106" s="18">
        <v>1411876</v>
      </c>
      <c r="H106" s="58" t="s">
        <v>61</v>
      </c>
      <c r="I106" s="126" t="s">
        <v>398</v>
      </c>
      <c r="J106" s="119" t="s">
        <v>61</v>
      </c>
      <c r="K106" s="120" t="s">
        <v>161</v>
      </c>
      <c r="L106" s="120" t="s">
        <v>165</v>
      </c>
      <c r="M106" s="120" t="s">
        <v>165</v>
      </c>
      <c r="N106" s="120" t="s">
        <v>421</v>
      </c>
      <c r="O106" s="121" t="s">
        <v>61</v>
      </c>
      <c r="P106" s="121" t="s">
        <v>404</v>
      </c>
      <c r="Q106" s="122"/>
      <c r="R106" s="119" t="s">
        <v>61</v>
      </c>
      <c r="S106" s="120" t="s">
        <v>68</v>
      </c>
      <c r="T106" s="120"/>
      <c r="U106" s="120"/>
      <c r="V106" s="120">
        <v>135</v>
      </c>
      <c r="W106" s="16">
        <f t="shared" si="14"/>
        <v>135</v>
      </c>
      <c r="X106" s="16">
        <f t="shared" si="22"/>
        <v>135</v>
      </c>
      <c r="Y106" s="16">
        <f>ROUNDDOWN(W106/HLOOKUP(D106,Table!$C$3:$D$4,2,0)*8,2)</f>
        <v>2.4</v>
      </c>
      <c r="Z106" s="16">
        <v>1</v>
      </c>
      <c r="AA106" s="16" t="s">
        <v>18</v>
      </c>
      <c r="AB106" s="20"/>
      <c r="AC106" s="20">
        <v>43955</v>
      </c>
      <c r="AD106" s="20">
        <v>43966</v>
      </c>
      <c r="AE106" s="20">
        <v>43959</v>
      </c>
      <c r="AF106" s="20">
        <v>43959</v>
      </c>
      <c r="AG106" s="20" t="s">
        <v>336</v>
      </c>
      <c r="AH106" s="32">
        <v>1</v>
      </c>
      <c r="AI106" s="32">
        <v>1</v>
      </c>
      <c r="AJ106" s="32">
        <v>1</v>
      </c>
      <c r="AK106" s="20" t="s">
        <v>165</v>
      </c>
      <c r="AL106" s="16" t="s">
        <v>61</v>
      </c>
      <c r="AM106" s="16" t="s">
        <v>61</v>
      </c>
      <c r="AN106" s="16" t="s">
        <v>61</v>
      </c>
    </row>
    <row r="107" spans="2:40" hidden="1" x14ac:dyDescent="0.25">
      <c r="B107" s="86">
        <f t="shared" si="16"/>
        <v>60</v>
      </c>
      <c r="C107" s="17">
        <v>20200429</v>
      </c>
      <c r="D107" s="16" t="s">
        <v>3</v>
      </c>
      <c r="E107" s="16" t="s">
        <v>371</v>
      </c>
      <c r="F107" s="125" t="s">
        <v>476</v>
      </c>
      <c r="G107" s="121">
        <v>1411876</v>
      </c>
      <c r="H107" s="119" t="s">
        <v>61</v>
      </c>
      <c r="I107" s="126" t="s">
        <v>399</v>
      </c>
      <c r="J107" s="58" t="s">
        <v>61</v>
      </c>
      <c r="K107" s="16" t="s">
        <v>161</v>
      </c>
      <c r="L107" s="16" t="s">
        <v>165</v>
      </c>
      <c r="M107" s="16" t="s">
        <v>165</v>
      </c>
      <c r="N107" s="16" t="s">
        <v>421</v>
      </c>
      <c r="O107" s="18" t="s">
        <v>61</v>
      </c>
      <c r="P107" s="18" t="s">
        <v>404</v>
      </c>
      <c r="Q107" s="19"/>
      <c r="R107" s="58" t="s">
        <v>61</v>
      </c>
      <c r="S107" s="16" t="s">
        <v>68</v>
      </c>
      <c r="T107" s="16"/>
      <c r="U107" s="16"/>
      <c r="V107" s="16">
        <v>90</v>
      </c>
      <c r="W107" s="16">
        <f t="shared" si="14"/>
        <v>90</v>
      </c>
      <c r="X107" s="16">
        <f t="shared" si="22"/>
        <v>90</v>
      </c>
      <c r="Y107" s="16">
        <f>ROUNDDOWN(W107/HLOOKUP(D107,Table!$C$3:$D$4,2,0)*8,2)</f>
        <v>1.6</v>
      </c>
      <c r="Z107" s="16">
        <v>1</v>
      </c>
      <c r="AA107" s="16" t="s">
        <v>18</v>
      </c>
      <c r="AB107" s="20"/>
      <c r="AC107" s="20">
        <v>43955</v>
      </c>
      <c r="AD107" s="20">
        <v>43966</v>
      </c>
      <c r="AE107" s="20">
        <v>43959</v>
      </c>
      <c r="AF107" s="20">
        <v>43959</v>
      </c>
      <c r="AG107" s="20" t="s">
        <v>336</v>
      </c>
      <c r="AH107" s="32">
        <v>1</v>
      </c>
      <c r="AI107" s="32">
        <v>1</v>
      </c>
      <c r="AJ107" s="32">
        <v>1</v>
      </c>
      <c r="AK107" s="20" t="s">
        <v>165</v>
      </c>
      <c r="AL107" s="16" t="s">
        <v>61</v>
      </c>
      <c r="AM107" s="16" t="s">
        <v>61</v>
      </c>
      <c r="AN107" s="16" t="s">
        <v>61</v>
      </c>
    </row>
    <row r="108" spans="2:40" hidden="1" x14ac:dyDescent="0.25">
      <c r="B108" s="86">
        <f t="shared" si="16"/>
        <v>61</v>
      </c>
      <c r="C108" s="17">
        <v>20200429</v>
      </c>
      <c r="D108" s="16" t="s">
        <v>3</v>
      </c>
      <c r="E108" s="16" t="s">
        <v>371</v>
      </c>
      <c r="F108" s="81" t="s">
        <v>478</v>
      </c>
      <c r="G108" s="18">
        <v>1411876</v>
      </c>
      <c r="H108" s="58" t="s">
        <v>61</v>
      </c>
      <c r="I108" s="114" t="s">
        <v>400</v>
      </c>
      <c r="J108" s="58" t="s">
        <v>61</v>
      </c>
      <c r="K108" s="16" t="s">
        <v>161</v>
      </c>
      <c r="L108" s="16" t="s">
        <v>165</v>
      </c>
      <c r="M108" s="16" t="s">
        <v>165</v>
      </c>
      <c r="N108" s="16" t="s">
        <v>421</v>
      </c>
      <c r="O108" s="18" t="s">
        <v>61</v>
      </c>
      <c r="P108" s="18" t="s">
        <v>404</v>
      </c>
      <c r="Q108" s="19"/>
      <c r="R108" s="58" t="s">
        <v>61</v>
      </c>
      <c r="S108" s="16" t="s">
        <v>69</v>
      </c>
      <c r="T108" s="16"/>
      <c r="U108" s="16"/>
      <c r="V108" s="16">
        <v>45</v>
      </c>
      <c r="W108" s="16">
        <f t="shared" si="14"/>
        <v>45</v>
      </c>
      <c r="X108" s="16">
        <f t="shared" si="22"/>
        <v>45</v>
      </c>
      <c r="Y108" s="16">
        <f>ROUNDDOWN(W108/HLOOKUP(D108,Table!$C$3:$D$4,2,0)*8,2)</f>
        <v>0.8</v>
      </c>
      <c r="Z108" s="16">
        <v>0.5</v>
      </c>
      <c r="AA108" s="16" t="s">
        <v>18</v>
      </c>
      <c r="AB108" s="20"/>
      <c r="AC108" s="20">
        <v>43955</v>
      </c>
      <c r="AD108" s="20">
        <v>43966</v>
      </c>
      <c r="AE108" s="20">
        <v>43956</v>
      </c>
      <c r="AF108" s="20">
        <v>43956</v>
      </c>
      <c r="AG108" s="20" t="s">
        <v>337</v>
      </c>
      <c r="AH108" s="32">
        <v>0.37</v>
      </c>
      <c r="AI108" s="32">
        <v>1</v>
      </c>
      <c r="AJ108" s="32">
        <v>1</v>
      </c>
      <c r="AK108" s="20" t="s">
        <v>149</v>
      </c>
      <c r="AL108" s="18" t="s">
        <v>449</v>
      </c>
      <c r="AM108" s="16"/>
      <c r="AN108" s="16"/>
    </row>
    <row r="109" spans="2:40" hidden="1" x14ac:dyDescent="0.25">
      <c r="B109" s="86">
        <f t="shared" si="16"/>
        <v>62</v>
      </c>
      <c r="C109" s="17">
        <v>20200429</v>
      </c>
      <c r="D109" s="16" t="s">
        <v>3</v>
      </c>
      <c r="E109" s="16" t="s">
        <v>371</v>
      </c>
      <c r="F109" s="81" t="s">
        <v>479</v>
      </c>
      <c r="G109" s="18">
        <v>1411876</v>
      </c>
      <c r="H109" s="58" t="s">
        <v>61</v>
      </c>
      <c r="I109" s="114" t="s">
        <v>401</v>
      </c>
      <c r="J109" s="58" t="s">
        <v>61</v>
      </c>
      <c r="K109" s="16" t="s">
        <v>161</v>
      </c>
      <c r="L109" s="16" t="s">
        <v>165</v>
      </c>
      <c r="M109" s="16" t="s">
        <v>165</v>
      </c>
      <c r="N109" s="16" t="s">
        <v>421</v>
      </c>
      <c r="O109" s="18" t="s">
        <v>61</v>
      </c>
      <c r="P109" s="18" t="s">
        <v>404</v>
      </c>
      <c r="Q109" s="19"/>
      <c r="R109" s="58" t="s">
        <v>61</v>
      </c>
      <c r="S109" s="16" t="s">
        <v>69</v>
      </c>
      <c r="T109" s="16"/>
      <c r="U109" s="16"/>
      <c r="V109" s="16">
        <v>68</v>
      </c>
      <c r="W109" s="16">
        <f t="shared" si="14"/>
        <v>68</v>
      </c>
      <c r="X109" s="16">
        <f t="shared" si="22"/>
        <v>68</v>
      </c>
      <c r="Y109" s="16">
        <f>ROUNDDOWN(W109/HLOOKUP(D109,Table!$C$3:$D$4,2,0)*8,2)</f>
        <v>1.2</v>
      </c>
      <c r="Z109" s="16">
        <v>1</v>
      </c>
      <c r="AA109" s="16" t="s">
        <v>18</v>
      </c>
      <c r="AB109" s="20"/>
      <c r="AC109" s="20">
        <v>43955</v>
      </c>
      <c r="AD109" s="20">
        <v>43966</v>
      </c>
      <c r="AE109" s="20">
        <v>43956</v>
      </c>
      <c r="AF109" s="20">
        <v>43956</v>
      </c>
      <c r="AG109" s="20" t="s">
        <v>336</v>
      </c>
      <c r="AH109" s="32">
        <v>1</v>
      </c>
      <c r="AI109" s="32">
        <v>1</v>
      </c>
      <c r="AJ109" s="32">
        <v>1</v>
      </c>
      <c r="AK109" s="20" t="s">
        <v>165</v>
      </c>
      <c r="AL109" s="16"/>
      <c r="AM109" s="16"/>
      <c r="AN109" s="16"/>
    </row>
    <row r="110" spans="2:40" hidden="1" x14ac:dyDescent="0.25">
      <c r="B110" s="86">
        <f t="shared" si="16"/>
        <v>63</v>
      </c>
      <c r="C110" s="17">
        <v>20200429</v>
      </c>
      <c r="D110" s="16" t="s">
        <v>3</v>
      </c>
      <c r="E110" s="16" t="s">
        <v>371</v>
      </c>
      <c r="F110" s="81" t="s">
        <v>480</v>
      </c>
      <c r="G110" s="18">
        <v>1411876</v>
      </c>
      <c r="H110" s="58" t="s">
        <v>61</v>
      </c>
      <c r="I110" s="114" t="s">
        <v>402</v>
      </c>
      <c r="J110" s="58" t="s">
        <v>61</v>
      </c>
      <c r="K110" s="16" t="s">
        <v>161</v>
      </c>
      <c r="L110" s="16" t="s">
        <v>165</v>
      </c>
      <c r="M110" s="16" t="s">
        <v>165</v>
      </c>
      <c r="N110" s="16" t="s">
        <v>421</v>
      </c>
      <c r="O110" s="18" t="s">
        <v>61</v>
      </c>
      <c r="P110" s="18" t="s">
        <v>404</v>
      </c>
      <c r="Q110" s="19"/>
      <c r="R110" s="58" t="s">
        <v>61</v>
      </c>
      <c r="S110" s="16" t="s">
        <v>69</v>
      </c>
      <c r="T110" s="16"/>
      <c r="U110" s="16"/>
      <c r="V110" s="16">
        <v>137</v>
      </c>
      <c r="W110" s="16">
        <f t="shared" si="14"/>
        <v>137</v>
      </c>
      <c r="X110" s="16">
        <f t="shared" si="22"/>
        <v>137</v>
      </c>
      <c r="Y110" s="16">
        <f>ROUNDDOWN(W110/HLOOKUP(D110,Table!$C$3:$D$4,2,0)*8,2)</f>
        <v>2.4300000000000002</v>
      </c>
      <c r="Z110" s="16">
        <v>1</v>
      </c>
      <c r="AA110" s="16" t="s">
        <v>18</v>
      </c>
      <c r="AB110" s="20"/>
      <c r="AC110" s="20">
        <v>43955</v>
      </c>
      <c r="AD110" s="20">
        <v>43966</v>
      </c>
      <c r="AE110" s="20">
        <v>43956</v>
      </c>
      <c r="AF110" s="20">
        <v>43956</v>
      </c>
      <c r="AG110" s="20" t="s">
        <v>337</v>
      </c>
      <c r="AH110" s="32">
        <v>0.6</v>
      </c>
      <c r="AI110" s="32">
        <v>0.53</v>
      </c>
      <c r="AJ110" s="32">
        <v>1</v>
      </c>
      <c r="AK110" s="20" t="s">
        <v>149</v>
      </c>
      <c r="AL110" s="18" t="s">
        <v>482</v>
      </c>
      <c r="AM110" s="16"/>
      <c r="AN110" s="16"/>
    </row>
    <row r="111" spans="2:40" hidden="1" x14ac:dyDescent="0.25">
      <c r="B111" s="86">
        <f t="shared" si="16"/>
        <v>64</v>
      </c>
      <c r="C111" s="17">
        <v>20200429</v>
      </c>
      <c r="D111" s="16" t="s">
        <v>3</v>
      </c>
      <c r="E111" s="16" t="s">
        <v>371</v>
      </c>
      <c r="F111" s="125" t="s">
        <v>481</v>
      </c>
      <c r="G111" s="121">
        <v>1411876</v>
      </c>
      <c r="H111" s="119" t="s">
        <v>61</v>
      </c>
      <c r="I111" s="126" t="s">
        <v>403</v>
      </c>
      <c r="J111" s="58" t="s">
        <v>61</v>
      </c>
      <c r="K111" s="16" t="s">
        <v>161</v>
      </c>
      <c r="L111" s="16" t="s">
        <v>165</v>
      </c>
      <c r="M111" s="16" t="s">
        <v>165</v>
      </c>
      <c r="N111" s="16" t="s">
        <v>421</v>
      </c>
      <c r="O111" s="18" t="s">
        <v>61</v>
      </c>
      <c r="P111" s="18" t="s">
        <v>404</v>
      </c>
      <c r="Q111" s="19"/>
      <c r="R111" s="58" t="s">
        <v>61</v>
      </c>
      <c r="S111" s="16" t="s">
        <v>68</v>
      </c>
      <c r="T111" s="16"/>
      <c r="U111" s="16"/>
      <c r="V111" s="16">
        <v>102</v>
      </c>
      <c r="W111" s="16">
        <f t="shared" si="14"/>
        <v>102</v>
      </c>
      <c r="X111" s="16">
        <f t="shared" si="22"/>
        <v>102</v>
      </c>
      <c r="Y111" s="16">
        <f>ROUNDDOWN(W111/HLOOKUP(D111,Table!$C$3:$D$4,2,0)*8,2)</f>
        <v>1.81</v>
      </c>
      <c r="Z111" s="16">
        <v>1</v>
      </c>
      <c r="AA111" s="16" t="s">
        <v>18</v>
      </c>
      <c r="AB111" s="20"/>
      <c r="AC111" s="20">
        <v>43955</v>
      </c>
      <c r="AD111" s="20">
        <v>43966</v>
      </c>
      <c r="AE111" s="20">
        <v>43959</v>
      </c>
      <c r="AF111" s="20">
        <v>43959</v>
      </c>
      <c r="AG111" s="20" t="s">
        <v>337</v>
      </c>
      <c r="AH111" s="32">
        <v>0.71</v>
      </c>
      <c r="AI111" s="32">
        <v>0.6</v>
      </c>
      <c r="AJ111" s="32">
        <v>1</v>
      </c>
      <c r="AK111" s="20" t="s">
        <v>149</v>
      </c>
      <c r="AL111" s="18" t="s">
        <v>635</v>
      </c>
      <c r="AM111" s="16" t="s">
        <v>61</v>
      </c>
      <c r="AN111" s="16" t="s">
        <v>61</v>
      </c>
    </row>
    <row r="112" spans="2:40" hidden="1" x14ac:dyDescent="0.25">
      <c r="B112" s="109">
        <f t="shared" si="16"/>
        <v>65</v>
      </c>
      <c r="C112" s="17">
        <v>20200504</v>
      </c>
      <c r="D112" s="16" t="s">
        <v>3</v>
      </c>
      <c r="E112" s="93" t="s">
        <v>425</v>
      </c>
      <c r="F112" s="81" t="s">
        <v>520</v>
      </c>
      <c r="G112" s="93">
        <v>1443329</v>
      </c>
      <c r="H112" s="58" t="s">
        <v>61</v>
      </c>
      <c r="I112" s="94" t="s">
        <v>427</v>
      </c>
      <c r="J112" s="58" t="s">
        <v>61</v>
      </c>
      <c r="K112" s="16" t="s">
        <v>161</v>
      </c>
      <c r="L112" s="16" t="s">
        <v>165</v>
      </c>
      <c r="M112" s="93" t="s">
        <v>428</v>
      </c>
      <c r="N112" s="93" t="s">
        <v>431</v>
      </c>
      <c r="O112" s="18" t="s">
        <v>61</v>
      </c>
      <c r="P112" s="87" t="s">
        <v>434</v>
      </c>
      <c r="Q112" s="19"/>
      <c r="R112" s="58" t="s">
        <v>61</v>
      </c>
      <c r="S112" s="16" t="s">
        <v>69</v>
      </c>
      <c r="T112" s="16"/>
      <c r="U112" s="16"/>
      <c r="V112" s="16">
        <v>82</v>
      </c>
      <c r="W112" s="16">
        <f>V112</f>
        <v>82</v>
      </c>
      <c r="X112" s="16">
        <f t="shared" si="22"/>
        <v>82</v>
      </c>
      <c r="Y112" s="16">
        <f>ROUNDDOWN(W112/HLOOKUP(D112,Table!$C$3:$D$4,2,0)*8,2)</f>
        <v>1.45</v>
      </c>
      <c r="Z112" s="16">
        <v>1</v>
      </c>
      <c r="AA112" s="16" t="s">
        <v>74</v>
      </c>
      <c r="AB112" s="20">
        <v>43956</v>
      </c>
      <c r="AC112" s="20">
        <v>43955</v>
      </c>
      <c r="AD112" s="20">
        <v>43957</v>
      </c>
      <c r="AE112" s="20">
        <v>43956</v>
      </c>
      <c r="AF112" s="20">
        <v>43956</v>
      </c>
      <c r="AG112" s="20" t="s">
        <v>336</v>
      </c>
      <c r="AH112" s="32">
        <v>1</v>
      </c>
      <c r="AI112" s="32">
        <v>1</v>
      </c>
      <c r="AJ112" s="32">
        <v>1</v>
      </c>
      <c r="AK112" s="20" t="s">
        <v>165</v>
      </c>
      <c r="AL112" s="16" t="s">
        <v>61</v>
      </c>
      <c r="AM112" s="16" t="s">
        <v>61</v>
      </c>
      <c r="AN112" s="16" t="s">
        <v>61</v>
      </c>
    </row>
    <row r="113" spans="2:40" hidden="1" x14ac:dyDescent="0.25">
      <c r="B113" s="109">
        <f t="shared" si="16"/>
        <v>66</v>
      </c>
      <c r="C113" s="17">
        <v>20200504</v>
      </c>
      <c r="D113" s="16" t="s">
        <v>2</v>
      </c>
      <c r="E113" s="93" t="s">
        <v>426</v>
      </c>
      <c r="F113" s="116" t="s">
        <v>61</v>
      </c>
      <c r="G113" s="93">
        <v>1445490</v>
      </c>
      <c r="H113" s="58" t="s">
        <v>61</v>
      </c>
      <c r="I113" s="94" t="s">
        <v>444</v>
      </c>
      <c r="J113" s="58" t="s">
        <v>61</v>
      </c>
      <c r="K113" s="16" t="s">
        <v>161</v>
      </c>
      <c r="L113" s="94" t="s">
        <v>430</v>
      </c>
      <c r="M113" s="93" t="s">
        <v>429</v>
      </c>
      <c r="N113" s="93" t="s">
        <v>432</v>
      </c>
      <c r="O113" s="95" t="s">
        <v>433</v>
      </c>
      <c r="P113" s="87" t="s">
        <v>435</v>
      </c>
      <c r="Q113" s="19"/>
      <c r="R113" s="58"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336</v>
      </c>
      <c r="AH113" s="32">
        <v>1</v>
      </c>
      <c r="AI113" s="32">
        <v>1</v>
      </c>
      <c r="AJ113" s="32">
        <v>1</v>
      </c>
      <c r="AK113" s="20" t="s">
        <v>165</v>
      </c>
      <c r="AL113" s="16" t="s">
        <v>61</v>
      </c>
      <c r="AM113" s="16" t="s">
        <v>61</v>
      </c>
      <c r="AN113" s="16" t="s">
        <v>61</v>
      </c>
    </row>
    <row r="114" spans="2:40" x14ac:dyDescent="0.25">
      <c r="B114" s="110">
        <f t="shared" si="16"/>
        <v>67</v>
      </c>
      <c r="C114" s="17">
        <v>20200506</v>
      </c>
      <c r="D114" s="16" t="s">
        <v>3</v>
      </c>
      <c r="E114" s="16" t="s">
        <v>490</v>
      </c>
      <c r="F114" s="81" t="s">
        <v>567</v>
      </c>
      <c r="G114" s="18">
        <v>1449890</v>
      </c>
      <c r="H114" s="58" t="s">
        <v>61</v>
      </c>
      <c r="I114" s="94" t="s">
        <v>172</v>
      </c>
      <c r="J114" s="58" t="s">
        <v>61</v>
      </c>
      <c r="K114" s="16" t="s">
        <v>161</v>
      </c>
      <c r="L114" s="16" t="s">
        <v>511</v>
      </c>
      <c r="M114" s="16" t="s">
        <v>494</v>
      </c>
      <c r="N114" s="16" t="s">
        <v>514</v>
      </c>
      <c r="O114" s="18" t="s">
        <v>61</v>
      </c>
      <c r="P114" s="18" t="s">
        <v>507</v>
      </c>
      <c r="Q114" s="19"/>
      <c r="R114" s="58" t="s">
        <v>61</v>
      </c>
      <c r="S114" s="16" t="s">
        <v>64</v>
      </c>
      <c r="T114" s="16"/>
      <c r="U114" s="16"/>
      <c r="V114" s="16">
        <v>101</v>
      </c>
      <c r="W114" s="16">
        <f t="shared" ref="W114:W129"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336</v>
      </c>
      <c r="AH114" s="32">
        <v>1</v>
      </c>
      <c r="AI114" s="32">
        <v>1</v>
      </c>
      <c r="AJ114" s="32">
        <v>1</v>
      </c>
      <c r="AK114" s="20" t="s">
        <v>165</v>
      </c>
      <c r="AL114" s="16" t="s">
        <v>61</v>
      </c>
      <c r="AM114" s="16" t="s">
        <v>61</v>
      </c>
      <c r="AN114" s="16" t="s">
        <v>61</v>
      </c>
    </row>
    <row r="115" spans="2:40" x14ac:dyDescent="0.25">
      <c r="B115" s="110">
        <f t="shared" si="16"/>
        <v>68</v>
      </c>
      <c r="C115" s="17">
        <v>20200506</v>
      </c>
      <c r="D115" s="16" t="s">
        <v>3</v>
      </c>
      <c r="E115" s="16" t="s">
        <v>490</v>
      </c>
      <c r="F115" s="81" t="s">
        <v>568</v>
      </c>
      <c r="G115" s="18">
        <v>1449890</v>
      </c>
      <c r="H115" s="58" t="s">
        <v>61</v>
      </c>
      <c r="I115" s="16" t="s">
        <v>496</v>
      </c>
      <c r="J115" s="58" t="s">
        <v>61</v>
      </c>
      <c r="K115" s="16" t="s">
        <v>161</v>
      </c>
      <c r="L115" s="16" t="s">
        <v>511</v>
      </c>
      <c r="M115" s="16" t="s">
        <v>494</v>
      </c>
      <c r="N115" s="16" t="s">
        <v>514</v>
      </c>
      <c r="O115" s="18" t="s">
        <v>61</v>
      </c>
      <c r="P115" s="18" t="s">
        <v>507</v>
      </c>
      <c r="Q115" s="19"/>
      <c r="R115" s="58"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336</v>
      </c>
      <c r="AH115" s="32">
        <v>1</v>
      </c>
      <c r="AI115" s="32">
        <v>1</v>
      </c>
      <c r="AJ115" s="32">
        <v>1</v>
      </c>
      <c r="AK115" s="20" t="s">
        <v>165</v>
      </c>
      <c r="AL115" s="16" t="s">
        <v>61</v>
      </c>
      <c r="AM115" s="16" t="s">
        <v>61</v>
      </c>
      <c r="AN115" s="16" t="s">
        <v>61</v>
      </c>
    </row>
    <row r="116" spans="2:40" x14ac:dyDescent="0.25">
      <c r="B116" s="110">
        <f t="shared" si="16"/>
        <v>69</v>
      </c>
      <c r="C116" s="17">
        <v>20200506</v>
      </c>
      <c r="D116" s="16" t="s">
        <v>3</v>
      </c>
      <c r="E116" s="16" t="s">
        <v>491</v>
      </c>
      <c r="F116" s="81" t="s">
        <v>569</v>
      </c>
      <c r="G116" s="18">
        <v>1446629</v>
      </c>
      <c r="H116" s="58" t="s">
        <v>61</v>
      </c>
      <c r="I116" s="16" t="s">
        <v>634</v>
      </c>
      <c r="J116" s="58" t="s">
        <v>61</v>
      </c>
      <c r="K116" s="16" t="s">
        <v>161</v>
      </c>
      <c r="L116" s="16" t="s">
        <v>165</v>
      </c>
      <c r="M116" s="16" t="s">
        <v>170</v>
      </c>
      <c r="N116" s="16" t="s">
        <v>515</v>
      </c>
      <c r="O116" s="18" t="s">
        <v>61</v>
      </c>
      <c r="P116" s="18" t="s">
        <v>508</v>
      </c>
      <c r="Q116" s="19"/>
      <c r="R116" s="58"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336</v>
      </c>
      <c r="AH116" s="32">
        <v>1</v>
      </c>
      <c r="AI116" s="32">
        <v>1</v>
      </c>
      <c r="AJ116" s="32">
        <v>1</v>
      </c>
      <c r="AK116" s="20" t="s">
        <v>165</v>
      </c>
      <c r="AL116" s="16" t="s">
        <v>61</v>
      </c>
      <c r="AM116" s="16" t="s">
        <v>61</v>
      </c>
      <c r="AN116" s="16" t="s">
        <v>61</v>
      </c>
    </row>
    <row r="117" spans="2:40" x14ac:dyDescent="0.25">
      <c r="B117" s="110">
        <f t="shared" ref="B117" si="24">B116+1</f>
        <v>70</v>
      </c>
      <c r="C117" s="17">
        <v>20200506</v>
      </c>
      <c r="D117" s="16" t="s">
        <v>3</v>
      </c>
      <c r="E117" s="16" t="s">
        <v>492</v>
      </c>
      <c r="F117" s="113" t="s">
        <v>588</v>
      </c>
      <c r="G117" s="18">
        <v>1449424</v>
      </c>
      <c r="H117" s="58" t="s">
        <v>61</v>
      </c>
      <c r="I117" s="16" t="s">
        <v>176</v>
      </c>
      <c r="J117" s="58" t="s">
        <v>61</v>
      </c>
      <c r="K117" s="16" t="s">
        <v>354</v>
      </c>
      <c r="L117" s="16" t="s">
        <v>512</v>
      </c>
      <c r="M117" s="16" t="s">
        <v>495</v>
      </c>
      <c r="N117" s="16" t="s">
        <v>516</v>
      </c>
      <c r="O117" s="18" t="s">
        <v>61</v>
      </c>
      <c r="P117" s="18" t="s">
        <v>509</v>
      </c>
      <c r="Q117" s="19"/>
      <c r="R117" s="58" t="s">
        <v>61</v>
      </c>
      <c r="S117" s="19" t="s">
        <v>64</v>
      </c>
      <c r="T117" s="16"/>
      <c r="U117" s="16"/>
      <c r="V117" s="16">
        <v>145</v>
      </c>
      <c r="W117" s="16">
        <f t="shared" si="23"/>
        <v>145</v>
      </c>
      <c r="X117" s="16">
        <f>W117</f>
        <v>145</v>
      </c>
      <c r="Y117" s="16">
        <f>ROUNDDOWN(W117/HLOOKUP(D117,Table!$C$3:$D$4,2,0)*8,2)</f>
        <v>2.57</v>
      </c>
      <c r="Z117" s="16">
        <v>4</v>
      </c>
      <c r="AA117" s="16" t="s">
        <v>93</v>
      </c>
      <c r="AB117" s="20">
        <v>43959</v>
      </c>
      <c r="AC117" s="20">
        <v>43957</v>
      </c>
      <c r="AD117" s="20">
        <v>43959</v>
      </c>
      <c r="AE117" s="20">
        <v>43958</v>
      </c>
      <c r="AF117" s="20">
        <v>43958</v>
      </c>
      <c r="AG117" s="20" t="s">
        <v>336</v>
      </c>
      <c r="AH117" s="32">
        <v>1</v>
      </c>
      <c r="AI117" s="32">
        <v>0.98</v>
      </c>
      <c r="AJ117" s="32">
        <v>1</v>
      </c>
      <c r="AK117" s="20" t="s">
        <v>165</v>
      </c>
      <c r="AL117" s="16" t="s">
        <v>619</v>
      </c>
      <c r="AM117" s="16"/>
      <c r="AN117" s="16" t="s">
        <v>450</v>
      </c>
    </row>
    <row r="118" spans="2:40" x14ac:dyDescent="0.25">
      <c r="B118" s="110">
        <f t="shared" ref="B118:B152" si="25">B117+1</f>
        <v>71</v>
      </c>
      <c r="C118" s="17">
        <v>20200506</v>
      </c>
      <c r="D118" s="16" t="s">
        <v>3</v>
      </c>
      <c r="E118" s="99" t="s">
        <v>492</v>
      </c>
      <c r="F118" s="130" t="s">
        <v>644</v>
      </c>
      <c r="G118" s="129">
        <v>1449424</v>
      </c>
      <c r="H118" s="129"/>
      <c r="I118" s="99" t="s">
        <v>497</v>
      </c>
      <c r="J118" s="58"/>
      <c r="K118" s="16" t="s">
        <v>354</v>
      </c>
      <c r="L118" s="16" t="s">
        <v>512</v>
      </c>
      <c r="M118" s="16" t="s">
        <v>495</v>
      </c>
      <c r="N118" s="16" t="s">
        <v>516</v>
      </c>
      <c r="O118" s="18" t="s">
        <v>61</v>
      </c>
      <c r="P118" s="18" t="s">
        <v>509</v>
      </c>
      <c r="Q118" s="19"/>
      <c r="R118" s="58"/>
      <c r="S118" s="19" t="s">
        <v>64</v>
      </c>
      <c r="T118" s="16"/>
      <c r="U118" s="16"/>
      <c r="V118" s="16">
        <v>503</v>
      </c>
      <c r="W118" s="16">
        <f>V118</f>
        <v>503</v>
      </c>
      <c r="X118" s="16">
        <f>W118</f>
        <v>503</v>
      </c>
      <c r="Y118" s="16">
        <f>ROUNDDOWN(W118/HLOOKUP(D118,Table!$C$3:$D$4,2,0)*8,2)</f>
        <v>8.94</v>
      </c>
      <c r="Z118" s="16">
        <v>4</v>
      </c>
      <c r="AA118" s="16" t="s">
        <v>18</v>
      </c>
      <c r="AB118" s="20"/>
      <c r="AC118" s="20">
        <v>43962</v>
      </c>
      <c r="AD118" s="20">
        <v>43962</v>
      </c>
      <c r="AE118" s="20">
        <v>43962</v>
      </c>
      <c r="AF118" s="20">
        <v>43962</v>
      </c>
      <c r="AG118" s="20" t="s">
        <v>336</v>
      </c>
      <c r="AH118" s="32">
        <v>1</v>
      </c>
      <c r="AI118" s="32">
        <v>1</v>
      </c>
      <c r="AJ118" s="32">
        <v>1</v>
      </c>
      <c r="AK118" s="20" t="s">
        <v>165</v>
      </c>
      <c r="AL118" s="16"/>
      <c r="AM118" s="16"/>
      <c r="AN118" s="99" t="s">
        <v>645</v>
      </c>
    </row>
    <row r="119" spans="2:40" hidden="1" x14ac:dyDescent="0.25">
      <c r="B119" s="110">
        <f t="shared" si="25"/>
        <v>72</v>
      </c>
      <c r="C119" s="17">
        <v>20200506</v>
      </c>
      <c r="D119" s="16" t="s">
        <v>3</v>
      </c>
      <c r="E119" s="16" t="s">
        <v>493</v>
      </c>
      <c r="F119" s="81" t="s">
        <v>570</v>
      </c>
      <c r="G119" s="18">
        <v>1449711</v>
      </c>
      <c r="H119" s="58" t="s">
        <v>61</v>
      </c>
      <c r="I119" s="16" t="s">
        <v>497</v>
      </c>
      <c r="J119" s="58" t="s">
        <v>61</v>
      </c>
      <c r="K119" s="16" t="s">
        <v>161</v>
      </c>
      <c r="L119" s="16" t="s">
        <v>513</v>
      </c>
      <c r="M119" s="16" t="s">
        <v>565</v>
      </c>
      <c r="N119" s="16" t="s">
        <v>517</v>
      </c>
      <c r="O119" s="18" t="s">
        <v>61</v>
      </c>
      <c r="P119" s="18" t="s">
        <v>510</v>
      </c>
      <c r="Q119" s="19"/>
      <c r="R119" s="58" t="s">
        <v>61</v>
      </c>
      <c r="S119" s="16" t="s">
        <v>6</v>
      </c>
      <c r="T119" s="16"/>
      <c r="U119" s="16"/>
      <c r="V119" s="16">
        <v>444</v>
      </c>
      <c r="W119" s="16">
        <f t="shared" si="23"/>
        <v>444</v>
      </c>
      <c r="X119" s="16">
        <f t="shared" ref="X119:X128" si="26">W119</f>
        <v>444</v>
      </c>
      <c r="Y119" s="16">
        <f>ROUNDDOWN(W119/HLOOKUP(D119,Table!$C$3:$D$4,2,0)*8,2)</f>
        <v>7.89</v>
      </c>
      <c r="Z119" s="16">
        <v>2</v>
      </c>
      <c r="AA119" s="16" t="s">
        <v>21</v>
      </c>
      <c r="AB119" s="20">
        <v>43959</v>
      </c>
      <c r="AC119" s="20">
        <v>43957</v>
      </c>
      <c r="AD119" s="20">
        <v>43959</v>
      </c>
      <c r="AE119" s="20">
        <v>43958</v>
      </c>
      <c r="AF119" s="20">
        <v>43958</v>
      </c>
      <c r="AG119" s="20" t="s">
        <v>336</v>
      </c>
      <c r="AH119" s="32">
        <v>1</v>
      </c>
      <c r="AI119" s="32">
        <v>1</v>
      </c>
      <c r="AJ119" s="32">
        <v>1</v>
      </c>
      <c r="AK119" s="20" t="s">
        <v>165</v>
      </c>
      <c r="AL119" s="16" t="s">
        <v>61</v>
      </c>
      <c r="AM119" s="16" t="s">
        <v>61</v>
      </c>
      <c r="AN119" s="16" t="s">
        <v>61</v>
      </c>
    </row>
    <row r="120" spans="2:40" hidden="1" x14ac:dyDescent="0.25">
      <c r="B120" s="110">
        <f t="shared" si="25"/>
        <v>73</v>
      </c>
      <c r="C120" s="17">
        <v>20200506</v>
      </c>
      <c r="D120" s="16" t="s">
        <v>3</v>
      </c>
      <c r="E120" s="16" t="s">
        <v>493</v>
      </c>
      <c r="F120" s="81" t="s">
        <v>571</v>
      </c>
      <c r="G120" s="18">
        <v>1449711</v>
      </c>
      <c r="H120" s="58" t="s">
        <v>61</v>
      </c>
      <c r="I120" s="16" t="s">
        <v>498</v>
      </c>
      <c r="J120" s="58" t="s">
        <v>61</v>
      </c>
      <c r="K120" s="16" t="s">
        <v>161</v>
      </c>
      <c r="L120" s="16" t="s">
        <v>513</v>
      </c>
      <c r="M120" s="16" t="s">
        <v>565</v>
      </c>
      <c r="N120" s="16" t="s">
        <v>517</v>
      </c>
      <c r="O120" s="18" t="s">
        <v>61</v>
      </c>
      <c r="P120" s="18" t="s">
        <v>510</v>
      </c>
      <c r="Q120" s="19"/>
      <c r="R120" s="58" t="s">
        <v>61</v>
      </c>
      <c r="S120" s="16" t="s">
        <v>65</v>
      </c>
      <c r="T120" s="16"/>
      <c r="U120" s="16"/>
      <c r="V120" s="16">
        <v>117</v>
      </c>
      <c r="W120" s="16">
        <f t="shared" si="23"/>
        <v>117</v>
      </c>
      <c r="X120" s="16">
        <f t="shared" si="26"/>
        <v>117</v>
      </c>
      <c r="Y120" s="16">
        <f>ROUNDDOWN(W120/HLOOKUP(D120,Table!$C$3:$D$4,2,0)*8,2)</f>
        <v>2.08</v>
      </c>
      <c r="Z120" s="16">
        <v>0.5</v>
      </c>
      <c r="AA120" s="16" t="s">
        <v>21</v>
      </c>
      <c r="AB120" s="20">
        <v>43959</v>
      </c>
      <c r="AC120" s="20">
        <v>43957</v>
      </c>
      <c r="AD120" s="20">
        <v>43959</v>
      </c>
      <c r="AE120" s="20">
        <v>43957</v>
      </c>
      <c r="AF120" s="20">
        <v>43957</v>
      </c>
      <c r="AG120" s="20" t="s">
        <v>336</v>
      </c>
      <c r="AH120" s="32">
        <v>1</v>
      </c>
      <c r="AI120" s="32">
        <v>1</v>
      </c>
      <c r="AJ120" s="32">
        <v>1</v>
      </c>
      <c r="AK120" s="20" t="s">
        <v>165</v>
      </c>
      <c r="AL120" s="16" t="s">
        <v>61</v>
      </c>
      <c r="AM120" s="16" t="s">
        <v>61</v>
      </c>
      <c r="AN120" s="16" t="s">
        <v>61</v>
      </c>
    </row>
    <row r="121" spans="2:40" hidden="1" x14ac:dyDescent="0.25">
      <c r="B121" s="110">
        <f t="shared" si="25"/>
        <v>74</v>
      </c>
      <c r="C121" s="17">
        <v>20200506</v>
      </c>
      <c r="D121" s="16" t="s">
        <v>3</v>
      </c>
      <c r="E121" s="16" t="s">
        <v>493</v>
      </c>
      <c r="F121" s="81" t="s">
        <v>572</v>
      </c>
      <c r="G121" s="18">
        <v>1449711</v>
      </c>
      <c r="H121" s="58" t="s">
        <v>61</v>
      </c>
      <c r="I121" s="16" t="s">
        <v>181</v>
      </c>
      <c r="J121" s="58" t="s">
        <v>61</v>
      </c>
      <c r="K121" s="16" t="s">
        <v>161</v>
      </c>
      <c r="L121" s="16" t="s">
        <v>513</v>
      </c>
      <c r="M121" s="16" t="s">
        <v>565</v>
      </c>
      <c r="N121" s="16" t="s">
        <v>517</v>
      </c>
      <c r="O121" s="18" t="s">
        <v>61</v>
      </c>
      <c r="P121" s="18" t="s">
        <v>510</v>
      </c>
      <c r="Q121" s="19"/>
      <c r="R121" s="58" t="s">
        <v>61</v>
      </c>
      <c r="S121" s="16" t="s">
        <v>65</v>
      </c>
      <c r="T121" s="16"/>
      <c r="U121" s="16"/>
      <c r="V121" s="16">
        <v>76</v>
      </c>
      <c r="W121" s="16">
        <f t="shared" si="23"/>
        <v>76</v>
      </c>
      <c r="X121" s="16">
        <f t="shared" si="26"/>
        <v>76</v>
      </c>
      <c r="Y121" s="16">
        <f>ROUNDDOWN(W121/HLOOKUP(D121,Table!$C$3:$D$4,2,0)*8,2)</f>
        <v>1.35</v>
      </c>
      <c r="Z121" s="16">
        <v>0.5</v>
      </c>
      <c r="AA121" s="16" t="s">
        <v>21</v>
      </c>
      <c r="AB121" s="20">
        <v>43959</v>
      </c>
      <c r="AC121" s="20">
        <v>43957</v>
      </c>
      <c r="AD121" s="20">
        <v>43959</v>
      </c>
      <c r="AE121" s="20">
        <v>43957</v>
      </c>
      <c r="AF121" s="20">
        <v>43957</v>
      </c>
      <c r="AG121" s="20" t="s">
        <v>336</v>
      </c>
      <c r="AH121" s="32">
        <v>1</v>
      </c>
      <c r="AI121" s="32">
        <v>1</v>
      </c>
      <c r="AJ121" s="32">
        <v>1</v>
      </c>
      <c r="AK121" s="20" t="s">
        <v>165</v>
      </c>
      <c r="AL121" s="16" t="s">
        <v>61</v>
      </c>
      <c r="AM121" s="16" t="s">
        <v>61</v>
      </c>
      <c r="AN121" s="16" t="s">
        <v>61</v>
      </c>
    </row>
    <row r="122" spans="2:40" hidden="1" x14ac:dyDescent="0.25">
      <c r="B122" s="110">
        <f t="shared" si="25"/>
        <v>75</v>
      </c>
      <c r="C122" s="17">
        <v>20200506</v>
      </c>
      <c r="D122" s="16" t="s">
        <v>3</v>
      </c>
      <c r="E122" s="16" t="s">
        <v>493</v>
      </c>
      <c r="F122" s="81" t="s">
        <v>573</v>
      </c>
      <c r="G122" s="18">
        <v>1449711</v>
      </c>
      <c r="H122" s="58" t="s">
        <v>61</v>
      </c>
      <c r="I122" s="16" t="s">
        <v>499</v>
      </c>
      <c r="J122" s="58" t="s">
        <v>61</v>
      </c>
      <c r="K122" s="16" t="s">
        <v>161</v>
      </c>
      <c r="L122" s="16" t="s">
        <v>513</v>
      </c>
      <c r="M122" s="16" t="s">
        <v>565</v>
      </c>
      <c r="N122" s="16" t="s">
        <v>517</v>
      </c>
      <c r="O122" s="18" t="s">
        <v>61</v>
      </c>
      <c r="P122" s="18" t="s">
        <v>510</v>
      </c>
      <c r="Q122" s="19"/>
      <c r="R122" s="58" t="s">
        <v>61</v>
      </c>
      <c r="S122" s="16" t="s">
        <v>65</v>
      </c>
      <c r="T122" s="16"/>
      <c r="U122" s="16"/>
      <c r="V122" s="16">
        <v>114</v>
      </c>
      <c r="W122" s="16">
        <f t="shared" si="23"/>
        <v>114</v>
      </c>
      <c r="X122" s="16">
        <f t="shared" si="26"/>
        <v>114</v>
      </c>
      <c r="Y122" s="16">
        <f>ROUNDDOWN(W122/HLOOKUP(D122,Table!$C$3:$D$4,2,0)*8,2)</f>
        <v>2.02</v>
      </c>
      <c r="Z122" s="16">
        <v>0.5</v>
      </c>
      <c r="AA122" s="16" t="s">
        <v>21</v>
      </c>
      <c r="AB122" s="20">
        <v>43959</v>
      </c>
      <c r="AC122" s="20">
        <v>43957</v>
      </c>
      <c r="AD122" s="20">
        <v>43959</v>
      </c>
      <c r="AE122" s="20">
        <v>43957</v>
      </c>
      <c r="AF122" s="20">
        <v>43957</v>
      </c>
      <c r="AG122" s="20" t="s">
        <v>336</v>
      </c>
      <c r="AH122" s="32">
        <v>1</v>
      </c>
      <c r="AI122" s="32">
        <v>1</v>
      </c>
      <c r="AJ122" s="32">
        <v>1</v>
      </c>
      <c r="AK122" s="20" t="s">
        <v>165</v>
      </c>
      <c r="AL122" s="16" t="s">
        <v>61</v>
      </c>
      <c r="AM122" s="16" t="s">
        <v>61</v>
      </c>
      <c r="AN122" s="16" t="s">
        <v>61</v>
      </c>
    </row>
    <row r="123" spans="2:40" hidden="1" x14ac:dyDescent="0.25">
      <c r="B123" s="110">
        <f t="shared" si="25"/>
        <v>76</v>
      </c>
      <c r="C123" s="17">
        <v>20200506</v>
      </c>
      <c r="D123" s="16" t="s">
        <v>3</v>
      </c>
      <c r="E123" s="16" t="s">
        <v>493</v>
      </c>
      <c r="F123" s="81" t="s">
        <v>574</v>
      </c>
      <c r="G123" s="18">
        <v>1449711</v>
      </c>
      <c r="H123" s="58" t="s">
        <v>61</v>
      </c>
      <c r="I123" s="16" t="s">
        <v>500</v>
      </c>
      <c r="J123" s="58" t="s">
        <v>61</v>
      </c>
      <c r="K123" s="16" t="s">
        <v>161</v>
      </c>
      <c r="L123" s="16" t="s">
        <v>513</v>
      </c>
      <c r="M123" s="16" t="s">
        <v>565</v>
      </c>
      <c r="N123" s="16" t="s">
        <v>517</v>
      </c>
      <c r="O123" s="18" t="s">
        <v>61</v>
      </c>
      <c r="P123" s="18" t="s">
        <v>510</v>
      </c>
      <c r="Q123" s="19"/>
      <c r="R123" s="58" t="s">
        <v>61</v>
      </c>
      <c r="S123" s="16" t="s">
        <v>6</v>
      </c>
      <c r="T123" s="16"/>
      <c r="U123" s="16"/>
      <c r="V123" s="16">
        <v>262</v>
      </c>
      <c r="W123" s="16">
        <f t="shared" si="23"/>
        <v>262</v>
      </c>
      <c r="X123" s="16">
        <f t="shared" si="26"/>
        <v>262</v>
      </c>
      <c r="Y123" s="16">
        <f>ROUNDDOWN(W123/HLOOKUP(D123,Table!$C$3:$D$4,2,0)*8,2)</f>
        <v>4.6500000000000004</v>
      </c>
      <c r="Z123" s="16">
        <v>1</v>
      </c>
      <c r="AA123" s="16" t="s">
        <v>21</v>
      </c>
      <c r="AB123" s="20">
        <v>43959</v>
      </c>
      <c r="AC123" s="20">
        <v>43957</v>
      </c>
      <c r="AD123" s="20">
        <v>43959</v>
      </c>
      <c r="AE123" s="20">
        <v>43958</v>
      </c>
      <c r="AF123" s="20">
        <v>43958</v>
      </c>
      <c r="AG123" s="20" t="s">
        <v>336</v>
      </c>
      <c r="AH123" s="32">
        <v>1</v>
      </c>
      <c r="AI123" s="32">
        <v>1</v>
      </c>
      <c r="AJ123" s="32">
        <v>1</v>
      </c>
      <c r="AK123" s="20" t="s">
        <v>165</v>
      </c>
      <c r="AL123" s="16" t="s">
        <v>61</v>
      </c>
      <c r="AM123" s="16" t="s">
        <v>61</v>
      </c>
      <c r="AN123" s="16" t="s">
        <v>61</v>
      </c>
    </row>
    <row r="124" spans="2:40" hidden="1" x14ac:dyDescent="0.25">
      <c r="B124" s="110">
        <f t="shared" si="25"/>
        <v>77</v>
      </c>
      <c r="C124" s="17">
        <v>20200506</v>
      </c>
      <c r="D124" s="16" t="s">
        <v>3</v>
      </c>
      <c r="E124" s="16" t="s">
        <v>493</v>
      </c>
      <c r="F124" s="81" t="s">
        <v>575</v>
      </c>
      <c r="G124" s="18">
        <v>1449711</v>
      </c>
      <c r="H124" s="58" t="s">
        <v>61</v>
      </c>
      <c r="I124" s="16" t="s">
        <v>501</v>
      </c>
      <c r="J124" s="58" t="s">
        <v>61</v>
      </c>
      <c r="K124" s="16" t="s">
        <v>161</v>
      </c>
      <c r="L124" s="16" t="s">
        <v>513</v>
      </c>
      <c r="M124" s="16" t="s">
        <v>565</v>
      </c>
      <c r="N124" s="16" t="s">
        <v>517</v>
      </c>
      <c r="O124" s="18" t="s">
        <v>61</v>
      </c>
      <c r="P124" s="18" t="s">
        <v>510</v>
      </c>
      <c r="Q124" s="19"/>
      <c r="R124" s="58" t="s">
        <v>61</v>
      </c>
      <c r="S124" s="16" t="s">
        <v>157</v>
      </c>
      <c r="T124" s="16"/>
      <c r="U124" s="16"/>
      <c r="V124" s="16">
        <v>41</v>
      </c>
      <c r="W124" s="16">
        <f t="shared" si="23"/>
        <v>41</v>
      </c>
      <c r="X124" s="16">
        <f t="shared" si="26"/>
        <v>41</v>
      </c>
      <c r="Y124" s="16">
        <f>ROUNDDOWN(W124/HLOOKUP(D124,Table!$C$3:$D$4,2,0)*8,2)</f>
        <v>0.72</v>
      </c>
      <c r="Z124" s="16">
        <v>0.5</v>
      </c>
      <c r="AA124" s="16" t="s">
        <v>21</v>
      </c>
      <c r="AB124" s="20">
        <v>43959</v>
      </c>
      <c r="AC124" s="20">
        <v>43957</v>
      </c>
      <c r="AD124" s="20">
        <v>43959</v>
      </c>
      <c r="AE124" s="20">
        <v>43957</v>
      </c>
      <c r="AF124" s="20">
        <v>43957</v>
      </c>
      <c r="AG124" s="20" t="s">
        <v>336</v>
      </c>
      <c r="AH124" s="32">
        <v>1</v>
      </c>
      <c r="AI124" s="32">
        <v>1</v>
      </c>
      <c r="AJ124" s="32">
        <v>1</v>
      </c>
      <c r="AK124" s="20" t="s">
        <v>165</v>
      </c>
      <c r="AL124" s="16" t="s">
        <v>61</v>
      </c>
      <c r="AM124" s="16" t="s">
        <v>61</v>
      </c>
      <c r="AN124" s="16" t="s">
        <v>61</v>
      </c>
    </row>
    <row r="125" spans="2:40" hidden="1" x14ac:dyDescent="0.25">
      <c r="B125" s="110">
        <f t="shared" si="25"/>
        <v>78</v>
      </c>
      <c r="C125" s="17">
        <v>20200506</v>
      </c>
      <c r="D125" s="16" t="s">
        <v>3</v>
      </c>
      <c r="E125" s="16" t="s">
        <v>493</v>
      </c>
      <c r="F125" s="81" t="s">
        <v>576</v>
      </c>
      <c r="G125" s="18">
        <v>1449711</v>
      </c>
      <c r="H125" s="58" t="s">
        <v>61</v>
      </c>
      <c r="I125" s="16" t="s">
        <v>502</v>
      </c>
      <c r="J125" s="58" t="s">
        <v>61</v>
      </c>
      <c r="K125" s="16" t="s">
        <v>161</v>
      </c>
      <c r="L125" s="16" t="s">
        <v>513</v>
      </c>
      <c r="M125" s="16" t="s">
        <v>565</v>
      </c>
      <c r="N125" s="16" t="s">
        <v>517</v>
      </c>
      <c r="O125" s="18" t="s">
        <v>61</v>
      </c>
      <c r="P125" s="18" t="s">
        <v>510</v>
      </c>
      <c r="Q125" s="19"/>
      <c r="R125" s="58" t="s">
        <v>61</v>
      </c>
      <c r="S125" s="16" t="s">
        <v>157</v>
      </c>
      <c r="T125" s="16"/>
      <c r="U125" s="16"/>
      <c r="V125" s="16">
        <v>122</v>
      </c>
      <c r="W125" s="16">
        <f t="shared" si="23"/>
        <v>122</v>
      </c>
      <c r="X125" s="16">
        <f t="shared" si="26"/>
        <v>122</v>
      </c>
      <c r="Y125" s="16">
        <f>ROUNDDOWN(W125/HLOOKUP(D125,Table!$C$3:$D$4,2,0)*8,2)</f>
        <v>2.16</v>
      </c>
      <c r="Z125" s="16">
        <v>0.5</v>
      </c>
      <c r="AA125" s="16" t="s">
        <v>21</v>
      </c>
      <c r="AB125" s="20">
        <v>43959</v>
      </c>
      <c r="AC125" s="20">
        <v>43957</v>
      </c>
      <c r="AD125" s="20">
        <v>43959</v>
      </c>
      <c r="AE125" s="20">
        <v>43957</v>
      </c>
      <c r="AF125" s="20">
        <v>43957</v>
      </c>
      <c r="AG125" s="20" t="s">
        <v>336</v>
      </c>
      <c r="AH125" s="32">
        <v>1</v>
      </c>
      <c r="AI125" s="32">
        <v>1</v>
      </c>
      <c r="AJ125" s="32">
        <v>1</v>
      </c>
      <c r="AK125" s="20" t="s">
        <v>165</v>
      </c>
      <c r="AL125" s="16" t="s">
        <v>61</v>
      </c>
      <c r="AM125" s="16" t="s">
        <v>61</v>
      </c>
      <c r="AN125" s="16" t="s">
        <v>61</v>
      </c>
    </row>
    <row r="126" spans="2:40" hidden="1" x14ac:dyDescent="0.25">
      <c r="B126" s="110">
        <f t="shared" si="25"/>
        <v>79</v>
      </c>
      <c r="C126" s="17">
        <v>20200506</v>
      </c>
      <c r="D126" s="16" t="s">
        <v>3</v>
      </c>
      <c r="E126" s="16" t="s">
        <v>493</v>
      </c>
      <c r="F126" s="81" t="s">
        <v>577</v>
      </c>
      <c r="G126" s="18">
        <v>1449711</v>
      </c>
      <c r="H126" s="58" t="s">
        <v>61</v>
      </c>
      <c r="I126" s="16" t="s">
        <v>503</v>
      </c>
      <c r="J126" s="58" t="s">
        <v>61</v>
      </c>
      <c r="K126" s="16" t="s">
        <v>161</v>
      </c>
      <c r="L126" s="16" t="s">
        <v>513</v>
      </c>
      <c r="M126" s="16" t="s">
        <v>565</v>
      </c>
      <c r="N126" s="16" t="s">
        <v>517</v>
      </c>
      <c r="O126" s="18" t="s">
        <v>61</v>
      </c>
      <c r="P126" s="18" t="s">
        <v>510</v>
      </c>
      <c r="Q126" s="19"/>
      <c r="R126" s="58" t="s">
        <v>61</v>
      </c>
      <c r="S126" s="16" t="s">
        <v>157</v>
      </c>
      <c r="T126" s="16"/>
      <c r="U126" s="16"/>
      <c r="V126" s="16">
        <v>205</v>
      </c>
      <c r="W126" s="16">
        <f t="shared" si="23"/>
        <v>205</v>
      </c>
      <c r="X126" s="16">
        <f t="shared" si="26"/>
        <v>205</v>
      </c>
      <c r="Y126" s="16">
        <f>ROUNDDOWN(W126/HLOOKUP(D126,Table!$C$3:$D$4,2,0)*8,2)</f>
        <v>3.64</v>
      </c>
      <c r="Z126" s="16">
        <v>2</v>
      </c>
      <c r="AA126" s="16" t="s">
        <v>21</v>
      </c>
      <c r="AB126" s="20">
        <v>43959</v>
      </c>
      <c r="AC126" s="20">
        <v>43957</v>
      </c>
      <c r="AD126" s="20">
        <v>43959</v>
      </c>
      <c r="AE126" s="20">
        <v>43958</v>
      </c>
      <c r="AF126" s="20">
        <v>43958</v>
      </c>
      <c r="AG126" s="20" t="s">
        <v>336</v>
      </c>
      <c r="AH126" s="32">
        <v>1</v>
      </c>
      <c r="AI126" s="32">
        <v>1</v>
      </c>
      <c r="AJ126" s="32">
        <v>1</v>
      </c>
      <c r="AK126" s="20" t="s">
        <v>165</v>
      </c>
      <c r="AL126" s="16" t="s">
        <v>61</v>
      </c>
      <c r="AM126" s="16" t="s">
        <v>61</v>
      </c>
      <c r="AN126" s="16" t="s">
        <v>61</v>
      </c>
    </row>
    <row r="127" spans="2:40" hidden="1" x14ac:dyDescent="0.25">
      <c r="B127" s="110">
        <f t="shared" si="25"/>
        <v>80</v>
      </c>
      <c r="C127" s="17">
        <v>20200506</v>
      </c>
      <c r="D127" s="16" t="s">
        <v>3</v>
      </c>
      <c r="E127" s="16" t="s">
        <v>493</v>
      </c>
      <c r="F127" s="81" t="s">
        <v>578</v>
      </c>
      <c r="G127" s="18">
        <v>1449711</v>
      </c>
      <c r="H127" s="58" t="s">
        <v>61</v>
      </c>
      <c r="I127" s="16" t="s">
        <v>504</v>
      </c>
      <c r="J127" s="58" t="s">
        <v>61</v>
      </c>
      <c r="K127" s="16" t="s">
        <v>161</v>
      </c>
      <c r="L127" s="16" t="s">
        <v>513</v>
      </c>
      <c r="M127" s="16" t="s">
        <v>565</v>
      </c>
      <c r="N127" s="16" t="s">
        <v>517</v>
      </c>
      <c r="O127" s="18" t="s">
        <v>61</v>
      </c>
      <c r="P127" s="18" t="s">
        <v>510</v>
      </c>
      <c r="Q127" s="19"/>
      <c r="R127" s="58" t="s">
        <v>61</v>
      </c>
      <c r="S127" s="16" t="s">
        <v>157</v>
      </c>
      <c r="T127" s="16"/>
      <c r="U127" s="16"/>
      <c r="V127" s="16">
        <v>124</v>
      </c>
      <c r="W127" s="16">
        <f t="shared" si="23"/>
        <v>124</v>
      </c>
      <c r="X127" s="16">
        <f t="shared" si="26"/>
        <v>124</v>
      </c>
      <c r="Y127" s="16">
        <f>ROUNDDOWN(W127/HLOOKUP(D127,Table!$C$3:$D$4,2,0)*8,2)</f>
        <v>2.2000000000000002</v>
      </c>
      <c r="Z127" s="16">
        <v>1</v>
      </c>
      <c r="AA127" s="16" t="s">
        <v>21</v>
      </c>
      <c r="AB127" s="20">
        <v>43959</v>
      </c>
      <c r="AC127" s="20">
        <v>43957</v>
      </c>
      <c r="AD127" s="20">
        <v>43959</v>
      </c>
      <c r="AE127" s="20">
        <v>43958</v>
      </c>
      <c r="AF127" s="20">
        <v>43958</v>
      </c>
      <c r="AG127" s="20" t="s">
        <v>336</v>
      </c>
      <c r="AH127" s="32">
        <v>1</v>
      </c>
      <c r="AI127" s="32">
        <v>1</v>
      </c>
      <c r="AJ127" s="32">
        <v>1</v>
      </c>
      <c r="AK127" s="20" t="s">
        <v>165</v>
      </c>
      <c r="AL127" s="16" t="s">
        <v>61</v>
      </c>
      <c r="AM127" s="16" t="s">
        <v>61</v>
      </c>
      <c r="AN127" s="16" t="s">
        <v>61</v>
      </c>
    </row>
    <row r="128" spans="2:40" hidden="1" x14ac:dyDescent="0.25">
      <c r="B128" s="110">
        <f t="shared" si="25"/>
        <v>81</v>
      </c>
      <c r="C128" s="17">
        <v>20200506</v>
      </c>
      <c r="D128" s="16" t="s">
        <v>3</v>
      </c>
      <c r="E128" s="16" t="s">
        <v>493</v>
      </c>
      <c r="F128" s="81" t="s">
        <v>579</v>
      </c>
      <c r="G128" s="18">
        <v>1449711</v>
      </c>
      <c r="H128" s="58" t="s">
        <v>61</v>
      </c>
      <c r="I128" s="16" t="s">
        <v>505</v>
      </c>
      <c r="J128" s="58" t="s">
        <v>61</v>
      </c>
      <c r="K128" s="16" t="s">
        <v>161</v>
      </c>
      <c r="L128" s="16" t="s">
        <v>513</v>
      </c>
      <c r="M128" s="16" t="s">
        <v>565</v>
      </c>
      <c r="N128" s="16" t="s">
        <v>517</v>
      </c>
      <c r="O128" s="18" t="s">
        <v>61</v>
      </c>
      <c r="P128" s="18" t="s">
        <v>510</v>
      </c>
      <c r="Q128" s="19"/>
      <c r="R128" s="58" t="s">
        <v>61</v>
      </c>
      <c r="S128" s="16" t="s">
        <v>6</v>
      </c>
      <c r="T128" s="16"/>
      <c r="U128" s="16"/>
      <c r="V128" s="16">
        <v>143</v>
      </c>
      <c r="W128" s="16">
        <f t="shared" si="23"/>
        <v>143</v>
      </c>
      <c r="X128" s="16">
        <f t="shared" si="26"/>
        <v>143</v>
      </c>
      <c r="Y128" s="16">
        <f>ROUNDDOWN(W128/HLOOKUP(D128,Table!$C$3:$D$4,2,0)*8,2)</f>
        <v>2.54</v>
      </c>
      <c r="Z128" s="16">
        <v>1</v>
      </c>
      <c r="AA128" s="16" t="s">
        <v>21</v>
      </c>
      <c r="AB128" s="20">
        <v>43959</v>
      </c>
      <c r="AC128" s="20">
        <v>43957</v>
      </c>
      <c r="AD128" s="20">
        <v>43959</v>
      </c>
      <c r="AE128" s="20">
        <v>43958</v>
      </c>
      <c r="AF128" s="20">
        <v>43958</v>
      </c>
      <c r="AG128" s="20" t="s">
        <v>336</v>
      </c>
      <c r="AH128" s="32">
        <v>1</v>
      </c>
      <c r="AI128" s="32">
        <v>1</v>
      </c>
      <c r="AJ128" s="32">
        <v>1</v>
      </c>
      <c r="AK128" s="20" t="s">
        <v>165</v>
      </c>
      <c r="AL128" s="16" t="s">
        <v>61</v>
      </c>
      <c r="AM128" s="16" t="s">
        <v>61</v>
      </c>
      <c r="AN128" s="16" t="s">
        <v>61</v>
      </c>
    </row>
    <row r="129" spans="2:40" hidden="1" x14ac:dyDescent="0.25">
      <c r="B129" s="110">
        <f t="shared" si="25"/>
        <v>82</v>
      </c>
      <c r="C129" s="17">
        <v>20200506</v>
      </c>
      <c r="D129" s="16" t="s">
        <v>3</v>
      </c>
      <c r="E129" s="16" t="s">
        <v>493</v>
      </c>
      <c r="F129" s="81" t="s">
        <v>580</v>
      </c>
      <c r="G129" s="18">
        <v>1449711</v>
      </c>
      <c r="H129" s="58" t="s">
        <v>61</v>
      </c>
      <c r="I129" s="16" t="s">
        <v>506</v>
      </c>
      <c r="J129" s="58" t="s">
        <v>61</v>
      </c>
      <c r="K129" s="16" t="s">
        <v>161</v>
      </c>
      <c r="L129" s="16" t="s">
        <v>513</v>
      </c>
      <c r="M129" s="16" t="s">
        <v>565</v>
      </c>
      <c r="N129" s="16" t="s">
        <v>517</v>
      </c>
      <c r="O129" s="18" t="s">
        <v>61</v>
      </c>
      <c r="P129" s="18" t="s">
        <v>510</v>
      </c>
      <c r="Q129" s="19"/>
      <c r="R129" s="58" t="s">
        <v>61</v>
      </c>
      <c r="S129" s="16" t="s">
        <v>6</v>
      </c>
      <c r="T129" s="16"/>
      <c r="U129" s="16"/>
      <c r="V129" s="16">
        <v>263</v>
      </c>
      <c r="W129" s="16">
        <f t="shared" si="23"/>
        <v>263</v>
      </c>
      <c r="X129" s="16">
        <f t="shared" ref="X129:X135" si="27">W129</f>
        <v>263</v>
      </c>
      <c r="Y129" s="16">
        <f>ROUNDDOWN(W129/HLOOKUP(D129,Table!$C$3:$D$4,2,0)*8,2)</f>
        <v>4.67</v>
      </c>
      <c r="Z129" s="16">
        <v>2</v>
      </c>
      <c r="AA129" s="16" t="s">
        <v>21</v>
      </c>
      <c r="AB129" s="20">
        <v>43959</v>
      </c>
      <c r="AC129" s="20">
        <v>43957</v>
      </c>
      <c r="AD129" s="20">
        <v>43959</v>
      </c>
      <c r="AE129" s="20">
        <v>43958</v>
      </c>
      <c r="AF129" s="20">
        <v>43958</v>
      </c>
      <c r="AG129" s="20" t="s">
        <v>336</v>
      </c>
      <c r="AH129" s="32">
        <v>1</v>
      </c>
      <c r="AI129" s="32">
        <v>1</v>
      </c>
      <c r="AJ129" s="32">
        <v>1</v>
      </c>
      <c r="AK129" s="20" t="s">
        <v>165</v>
      </c>
      <c r="AL129" s="16" t="s">
        <v>61</v>
      </c>
      <c r="AM129" s="16" t="s">
        <v>61</v>
      </c>
      <c r="AN129" s="16" t="s">
        <v>61</v>
      </c>
    </row>
    <row r="130" spans="2:40" hidden="1" x14ac:dyDescent="0.25">
      <c r="B130" s="46">
        <f t="shared" si="25"/>
        <v>83</v>
      </c>
      <c r="C130" s="17">
        <v>20200506</v>
      </c>
      <c r="D130" s="16" t="s">
        <v>3</v>
      </c>
      <c r="E130" s="16" t="s">
        <v>322</v>
      </c>
      <c r="F130" s="81" t="s">
        <v>581</v>
      </c>
      <c r="G130" s="18">
        <v>1433783</v>
      </c>
      <c r="H130" s="58" t="s">
        <v>61</v>
      </c>
      <c r="I130" s="16" t="s">
        <v>547</v>
      </c>
      <c r="J130" s="58" t="s">
        <v>61</v>
      </c>
      <c r="K130" s="16" t="s">
        <v>161</v>
      </c>
      <c r="L130" s="16" t="s">
        <v>165</v>
      </c>
      <c r="M130" s="16" t="s">
        <v>170</v>
      </c>
      <c r="N130" s="16" t="s">
        <v>175</v>
      </c>
      <c r="O130" s="18" t="s">
        <v>61</v>
      </c>
      <c r="P130" s="18" t="s">
        <v>345</v>
      </c>
      <c r="Q130" s="19"/>
      <c r="R130" s="58" t="s">
        <v>61</v>
      </c>
      <c r="S130" s="16" t="s">
        <v>67</v>
      </c>
      <c r="T130" s="16"/>
      <c r="U130" s="16"/>
      <c r="V130" s="16">
        <v>1009</v>
      </c>
      <c r="W130" s="16">
        <f>V130</f>
        <v>1009</v>
      </c>
      <c r="X130" s="16">
        <f t="shared" si="27"/>
        <v>1009</v>
      </c>
      <c r="Y130" s="16">
        <f>ROUNDDOWN(W130/HLOOKUP(D130,Table!$C$3:$D$4,2,0)*8,2)</f>
        <v>17.93</v>
      </c>
      <c r="Z130" s="16">
        <v>16</v>
      </c>
      <c r="AA130" s="16" t="s">
        <v>21</v>
      </c>
      <c r="AB130" s="20">
        <v>43958</v>
      </c>
      <c r="AC130" s="20">
        <v>43957</v>
      </c>
      <c r="AD130" s="20">
        <v>43958</v>
      </c>
      <c r="AE130" s="20">
        <v>43958</v>
      </c>
      <c r="AF130" s="20">
        <v>43958</v>
      </c>
      <c r="AG130" s="20" t="s">
        <v>337</v>
      </c>
      <c r="AH130" s="32">
        <v>0.99</v>
      </c>
      <c r="AI130" s="32">
        <v>0.98</v>
      </c>
      <c r="AJ130" s="32">
        <v>1</v>
      </c>
      <c r="AK130" s="20" t="s">
        <v>149</v>
      </c>
      <c r="AL130" s="18" t="s">
        <v>620</v>
      </c>
      <c r="AM130" s="16" t="s">
        <v>61</v>
      </c>
      <c r="AN130" s="18" t="s">
        <v>618</v>
      </c>
    </row>
    <row r="131" spans="2:40" hidden="1" x14ac:dyDescent="0.25">
      <c r="B131" s="46">
        <f t="shared" si="25"/>
        <v>84</v>
      </c>
      <c r="C131" s="17">
        <v>20200506</v>
      </c>
      <c r="D131" s="16" t="s">
        <v>3</v>
      </c>
      <c r="E131" s="16" t="s">
        <v>546</v>
      </c>
      <c r="F131" s="81" t="s">
        <v>582</v>
      </c>
      <c r="G131" s="18">
        <v>1445651</v>
      </c>
      <c r="H131" s="58" t="s">
        <v>61</v>
      </c>
      <c r="I131" s="16" t="s">
        <v>548</v>
      </c>
      <c r="J131" s="58" t="s">
        <v>61</v>
      </c>
      <c r="K131" s="16" t="s">
        <v>161</v>
      </c>
      <c r="L131" s="16" t="s">
        <v>165</v>
      </c>
      <c r="M131" s="16" t="s">
        <v>342</v>
      </c>
      <c r="N131" s="16" t="s">
        <v>175</v>
      </c>
      <c r="O131" s="18" t="s">
        <v>61</v>
      </c>
      <c r="P131" s="18" t="s">
        <v>345</v>
      </c>
      <c r="Q131" s="19"/>
      <c r="R131" s="58" t="s">
        <v>61</v>
      </c>
      <c r="S131" s="16" t="s">
        <v>69</v>
      </c>
      <c r="T131" s="16"/>
      <c r="U131" s="16"/>
      <c r="V131" s="16">
        <v>290</v>
      </c>
      <c r="W131" s="16">
        <f t="shared" ref="W131:W142" si="28">V131</f>
        <v>290</v>
      </c>
      <c r="X131" s="16">
        <f t="shared" si="27"/>
        <v>290</v>
      </c>
      <c r="Y131" s="16">
        <f>ROUNDDOWN(W131/HLOOKUP(D131,Table!$C$3:$D$4,2,0)*8,2)</f>
        <v>5.15</v>
      </c>
      <c r="Z131" s="16">
        <v>3</v>
      </c>
      <c r="AA131" s="16" t="s">
        <v>21</v>
      </c>
      <c r="AB131" s="20">
        <v>43958</v>
      </c>
      <c r="AC131" s="20">
        <v>43957</v>
      </c>
      <c r="AD131" s="20">
        <v>43958</v>
      </c>
      <c r="AE131" s="20">
        <v>43958</v>
      </c>
      <c r="AF131" s="20">
        <v>43958</v>
      </c>
      <c r="AG131" s="20" t="s">
        <v>336</v>
      </c>
      <c r="AH131" s="32">
        <v>1</v>
      </c>
      <c r="AI131" s="32">
        <v>1</v>
      </c>
      <c r="AJ131" s="32">
        <v>1</v>
      </c>
      <c r="AK131" s="20" t="s">
        <v>165</v>
      </c>
      <c r="AL131" s="16" t="s">
        <v>61</v>
      </c>
      <c r="AM131" s="16" t="s">
        <v>61</v>
      </c>
      <c r="AN131" s="16" t="s">
        <v>61</v>
      </c>
    </row>
    <row r="132" spans="2:40" hidden="1" x14ac:dyDescent="0.25">
      <c r="B132" s="46">
        <f t="shared" si="25"/>
        <v>85</v>
      </c>
      <c r="C132" s="17">
        <v>20200506</v>
      </c>
      <c r="D132" s="16" t="s">
        <v>3</v>
      </c>
      <c r="E132" s="16" t="s">
        <v>546</v>
      </c>
      <c r="F132" s="81" t="s">
        <v>581</v>
      </c>
      <c r="G132" s="18">
        <v>1445651</v>
      </c>
      <c r="H132" s="58" t="s">
        <v>61</v>
      </c>
      <c r="I132" s="16" t="s">
        <v>549</v>
      </c>
      <c r="J132" s="58" t="s">
        <v>61</v>
      </c>
      <c r="K132" s="16" t="s">
        <v>161</v>
      </c>
      <c r="L132" s="16" t="s">
        <v>165</v>
      </c>
      <c r="M132" s="16" t="s">
        <v>342</v>
      </c>
      <c r="N132" s="16" t="s">
        <v>175</v>
      </c>
      <c r="O132" s="18" t="s">
        <v>61</v>
      </c>
      <c r="P132" s="18" t="s">
        <v>345</v>
      </c>
      <c r="Q132" s="19"/>
      <c r="R132" s="58" t="s">
        <v>61</v>
      </c>
      <c r="S132" s="16" t="s">
        <v>70</v>
      </c>
      <c r="T132" s="16"/>
      <c r="U132" s="16"/>
      <c r="V132" s="16">
        <v>456</v>
      </c>
      <c r="W132" s="16">
        <f t="shared" si="28"/>
        <v>456</v>
      </c>
      <c r="X132" s="16">
        <f t="shared" si="27"/>
        <v>456</v>
      </c>
      <c r="Y132" s="16">
        <f>ROUNDDOWN(W132/HLOOKUP(D132,Table!$C$3:$D$4,2,0)*8,2)</f>
        <v>8.1</v>
      </c>
      <c r="Z132" s="16">
        <v>4</v>
      </c>
      <c r="AA132" s="16" t="s">
        <v>21</v>
      </c>
      <c r="AB132" s="20">
        <v>43958</v>
      </c>
      <c r="AC132" s="20">
        <v>43957</v>
      </c>
      <c r="AD132" s="20">
        <v>43958</v>
      </c>
      <c r="AE132" s="20">
        <v>43958</v>
      </c>
      <c r="AF132" s="20">
        <v>43958</v>
      </c>
      <c r="AG132" s="20" t="s">
        <v>337</v>
      </c>
      <c r="AH132" s="32">
        <v>0.97</v>
      </c>
      <c r="AI132" s="32">
        <v>0.95</v>
      </c>
      <c r="AJ132" s="32">
        <v>1</v>
      </c>
      <c r="AK132" s="20" t="s">
        <v>149</v>
      </c>
      <c r="AL132" s="18" t="s">
        <v>592</v>
      </c>
      <c r="AM132" s="16" t="s">
        <v>61</v>
      </c>
      <c r="AN132" s="16" t="s">
        <v>61</v>
      </c>
    </row>
    <row r="133" spans="2:40" hidden="1" x14ac:dyDescent="0.25">
      <c r="B133" s="46">
        <f t="shared" si="25"/>
        <v>86</v>
      </c>
      <c r="C133" s="17">
        <v>20200506</v>
      </c>
      <c r="D133" s="16" t="s">
        <v>3</v>
      </c>
      <c r="E133" s="93" t="s">
        <v>590</v>
      </c>
      <c r="F133" s="81" t="s">
        <v>621</v>
      </c>
      <c r="G133" s="93">
        <v>1455113</v>
      </c>
      <c r="H133" s="58" t="s">
        <v>61</v>
      </c>
      <c r="I133" s="93" t="s">
        <v>549</v>
      </c>
      <c r="J133" s="58"/>
      <c r="K133" s="16" t="s">
        <v>161</v>
      </c>
      <c r="L133" s="93" t="s">
        <v>591</v>
      </c>
      <c r="M133" s="16" t="s">
        <v>170</v>
      </c>
      <c r="N133" s="16" t="s">
        <v>175</v>
      </c>
      <c r="O133" s="18" t="s">
        <v>61</v>
      </c>
      <c r="P133" s="18" t="s">
        <v>345</v>
      </c>
      <c r="Q133" s="19"/>
      <c r="R133" s="58" t="s">
        <v>61</v>
      </c>
      <c r="S133" s="16" t="s">
        <v>70</v>
      </c>
      <c r="T133" s="16"/>
      <c r="U133" s="16"/>
      <c r="V133" s="16">
        <v>456</v>
      </c>
      <c r="W133" s="16">
        <f>V133</f>
        <v>456</v>
      </c>
      <c r="X133" s="16">
        <f t="shared" si="27"/>
        <v>456</v>
      </c>
      <c r="Y133" s="16">
        <f>ROUNDDOWN(W133/HLOOKUP(D133,Table!$C$3:$D$4,2,0)*8,2)</f>
        <v>8.1</v>
      </c>
      <c r="Z133" s="16">
        <v>0.5</v>
      </c>
      <c r="AA133" s="16" t="s">
        <v>21</v>
      </c>
      <c r="AB133" s="20">
        <v>43958</v>
      </c>
      <c r="AC133" s="20">
        <v>43957</v>
      </c>
      <c r="AD133" s="20">
        <v>43958</v>
      </c>
      <c r="AE133" s="20">
        <v>43958</v>
      </c>
      <c r="AF133" s="20">
        <v>43958</v>
      </c>
      <c r="AG133" s="20" t="s">
        <v>337</v>
      </c>
      <c r="AH133" s="32">
        <v>0.97</v>
      </c>
      <c r="AI133" s="32">
        <v>0.95</v>
      </c>
      <c r="AJ133" s="32">
        <v>1</v>
      </c>
      <c r="AK133" s="20" t="s">
        <v>149</v>
      </c>
      <c r="AL133" s="18" t="s">
        <v>592</v>
      </c>
      <c r="AM133" s="16" t="s">
        <v>61</v>
      </c>
      <c r="AN133" s="16" t="s">
        <v>61</v>
      </c>
    </row>
    <row r="134" spans="2:40" hidden="1" x14ac:dyDescent="0.25">
      <c r="B134" s="46">
        <f t="shared" si="25"/>
        <v>87</v>
      </c>
      <c r="C134" s="17">
        <v>20200506</v>
      </c>
      <c r="D134" s="16" t="s">
        <v>3</v>
      </c>
      <c r="E134" s="16" t="s">
        <v>340</v>
      </c>
      <c r="F134" s="81" t="s">
        <v>583</v>
      </c>
      <c r="G134" s="18">
        <v>1405044</v>
      </c>
      <c r="H134" s="58" t="s">
        <v>61</v>
      </c>
      <c r="I134" s="16" t="s">
        <v>549</v>
      </c>
      <c r="J134" s="58" t="s">
        <v>61</v>
      </c>
      <c r="K134" s="16" t="s">
        <v>161</v>
      </c>
      <c r="L134" s="16" t="s">
        <v>556</v>
      </c>
      <c r="M134" s="16" t="s">
        <v>342</v>
      </c>
      <c r="N134" s="16" t="s">
        <v>349</v>
      </c>
      <c r="O134" s="18" t="s">
        <v>61</v>
      </c>
      <c r="P134" s="18" t="s">
        <v>566</v>
      </c>
      <c r="Q134" s="19"/>
      <c r="R134" s="58" t="s">
        <v>61</v>
      </c>
      <c r="S134" s="16" t="s">
        <v>70</v>
      </c>
      <c r="T134" s="16"/>
      <c r="U134" s="16"/>
      <c r="V134" s="16">
        <v>456</v>
      </c>
      <c r="W134" s="16">
        <f t="shared" si="28"/>
        <v>456</v>
      </c>
      <c r="X134" s="16">
        <f t="shared" si="27"/>
        <v>456</v>
      </c>
      <c r="Y134" s="16">
        <f>ROUNDDOWN(W134/HLOOKUP(D134,Table!$C$3:$D$4,2,0)*8,2)</f>
        <v>8.1</v>
      </c>
      <c r="Z134" s="16">
        <v>0.5</v>
      </c>
      <c r="AA134" s="16" t="s">
        <v>18</v>
      </c>
      <c r="AB134" s="20"/>
      <c r="AC134" s="20">
        <v>43957</v>
      </c>
      <c r="AD134" s="20">
        <v>43964</v>
      </c>
      <c r="AE134" s="20">
        <v>43958</v>
      </c>
      <c r="AF134" s="20">
        <v>43958</v>
      </c>
      <c r="AG134" s="20" t="s">
        <v>336</v>
      </c>
      <c r="AH134" s="32">
        <v>1</v>
      </c>
      <c r="AI134" s="32">
        <v>1</v>
      </c>
      <c r="AJ134" s="32">
        <v>1</v>
      </c>
      <c r="AK134" s="20" t="s">
        <v>165</v>
      </c>
      <c r="AL134" s="18" t="s">
        <v>61</v>
      </c>
      <c r="AM134" s="16" t="s">
        <v>61</v>
      </c>
      <c r="AN134" s="16" t="s">
        <v>61</v>
      </c>
    </row>
    <row r="135" spans="2:40" hidden="1" x14ac:dyDescent="0.25">
      <c r="B135" s="46">
        <f t="shared" si="25"/>
        <v>88</v>
      </c>
      <c r="C135" s="17">
        <v>20200506</v>
      </c>
      <c r="D135" s="16" t="s">
        <v>3</v>
      </c>
      <c r="E135" s="16" t="s">
        <v>340</v>
      </c>
      <c r="F135" s="81" t="s">
        <v>583</v>
      </c>
      <c r="G135" s="18">
        <v>1405044</v>
      </c>
      <c r="H135" s="58" t="s">
        <v>61</v>
      </c>
      <c r="I135" s="16" t="s">
        <v>550</v>
      </c>
      <c r="J135" s="58" t="s">
        <v>61</v>
      </c>
      <c r="K135" s="16" t="s">
        <v>161</v>
      </c>
      <c r="L135" s="16" t="s">
        <v>557</v>
      </c>
      <c r="M135" s="16" t="s">
        <v>342</v>
      </c>
      <c r="N135" s="16" t="s">
        <v>349</v>
      </c>
      <c r="O135" s="18" t="s">
        <v>61</v>
      </c>
      <c r="P135" s="18" t="s">
        <v>566</v>
      </c>
      <c r="Q135" s="19"/>
      <c r="R135" s="58" t="s">
        <v>61</v>
      </c>
      <c r="S135" s="16" t="s">
        <v>69</v>
      </c>
      <c r="T135" s="16"/>
      <c r="U135" s="16"/>
      <c r="V135" s="16">
        <v>91</v>
      </c>
      <c r="W135" s="16">
        <f t="shared" si="28"/>
        <v>91</v>
      </c>
      <c r="X135" s="16">
        <f t="shared" si="27"/>
        <v>91</v>
      </c>
      <c r="Y135" s="16">
        <f>ROUNDDOWN(W135/HLOOKUP(D135,Table!$C$3:$D$4,2,0)*8,2)</f>
        <v>1.61</v>
      </c>
      <c r="Z135" s="16">
        <v>1</v>
      </c>
      <c r="AA135" s="16" t="s">
        <v>18</v>
      </c>
      <c r="AB135" s="20"/>
      <c r="AC135" s="20">
        <v>43957</v>
      </c>
      <c r="AD135" s="20">
        <v>43964</v>
      </c>
      <c r="AE135" s="20">
        <v>43958</v>
      </c>
      <c r="AF135" s="20">
        <v>43958</v>
      </c>
      <c r="AG135" s="20" t="s">
        <v>336</v>
      </c>
      <c r="AH135" s="32">
        <v>1</v>
      </c>
      <c r="AI135" s="32">
        <v>1</v>
      </c>
      <c r="AJ135" s="32">
        <v>1</v>
      </c>
      <c r="AK135" s="20" t="s">
        <v>165</v>
      </c>
      <c r="AL135" s="16" t="s">
        <v>61</v>
      </c>
      <c r="AM135" s="16" t="s">
        <v>61</v>
      </c>
      <c r="AN135" s="16" t="s">
        <v>61</v>
      </c>
    </row>
    <row r="136" spans="2:40" hidden="1" x14ac:dyDescent="0.25">
      <c r="B136" s="46">
        <f t="shared" si="25"/>
        <v>89</v>
      </c>
      <c r="C136" s="17">
        <v>20200506</v>
      </c>
      <c r="D136" s="16" t="s">
        <v>3</v>
      </c>
      <c r="E136" s="16" t="s">
        <v>340</v>
      </c>
      <c r="F136" s="81" t="s">
        <v>583</v>
      </c>
      <c r="G136" s="18">
        <v>1405044</v>
      </c>
      <c r="H136" s="58" t="s">
        <v>61</v>
      </c>
      <c r="I136" s="16" t="s">
        <v>551</v>
      </c>
      <c r="J136" s="58" t="s">
        <v>61</v>
      </c>
      <c r="K136" s="16" t="s">
        <v>161</v>
      </c>
      <c r="L136" s="16" t="s">
        <v>558</v>
      </c>
      <c r="M136" s="16" t="s">
        <v>342</v>
      </c>
      <c r="N136" s="16" t="s">
        <v>349</v>
      </c>
      <c r="O136" s="18" t="s">
        <v>61</v>
      </c>
      <c r="P136" s="18" t="s">
        <v>566</v>
      </c>
      <c r="Q136" s="19"/>
      <c r="R136" s="58" t="s">
        <v>61</v>
      </c>
      <c r="S136" s="16" t="s">
        <v>69</v>
      </c>
      <c r="T136" s="16"/>
      <c r="U136" s="16"/>
      <c r="V136" s="16">
        <v>576</v>
      </c>
      <c r="W136" s="16">
        <f t="shared" si="28"/>
        <v>576</v>
      </c>
      <c r="X136" s="16">
        <f>W136</f>
        <v>576</v>
      </c>
      <c r="Y136" s="16">
        <f>ROUNDDOWN(W136/HLOOKUP(D136,Table!$C$3:$D$4,2,0)*8,2)</f>
        <v>10.24</v>
      </c>
      <c r="Z136" s="16">
        <v>8</v>
      </c>
      <c r="AA136" s="16" t="s">
        <v>18</v>
      </c>
      <c r="AB136" s="20"/>
      <c r="AC136" s="20">
        <v>43957</v>
      </c>
      <c r="AD136" s="20">
        <v>43964</v>
      </c>
      <c r="AE136" s="20">
        <v>43959</v>
      </c>
      <c r="AF136" s="20">
        <v>43959</v>
      </c>
      <c r="AG136" s="20" t="s">
        <v>336</v>
      </c>
      <c r="AH136" s="32">
        <v>1</v>
      </c>
      <c r="AI136" s="32">
        <v>1</v>
      </c>
      <c r="AJ136" s="32">
        <v>1</v>
      </c>
      <c r="AK136" s="20" t="s">
        <v>165</v>
      </c>
      <c r="AL136" s="16" t="s">
        <v>61</v>
      </c>
      <c r="AM136" s="16" t="s">
        <v>61</v>
      </c>
      <c r="AN136" s="16" t="s">
        <v>61</v>
      </c>
    </row>
    <row r="137" spans="2:40" hidden="1" x14ac:dyDescent="0.25">
      <c r="B137" s="46">
        <f t="shared" si="25"/>
        <v>90</v>
      </c>
      <c r="C137" s="17">
        <v>20200506</v>
      </c>
      <c r="D137" s="16" t="s">
        <v>3</v>
      </c>
      <c r="E137" s="16" t="s">
        <v>340</v>
      </c>
      <c r="F137" s="81" t="s">
        <v>583</v>
      </c>
      <c r="G137" s="18">
        <v>1405044</v>
      </c>
      <c r="H137" s="58" t="s">
        <v>61</v>
      </c>
      <c r="I137" s="16" t="s">
        <v>547</v>
      </c>
      <c r="J137" s="58" t="s">
        <v>61</v>
      </c>
      <c r="K137" s="16" t="s">
        <v>161</v>
      </c>
      <c r="L137" s="16" t="s">
        <v>559</v>
      </c>
      <c r="M137" s="16" t="s">
        <v>342</v>
      </c>
      <c r="N137" s="16" t="s">
        <v>349</v>
      </c>
      <c r="O137" s="18" t="s">
        <v>61</v>
      </c>
      <c r="P137" s="18" t="s">
        <v>566</v>
      </c>
      <c r="Q137" s="19"/>
      <c r="R137" s="58" t="s">
        <v>61</v>
      </c>
      <c r="S137" s="16" t="s">
        <v>67</v>
      </c>
      <c r="T137" s="16"/>
      <c r="U137" s="16"/>
      <c r="V137" s="16">
        <v>1009</v>
      </c>
      <c r="W137" s="16">
        <f t="shared" si="28"/>
        <v>1009</v>
      </c>
      <c r="X137" s="16">
        <f>W137</f>
        <v>1009</v>
      </c>
      <c r="Y137" s="16">
        <f>ROUNDDOWN(W137/HLOOKUP(D137,Table!$C$3:$D$4,2,0)*8,2)</f>
        <v>17.93</v>
      </c>
      <c r="Z137" s="16">
        <v>8</v>
      </c>
      <c r="AA137" s="16" t="s">
        <v>18</v>
      </c>
      <c r="AB137" s="20"/>
      <c r="AC137" s="20">
        <v>43957</v>
      </c>
      <c r="AD137" s="20">
        <v>43964</v>
      </c>
      <c r="AE137" s="20">
        <v>43959</v>
      </c>
      <c r="AF137" s="20">
        <v>43959</v>
      </c>
      <c r="AG137" s="20" t="s">
        <v>336</v>
      </c>
      <c r="AH137" s="32">
        <v>1</v>
      </c>
      <c r="AI137" s="32">
        <v>1</v>
      </c>
      <c r="AJ137" s="32">
        <v>1</v>
      </c>
      <c r="AK137" s="20" t="s">
        <v>165</v>
      </c>
      <c r="AL137" s="16" t="s">
        <v>61</v>
      </c>
      <c r="AM137" s="16" t="s">
        <v>61</v>
      </c>
      <c r="AN137" s="16" t="s">
        <v>61</v>
      </c>
    </row>
    <row r="138" spans="2:40" hidden="1" x14ac:dyDescent="0.25">
      <c r="B138" s="46">
        <f t="shared" si="25"/>
        <v>91</v>
      </c>
      <c r="C138" s="17">
        <v>20200506</v>
      </c>
      <c r="D138" s="16" t="s">
        <v>3</v>
      </c>
      <c r="E138" s="16" t="s">
        <v>340</v>
      </c>
      <c r="F138" s="81" t="s">
        <v>584</v>
      </c>
      <c r="G138" s="18">
        <v>1405044</v>
      </c>
      <c r="H138" s="58" t="s">
        <v>61</v>
      </c>
      <c r="I138" s="16" t="s">
        <v>548</v>
      </c>
      <c r="J138" s="58" t="s">
        <v>61</v>
      </c>
      <c r="K138" s="16" t="s">
        <v>161</v>
      </c>
      <c r="L138" s="16" t="s">
        <v>560</v>
      </c>
      <c r="M138" s="16" t="s">
        <v>342</v>
      </c>
      <c r="N138" s="16" t="s">
        <v>349</v>
      </c>
      <c r="O138" s="18" t="s">
        <v>61</v>
      </c>
      <c r="P138" s="18" t="s">
        <v>566</v>
      </c>
      <c r="Q138" s="19"/>
      <c r="R138" s="58" t="s">
        <v>61</v>
      </c>
      <c r="S138" s="16" t="s">
        <v>69</v>
      </c>
      <c r="T138" s="16"/>
      <c r="U138" s="16"/>
      <c r="V138" s="16">
        <v>290</v>
      </c>
      <c r="W138" s="16">
        <f t="shared" si="28"/>
        <v>290</v>
      </c>
      <c r="X138" s="16">
        <f t="shared" ref="X138:X147" si="29">W138</f>
        <v>290</v>
      </c>
      <c r="Y138" s="16">
        <f>ROUNDDOWN(W138/HLOOKUP(D138,Table!$C$3:$D$4,2,0)*8,2)</f>
        <v>5.15</v>
      </c>
      <c r="Z138" s="16">
        <v>1</v>
      </c>
      <c r="AA138" s="16" t="s">
        <v>18</v>
      </c>
      <c r="AB138" s="20"/>
      <c r="AC138" s="20">
        <v>43957</v>
      </c>
      <c r="AD138" s="20">
        <v>43964</v>
      </c>
      <c r="AE138" s="20">
        <v>43958</v>
      </c>
      <c r="AF138" s="20">
        <v>43958</v>
      </c>
      <c r="AG138" s="20" t="s">
        <v>336</v>
      </c>
      <c r="AH138" s="32">
        <v>1</v>
      </c>
      <c r="AI138" s="32">
        <v>1</v>
      </c>
      <c r="AJ138" s="32">
        <v>1</v>
      </c>
      <c r="AK138" s="20" t="s">
        <v>165</v>
      </c>
      <c r="AL138" s="16" t="s">
        <v>61</v>
      </c>
      <c r="AM138" s="16" t="s">
        <v>61</v>
      </c>
      <c r="AN138" s="16" t="s">
        <v>61</v>
      </c>
    </row>
    <row r="139" spans="2:40" hidden="1" x14ac:dyDescent="0.25">
      <c r="B139" s="46">
        <f t="shared" si="25"/>
        <v>92</v>
      </c>
      <c r="C139" s="17">
        <v>20200506</v>
      </c>
      <c r="D139" s="16" t="s">
        <v>3</v>
      </c>
      <c r="E139" s="16" t="s">
        <v>340</v>
      </c>
      <c r="F139" s="81" t="s">
        <v>585</v>
      </c>
      <c r="G139" s="18">
        <v>1405044</v>
      </c>
      <c r="H139" s="58" t="s">
        <v>61</v>
      </c>
      <c r="I139" s="16" t="s">
        <v>552</v>
      </c>
      <c r="J139" s="58" t="s">
        <v>61</v>
      </c>
      <c r="K139" s="16" t="s">
        <v>161</v>
      </c>
      <c r="L139" s="16" t="s">
        <v>561</v>
      </c>
      <c r="M139" s="16" t="s">
        <v>342</v>
      </c>
      <c r="N139" s="16" t="s">
        <v>349</v>
      </c>
      <c r="O139" s="18" t="s">
        <v>61</v>
      </c>
      <c r="P139" s="18" t="s">
        <v>566</v>
      </c>
      <c r="Q139" s="19"/>
      <c r="R139" s="58" t="s">
        <v>61</v>
      </c>
      <c r="S139" s="16" t="s">
        <v>69</v>
      </c>
      <c r="T139" s="16"/>
      <c r="U139" s="16"/>
      <c r="V139" s="16">
        <v>236</v>
      </c>
      <c r="W139" s="16">
        <f t="shared" si="28"/>
        <v>236</v>
      </c>
      <c r="X139" s="16">
        <f t="shared" si="29"/>
        <v>236</v>
      </c>
      <c r="Y139" s="16">
        <f>ROUNDDOWN(W139/HLOOKUP(D139,Table!$C$3:$D$4,2,0)*8,2)</f>
        <v>4.1900000000000004</v>
      </c>
      <c r="Z139" s="16">
        <v>2</v>
      </c>
      <c r="AA139" s="16" t="s">
        <v>18</v>
      </c>
      <c r="AB139" s="20"/>
      <c r="AC139" s="20">
        <v>43957</v>
      </c>
      <c r="AD139" s="20">
        <v>43964</v>
      </c>
      <c r="AE139" s="20">
        <v>43958</v>
      </c>
      <c r="AF139" s="20">
        <v>43958</v>
      </c>
      <c r="AG139" s="20" t="s">
        <v>336</v>
      </c>
      <c r="AH139" s="32">
        <v>1</v>
      </c>
      <c r="AI139" s="32">
        <v>1</v>
      </c>
      <c r="AJ139" s="32">
        <v>1</v>
      </c>
      <c r="AK139" s="20" t="s">
        <v>165</v>
      </c>
      <c r="AL139" s="16" t="s">
        <v>61</v>
      </c>
      <c r="AM139" s="16" t="s">
        <v>61</v>
      </c>
      <c r="AN139" s="16" t="s">
        <v>61</v>
      </c>
    </row>
    <row r="140" spans="2:40" hidden="1" x14ac:dyDescent="0.25">
      <c r="B140" s="46">
        <f t="shared" si="25"/>
        <v>93</v>
      </c>
      <c r="C140" s="17">
        <v>20200506</v>
      </c>
      <c r="D140" s="16" t="s">
        <v>3</v>
      </c>
      <c r="E140" s="16" t="s">
        <v>340</v>
      </c>
      <c r="F140" s="81" t="s">
        <v>586</v>
      </c>
      <c r="G140" s="18">
        <v>1405044</v>
      </c>
      <c r="H140" s="58" t="s">
        <v>61</v>
      </c>
      <c r="I140" s="16" t="s">
        <v>553</v>
      </c>
      <c r="J140" s="58" t="s">
        <v>61</v>
      </c>
      <c r="K140" s="16" t="s">
        <v>161</v>
      </c>
      <c r="L140" s="16" t="s">
        <v>562</v>
      </c>
      <c r="M140" s="16" t="s">
        <v>342</v>
      </c>
      <c r="N140" s="16" t="s">
        <v>349</v>
      </c>
      <c r="O140" s="18" t="s">
        <v>61</v>
      </c>
      <c r="P140" s="18" t="s">
        <v>566</v>
      </c>
      <c r="Q140" s="19"/>
      <c r="R140" s="58" t="s">
        <v>61</v>
      </c>
      <c r="S140" s="16" t="s">
        <v>70</v>
      </c>
      <c r="T140" s="16"/>
      <c r="U140" s="16"/>
      <c r="V140" s="16">
        <v>588</v>
      </c>
      <c r="W140" s="16">
        <f t="shared" si="28"/>
        <v>588</v>
      </c>
      <c r="X140" s="16">
        <f t="shared" si="29"/>
        <v>588</v>
      </c>
      <c r="Y140" s="16">
        <f>ROUNDDOWN(W140/HLOOKUP(D140,Table!$C$3:$D$4,2,0)*8,2)</f>
        <v>10.45</v>
      </c>
      <c r="Z140" s="16">
        <v>1</v>
      </c>
      <c r="AA140" s="16" t="s">
        <v>18</v>
      </c>
      <c r="AB140" s="20"/>
      <c r="AC140" s="20">
        <v>43957</v>
      </c>
      <c r="AD140" s="20">
        <v>43964</v>
      </c>
      <c r="AE140" s="20">
        <v>43958</v>
      </c>
      <c r="AF140" s="20">
        <v>43958</v>
      </c>
      <c r="AG140" s="20" t="s">
        <v>336</v>
      </c>
      <c r="AH140" s="32">
        <v>1</v>
      </c>
      <c r="AI140" s="32">
        <v>1</v>
      </c>
      <c r="AJ140" s="32">
        <v>1</v>
      </c>
      <c r="AK140" s="20" t="s">
        <v>165</v>
      </c>
      <c r="AL140" s="18" t="s">
        <v>61</v>
      </c>
      <c r="AM140" s="16" t="s">
        <v>61</v>
      </c>
      <c r="AN140" s="16" t="s">
        <v>61</v>
      </c>
    </row>
    <row r="141" spans="2:40" hidden="1" x14ac:dyDescent="0.25">
      <c r="B141" s="46">
        <f t="shared" si="25"/>
        <v>94</v>
      </c>
      <c r="C141" s="17">
        <v>20200506</v>
      </c>
      <c r="D141" s="16" t="s">
        <v>3</v>
      </c>
      <c r="E141" s="16" t="s">
        <v>340</v>
      </c>
      <c r="F141" s="81" t="s">
        <v>586</v>
      </c>
      <c r="G141" s="18">
        <v>1405044</v>
      </c>
      <c r="H141" s="58" t="s">
        <v>61</v>
      </c>
      <c r="I141" s="16" t="s">
        <v>554</v>
      </c>
      <c r="J141" s="58" t="s">
        <v>61</v>
      </c>
      <c r="K141" s="16" t="s">
        <v>161</v>
      </c>
      <c r="L141" s="16" t="s">
        <v>563</v>
      </c>
      <c r="M141" s="16" t="s">
        <v>342</v>
      </c>
      <c r="N141" s="16" t="s">
        <v>349</v>
      </c>
      <c r="O141" s="18" t="s">
        <v>61</v>
      </c>
      <c r="P141" s="18" t="s">
        <v>566</v>
      </c>
      <c r="Q141" s="19"/>
      <c r="R141" s="58" t="s">
        <v>61</v>
      </c>
      <c r="S141" s="16" t="s">
        <v>68</v>
      </c>
      <c r="T141" s="16"/>
      <c r="U141" s="16"/>
      <c r="V141" s="16">
        <v>2042</v>
      </c>
      <c r="W141" s="16">
        <f t="shared" si="28"/>
        <v>2042</v>
      </c>
      <c r="X141" s="16">
        <f t="shared" si="29"/>
        <v>2042</v>
      </c>
      <c r="Y141" s="16">
        <f>ROUNDDOWN(W141/HLOOKUP(D141,Table!$C$3:$D$4,2,0)*8,2)</f>
        <v>36.299999999999997</v>
      </c>
      <c r="Z141" s="16">
        <v>16</v>
      </c>
      <c r="AA141" s="16" t="s">
        <v>18</v>
      </c>
      <c r="AB141" s="20"/>
      <c r="AC141" s="20">
        <v>43957</v>
      </c>
      <c r="AD141" s="20">
        <v>43964</v>
      </c>
      <c r="AE141" s="20">
        <v>43958</v>
      </c>
      <c r="AF141" s="20">
        <v>43959</v>
      </c>
      <c r="AG141" s="20" t="s">
        <v>336</v>
      </c>
      <c r="AH141" s="32">
        <v>1</v>
      </c>
      <c r="AI141" s="32">
        <v>1</v>
      </c>
      <c r="AJ141" s="32">
        <v>1</v>
      </c>
      <c r="AK141" s="20" t="s">
        <v>165</v>
      </c>
      <c r="AL141" s="18" t="s">
        <v>646</v>
      </c>
      <c r="AM141" s="16" t="s">
        <v>61</v>
      </c>
      <c r="AN141" s="16" t="s">
        <v>61</v>
      </c>
    </row>
    <row r="142" spans="2:40" hidden="1" x14ac:dyDescent="0.25">
      <c r="B142" s="46">
        <f t="shared" si="25"/>
        <v>95</v>
      </c>
      <c r="C142" s="17">
        <v>20200506</v>
      </c>
      <c r="D142" s="16" t="s">
        <v>3</v>
      </c>
      <c r="E142" s="16" t="s">
        <v>340</v>
      </c>
      <c r="F142" s="81" t="s">
        <v>587</v>
      </c>
      <c r="G142" s="18">
        <v>1405044</v>
      </c>
      <c r="H142" s="58" t="s">
        <v>61</v>
      </c>
      <c r="I142" s="16" t="s">
        <v>555</v>
      </c>
      <c r="J142" s="58" t="s">
        <v>61</v>
      </c>
      <c r="K142" s="16" t="s">
        <v>161</v>
      </c>
      <c r="L142" s="16" t="s">
        <v>564</v>
      </c>
      <c r="M142" s="16" t="s">
        <v>342</v>
      </c>
      <c r="N142" s="16" t="s">
        <v>349</v>
      </c>
      <c r="O142" s="18" t="s">
        <v>61</v>
      </c>
      <c r="P142" s="18" t="s">
        <v>566</v>
      </c>
      <c r="Q142" s="19"/>
      <c r="R142" s="58" t="s">
        <v>61</v>
      </c>
      <c r="S142" s="16" t="s">
        <v>69</v>
      </c>
      <c r="T142" s="16"/>
      <c r="U142" s="16"/>
      <c r="V142" s="16">
        <v>103</v>
      </c>
      <c r="W142" s="16">
        <f t="shared" si="28"/>
        <v>103</v>
      </c>
      <c r="X142" s="16">
        <f t="shared" si="29"/>
        <v>103</v>
      </c>
      <c r="Y142" s="16">
        <f>ROUNDDOWN(W142/HLOOKUP(D142,Table!$C$3:$D$4,2,0)*8,2)</f>
        <v>1.83</v>
      </c>
      <c r="Z142" s="16">
        <v>1</v>
      </c>
      <c r="AA142" s="16" t="s">
        <v>18</v>
      </c>
      <c r="AB142" s="20"/>
      <c r="AC142" s="20">
        <v>43957</v>
      </c>
      <c r="AD142" s="20">
        <v>43964</v>
      </c>
      <c r="AE142" s="20">
        <v>43958</v>
      </c>
      <c r="AF142" s="20">
        <v>43958</v>
      </c>
      <c r="AG142" s="20" t="s">
        <v>336</v>
      </c>
      <c r="AH142" s="32">
        <v>1</v>
      </c>
      <c r="AI142" s="32">
        <v>1</v>
      </c>
      <c r="AJ142" s="32">
        <v>1</v>
      </c>
      <c r="AK142" s="20" t="s">
        <v>165</v>
      </c>
      <c r="AL142" s="16" t="s">
        <v>61</v>
      </c>
      <c r="AM142" s="16" t="s">
        <v>61</v>
      </c>
      <c r="AN142" s="16" t="s">
        <v>61</v>
      </c>
    </row>
    <row r="143" spans="2:40" hidden="1" x14ac:dyDescent="0.25">
      <c r="B143" s="115">
        <f t="shared" si="25"/>
        <v>96</v>
      </c>
      <c r="C143" s="17">
        <v>20200507</v>
      </c>
      <c r="D143" s="16" t="s">
        <v>3</v>
      </c>
      <c r="E143" s="16" t="s">
        <v>596</v>
      </c>
      <c r="F143" s="81" t="s">
        <v>624</v>
      </c>
      <c r="G143" s="18">
        <v>1455207</v>
      </c>
      <c r="H143" s="58" t="s">
        <v>61</v>
      </c>
      <c r="I143" s="16" t="s">
        <v>600</v>
      </c>
      <c r="J143" s="58" t="s">
        <v>61</v>
      </c>
      <c r="K143" s="16" t="s">
        <v>161</v>
      </c>
      <c r="L143" s="16" t="s">
        <v>614</v>
      </c>
      <c r="M143" s="16" t="s">
        <v>598</v>
      </c>
      <c r="N143" s="16" t="s">
        <v>615</v>
      </c>
      <c r="O143" s="18" t="s">
        <v>61</v>
      </c>
      <c r="P143" s="18" t="s">
        <v>610</v>
      </c>
      <c r="Q143" s="19"/>
      <c r="R143" s="58" t="s">
        <v>61</v>
      </c>
      <c r="S143" s="16" t="s">
        <v>157</v>
      </c>
      <c r="T143" s="16"/>
      <c r="U143" s="16"/>
      <c r="V143" s="16">
        <v>20</v>
      </c>
      <c r="W143" s="16">
        <f t="shared" ref="W143:W152" si="30">V143</f>
        <v>20</v>
      </c>
      <c r="X143" s="16">
        <f t="shared" si="29"/>
        <v>20</v>
      </c>
      <c r="Y143" s="16">
        <f>ROUNDDOWN(W143/HLOOKUP(D143,Table!$C$3:$D$4,2,0)*8,2)</f>
        <v>0.35</v>
      </c>
      <c r="Z143" s="16">
        <v>0.12</v>
      </c>
      <c r="AA143" s="16" t="s">
        <v>18</v>
      </c>
      <c r="AB143" s="20"/>
      <c r="AC143" s="20">
        <v>43958</v>
      </c>
      <c r="AD143" s="20">
        <v>43963</v>
      </c>
      <c r="AE143" s="20">
        <v>43959</v>
      </c>
      <c r="AF143" s="20">
        <v>43959</v>
      </c>
      <c r="AG143" s="20" t="s">
        <v>336</v>
      </c>
      <c r="AH143" s="32">
        <v>1</v>
      </c>
      <c r="AI143" s="32">
        <v>1</v>
      </c>
      <c r="AJ143" s="32">
        <v>1</v>
      </c>
      <c r="AK143" s="20" t="s">
        <v>165</v>
      </c>
      <c r="AL143" s="16" t="s">
        <v>61</v>
      </c>
      <c r="AM143" s="16" t="s">
        <v>61</v>
      </c>
      <c r="AN143" s="16" t="s">
        <v>61</v>
      </c>
    </row>
    <row r="144" spans="2:40" hidden="1" x14ac:dyDescent="0.25">
      <c r="B144" s="115">
        <f t="shared" si="25"/>
        <v>97</v>
      </c>
      <c r="C144" s="17">
        <v>20200507</v>
      </c>
      <c r="D144" s="16" t="s">
        <v>3</v>
      </c>
      <c r="E144" s="16" t="s">
        <v>597</v>
      </c>
      <c r="F144" s="81" t="s">
        <v>625</v>
      </c>
      <c r="G144" s="18">
        <v>1444993</v>
      </c>
      <c r="H144" s="58" t="s">
        <v>61</v>
      </c>
      <c r="I144" s="16" t="s">
        <v>601</v>
      </c>
      <c r="J144" s="58" t="s">
        <v>61</v>
      </c>
      <c r="K144" s="16" t="s">
        <v>161</v>
      </c>
      <c r="L144" s="16" t="s">
        <v>614</v>
      </c>
      <c r="M144" s="16" t="s">
        <v>598</v>
      </c>
      <c r="N144" s="16" t="s">
        <v>615</v>
      </c>
      <c r="O144" s="18" t="s">
        <v>61</v>
      </c>
      <c r="P144" s="18" t="s">
        <v>611</v>
      </c>
      <c r="Q144" s="19"/>
      <c r="R144" s="58" t="s">
        <v>61</v>
      </c>
      <c r="S144" s="16" t="s">
        <v>157</v>
      </c>
      <c r="T144" s="16"/>
      <c r="U144" s="16"/>
      <c r="V144" s="16">
        <v>149</v>
      </c>
      <c r="W144" s="16">
        <f t="shared" si="30"/>
        <v>149</v>
      </c>
      <c r="X144" s="16">
        <f t="shared" si="29"/>
        <v>149</v>
      </c>
      <c r="Y144" s="16">
        <f>ROUNDDOWN(W144/HLOOKUP(D144,Table!$C$3:$D$4,2,0)*8,2)</f>
        <v>2.64</v>
      </c>
      <c r="Z144" s="16">
        <v>1</v>
      </c>
      <c r="AA144" s="16" t="s">
        <v>18</v>
      </c>
      <c r="AB144" s="20"/>
      <c r="AC144" s="20">
        <v>43958</v>
      </c>
      <c r="AD144" s="20">
        <v>43963</v>
      </c>
      <c r="AE144" s="20">
        <v>43959</v>
      </c>
      <c r="AF144" s="20">
        <v>43959</v>
      </c>
      <c r="AG144" s="20" t="s">
        <v>336</v>
      </c>
      <c r="AH144" s="32">
        <v>1</v>
      </c>
      <c r="AI144" s="32">
        <v>1</v>
      </c>
      <c r="AJ144" s="32">
        <v>1</v>
      </c>
      <c r="AK144" s="20" t="s">
        <v>165</v>
      </c>
      <c r="AL144" s="16" t="s">
        <v>61</v>
      </c>
      <c r="AM144" s="16" t="s">
        <v>61</v>
      </c>
      <c r="AN144" s="16" t="s">
        <v>61</v>
      </c>
    </row>
    <row r="145" spans="2:40" hidden="1" x14ac:dyDescent="0.25">
      <c r="B145" s="115">
        <f t="shared" si="25"/>
        <v>98</v>
      </c>
      <c r="C145" s="17">
        <v>20200507</v>
      </c>
      <c r="D145" s="16" t="s">
        <v>3</v>
      </c>
      <c r="E145" s="16" t="s">
        <v>597</v>
      </c>
      <c r="F145" s="81" t="s">
        <v>626</v>
      </c>
      <c r="G145" s="18">
        <v>1444993</v>
      </c>
      <c r="H145" s="58" t="s">
        <v>61</v>
      </c>
      <c r="I145" s="16" t="s">
        <v>602</v>
      </c>
      <c r="J145" s="58" t="s">
        <v>61</v>
      </c>
      <c r="K145" s="16" t="s">
        <v>161</v>
      </c>
      <c r="L145" s="16" t="s">
        <v>614</v>
      </c>
      <c r="M145" s="16" t="s">
        <v>598</v>
      </c>
      <c r="N145" s="16" t="s">
        <v>615</v>
      </c>
      <c r="O145" s="18" t="s">
        <v>61</v>
      </c>
      <c r="P145" s="18" t="s">
        <v>611</v>
      </c>
      <c r="Q145" s="19"/>
      <c r="R145" s="58" t="s">
        <v>61</v>
      </c>
      <c r="S145" s="16" t="s">
        <v>157</v>
      </c>
      <c r="T145" s="16"/>
      <c r="U145" s="16"/>
      <c r="V145" s="16">
        <v>173</v>
      </c>
      <c r="W145" s="16">
        <f t="shared" si="30"/>
        <v>173</v>
      </c>
      <c r="X145" s="16">
        <f t="shared" si="29"/>
        <v>173</v>
      </c>
      <c r="Y145" s="16">
        <f>ROUNDDOWN(W145/HLOOKUP(D145,Table!$C$3:$D$4,2,0)*8,2)</f>
        <v>3.07</v>
      </c>
      <c r="Z145" s="16">
        <v>1</v>
      </c>
      <c r="AA145" s="16" t="s">
        <v>18</v>
      </c>
      <c r="AB145" s="20"/>
      <c r="AC145" s="20">
        <v>43958</v>
      </c>
      <c r="AD145" s="20">
        <v>43963</v>
      </c>
      <c r="AE145" s="20">
        <v>43959</v>
      </c>
      <c r="AF145" s="20">
        <v>43959</v>
      </c>
      <c r="AG145" s="20" t="s">
        <v>336</v>
      </c>
      <c r="AH145" s="32">
        <v>1</v>
      </c>
      <c r="AI145" s="32">
        <v>1</v>
      </c>
      <c r="AJ145" s="32">
        <v>1</v>
      </c>
      <c r="AK145" s="20" t="s">
        <v>165</v>
      </c>
      <c r="AL145" s="16" t="s">
        <v>61</v>
      </c>
      <c r="AM145" s="16" t="s">
        <v>61</v>
      </c>
      <c r="AN145" s="16" t="s">
        <v>61</v>
      </c>
    </row>
    <row r="146" spans="2:40" hidden="1" x14ac:dyDescent="0.25">
      <c r="B146" s="115">
        <f t="shared" si="25"/>
        <v>99</v>
      </c>
      <c r="C146" s="17">
        <v>20200507</v>
      </c>
      <c r="D146" s="16" t="s">
        <v>3</v>
      </c>
      <c r="E146" s="16" t="s">
        <v>426</v>
      </c>
      <c r="F146" s="81" t="s">
        <v>627</v>
      </c>
      <c r="G146" s="18">
        <v>1453050</v>
      </c>
      <c r="H146" s="58" t="s">
        <v>61</v>
      </c>
      <c r="I146" s="16" t="s">
        <v>603</v>
      </c>
      <c r="J146" s="58" t="s">
        <v>61</v>
      </c>
      <c r="K146" s="16" t="s">
        <v>161</v>
      </c>
      <c r="L146" s="16" t="s">
        <v>430</v>
      </c>
      <c r="M146" s="16" t="s">
        <v>599</v>
      </c>
      <c r="N146" s="16" t="s">
        <v>616</v>
      </c>
      <c r="O146" s="18" t="s">
        <v>61</v>
      </c>
      <c r="P146" s="18" t="s">
        <v>613</v>
      </c>
      <c r="Q146" s="19"/>
      <c r="R146" s="58" t="s">
        <v>61</v>
      </c>
      <c r="S146" s="16" t="s">
        <v>157</v>
      </c>
      <c r="T146" s="16"/>
      <c r="U146" s="16"/>
      <c r="V146" s="16">
        <v>132</v>
      </c>
      <c r="W146" s="16">
        <f t="shared" si="30"/>
        <v>132</v>
      </c>
      <c r="X146" s="16">
        <f t="shared" si="29"/>
        <v>132</v>
      </c>
      <c r="Y146" s="16">
        <f>ROUNDDOWN(W146/HLOOKUP(D146,Table!$C$3:$D$4,2,0)*8,2)</f>
        <v>2.34</v>
      </c>
      <c r="Z146" s="16">
        <v>2</v>
      </c>
      <c r="AA146" s="16" t="s">
        <v>18</v>
      </c>
      <c r="AB146" s="20"/>
      <c r="AC146" s="20">
        <v>43958</v>
      </c>
      <c r="AD146" s="20">
        <v>43963</v>
      </c>
      <c r="AE146" s="20">
        <v>43959</v>
      </c>
      <c r="AF146" s="20">
        <v>43959</v>
      </c>
      <c r="AG146" s="20" t="s">
        <v>336</v>
      </c>
      <c r="AH146" s="32">
        <v>1</v>
      </c>
      <c r="AI146" s="32">
        <v>1</v>
      </c>
      <c r="AJ146" s="32">
        <v>1</v>
      </c>
      <c r="AK146" s="20" t="s">
        <v>165</v>
      </c>
      <c r="AL146" s="16" t="s">
        <v>61</v>
      </c>
      <c r="AM146" s="16" t="s">
        <v>61</v>
      </c>
      <c r="AN146" s="16" t="s">
        <v>61</v>
      </c>
    </row>
    <row r="147" spans="2:40" hidden="1" x14ac:dyDescent="0.25">
      <c r="B147" s="115">
        <f t="shared" si="25"/>
        <v>100</v>
      </c>
      <c r="C147" s="17">
        <v>20200507</v>
      </c>
      <c r="D147" s="16" t="s">
        <v>3</v>
      </c>
      <c r="E147" s="16" t="s">
        <v>426</v>
      </c>
      <c r="F147" s="81" t="s">
        <v>628</v>
      </c>
      <c r="G147" s="18">
        <v>1453050</v>
      </c>
      <c r="H147" s="58" t="s">
        <v>61</v>
      </c>
      <c r="I147" s="16" t="s">
        <v>604</v>
      </c>
      <c r="J147" s="58" t="s">
        <v>61</v>
      </c>
      <c r="K147" s="16" t="s">
        <v>161</v>
      </c>
      <c r="L147" s="16" t="s">
        <v>430</v>
      </c>
      <c r="M147" s="16" t="s">
        <v>599</v>
      </c>
      <c r="N147" s="16" t="s">
        <v>616</v>
      </c>
      <c r="O147" s="18" t="s">
        <v>61</v>
      </c>
      <c r="P147" s="18" t="s">
        <v>613</v>
      </c>
      <c r="Q147" s="19"/>
      <c r="R147" s="58" t="s">
        <v>61</v>
      </c>
      <c r="S147" s="16" t="s">
        <v>157</v>
      </c>
      <c r="T147" s="16"/>
      <c r="U147" s="16"/>
      <c r="V147" s="16">
        <v>156</v>
      </c>
      <c r="W147" s="16">
        <f t="shared" si="30"/>
        <v>156</v>
      </c>
      <c r="X147" s="16">
        <f t="shared" si="29"/>
        <v>156</v>
      </c>
      <c r="Y147" s="16">
        <f>ROUNDDOWN(W147/HLOOKUP(D147,Table!$C$3:$D$4,2,0)*8,2)</f>
        <v>2.77</v>
      </c>
      <c r="Z147" s="16">
        <v>1.5</v>
      </c>
      <c r="AA147" s="16" t="s">
        <v>18</v>
      </c>
      <c r="AB147" s="20"/>
      <c r="AC147" s="20">
        <v>43958</v>
      </c>
      <c r="AD147" s="20">
        <v>43963</v>
      </c>
      <c r="AE147" s="20">
        <v>43959</v>
      </c>
      <c r="AF147" s="20">
        <v>43959</v>
      </c>
      <c r="AG147" s="20" t="s">
        <v>336</v>
      </c>
      <c r="AH147" s="32">
        <v>1</v>
      </c>
      <c r="AI147" s="32">
        <v>1</v>
      </c>
      <c r="AJ147" s="32">
        <v>1</v>
      </c>
      <c r="AK147" s="20" t="s">
        <v>165</v>
      </c>
      <c r="AL147" s="16" t="s">
        <v>61</v>
      </c>
      <c r="AM147" s="16" t="s">
        <v>61</v>
      </c>
      <c r="AN147" s="16" t="s">
        <v>61</v>
      </c>
    </row>
    <row r="148" spans="2:40" hidden="1" x14ac:dyDescent="0.25">
      <c r="B148" s="115">
        <f t="shared" si="25"/>
        <v>101</v>
      </c>
      <c r="C148" s="17">
        <v>20200507</v>
      </c>
      <c r="D148" s="16" t="s">
        <v>3</v>
      </c>
      <c r="E148" s="16" t="s">
        <v>426</v>
      </c>
      <c r="F148" s="81" t="s">
        <v>629</v>
      </c>
      <c r="G148" s="18">
        <v>1453050</v>
      </c>
      <c r="H148" s="58" t="s">
        <v>61</v>
      </c>
      <c r="I148" s="16" t="s">
        <v>605</v>
      </c>
      <c r="J148" s="58" t="s">
        <v>61</v>
      </c>
      <c r="K148" s="16" t="s">
        <v>161</v>
      </c>
      <c r="L148" s="16" t="s">
        <v>430</v>
      </c>
      <c r="M148" s="16" t="s">
        <v>599</v>
      </c>
      <c r="N148" s="16" t="s">
        <v>616</v>
      </c>
      <c r="O148" s="18" t="s">
        <v>61</v>
      </c>
      <c r="P148" s="18" t="s">
        <v>613</v>
      </c>
      <c r="Q148" s="19"/>
      <c r="R148" s="58" t="s">
        <v>61</v>
      </c>
      <c r="S148" s="16" t="s">
        <v>65</v>
      </c>
      <c r="T148" s="16"/>
      <c r="U148" s="16"/>
      <c r="V148" s="16">
        <v>309</v>
      </c>
      <c r="W148" s="16">
        <f t="shared" si="30"/>
        <v>309</v>
      </c>
      <c r="X148" s="16">
        <f t="shared" ref="X148:X152" si="31">W148</f>
        <v>309</v>
      </c>
      <c r="Y148" s="16">
        <f>ROUNDDOWN(W148/HLOOKUP(D148,Table!$C$3:$D$4,2,0)*8,2)</f>
        <v>5.49</v>
      </c>
      <c r="Z148" s="16">
        <v>4</v>
      </c>
      <c r="AA148" s="16" t="s">
        <v>18</v>
      </c>
      <c r="AB148" s="20"/>
      <c r="AC148" s="20">
        <v>43958</v>
      </c>
      <c r="AD148" s="20">
        <v>43963</v>
      </c>
      <c r="AE148" s="20">
        <v>43962</v>
      </c>
      <c r="AF148" s="20">
        <v>43962</v>
      </c>
      <c r="AG148" s="20" t="s">
        <v>337</v>
      </c>
      <c r="AH148" s="32">
        <v>1</v>
      </c>
      <c r="AI148" s="32">
        <v>1</v>
      </c>
      <c r="AJ148" s="32">
        <v>0.83</v>
      </c>
      <c r="AK148" s="20" t="s">
        <v>149</v>
      </c>
      <c r="AL148" s="16" t="s">
        <v>647</v>
      </c>
      <c r="AM148" s="16"/>
      <c r="AN148" s="16"/>
    </row>
    <row r="149" spans="2:40" hidden="1" x14ac:dyDescent="0.25">
      <c r="B149" s="115">
        <f t="shared" si="25"/>
        <v>102</v>
      </c>
      <c r="C149" s="17">
        <v>20200507</v>
      </c>
      <c r="D149" s="16" t="s">
        <v>3</v>
      </c>
      <c r="E149" s="16" t="s">
        <v>426</v>
      </c>
      <c r="F149" s="81" t="s">
        <v>630</v>
      </c>
      <c r="G149" s="18">
        <v>1453050</v>
      </c>
      <c r="H149" s="58" t="s">
        <v>61</v>
      </c>
      <c r="I149" s="16" t="s">
        <v>606</v>
      </c>
      <c r="J149" s="58" t="s">
        <v>61</v>
      </c>
      <c r="K149" s="16" t="s">
        <v>161</v>
      </c>
      <c r="L149" s="16" t="s">
        <v>430</v>
      </c>
      <c r="M149" s="16" t="s">
        <v>599</v>
      </c>
      <c r="N149" s="16" t="s">
        <v>616</v>
      </c>
      <c r="O149" s="18" t="s">
        <v>61</v>
      </c>
      <c r="P149" s="18" t="s">
        <v>613</v>
      </c>
      <c r="Q149" s="19"/>
      <c r="R149" s="58" t="s">
        <v>61</v>
      </c>
      <c r="S149" s="16" t="s">
        <v>65</v>
      </c>
      <c r="T149" s="16"/>
      <c r="U149" s="16"/>
      <c r="V149" s="16">
        <v>25</v>
      </c>
      <c r="W149" s="16">
        <f t="shared" si="30"/>
        <v>25</v>
      </c>
      <c r="X149" s="16">
        <f t="shared" si="31"/>
        <v>25</v>
      </c>
      <c r="Y149" s="16">
        <f>ROUNDDOWN(W149/HLOOKUP(D149,Table!$C$3:$D$4,2,0)*8,2)</f>
        <v>0.44</v>
      </c>
      <c r="Z149" s="16">
        <v>1</v>
      </c>
      <c r="AA149" s="16" t="s">
        <v>18</v>
      </c>
      <c r="AB149" s="20"/>
      <c r="AC149" s="20">
        <v>43958</v>
      </c>
      <c r="AD149" s="20">
        <v>43963</v>
      </c>
      <c r="AE149" s="20">
        <v>43962</v>
      </c>
      <c r="AF149" s="20">
        <v>43962</v>
      </c>
      <c r="AG149" s="20" t="s">
        <v>336</v>
      </c>
      <c r="AH149" s="32">
        <v>1</v>
      </c>
      <c r="AI149" s="32">
        <v>1</v>
      </c>
      <c r="AJ149" s="32">
        <v>1</v>
      </c>
      <c r="AK149" s="20" t="s">
        <v>165</v>
      </c>
      <c r="AL149" s="16"/>
      <c r="AM149" s="16"/>
      <c r="AN149" s="16"/>
    </row>
    <row r="150" spans="2:40" hidden="1" x14ac:dyDescent="0.25">
      <c r="B150" s="115">
        <f t="shared" si="25"/>
        <v>103</v>
      </c>
      <c r="C150" s="17">
        <v>20200507</v>
      </c>
      <c r="D150" s="16" t="s">
        <v>3</v>
      </c>
      <c r="E150" s="16" t="s">
        <v>426</v>
      </c>
      <c r="F150" s="81" t="s">
        <v>631</v>
      </c>
      <c r="G150" s="18">
        <v>1453050</v>
      </c>
      <c r="H150" s="58" t="s">
        <v>61</v>
      </c>
      <c r="I150" s="16" t="s">
        <v>607</v>
      </c>
      <c r="J150" s="58" t="s">
        <v>61</v>
      </c>
      <c r="K150" s="16" t="s">
        <v>161</v>
      </c>
      <c r="L150" s="16" t="s">
        <v>430</v>
      </c>
      <c r="M150" s="16" t="s">
        <v>599</v>
      </c>
      <c r="N150" s="16" t="s">
        <v>616</v>
      </c>
      <c r="O150" s="18" t="s">
        <v>61</v>
      </c>
      <c r="P150" s="18" t="s">
        <v>613</v>
      </c>
      <c r="Q150" s="19"/>
      <c r="R150" s="58" t="s">
        <v>61</v>
      </c>
      <c r="S150" s="16" t="s">
        <v>65</v>
      </c>
      <c r="T150" s="16"/>
      <c r="U150" s="16"/>
      <c r="V150" s="16">
        <v>215</v>
      </c>
      <c r="W150" s="16">
        <f t="shared" si="30"/>
        <v>215</v>
      </c>
      <c r="X150" s="16">
        <f t="shared" si="31"/>
        <v>215</v>
      </c>
      <c r="Y150" s="16">
        <f>ROUNDDOWN(W150/HLOOKUP(D150,Table!$C$3:$D$4,2,0)*8,2)</f>
        <v>3.82</v>
      </c>
      <c r="Z150" s="16">
        <v>2</v>
      </c>
      <c r="AA150" s="16" t="s">
        <v>18</v>
      </c>
      <c r="AB150" s="20"/>
      <c r="AC150" s="20">
        <v>43958</v>
      </c>
      <c r="AD150" s="20">
        <v>43963</v>
      </c>
      <c r="AE150" s="20">
        <v>43962</v>
      </c>
      <c r="AF150" s="20">
        <v>43962</v>
      </c>
      <c r="AG150" s="20" t="s">
        <v>336</v>
      </c>
      <c r="AH150" s="32">
        <v>1</v>
      </c>
      <c r="AI150" s="32">
        <v>1</v>
      </c>
      <c r="AJ150" s="32">
        <v>1</v>
      </c>
      <c r="AK150" s="20" t="s">
        <v>165</v>
      </c>
      <c r="AL150" s="16"/>
      <c r="AM150" s="16"/>
      <c r="AN150" s="16"/>
    </row>
    <row r="151" spans="2:40" hidden="1" x14ac:dyDescent="0.25">
      <c r="B151" s="115">
        <f t="shared" si="25"/>
        <v>104</v>
      </c>
      <c r="C151" s="17">
        <v>20200507</v>
      </c>
      <c r="D151" s="16" t="s">
        <v>3</v>
      </c>
      <c r="E151" s="16" t="s">
        <v>426</v>
      </c>
      <c r="F151" s="81" t="s">
        <v>632</v>
      </c>
      <c r="G151" s="18">
        <v>1453050</v>
      </c>
      <c r="H151" s="58" t="s">
        <v>61</v>
      </c>
      <c r="I151" s="16" t="s">
        <v>608</v>
      </c>
      <c r="J151" s="58" t="s">
        <v>61</v>
      </c>
      <c r="K151" s="16" t="s">
        <v>161</v>
      </c>
      <c r="L151" s="16" t="s">
        <v>430</v>
      </c>
      <c r="M151" s="16" t="s">
        <v>599</v>
      </c>
      <c r="N151" s="16" t="s">
        <v>616</v>
      </c>
      <c r="O151" s="18" t="s">
        <v>61</v>
      </c>
      <c r="P151" s="18" t="s">
        <v>613</v>
      </c>
      <c r="Q151" s="19"/>
      <c r="R151" s="58" t="s">
        <v>61</v>
      </c>
      <c r="S151" s="16" t="s">
        <v>6</v>
      </c>
      <c r="T151" s="16"/>
      <c r="U151" s="16"/>
      <c r="V151" s="16">
        <v>1703</v>
      </c>
      <c r="W151" s="16">
        <f t="shared" si="30"/>
        <v>1703</v>
      </c>
      <c r="X151" s="16">
        <f t="shared" si="31"/>
        <v>1703</v>
      </c>
      <c r="Y151" s="16">
        <f>ROUNDDOWN(W151/HLOOKUP(D151,Table!$C$3:$D$4,2,0)*8,2)</f>
        <v>30.27</v>
      </c>
      <c r="Z151" s="16">
        <v>8</v>
      </c>
      <c r="AA151" s="16" t="s">
        <v>18</v>
      </c>
      <c r="AB151" s="20"/>
      <c r="AC151" s="20">
        <v>43958</v>
      </c>
      <c r="AD151" s="20">
        <v>43963</v>
      </c>
      <c r="AE151" s="20">
        <v>43959</v>
      </c>
      <c r="AF151" s="20">
        <v>43962</v>
      </c>
      <c r="AG151" s="20" t="s">
        <v>336</v>
      </c>
      <c r="AH151" s="32">
        <v>1</v>
      </c>
      <c r="AI151" s="32">
        <v>1</v>
      </c>
      <c r="AJ151" s="32">
        <v>1</v>
      </c>
      <c r="AK151" s="20" t="s">
        <v>165</v>
      </c>
      <c r="AL151" s="16"/>
      <c r="AM151" s="16"/>
      <c r="AN151" s="16"/>
    </row>
    <row r="152" spans="2:40" x14ac:dyDescent="0.25">
      <c r="B152" s="115">
        <f t="shared" si="25"/>
        <v>105</v>
      </c>
      <c r="C152" s="17">
        <v>20200507</v>
      </c>
      <c r="D152" s="16" t="s">
        <v>3</v>
      </c>
      <c r="E152" s="16" t="s">
        <v>169</v>
      </c>
      <c r="F152" s="81" t="s">
        <v>633</v>
      </c>
      <c r="G152" s="18">
        <v>1444374</v>
      </c>
      <c r="H152" s="58" t="s">
        <v>61</v>
      </c>
      <c r="I152" s="16" t="s">
        <v>609</v>
      </c>
      <c r="J152" s="58" t="s">
        <v>61</v>
      </c>
      <c r="K152" s="16" t="s">
        <v>161</v>
      </c>
      <c r="L152" s="16" t="s">
        <v>325</v>
      </c>
      <c r="M152" s="16" t="s">
        <v>335</v>
      </c>
      <c r="N152" s="16" t="s">
        <v>327</v>
      </c>
      <c r="O152" s="18" t="s">
        <v>61</v>
      </c>
      <c r="P152" s="18" t="s">
        <v>612</v>
      </c>
      <c r="Q152" s="19"/>
      <c r="R152" s="58" t="s">
        <v>61</v>
      </c>
      <c r="S152" s="16" t="s">
        <v>64</v>
      </c>
      <c r="T152" s="16"/>
      <c r="U152" s="16"/>
      <c r="V152" s="16">
        <v>1193</v>
      </c>
      <c r="W152" s="16">
        <f t="shared" si="30"/>
        <v>1193</v>
      </c>
      <c r="X152" s="16">
        <f t="shared" si="31"/>
        <v>1193</v>
      </c>
      <c r="Y152" s="16">
        <f>ROUNDDOWN(W152/HLOOKUP(D152,Table!$C$3:$D$4,2,0)*8,2)</f>
        <v>21.2</v>
      </c>
      <c r="Z152" s="16">
        <v>4</v>
      </c>
      <c r="AA152" s="16" t="s">
        <v>18</v>
      </c>
      <c r="AB152" s="20"/>
      <c r="AC152" s="20">
        <v>43958</v>
      </c>
      <c r="AD152" s="20">
        <v>43963</v>
      </c>
      <c r="AE152" s="20">
        <v>43959</v>
      </c>
      <c r="AF152" s="20">
        <v>43959</v>
      </c>
      <c r="AG152" s="20" t="s">
        <v>336</v>
      </c>
      <c r="AH152" s="32">
        <v>1</v>
      </c>
      <c r="AI152" s="32">
        <v>1</v>
      </c>
      <c r="AJ152" s="32">
        <v>1</v>
      </c>
      <c r="AK152" s="20" t="s">
        <v>165</v>
      </c>
      <c r="AL152" s="16" t="s">
        <v>61</v>
      </c>
      <c r="AM152" s="16" t="s">
        <v>61</v>
      </c>
      <c r="AN152" s="16" t="s">
        <v>61</v>
      </c>
    </row>
    <row r="153" spans="2:40" x14ac:dyDescent="0.25">
      <c r="B153" s="138">
        <f t="shared" ref="B153:B172" si="32">B152+1</f>
        <v>106</v>
      </c>
      <c r="C153" s="17">
        <v>20200508</v>
      </c>
      <c r="D153" s="16" t="s">
        <v>3</v>
      </c>
      <c r="E153" s="16" t="s">
        <v>649</v>
      </c>
      <c r="F153" s="18" t="s">
        <v>715</v>
      </c>
      <c r="G153" s="18">
        <v>1457196</v>
      </c>
      <c r="H153" s="58" t="s">
        <v>61</v>
      </c>
      <c r="I153" s="16" t="s">
        <v>723</v>
      </c>
      <c r="J153" s="58" t="s">
        <v>61</v>
      </c>
      <c r="K153" s="16" t="s">
        <v>161</v>
      </c>
      <c r="L153" s="16" t="s">
        <v>165</v>
      </c>
      <c r="M153" s="16" t="s">
        <v>165</v>
      </c>
      <c r="N153" s="16" t="s">
        <v>651</v>
      </c>
      <c r="O153" s="18"/>
      <c r="P153" s="18" t="s">
        <v>652</v>
      </c>
      <c r="Q153" s="19"/>
      <c r="R153" s="58" t="s">
        <v>61</v>
      </c>
      <c r="S153" s="16" t="s">
        <v>64</v>
      </c>
      <c r="T153" s="16"/>
      <c r="U153" s="16"/>
      <c r="V153" s="16"/>
      <c r="W153" s="16"/>
      <c r="X153" s="16"/>
      <c r="Y153" s="16"/>
      <c r="Z153" s="16"/>
      <c r="AA153" s="16"/>
      <c r="AB153" s="20"/>
      <c r="AC153" s="20"/>
      <c r="AD153" s="20">
        <v>43965</v>
      </c>
      <c r="AE153" s="20"/>
      <c r="AF153" s="20"/>
      <c r="AG153" s="20"/>
      <c r="AH153" s="32"/>
      <c r="AI153" s="32"/>
      <c r="AJ153" s="32"/>
      <c r="AK153" s="20"/>
      <c r="AL153" s="16"/>
      <c r="AM153" s="16"/>
      <c r="AN153" s="16"/>
    </row>
    <row r="154" spans="2:40" x14ac:dyDescent="0.25">
      <c r="B154" s="138">
        <f t="shared" si="32"/>
        <v>107</v>
      </c>
      <c r="C154" s="17">
        <v>20200508</v>
      </c>
      <c r="D154" s="16" t="s">
        <v>3</v>
      </c>
      <c r="E154" s="16" t="s">
        <v>649</v>
      </c>
      <c r="F154" s="18" t="s">
        <v>715</v>
      </c>
      <c r="G154" s="18">
        <v>1457196</v>
      </c>
      <c r="H154" s="58" t="s">
        <v>61</v>
      </c>
      <c r="I154" s="16" t="s">
        <v>724</v>
      </c>
      <c r="J154" s="58" t="s">
        <v>61</v>
      </c>
      <c r="K154" s="16" t="s">
        <v>161</v>
      </c>
      <c r="L154" s="16" t="s">
        <v>165</v>
      </c>
      <c r="M154" s="16" t="s">
        <v>165</v>
      </c>
      <c r="N154" s="16" t="s">
        <v>651</v>
      </c>
      <c r="O154" s="18"/>
      <c r="P154" s="18" t="s">
        <v>652</v>
      </c>
      <c r="Q154" s="19"/>
      <c r="R154" s="58" t="s">
        <v>61</v>
      </c>
      <c r="S154" s="16" t="s">
        <v>64</v>
      </c>
      <c r="T154" s="16"/>
      <c r="U154" s="16"/>
      <c r="V154" s="16"/>
      <c r="W154" s="16">
        <v>35</v>
      </c>
      <c r="X154" s="16"/>
      <c r="Y154" s="16">
        <f>ROUNDDOWN(W154/HLOOKUP(D154,Table!$C$3:$D$4,2,0)*8,2)</f>
        <v>0.62</v>
      </c>
      <c r="Z154" s="16"/>
      <c r="AA154" s="16"/>
      <c r="AB154" s="20"/>
      <c r="AC154" s="20"/>
      <c r="AD154" s="20">
        <v>43965</v>
      </c>
      <c r="AE154" s="20"/>
      <c r="AF154" s="20"/>
      <c r="AG154" s="20"/>
      <c r="AH154" s="32"/>
      <c r="AI154" s="32"/>
      <c r="AJ154" s="32"/>
      <c r="AK154" s="20"/>
      <c r="AL154" s="93"/>
      <c r="AM154" s="93"/>
      <c r="AN154" s="93"/>
    </row>
    <row r="155" spans="2:40" x14ac:dyDescent="0.25">
      <c r="B155" s="138">
        <f t="shared" si="32"/>
        <v>108</v>
      </c>
      <c r="C155" s="17">
        <v>20200508</v>
      </c>
      <c r="D155" s="16" t="s">
        <v>3</v>
      </c>
      <c r="E155" s="16" t="s">
        <v>649</v>
      </c>
      <c r="F155" s="18" t="s">
        <v>715</v>
      </c>
      <c r="G155" s="18">
        <v>1457196</v>
      </c>
      <c r="H155" s="58" t="s">
        <v>61</v>
      </c>
      <c r="I155" s="16" t="s">
        <v>725</v>
      </c>
      <c r="J155" s="58" t="s">
        <v>61</v>
      </c>
      <c r="K155" s="16" t="s">
        <v>161</v>
      </c>
      <c r="L155" s="16" t="s">
        <v>165</v>
      </c>
      <c r="M155" s="16" t="s">
        <v>165</v>
      </c>
      <c r="N155" s="16" t="s">
        <v>651</v>
      </c>
      <c r="O155" s="18"/>
      <c r="P155" s="18" t="s">
        <v>652</v>
      </c>
      <c r="Q155" s="19"/>
      <c r="R155" s="58" t="s">
        <v>61</v>
      </c>
      <c r="S155" s="16" t="s">
        <v>64</v>
      </c>
      <c r="T155" s="16"/>
      <c r="U155" s="16"/>
      <c r="V155" s="16"/>
      <c r="W155" s="16">
        <v>271</v>
      </c>
      <c r="X155" s="16"/>
      <c r="Y155" s="16">
        <f>ROUNDDOWN(W155/HLOOKUP(D155,Table!$C$3:$D$4,2,0)*8,2)</f>
        <v>4.8099999999999996</v>
      </c>
      <c r="Z155" s="16"/>
      <c r="AA155" s="16" t="s">
        <v>18</v>
      </c>
      <c r="AB155" s="20"/>
      <c r="AC155" s="20"/>
      <c r="AD155" s="20">
        <v>43965</v>
      </c>
      <c r="AE155" s="20">
        <v>43963</v>
      </c>
      <c r="AF155" s="20">
        <v>43963</v>
      </c>
      <c r="AG155" s="20" t="s">
        <v>336</v>
      </c>
      <c r="AH155" s="32">
        <v>1</v>
      </c>
      <c r="AI155" s="32">
        <v>1</v>
      </c>
      <c r="AJ155" s="32">
        <v>1</v>
      </c>
      <c r="AK155" s="20" t="s">
        <v>165</v>
      </c>
      <c r="AL155" s="93"/>
      <c r="AM155" s="93"/>
      <c r="AN155" s="93"/>
    </row>
    <row r="156" spans="2:40" x14ac:dyDescent="0.25">
      <c r="B156" s="138">
        <f t="shared" si="32"/>
        <v>109</v>
      </c>
      <c r="C156" s="17">
        <v>20200508</v>
      </c>
      <c r="D156" s="16" t="s">
        <v>3</v>
      </c>
      <c r="E156" s="16" t="s">
        <v>649</v>
      </c>
      <c r="F156" s="18" t="s">
        <v>715</v>
      </c>
      <c r="G156" s="18">
        <v>1457196</v>
      </c>
      <c r="H156" s="58" t="s">
        <v>61</v>
      </c>
      <c r="I156" s="16" t="s">
        <v>726</v>
      </c>
      <c r="J156" s="58" t="s">
        <v>61</v>
      </c>
      <c r="K156" s="16" t="s">
        <v>161</v>
      </c>
      <c r="L156" s="16" t="s">
        <v>165</v>
      </c>
      <c r="M156" s="16" t="s">
        <v>165</v>
      </c>
      <c r="N156" s="16" t="s">
        <v>651</v>
      </c>
      <c r="O156" s="18"/>
      <c r="P156" s="18" t="s">
        <v>652</v>
      </c>
      <c r="Q156" s="19"/>
      <c r="R156" s="58" t="s">
        <v>61</v>
      </c>
      <c r="S156" s="16" t="s">
        <v>64</v>
      </c>
      <c r="T156" s="16"/>
      <c r="U156" s="16"/>
      <c r="V156" s="16"/>
      <c r="W156" s="16">
        <v>21</v>
      </c>
      <c r="X156" s="16"/>
      <c r="Y156" s="16">
        <f>ROUNDDOWN(W156/HLOOKUP(D156,Table!$C$3:$D$4,2,0)*8,2)</f>
        <v>0.37</v>
      </c>
      <c r="Z156" s="16"/>
      <c r="AA156" s="16"/>
      <c r="AB156" s="20"/>
      <c r="AC156" s="20"/>
      <c r="AD156" s="20">
        <v>43965</v>
      </c>
      <c r="AE156" s="20"/>
      <c r="AF156" s="20"/>
      <c r="AG156" s="20"/>
      <c r="AH156" s="32"/>
      <c r="AI156" s="32"/>
      <c r="AJ156" s="32"/>
      <c r="AK156" s="20"/>
      <c r="AL156" s="93"/>
      <c r="AM156" s="93"/>
      <c r="AN156" s="93"/>
    </row>
    <row r="157" spans="2:40" x14ac:dyDescent="0.25">
      <c r="B157" s="138">
        <f t="shared" si="32"/>
        <v>110</v>
      </c>
      <c r="C157" s="17">
        <v>20200508</v>
      </c>
      <c r="D157" s="16" t="s">
        <v>3</v>
      </c>
      <c r="E157" s="16" t="s">
        <v>649</v>
      </c>
      <c r="F157" s="18" t="s">
        <v>715</v>
      </c>
      <c r="G157" s="18">
        <v>1457196</v>
      </c>
      <c r="H157" s="58" t="s">
        <v>61</v>
      </c>
      <c r="I157" s="16" t="s">
        <v>497</v>
      </c>
      <c r="J157" s="58" t="s">
        <v>61</v>
      </c>
      <c r="K157" s="16" t="s">
        <v>161</v>
      </c>
      <c r="L157" s="16" t="s">
        <v>165</v>
      </c>
      <c r="M157" s="16" t="s">
        <v>165</v>
      </c>
      <c r="N157" s="16" t="s">
        <v>651</v>
      </c>
      <c r="O157" s="18"/>
      <c r="P157" s="18" t="s">
        <v>652</v>
      </c>
      <c r="Q157" s="19"/>
      <c r="R157" s="58" t="s">
        <v>61</v>
      </c>
      <c r="S157" s="16" t="s">
        <v>64</v>
      </c>
      <c r="T157" s="16"/>
      <c r="U157" s="16"/>
      <c r="V157" s="16"/>
      <c r="W157" s="16">
        <v>21</v>
      </c>
      <c r="X157" s="16"/>
      <c r="Y157" s="16">
        <f>ROUNDDOWN(W157/HLOOKUP(D157,Table!$C$3:$D$4,2,0)*8,2)</f>
        <v>0.37</v>
      </c>
      <c r="Z157" s="16"/>
      <c r="AA157" s="16"/>
      <c r="AB157" s="20"/>
      <c r="AC157" s="20"/>
      <c r="AD157" s="20">
        <v>43965</v>
      </c>
      <c r="AE157" s="20"/>
      <c r="AF157" s="20"/>
      <c r="AG157" s="20"/>
      <c r="AH157" s="32"/>
      <c r="AI157" s="32"/>
      <c r="AJ157" s="32"/>
      <c r="AK157" s="20"/>
      <c r="AL157" s="93"/>
      <c r="AM157" s="93"/>
      <c r="AN157" s="93"/>
    </row>
    <row r="158" spans="2:40" x14ac:dyDescent="0.25">
      <c r="B158" s="138">
        <f t="shared" si="32"/>
        <v>111</v>
      </c>
      <c r="C158" s="17">
        <v>20200508</v>
      </c>
      <c r="D158" s="16" t="s">
        <v>3</v>
      </c>
      <c r="E158" s="16" t="s">
        <v>649</v>
      </c>
      <c r="F158" s="18" t="s">
        <v>715</v>
      </c>
      <c r="G158" s="18">
        <v>1457196</v>
      </c>
      <c r="H158" s="58" t="s">
        <v>61</v>
      </c>
      <c r="I158" s="16" t="s">
        <v>727</v>
      </c>
      <c r="J158" s="58" t="s">
        <v>61</v>
      </c>
      <c r="K158" s="16" t="s">
        <v>161</v>
      </c>
      <c r="L158" s="16" t="s">
        <v>165</v>
      </c>
      <c r="M158" s="16" t="s">
        <v>165</v>
      </c>
      <c r="N158" s="16" t="s">
        <v>651</v>
      </c>
      <c r="O158" s="18"/>
      <c r="P158" s="18" t="s">
        <v>652</v>
      </c>
      <c r="Q158" s="19"/>
      <c r="R158" s="58" t="s">
        <v>61</v>
      </c>
      <c r="S158" s="16" t="s">
        <v>64</v>
      </c>
      <c r="T158" s="16"/>
      <c r="U158" s="16"/>
      <c r="V158" s="16"/>
      <c r="W158" s="16">
        <v>162</v>
      </c>
      <c r="X158" s="16"/>
      <c r="Y158" s="16">
        <f>ROUNDDOWN(W158/HLOOKUP(D158,Table!$C$3:$D$4,2,0)*8,2)</f>
        <v>2.88</v>
      </c>
      <c r="Z158" s="16"/>
      <c r="AA158" s="16"/>
      <c r="AB158" s="20"/>
      <c r="AC158" s="20"/>
      <c r="AD158" s="20">
        <v>43965</v>
      </c>
      <c r="AE158" s="20"/>
      <c r="AF158" s="20"/>
      <c r="AG158" s="20"/>
      <c r="AH158" s="32"/>
      <c r="AI158" s="32"/>
      <c r="AJ158" s="32"/>
      <c r="AK158" s="20"/>
      <c r="AL158" s="16"/>
      <c r="AM158" s="16"/>
      <c r="AN158" s="16"/>
    </row>
    <row r="159" spans="2:40" x14ac:dyDescent="0.25">
      <c r="B159" s="138">
        <f t="shared" si="32"/>
        <v>112</v>
      </c>
      <c r="C159" s="17">
        <v>20200508</v>
      </c>
      <c r="D159" s="16" t="s">
        <v>3</v>
      </c>
      <c r="E159" s="16" t="s">
        <v>649</v>
      </c>
      <c r="F159" s="18" t="s">
        <v>715</v>
      </c>
      <c r="G159" s="18">
        <v>1457196</v>
      </c>
      <c r="H159" s="58" t="s">
        <v>61</v>
      </c>
      <c r="I159" s="16" t="s">
        <v>728</v>
      </c>
      <c r="J159" s="58" t="s">
        <v>61</v>
      </c>
      <c r="K159" s="16" t="s">
        <v>161</v>
      </c>
      <c r="L159" s="16" t="s">
        <v>165</v>
      </c>
      <c r="M159" s="16" t="s">
        <v>165</v>
      </c>
      <c r="N159" s="16" t="s">
        <v>651</v>
      </c>
      <c r="O159" s="18"/>
      <c r="P159" s="18" t="s">
        <v>652</v>
      </c>
      <c r="Q159" s="19"/>
      <c r="R159" s="58" t="s">
        <v>61</v>
      </c>
      <c r="S159" s="16" t="s">
        <v>64</v>
      </c>
      <c r="T159" s="16"/>
      <c r="U159" s="16"/>
      <c r="V159" s="16"/>
      <c r="W159" s="16">
        <v>229</v>
      </c>
      <c r="X159" s="16"/>
      <c r="Y159" s="16">
        <f>ROUNDDOWN(W159/HLOOKUP(D159,Table!$C$3:$D$4,2,0)*8,2)</f>
        <v>4.07</v>
      </c>
      <c r="Z159" s="16"/>
      <c r="AA159" s="16" t="s">
        <v>18</v>
      </c>
      <c r="AB159" s="20"/>
      <c r="AC159" s="20"/>
      <c r="AD159" s="20">
        <v>43965</v>
      </c>
      <c r="AE159" s="20">
        <v>43963</v>
      </c>
      <c r="AF159" s="20">
        <v>43963</v>
      </c>
      <c r="AG159" s="20" t="s">
        <v>337</v>
      </c>
      <c r="AH159" s="32">
        <v>0.99</v>
      </c>
      <c r="AI159" s="32">
        <v>0.97</v>
      </c>
      <c r="AJ159" s="32">
        <v>1</v>
      </c>
      <c r="AK159" s="20" t="s">
        <v>149</v>
      </c>
      <c r="AL159" s="141" t="s">
        <v>741</v>
      </c>
      <c r="AM159" s="16"/>
      <c r="AN159" s="16"/>
    </row>
    <row r="160" spans="2:40" hidden="1" x14ac:dyDescent="0.25">
      <c r="B160" s="138">
        <f t="shared" si="32"/>
        <v>113</v>
      </c>
      <c r="C160" s="17">
        <v>20200508</v>
      </c>
      <c r="D160" s="16" t="s">
        <v>3</v>
      </c>
      <c r="E160" s="16" t="s">
        <v>649</v>
      </c>
      <c r="F160" s="18" t="s">
        <v>715</v>
      </c>
      <c r="G160" s="18">
        <v>1457196</v>
      </c>
      <c r="H160" s="58" t="s">
        <v>61</v>
      </c>
      <c r="I160" s="16" t="s">
        <v>498</v>
      </c>
      <c r="J160" s="58" t="s">
        <v>61</v>
      </c>
      <c r="K160" s="16" t="s">
        <v>161</v>
      </c>
      <c r="L160" s="16" t="s">
        <v>165</v>
      </c>
      <c r="M160" s="16" t="s">
        <v>165</v>
      </c>
      <c r="N160" s="16" t="s">
        <v>651</v>
      </c>
      <c r="O160" s="18"/>
      <c r="P160" s="18" t="s">
        <v>652</v>
      </c>
      <c r="Q160" s="19"/>
      <c r="R160" s="58" t="s">
        <v>61</v>
      </c>
      <c r="S160" s="16" t="s">
        <v>6</v>
      </c>
      <c r="T160" s="16"/>
      <c r="U160" s="16"/>
      <c r="V160" s="16"/>
      <c r="W160" s="16">
        <v>288</v>
      </c>
      <c r="X160" s="16"/>
      <c r="Y160" s="16"/>
      <c r="Z160" s="16"/>
      <c r="AA160" s="16"/>
      <c r="AB160" s="20"/>
      <c r="AC160" s="20"/>
      <c r="AD160" s="20">
        <v>43965</v>
      </c>
      <c r="AE160" s="20"/>
      <c r="AF160" s="20"/>
      <c r="AG160" s="20"/>
      <c r="AH160" s="32"/>
      <c r="AI160" s="32"/>
      <c r="AJ160" s="32"/>
      <c r="AK160" s="20"/>
      <c r="AL160" s="16"/>
      <c r="AM160" s="16"/>
      <c r="AN160" s="16"/>
    </row>
    <row r="161" spans="2:40" hidden="1" x14ac:dyDescent="0.25">
      <c r="B161" s="138">
        <f t="shared" si="32"/>
        <v>114</v>
      </c>
      <c r="C161" s="17">
        <v>20200508</v>
      </c>
      <c r="D161" s="16" t="s">
        <v>3</v>
      </c>
      <c r="E161" s="16" t="s">
        <v>649</v>
      </c>
      <c r="F161" s="18" t="s">
        <v>716</v>
      </c>
      <c r="G161" s="18">
        <v>1457196</v>
      </c>
      <c r="H161" s="58" t="s">
        <v>61</v>
      </c>
      <c r="I161" s="16" t="s">
        <v>501</v>
      </c>
      <c r="J161" s="58" t="s">
        <v>61</v>
      </c>
      <c r="K161" s="16" t="s">
        <v>161</v>
      </c>
      <c r="L161" s="16" t="s">
        <v>165</v>
      </c>
      <c r="M161" s="16" t="s">
        <v>165</v>
      </c>
      <c r="N161" s="16" t="s">
        <v>651</v>
      </c>
      <c r="O161" s="18"/>
      <c r="P161" s="18" t="s">
        <v>652</v>
      </c>
      <c r="Q161" s="19"/>
      <c r="R161" s="58" t="s">
        <v>61</v>
      </c>
      <c r="S161" s="16" t="s">
        <v>6</v>
      </c>
      <c r="T161" s="16"/>
      <c r="U161" s="16"/>
      <c r="V161" s="16"/>
      <c r="W161" s="16">
        <v>46</v>
      </c>
      <c r="X161" s="16"/>
      <c r="Y161" s="16"/>
      <c r="Z161" s="16"/>
      <c r="AA161" s="16"/>
      <c r="AB161" s="20"/>
      <c r="AC161" s="20"/>
      <c r="AD161" s="20">
        <v>43965</v>
      </c>
      <c r="AE161" s="20"/>
      <c r="AF161" s="20"/>
      <c r="AG161" s="20"/>
      <c r="AH161" s="32"/>
      <c r="AI161" s="32"/>
      <c r="AJ161" s="32"/>
      <c r="AK161" s="20"/>
      <c r="AL161" s="16"/>
      <c r="AM161" s="16"/>
      <c r="AN161" s="16"/>
    </row>
    <row r="162" spans="2:40" hidden="1" x14ac:dyDescent="0.25">
      <c r="B162" s="138">
        <f t="shared" si="32"/>
        <v>115</v>
      </c>
      <c r="C162" s="17">
        <v>20200508</v>
      </c>
      <c r="D162" s="16" t="s">
        <v>3</v>
      </c>
      <c r="E162" s="16" t="s">
        <v>649</v>
      </c>
      <c r="F162" s="81" t="s">
        <v>710</v>
      </c>
      <c r="G162" s="18">
        <v>1457196</v>
      </c>
      <c r="H162" s="137" t="s">
        <v>61</v>
      </c>
      <c r="I162" s="16" t="s">
        <v>650</v>
      </c>
      <c r="J162" s="137" t="s">
        <v>61</v>
      </c>
      <c r="K162" s="16" t="s">
        <v>161</v>
      </c>
      <c r="L162" s="16" t="s">
        <v>165</v>
      </c>
      <c r="M162" s="16" t="s">
        <v>165</v>
      </c>
      <c r="N162" s="16" t="s">
        <v>651</v>
      </c>
      <c r="O162" s="18"/>
      <c r="P162" s="18" t="s">
        <v>652</v>
      </c>
      <c r="Q162" s="19"/>
      <c r="R162" s="137" t="s">
        <v>61</v>
      </c>
      <c r="S162" s="16" t="s">
        <v>65</v>
      </c>
      <c r="T162" s="16"/>
      <c r="U162" s="16"/>
      <c r="V162" s="16">
        <v>107</v>
      </c>
      <c r="W162" s="16">
        <v>107</v>
      </c>
      <c r="X162" s="16">
        <v>107</v>
      </c>
      <c r="Y162" s="16">
        <v>1.9</v>
      </c>
      <c r="Z162" s="16">
        <v>0.5</v>
      </c>
      <c r="AA162" s="16" t="s">
        <v>18</v>
      </c>
      <c r="AB162" s="20"/>
      <c r="AC162" s="20">
        <v>43962</v>
      </c>
      <c r="AD162" s="20">
        <v>43965</v>
      </c>
      <c r="AE162" s="20">
        <v>43962</v>
      </c>
      <c r="AF162" s="20">
        <v>43962</v>
      </c>
      <c r="AG162" s="20" t="s">
        <v>336</v>
      </c>
      <c r="AH162" s="32">
        <v>1</v>
      </c>
      <c r="AI162" s="32">
        <v>1</v>
      </c>
      <c r="AJ162" s="32">
        <v>1</v>
      </c>
      <c r="AK162" s="20" t="s">
        <v>165</v>
      </c>
      <c r="AL162" s="16"/>
      <c r="AM162" s="16"/>
      <c r="AN162" s="16"/>
    </row>
    <row r="163" spans="2:40" hidden="1" x14ac:dyDescent="0.25">
      <c r="B163" s="138">
        <f t="shared" si="32"/>
        <v>116</v>
      </c>
      <c r="C163" s="17">
        <v>20200508</v>
      </c>
      <c r="D163" s="16" t="s">
        <v>3</v>
      </c>
      <c r="E163" s="16" t="s">
        <v>649</v>
      </c>
      <c r="F163" s="18" t="s">
        <v>717</v>
      </c>
      <c r="G163" s="18">
        <v>1457196</v>
      </c>
      <c r="H163" s="58" t="s">
        <v>61</v>
      </c>
      <c r="I163" s="16" t="s">
        <v>729</v>
      </c>
      <c r="J163" s="58" t="s">
        <v>61</v>
      </c>
      <c r="K163" s="16" t="s">
        <v>161</v>
      </c>
      <c r="L163" s="16" t="s">
        <v>165</v>
      </c>
      <c r="M163" s="16" t="s">
        <v>165</v>
      </c>
      <c r="N163" s="16" t="s">
        <v>651</v>
      </c>
      <c r="O163" s="18"/>
      <c r="P163" s="18" t="s">
        <v>652</v>
      </c>
      <c r="Q163" s="19"/>
      <c r="R163" s="58" t="s">
        <v>61</v>
      </c>
      <c r="S163" s="16" t="s">
        <v>65</v>
      </c>
      <c r="T163" s="16"/>
      <c r="U163" s="16"/>
      <c r="V163" s="16"/>
      <c r="W163" s="16">
        <v>41</v>
      </c>
      <c r="X163" s="16"/>
      <c r="Y163" s="16"/>
      <c r="Z163" s="16"/>
      <c r="AA163" s="16"/>
      <c r="AB163" s="20"/>
      <c r="AC163" s="20"/>
      <c r="AD163" s="20">
        <v>43965</v>
      </c>
      <c r="AE163" s="20"/>
      <c r="AF163" s="20"/>
      <c r="AG163" s="20"/>
      <c r="AH163" s="32"/>
      <c r="AI163" s="32"/>
      <c r="AJ163" s="32"/>
      <c r="AK163" s="20"/>
      <c r="AL163" s="16"/>
      <c r="AM163" s="16"/>
      <c r="AN163" s="16"/>
    </row>
    <row r="164" spans="2:40" hidden="1" x14ac:dyDescent="0.25">
      <c r="B164" s="138">
        <f t="shared" si="32"/>
        <v>117</v>
      </c>
      <c r="C164" s="17">
        <v>20200508</v>
      </c>
      <c r="D164" s="16" t="s">
        <v>3</v>
      </c>
      <c r="E164" s="16" t="s">
        <v>649</v>
      </c>
      <c r="F164" s="18" t="s">
        <v>718</v>
      </c>
      <c r="G164" s="18">
        <v>1457196</v>
      </c>
      <c r="H164" s="58" t="s">
        <v>61</v>
      </c>
      <c r="I164" s="16" t="s">
        <v>730</v>
      </c>
      <c r="J164" s="58" t="s">
        <v>61</v>
      </c>
      <c r="K164" s="16" t="s">
        <v>161</v>
      </c>
      <c r="L164" s="16" t="s">
        <v>165</v>
      </c>
      <c r="M164" s="16" t="s">
        <v>165</v>
      </c>
      <c r="N164" s="16" t="s">
        <v>651</v>
      </c>
      <c r="O164" s="18"/>
      <c r="P164" s="18" t="s">
        <v>652</v>
      </c>
      <c r="Q164" s="19"/>
      <c r="R164" s="58" t="s">
        <v>61</v>
      </c>
      <c r="S164" s="16" t="s">
        <v>65</v>
      </c>
      <c r="T164" s="16"/>
      <c r="U164" s="16"/>
      <c r="V164" s="16"/>
      <c r="W164" s="16">
        <v>485</v>
      </c>
      <c r="X164" s="16"/>
      <c r="Y164" s="16"/>
      <c r="Z164" s="16"/>
      <c r="AA164" s="16"/>
      <c r="AB164" s="20"/>
      <c r="AC164" s="20"/>
      <c r="AD164" s="20">
        <v>43965</v>
      </c>
      <c r="AE164" s="20"/>
      <c r="AF164" s="20"/>
      <c r="AG164" s="20"/>
      <c r="AH164" s="32"/>
      <c r="AI164" s="32"/>
      <c r="AJ164" s="32"/>
      <c r="AK164" s="20"/>
      <c r="AL164" s="16"/>
      <c r="AM164" s="16"/>
      <c r="AN164" s="16"/>
    </row>
    <row r="165" spans="2:40" hidden="1" x14ac:dyDescent="0.25">
      <c r="B165" s="138">
        <f t="shared" si="32"/>
        <v>118</v>
      </c>
      <c r="C165" s="17">
        <v>20200508</v>
      </c>
      <c r="D165" s="16" t="s">
        <v>3</v>
      </c>
      <c r="E165" s="16" t="s">
        <v>649</v>
      </c>
      <c r="F165" s="18" t="s">
        <v>719</v>
      </c>
      <c r="G165" s="18">
        <v>1457196</v>
      </c>
      <c r="H165" s="58" t="s">
        <v>61</v>
      </c>
      <c r="I165" s="16" t="s">
        <v>731</v>
      </c>
      <c r="J165" s="58" t="s">
        <v>61</v>
      </c>
      <c r="K165" s="16" t="s">
        <v>161</v>
      </c>
      <c r="L165" s="16" t="s">
        <v>165</v>
      </c>
      <c r="M165" s="16" t="s">
        <v>165</v>
      </c>
      <c r="N165" s="16" t="s">
        <v>651</v>
      </c>
      <c r="O165" s="18"/>
      <c r="P165" s="18" t="s">
        <v>652</v>
      </c>
      <c r="Q165" s="19"/>
      <c r="R165" s="58" t="s">
        <v>61</v>
      </c>
      <c r="S165" s="16" t="s">
        <v>65</v>
      </c>
      <c r="T165" s="16"/>
      <c r="U165" s="16"/>
      <c r="V165" s="16"/>
      <c r="W165" s="16">
        <v>10</v>
      </c>
      <c r="X165" s="16"/>
      <c r="Y165" s="16"/>
      <c r="Z165" s="16"/>
      <c r="AA165" s="16"/>
      <c r="AB165" s="20"/>
      <c r="AC165" s="20"/>
      <c r="AD165" s="20">
        <v>43965</v>
      </c>
      <c r="AE165" s="20"/>
      <c r="AF165" s="20"/>
      <c r="AG165" s="20"/>
      <c r="AH165" s="32"/>
      <c r="AI165" s="32"/>
      <c r="AJ165" s="32"/>
      <c r="AK165" s="20"/>
      <c r="AL165" s="16"/>
      <c r="AM165" s="16"/>
      <c r="AN165" s="16"/>
    </row>
    <row r="166" spans="2:40" hidden="1" x14ac:dyDescent="0.25">
      <c r="B166" s="138">
        <f t="shared" si="32"/>
        <v>119</v>
      </c>
      <c r="C166" s="17">
        <v>20200508</v>
      </c>
      <c r="D166" s="16" t="s">
        <v>3</v>
      </c>
      <c r="E166" s="16" t="s">
        <v>649</v>
      </c>
      <c r="F166" s="18" t="s">
        <v>720</v>
      </c>
      <c r="G166" s="18">
        <v>1457196</v>
      </c>
      <c r="H166" s="58" t="s">
        <v>61</v>
      </c>
      <c r="I166" s="16" t="s">
        <v>177</v>
      </c>
      <c r="J166" s="58" t="s">
        <v>61</v>
      </c>
      <c r="K166" s="16" t="s">
        <v>161</v>
      </c>
      <c r="L166" s="16" t="s">
        <v>165</v>
      </c>
      <c r="M166" s="16" t="s">
        <v>165</v>
      </c>
      <c r="N166" s="16" t="s">
        <v>651</v>
      </c>
      <c r="O166" s="18"/>
      <c r="P166" s="18" t="s">
        <v>652</v>
      </c>
      <c r="Q166" s="19"/>
      <c r="R166" s="58" t="s">
        <v>61</v>
      </c>
      <c r="S166" s="16" t="s">
        <v>65</v>
      </c>
      <c r="T166" s="16"/>
      <c r="U166" s="16"/>
      <c r="V166" s="16"/>
      <c r="W166" s="16">
        <v>135</v>
      </c>
      <c r="X166" s="16"/>
      <c r="Y166" s="16"/>
      <c r="Z166" s="16"/>
      <c r="AA166" s="16"/>
      <c r="AB166" s="20"/>
      <c r="AC166" s="20"/>
      <c r="AD166" s="20">
        <v>43965</v>
      </c>
      <c r="AE166" s="20"/>
      <c r="AF166" s="20"/>
      <c r="AG166" s="20"/>
      <c r="AH166" s="32"/>
      <c r="AI166" s="32"/>
      <c r="AJ166" s="32"/>
      <c r="AK166" s="20"/>
      <c r="AL166" s="16"/>
      <c r="AM166" s="16"/>
      <c r="AN166" s="16"/>
    </row>
    <row r="167" spans="2:40" hidden="1" x14ac:dyDescent="0.25">
      <c r="B167" s="138">
        <f t="shared" si="32"/>
        <v>120</v>
      </c>
      <c r="C167" s="17">
        <v>20200508</v>
      </c>
      <c r="D167" s="16" t="s">
        <v>3</v>
      </c>
      <c r="E167" s="16" t="s">
        <v>649</v>
      </c>
      <c r="F167" s="18" t="s">
        <v>721</v>
      </c>
      <c r="G167" s="18">
        <v>1457196</v>
      </c>
      <c r="H167" s="58" t="s">
        <v>61</v>
      </c>
      <c r="I167" s="16" t="s">
        <v>178</v>
      </c>
      <c r="J167" s="58" t="s">
        <v>61</v>
      </c>
      <c r="K167" s="16" t="s">
        <v>161</v>
      </c>
      <c r="L167" s="16" t="s">
        <v>165</v>
      </c>
      <c r="M167" s="16" t="s">
        <v>165</v>
      </c>
      <c r="N167" s="16" t="s">
        <v>651</v>
      </c>
      <c r="O167" s="18"/>
      <c r="P167" s="18" t="s">
        <v>652</v>
      </c>
      <c r="Q167" s="19"/>
      <c r="R167" s="58" t="s">
        <v>61</v>
      </c>
      <c r="S167" s="16" t="s">
        <v>65</v>
      </c>
      <c r="T167" s="16"/>
      <c r="U167" s="16"/>
      <c r="V167" s="16"/>
      <c r="W167" s="16">
        <v>178</v>
      </c>
      <c r="X167" s="16"/>
      <c r="Y167" s="16"/>
      <c r="Z167" s="16"/>
      <c r="AA167" s="16"/>
      <c r="AB167" s="20"/>
      <c r="AC167" s="20"/>
      <c r="AD167" s="20">
        <v>43965</v>
      </c>
      <c r="AE167" s="20"/>
      <c r="AF167" s="20"/>
      <c r="AG167" s="20"/>
      <c r="AH167" s="32"/>
      <c r="AI167" s="32"/>
      <c r="AJ167" s="32"/>
      <c r="AK167" s="20"/>
      <c r="AL167" s="16"/>
      <c r="AM167" s="16"/>
      <c r="AN167" s="16"/>
    </row>
    <row r="168" spans="2:40" hidden="1" x14ac:dyDescent="0.25">
      <c r="B168" s="138">
        <f t="shared" si="32"/>
        <v>121</v>
      </c>
      <c r="C168" s="17">
        <v>20200508</v>
      </c>
      <c r="D168" s="16" t="s">
        <v>3</v>
      </c>
      <c r="E168" s="16" t="s">
        <v>590</v>
      </c>
      <c r="F168" s="140" t="s">
        <v>738</v>
      </c>
      <c r="G168" s="18">
        <v>1457821</v>
      </c>
      <c r="H168" s="58" t="s">
        <v>61</v>
      </c>
      <c r="I168" s="16" t="s">
        <v>547</v>
      </c>
      <c r="J168" s="58" t="s">
        <v>61</v>
      </c>
      <c r="K168" s="16" t="s">
        <v>161</v>
      </c>
      <c r="L168" s="16" t="s">
        <v>591</v>
      </c>
      <c r="M168" s="16" t="s">
        <v>170</v>
      </c>
      <c r="N168" s="16" t="s">
        <v>175</v>
      </c>
      <c r="O168" s="18"/>
      <c r="P168" s="18" t="s">
        <v>345</v>
      </c>
      <c r="Q168" s="19"/>
      <c r="R168" s="58" t="s">
        <v>61</v>
      </c>
      <c r="S168" s="16" t="s">
        <v>6</v>
      </c>
      <c r="T168" s="16"/>
      <c r="U168" s="16"/>
      <c r="V168" s="16"/>
      <c r="W168" s="16">
        <v>1009</v>
      </c>
      <c r="X168" s="16"/>
      <c r="Y168" s="16"/>
      <c r="Z168" s="16"/>
      <c r="AA168" s="16"/>
      <c r="AB168" s="20"/>
      <c r="AC168" s="20"/>
      <c r="AD168" s="139">
        <v>43962</v>
      </c>
      <c r="AE168" s="20"/>
      <c r="AF168" s="20"/>
      <c r="AG168" s="20"/>
      <c r="AH168" s="32"/>
      <c r="AI168" s="32"/>
      <c r="AJ168" s="32"/>
      <c r="AK168" s="20"/>
      <c r="AL168" s="16"/>
      <c r="AM168" s="16"/>
      <c r="AN168" s="16" t="s">
        <v>739</v>
      </c>
    </row>
    <row r="169" spans="2:40" hidden="1" x14ac:dyDescent="0.25">
      <c r="B169" s="138">
        <f t="shared" si="32"/>
        <v>122</v>
      </c>
      <c r="C169" s="17">
        <v>20200508</v>
      </c>
      <c r="D169" s="16" t="s">
        <v>3</v>
      </c>
      <c r="E169" s="16" t="s">
        <v>590</v>
      </c>
      <c r="F169" s="18" t="s">
        <v>740</v>
      </c>
      <c r="G169" s="18">
        <v>1458024</v>
      </c>
      <c r="H169" s="58" t="s">
        <v>61</v>
      </c>
      <c r="I169" s="16" t="s">
        <v>732</v>
      </c>
      <c r="J169" s="58" t="s">
        <v>61</v>
      </c>
      <c r="K169" s="16" t="s">
        <v>161</v>
      </c>
      <c r="L169" s="16" t="s">
        <v>591</v>
      </c>
      <c r="M169" s="16" t="s">
        <v>170</v>
      </c>
      <c r="N169" s="16" t="s">
        <v>175</v>
      </c>
      <c r="O169" s="18"/>
      <c r="P169" s="18" t="s">
        <v>345</v>
      </c>
      <c r="Q169" s="19"/>
      <c r="R169" s="58" t="s">
        <v>61</v>
      </c>
      <c r="S169" s="16" t="s">
        <v>157</v>
      </c>
      <c r="T169" s="16"/>
      <c r="U169" s="16"/>
      <c r="V169" s="16"/>
      <c r="W169" s="16">
        <v>90</v>
      </c>
      <c r="X169" s="16">
        <v>90</v>
      </c>
      <c r="Y169" s="16"/>
      <c r="Z169" s="16">
        <v>0.15</v>
      </c>
      <c r="AA169" s="16" t="s">
        <v>18</v>
      </c>
      <c r="AB169" s="20"/>
      <c r="AC169" s="20"/>
      <c r="AD169" s="139">
        <v>43962</v>
      </c>
      <c r="AE169" s="20">
        <v>43963</v>
      </c>
      <c r="AF169" s="20">
        <v>43963</v>
      </c>
      <c r="AG169" s="20" t="s">
        <v>336</v>
      </c>
      <c r="AH169" s="32">
        <v>1</v>
      </c>
      <c r="AI169" s="32">
        <v>1</v>
      </c>
      <c r="AJ169" s="32">
        <v>1</v>
      </c>
      <c r="AK169" s="20" t="s">
        <v>165</v>
      </c>
      <c r="AL169" s="16" t="s">
        <v>61</v>
      </c>
      <c r="AM169" s="16" t="s">
        <v>61</v>
      </c>
      <c r="AN169" s="16" t="s">
        <v>61</v>
      </c>
    </row>
    <row r="170" spans="2:40" hidden="1" x14ac:dyDescent="0.25">
      <c r="B170" s="138">
        <f t="shared" si="32"/>
        <v>123</v>
      </c>
      <c r="C170" s="17">
        <v>20200508</v>
      </c>
      <c r="D170" s="16" t="s">
        <v>3</v>
      </c>
      <c r="E170" s="16" t="s">
        <v>712</v>
      </c>
      <c r="F170" s="18" t="s">
        <v>736</v>
      </c>
      <c r="G170" s="18">
        <v>1413974</v>
      </c>
      <c r="H170" s="58" t="s">
        <v>61</v>
      </c>
      <c r="I170" s="16" t="s">
        <v>733</v>
      </c>
      <c r="J170" s="58" t="s">
        <v>61</v>
      </c>
      <c r="K170" s="16" t="s">
        <v>161</v>
      </c>
      <c r="L170" s="16" t="s">
        <v>735</v>
      </c>
      <c r="M170" s="16" t="s">
        <v>714</v>
      </c>
      <c r="N170" s="16" t="s">
        <v>349</v>
      </c>
      <c r="O170" s="18"/>
      <c r="P170" s="18" t="s">
        <v>344</v>
      </c>
      <c r="Q170" s="19"/>
      <c r="R170" s="58" t="s">
        <v>61</v>
      </c>
      <c r="S170" s="16" t="s">
        <v>157</v>
      </c>
      <c r="T170" s="16"/>
      <c r="U170" s="16"/>
      <c r="V170" s="16"/>
      <c r="W170" s="16">
        <v>36</v>
      </c>
      <c r="X170" s="16">
        <v>36</v>
      </c>
      <c r="Y170" s="16"/>
      <c r="Z170" s="16">
        <v>0.12</v>
      </c>
      <c r="AA170" s="16" t="s">
        <v>18</v>
      </c>
      <c r="AB170" s="20"/>
      <c r="AC170" s="20"/>
      <c r="AD170" s="139">
        <v>43962</v>
      </c>
      <c r="AE170" s="20">
        <v>43963</v>
      </c>
      <c r="AF170" s="20">
        <v>43963</v>
      </c>
      <c r="AG170" s="20" t="s">
        <v>336</v>
      </c>
      <c r="AH170" s="32">
        <v>1</v>
      </c>
      <c r="AI170" s="32">
        <v>1</v>
      </c>
      <c r="AJ170" s="32">
        <v>1</v>
      </c>
      <c r="AK170" s="20" t="s">
        <v>165</v>
      </c>
      <c r="AL170" s="16" t="s">
        <v>61</v>
      </c>
      <c r="AM170" s="16" t="s">
        <v>61</v>
      </c>
      <c r="AN170" s="16" t="s">
        <v>61</v>
      </c>
    </row>
    <row r="171" spans="2:40" hidden="1" x14ac:dyDescent="0.25">
      <c r="B171" s="138">
        <f t="shared" si="32"/>
        <v>124</v>
      </c>
      <c r="C171" s="17">
        <v>20200508</v>
      </c>
      <c r="D171" s="16" t="s">
        <v>3</v>
      </c>
      <c r="E171" s="16" t="s">
        <v>712</v>
      </c>
      <c r="F171" s="18" t="s">
        <v>737</v>
      </c>
      <c r="G171" s="18">
        <v>1413974</v>
      </c>
      <c r="H171" s="58" t="s">
        <v>61</v>
      </c>
      <c r="I171" s="16" t="s">
        <v>552</v>
      </c>
      <c r="J171" s="58" t="s">
        <v>61</v>
      </c>
      <c r="K171" s="16" t="s">
        <v>161</v>
      </c>
      <c r="L171" s="16" t="s">
        <v>735</v>
      </c>
      <c r="M171" s="16" t="s">
        <v>714</v>
      </c>
      <c r="N171" s="16" t="s">
        <v>349</v>
      </c>
      <c r="O171" s="18"/>
      <c r="P171" s="18" t="s">
        <v>344</v>
      </c>
      <c r="Q171" s="19"/>
      <c r="R171" s="58" t="s">
        <v>61</v>
      </c>
      <c r="S171" s="16" t="s">
        <v>65</v>
      </c>
      <c r="T171" s="16"/>
      <c r="U171" s="16"/>
      <c r="V171" s="16"/>
      <c r="W171" s="16">
        <v>236</v>
      </c>
      <c r="X171" s="16"/>
      <c r="Y171" s="16"/>
      <c r="Z171" s="16"/>
      <c r="AA171" s="16"/>
      <c r="AB171" s="20"/>
      <c r="AC171" s="20"/>
      <c r="AD171" s="139">
        <v>43962</v>
      </c>
      <c r="AE171" s="20"/>
      <c r="AF171" s="20"/>
      <c r="AG171" s="20"/>
      <c r="AH171" s="32"/>
      <c r="AI171" s="32"/>
      <c r="AJ171" s="32"/>
      <c r="AK171" s="20"/>
      <c r="AL171" s="16"/>
      <c r="AM171" s="16"/>
      <c r="AN171" s="16"/>
    </row>
    <row r="172" spans="2:40" hidden="1" x14ac:dyDescent="0.25">
      <c r="B172" s="138">
        <f t="shared" si="32"/>
        <v>125</v>
      </c>
      <c r="C172" s="17">
        <v>20200508</v>
      </c>
      <c r="D172" s="16" t="s">
        <v>3</v>
      </c>
      <c r="E172" s="16" t="s">
        <v>713</v>
      </c>
      <c r="F172" s="18" t="s">
        <v>722</v>
      </c>
      <c r="G172" s="18">
        <v>1458032</v>
      </c>
      <c r="H172" s="58" t="s">
        <v>61</v>
      </c>
      <c r="I172" s="16" t="s">
        <v>734</v>
      </c>
      <c r="J172" s="58" t="s">
        <v>61</v>
      </c>
      <c r="K172" s="16" t="s">
        <v>161</v>
      </c>
      <c r="L172" s="16" t="s">
        <v>591</v>
      </c>
      <c r="M172" s="16" t="s">
        <v>342</v>
      </c>
      <c r="N172" s="16" t="s">
        <v>175</v>
      </c>
      <c r="O172" s="18"/>
      <c r="P172" s="18" t="s">
        <v>331</v>
      </c>
      <c r="Q172" s="19"/>
      <c r="R172" s="58" t="s">
        <v>61</v>
      </c>
      <c r="S172" s="16" t="s">
        <v>157</v>
      </c>
      <c r="T172" s="16"/>
      <c r="U172" s="16"/>
      <c r="V172" s="16"/>
      <c r="W172" s="16">
        <v>63</v>
      </c>
      <c r="X172" s="16">
        <v>63</v>
      </c>
      <c r="Y172" s="16"/>
      <c r="Z172" s="16">
        <v>0.12</v>
      </c>
      <c r="AA172" s="16" t="s">
        <v>18</v>
      </c>
      <c r="AB172" s="20"/>
      <c r="AC172" s="20"/>
      <c r="AD172" s="139">
        <v>43962</v>
      </c>
      <c r="AE172" s="20">
        <v>43963</v>
      </c>
      <c r="AF172" s="20">
        <v>43963</v>
      </c>
      <c r="AG172" s="20" t="s">
        <v>336</v>
      </c>
      <c r="AH172" s="32">
        <v>1</v>
      </c>
      <c r="AI172" s="32">
        <v>1</v>
      </c>
      <c r="AJ172" s="32">
        <v>1</v>
      </c>
      <c r="AK172" s="20" t="s">
        <v>165</v>
      </c>
      <c r="AL172" s="16" t="s">
        <v>61</v>
      </c>
      <c r="AM172" s="16" t="s">
        <v>61</v>
      </c>
      <c r="AN172" s="16" t="s">
        <v>61</v>
      </c>
    </row>
    <row r="173" spans="2:40" x14ac:dyDescent="0.25">
      <c r="B173" s="21"/>
      <c r="C173" s="17"/>
      <c r="D173" s="16"/>
      <c r="E173" s="16"/>
      <c r="F173" s="18"/>
      <c r="G173" s="18"/>
      <c r="H173" s="16"/>
      <c r="I173" s="16"/>
      <c r="J173" s="16"/>
      <c r="K173" s="16"/>
      <c r="L173" s="16"/>
      <c r="M173" s="16"/>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x14ac:dyDescent="0.25">
      <c r="B174" s="21"/>
      <c r="C174" s="17"/>
      <c r="D174" s="16"/>
      <c r="E174" s="16"/>
      <c r="F174" s="18"/>
      <c r="G174" s="18"/>
      <c r="H174" s="16"/>
      <c r="I174" s="16"/>
      <c r="J174" s="16"/>
      <c r="K174" s="16"/>
      <c r="L174" s="16"/>
      <c r="M174" s="16"/>
      <c r="N174" s="16"/>
      <c r="O174" s="18"/>
      <c r="P174" s="18"/>
      <c r="Q174" s="19"/>
      <c r="R174" s="17"/>
      <c r="S174" s="16"/>
      <c r="T174" s="16"/>
      <c r="U174" s="16"/>
      <c r="V174" s="16"/>
      <c r="W174" s="16"/>
      <c r="X174" s="16"/>
      <c r="Y174" s="16"/>
      <c r="Z174" s="16"/>
      <c r="AA174" s="16"/>
      <c r="AB174" s="20"/>
      <c r="AC174" s="20"/>
      <c r="AD174" s="20"/>
      <c r="AE174" s="20"/>
      <c r="AF174" s="20"/>
      <c r="AG174" s="20"/>
      <c r="AH174" s="32"/>
      <c r="AI174" s="32" t="s">
        <v>486</v>
      </c>
      <c r="AJ174" s="32"/>
      <c r="AK174" s="20"/>
      <c r="AL174" s="16"/>
      <c r="AM174" s="16"/>
      <c r="AN174" s="16"/>
    </row>
    <row r="175" spans="2:40" x14ac:dyDescent="0.25">
      <c r="B175" s="21"/>
      <c r="C175" s="17"/>
      <c r="D175" s="16"/>
      <c r="E175" s="16"/>
      <c r="F175" s="18"/>
      <c r="G175" s="18"/>
      <c r="H175" s="16"/>
      <c r="I175" s="16"/>
      <c r="J175" s="16"/>
      <c r="K175" s="16"/>
      <c r="L175" s="16"/>
      <c r="M175" s="16"/>
      <c r="N175" s="16"/>
      <c r="O175" s="18"/>
      <c r="P175" s="18"/>
      <c r="Q175" s="19"/>
      <c r="R175" s="17"/>
      <c r="S175" s="16"/>
      <c r="T175" s="16"/>
      <c r="U175" s="16"/>
      <c r="V175" s="16"/>
      <c r="W175" s="16"/>
      <c r="X175" s="16"/>
      <c r="Y175" s="16"/>
      <c r="Z175" s="16"/>
      <c r="AA175" s="16"/>
      <c r="AB175" s="20"/>
      <c r="AC175" s="20"/>
      <c r="AD175" s="20"/>
      <c r="AE175" s="20"/>
      <c r="AF175" s="20"/>
      <c r="AG175" s="20"/>
      <c r="AH175" s="32"/>
      <c r="AI175" s="32"/>
      <c r="AJ175" s="32"/>
      <c r="AK175" s="20"/>
      <c r="AL175" s="16"/>
      <c r="AM175" s="16"/>
      <c r="AN175" s="16"/>
    </row>
    <row r="176" spans="2:40" x14ac:dyDescent="0.25">
      <c r="B176" s="21"/>
      <c r="C176" s="17"/>
      <c r="D176" s="16"/>
      <c r="E176" s="16"/>
      <c r="F176" s="18"/>
      <c r="G176" s="18"/>
      <c r="H176" s="16"/>
      <c r="I176" s="16"/>
      <c r="J176" s="16"/>
      <c r="K176" s="16"/>
      <c r="L176" s="16"/>
      <c r="M176" s="16"/>
      <c r="N176" s="16"/>
      <c r="O176" s="18"/>
      <c r="P176" s="18"/>
      <c r="Q176" s="19"/>
      <c r="R176" s="17"/>
      <c r="S176" s="16"/>
      <c r="T176" s="16"/>
      <c r="U176" s="16"/>
      <c r="V176" s="16"/>
      <c r="W176" s="16"/>
      <c r="X176" s="16"/>
      <c r="Y176" s="16"/>
      <c r="Z176" s="16"/>
      <c r="AA176" s="16"/>
      <c r="AB176" s="20"/>
      <c r="AC176" s="20"/>
      <c r="AD176" s="20"/>
      <c r="AE176" s="20"/>
      <c r="AF176" s="20"/>
      <c r="AG176" s="20"/>
      <c r="AH176" s="32"/>
      <c r="AI176" s="32"/>
      <c r="AJ176" s="32"/>
      <c r="AK176" s="20"/>
      <c r="AL176" s="16"/>
      <c r="AM176" s="16"/>
      <c r="AN176" s="16"/>
    </row>
    <row r="177" spans="2:40" x14ac:dyDescent="0.25">
      <c r="B177" s="21"/>
      <c r="C177" s="17"/>
      <c r="D177" s="16"/>
      <c r="E177" s="16"/>
      <c r="F177" s="18"/>
      <c r="G177" s="18"/>
      <c r="H177" s="16"/>
      <c r="I177" s="16"/>
      <c r="J177" s="16"/>
      <c r="K177" s="16"/>
      <c r="L177" s="16"/>
      <c r="M177" s="16"/>
      <c r="N177" s="16"/>
      <c r="O177" s="18"/>
      <c r="P177" s="18"/>
      <c r="Q177" s="19"/>
      <c r="R177" s="17"/>
      <c r="S177" s="16"/>
      <c r="T177" s="16"/>
      <c r="U177" s="16"/>
      <c r="V177" s="16"/>
      <c r="W177" s="16"/>
      <c r="X177" s="16"/>
      <c r="Y177" s="16"/>
      <c r="Z177" s="16"/>
      <c r="AA177" s="16"/>
      <c r="AB177" s="20"/>
      <c r="AC177" s="20"/>
      <c r="AD177" s="20"/>
      <c r="AE177" s="20"/>
      <c r="AF177" s="20"/>
      <c r="AG177" s="20"/>
      <c r="AH177" s="32"/>
      <c r="AI177" s="32"/>
      <c r="AJ177" s="32"/>
      <c r="AK177" s="20"/>
      <c r="AL177" s="16"/>
      <c r="AM177" s="16"/>
      <c r="AN177" s="16"/>
    </row>
    <row r="178" spans="2:40" x14ac:dyDescent="0.25">
      <c r="B178" s="21"/>
      <c r="C178" s="17"/>
      <c r="D178" s="16"/>
      <c r="E178" s="16"/>
      <c r="F178" s="18"/>
      <c r="G178" s="18"/>
      <c r="H178" s="16"/>
      <c r="I178" s="16"/>
      <c r="J178" s="16"/>
      <c r="K178" s="16"/>
      <c r="L178" s="16"/>
      <c r="M178" s="16"/>
      <c r="N178" s="16"/>
      <c r="O178" s="18"/>
      <c r="P178" s="18"/>
      <c r="Q178" s="19"/>
      <c r="R178" s="17"/>
      <c r="S178" s="16"/>
      <c r="T178" s="16"/>
      <c r="U178" s="16"/>
      <c r="V178" s="16"/>
      <c r="W178" s="16"/>
      <c r="X178" s="16"/>
      <c r="Y178" s="16"/>
      <c r="Z178" s="16"/>
      <c r="AA178" s="16"/>
      <c r="AB178" s="20"/>
      <c r="AC178" s="20"/>
      <c r="AD178" s="20"/>
      <c r="AE178" s="20"/>
      <c r="AF178" s="20"/>
      <c r="AG178" s="20"/>
      <c r="AH178" s="32"/>
      <c r="AI178" s="32"/>
      <c r="AJ178" s="32"/>
      <c r="AK178" s="20"/>
      <c r="AL178" s="16"/>
      <c r="AM178" s="16"/>
      <c r="AN178" s="16"/>
    </row>
    <row r="179" spans="2:40" x14ac:dyDescent="0.25">
      <c r="B179" s="21"/>
      <c r="C179" s="17"/>
      <c r="D179" s="16"/>
      <c r="E179" s="16"/>
      <c r="F179" s="18"/>
      <c r="G179" s="18"/>
      <c r="H179" s="16"/>
      <c r="I179" s="16"/>
      <c r="J179" s="16"/>
      <c r="K179" s="16"/>
      <c r="L179" s="16"/>
      <c r="M179" s="16"/>
      <c r="N179" s="16"/>
      <c r="O179" s="18"/>
      <c r="P179" s="18"/>
      <c r="Q179" s="19"/>
      <c r="R179" s="17"/>
      <c r="S179" s="16"/>
      <c r="T179" s="16"/>
      <c r="U179" s="16"/>
      <c r="V179" s="16"/>
      <c r="W179" s="16"/>
      <c r="X179" s="16"/>
      <c r="Y179" s="16"/>
      <c r="Z179" s="16"/>
      <c r="AA179" s="16"/>
      <c r="AB179" s="20"/>
      <c r="AC179" s="20"/>
      <c r="AD179" s="20"/>
      <c r="AE179" s="20"/>
      <c r="AF179" s="20"/>
      <c r="AG179" s="20"/>
      <c r="AH179" s="32"/>
      <c r="AI179" s="32"/>
      <c r="AJ179" s="32"/>
      <c r="AK179" s="20"/>
      <c r="AL179" s="16"/>
      <c r="AM179" s="16"/>
      <c r="AN179" s="16"/>
    </row>
    <row r="180" spans="2:40" x14ac:dyDescent="0.25">
      <c r="B180" s="21"/>
      <c r="C180" s="17"/>
      <c r="D180" s="16"/>
      <c r="E180" s="16"/>
      <c r="F180" s="18"/>
      <c r="G180" s="18"/>
      <c r="H180" s="16"/>
      <c r="I180" s="16"/>
      <c r="J180" s="16"/>
      <c r="K180" s="16"/>
      <c r="L180" s="16"/>
      <c r="M180" s="16"/>
      <c r="N180" s="16"/>
      <c r="O180" s="18"/>
      <c r="P180" s="18"/>
      <c r="Q180" s="19"/>
      <c r="R180" s="17"/>
      <c r="S180" s="16"/>
      <c r="T180" s="16"/>
      <c r="U180" s="16"/>
      <c r="V180" s="16"/>
      <c r="W180" s="16"/>
      <c r="X180" s="16"/>
      <c r="Y180" s="16"/>
      <c r="Z180" s="16"/>
      <c r="AA180" s="16"/>
      <c r="AB180" s="20"/>
      <c r="AC180" s="20"/>
      <c r="AD180" s="20"/>
      <c r="AE180" s="20"/>
      <c r="AF180" s="20"/>
      <c r="AG180" s="20"/>
      <c r="AH180" s="32"/>
      <c r="AI180" s="32"/>
      <c r="AJ180" s="32"/>
      <c r="AK180" s="20"/>
      <c r="AL180" s="16"/>
      <c r="AM180" s="16"/>
      <c r="AN180" s="16"/>
    </row>
    <row r="181" spans="2:40" x14ac:dyDescent="0.25">
      <c r="B181" s="21"/>
      <c r="C181" s="17"/>
      <c r="D181" s="16"/>
      <c r="E181" s="16"/>
      <c r="F181" s="18"/>
      <c r="G181" s="18"/>
      <c r="H181" s="16"/>
      <c r="I181" s="16"/>
      <c r="J181" s="16"/>
      <c r="K181" s="16"/>
      <c r="L181" s="16"/>
      <c r="M181" s="16"/>
      <c r="N181" s="16"/>
      <c r="O181" s="18"/>
      <c r="P181" s="18"/>
      <c r="Q181" s="19"/>
      <c r="R181" s="17"/>
      <c r="S181" s="16"/>
      <c r="T181" s="16"/>
      <c r="U181" s="16"/>
      <c r="V181" s="16"/>
      <c r="W181" s="16"/>
      <c r="X181" s="16"/>
      <c r="Y181" s="16"/>
      <c r="Z181" s="16"/>
      <c r="AA181" s="16"/>
      <c r="AB181" s="20"/>
      <c r="AC181" s="20"/>
      <c r="AD181" s="20"/>
      <c r="AE181" s="20"/>
      <c r="AF181" s="20"/>
      <c r="AG181" s="20"/>
      <c r="AH181" s="32"/>
      <c r="AI181" s="32"/>
      <c r="AJ181" s="32"/>
      <c r="AK181" s="20"/>
      <c r="AL181" s="16"/>
      <c r="AM181" s="16"/>
      <c r="AN181" s="16"/>
    </row>
    <row r="182" spans="2:40" x14ac:dyDescent="0.25">
      <c r="B182" s="21"/>
      <c r="C182" s="17"/>
      <c r="D182" s="16"/>
      <c r="E182" s="16"/>
      <c r="F182" s="18"/>
      <c r="G182" s="18"/>
      <c r="H182" s="16"/>
      <c r="I182" s="16"/>
      <c r="J182" s="16"/>
      <c r="K182" s="16"/>
      <c r="L182" s="16"/>
      <c r="M182" s="16"/>
      <c r="N182" s="16"/>
      <c r="O182" s="18"/>
      <c r="P182" s="18"/>
      <c r="Q182" s="19"/>
      <c r="R182" s="17"/>
      <c r="S182" s="16"/>
      <c r="T182" s="16"/>
      <c r="U182" s="16"/>
      <c r="V182" s="16"/>
      <c r="W182" s="16"/>
      <c r="X182" s="16"/>
      <c r="Y182" s="16"/>
      <c r="Z182" s="16"/>
      <c r="AA182" s="16"/>
      <c r="AB182" s="20"/>
      <c r="AC182" s="20"/>
      <c r="AD182" s="20"/>
      <c r="AE182" s="20"/>
      <c r="AF182" s="20"/>
      <c r="AG182" s="20"/>
      <c r="AH182" s="32"/>
      <c r="AI182" s="32"/>
      <c r="AJ182" s="32"/>
      <c r="AK182" s="20"/>
      <c r="AL182" s="16"/>
      <c r="AM182" s="16"/>
      <c r="AN182" s="16"/>
    </row>
    <row r="183" spans="2:40" x14ac:dyDescent="0.25">
      <c r="B183" s="21"/>
      <c r="C183" s="17"/>
      <c r="D183" s="16"/>
      <c r="E183" s="16"/>
      <c r="F183" s="18"/>
      <c r="G183" s="18"/>
      <c r="H183" s="16"/>
      <c r="I183" s="16"/>
      <c r="J183" s="16"/>
      <c r="K183" s="16"/>
      <c r="L183" s="16"/>
      <c r="M183" s="16"/>
      <c r="N183" s="16"/>
      <c r="O183" s="18"/>
      <c r="P183" s="18"/>
      <c r="Q183" s="19"/>
      <c r="R183" s="17"/>
      <c r="S183" s="16"/>
      <c r="T183" s="16"/>
      <c r="U183" s="16"/>
      <c r="V183" s="16"/>
      <c r="W183" s="16"/>
      <c r="X183" s="16"/>
      <c r="Y183" s="16"/>
      <c r="Z183" s="16"/>
      <c r="AA183" s="16"/>
      <c r="AB183" s="20"/>
      <c r="AC183" s="20"/>
      <c r="AD183" s="20"/>
      <c r="AE183" s="20"/>
      <c r="AF183" s="20"/>
      <c r="AG183" s="20"/>
      <c r="AH183" s="32"/>
      <c r="AI183" s="32"/>
      <c r="AJ183" s="32"/>
      <c r="AK183" s="20"/>
      <c r="AL183" s="16"/>
      <c r="AM183" s="16"/>
      <c r="AN183" s="16"/>
    </row>
    <row r="184" spans="2:40" x14ac:dyDescent="0.25">
      <c r="B184" s="21"/>
      <c r="C184" s="17"/>
      <c r="D184" s="16"/>
      <c r="E184" s="16"/>
      <c r="F184" s="18"/>
      <c r="G184" s="18"/>
      <c r="H184" s="16"/>
      <c r="I184" s="16"/>
      <c r="J184" s="16"/>
      <c r="K184" s="16"/>
      <c r="L184" s="16"/>
      <c r="M184" s="16"/>
      <c r="N184" s="16"/>
      <c r="O184" s="18"/>
      <c r="P184" s="18"/>
      <c r="Q184" s="19"/>
      <c r="R184" s="17"/>
      <c r="S184" s="16"/>
      <c r="T184" s="16"/>
      <c r="U184" s="16"/>
      <c r="V184" s="16"/>
      <c r="W184" s="16"/>
      <c r="X184" s="16"/>
      <c r="Y184" s="16"/>
      <c r="Z184" s="16"/>
      <c r="AA184" s="16"/>
      <c r="AB184" s="16"/>
      <c r="AC184" s="20"/>
      <c r="AD184" s="20"/>
      <c r="AE184" s="20"/>
      <c r="AF184" s="20"/>
      <c r="AG184" s="20"/>
      <c r="AH184" s="32"/>
      <c r="AI184" s="32"/>
      <c r="AJ184" s="32"/>
      <c r="AK184" s="20"/>
      <c r="AL184" s="16"/>
      <c r="AM184" s="16"/>
      <c r="AN184" s="16"/>
    </row>
    <row r="185" spans="2:40" x14ac:dyDescent="0.25">
      <c r="B185" s="21"/>
      <c r="C185" s="17"/>
      <c r="D185" s="16"/>
      <c r="E185" s="16"/>
      <c r="F185" s="18"/>
      <c r="G185" s="18"/>
      <c r="H185" s="16"/>
      <c r="I185" s="16"/>
      <c r="J185" s="16"/>
      <c r="K185" s="16"/>
      <c r="L185" s="16"/>
      <c r="M185" s="16"/>
      <c r="N185" s="16"/>
      <c r="O185" s="18"/>
      <c r="P185" s="18"/>
      <c r="Q185" s="19"/>
      <c r="R185" s="17"/>
      <c r="S185" s="16"/>
      <c r="T185" s="16"/>
      <c r="U185" s="16"/>
      <c r="V185" s="16"/>
      <c r="W185" s="16"/>
      <c r="X185" s="16"/>
      <c r="Y185" s="16"/>
      <c r="Z185" s="16"/>
      <c r="AA185" s="16"/>
      <c r="AB185" s="16"/>
      <c r="AC185" s="20"/>
      <c r="AD185" s="20"/>
      <c r="AE185" s="20"/>
      <c r="AF185" s="20"/>
      <c r="AG185" s="20"/>
      <c r="AH185" s="32"/>
      <c r="AI185" s="32"/>
      <c r="AJ185" s="32"/>
      <c r="AK185" s="20"/>
      <c r="AL185" s="16"/>
      <c r="AM185" s="16"/>
      <c r="AN185" s="16"/>
    </row>
    <row r="186" spans="2:40" x14ac:dyDescent="0.25">
      <c r="B186" s="21"/>
      <c r="C186" s="17"/>
      <c r="D186" s="16"/>
      <c r="E186" s="16"/>
      <c r="F186" s="18"/>
      <c r="G186" s="18"/>
      <c r="H186" s="16"/>
      <c r="I186" s="16"/>
      <c r="J186" s="16"/>
      <c r="K186" s="16"/>
      <c r="L186" s="16"/>
      <c r="M186" s="16"/>
      <c r="N186" s="16"/>
      <c r="O186" s="18"/>
      <c r="P186" s="18"/>
      <c r="Q186" s="19"/>
      <c r="R186" s="17"/>
      <c r="S186" s="16"/>
      <c r="T186" s="16"/>
      <c r="U186" s="16"/>
      <c r="V186" s="16"/>
      <c r="W186" s="16"/>
      <c r="X186" s="16"/>
      <c r="Y186" s="16"/>
      <c r="Z186" s="16"/>
      <c r="AA186" s="16"/>
      <c r="AB186" s="16"/>
      <c r="AC186" s="20"/>
      <c r="AD186" s="20"/>
      <c r="AE186" s="20"/>
      <c r="AF186" s="20"/>
      <c r="AG186" s="20"/>
      <c r="AH186" s="32"/>
      <c r="AI186" s="32"/>
      <c r="AJ186" s="32"/>
      <c r="AK186" s="20"/>
      <c r="AL186" s="16"/>
      <c r="AM186" s="16"/>
      <c r="AN186" s="16"/>
    </row>
    <row r="187" spans="2:40" x14ac:dyDescent="0.25">
      <c r="B187" s="21"/>
      <c r="C187" s="17"/>
      <c r="D187" s="16"/>
      <c r="E187" s="16"/>
      <c r="F187" s="18"/>
      <c r="G187" s="18"/>
      <c r="H187" s="16"/>
      <c r="I187" s="16"/>
      <c r="J187" s="16"/>
      <c r="K187" s="16"/>
      <c r="L187" s="16"/>
      <c r="M187" s="16"/>
      <c r="N187" s="16"/>
      <c r="O187" s="18"/>
      <c r="P187" s="18"/>
      <c r="Q187" s="19"/>
      <c r="R187" s="17"/>
      <c r="S187" s="16"/>
      <c r="T187" s="16"/>
      <c r="U187" s="16"/>
      <c r="V187" s="16"/>
      <c r="W187" s="16"/>
      <c r="X187" s="16"/>
      <c r="Y187" s="16"/>
      <c r="Z187" s="16"/>
      <c r="AA187" s="16"/>
      <c r="AB187" s="16"/>
      <c r="AC187" s="20"/>
      <c r="AD187" s="20"/>
      <c r="AE187" s="20"/>
      <c r="AF187" s="20"/>
      <c r="AG187" s="20"/>
      <c r="AH187" s="32"/>
      <c r="AI187" s="32"/>
      <c r="AJ187" s="32"/>
      <c r="AK187" s="20"/>
      <c r="AL187" s="16"/>
      <c r="AM187" s="16"/>
      <c r="AN187" s="16"/>
    </row>
    <row r="188" spans="2:40" x14ac:dyDescent="0.25">
      <c r="B188" s="21"/>
      <c r="C188" s="17"/>
      <c r="D188" s="16"/>
      <c r="E188" s="16"/>
      <c r="F188" s="18"/>
      <c r="G188" s="18"/>
      <c r="H188" s="16"/>
      <c r="I188" s="16"/>
      <c r="J188" s="16"/>
      <c r="K188" s="16"/>
      <c r="L188" s="16"/>
      <c r="M188" s="16"/>
      <c r="N188" s="16"/>
      <c r="O188" s="18"/>
      <c r="P188" s="18"/>
      <c r="Q188" s="19"/>
      <c r="R188" s="17"/>
      <c r="S188" s="16"/>
      <c r="T188" s="16"/>
      <c r="U188" s="16"/>
      <c r="V188" s="16"/>
      <c r="W188" s="16"/>
      <c r="X188" s="16"/>
      <c r="Y188" s="16"/>
      <c r="Z188" s="16"/>
      <c r="AA188" s="16"/>
      <c r="AB188" s="16"/>
      <c r="AC188" s="20"/>
      <c r="AD188" s="20"/>
      <c r="AE188" s="20"/>
      <c r="AF188" s="20"/>
      <c r="AG188" s="20"/>
      <c r="AH188" s="32"/>
      <c r="AI188" s="32"/>
      <c r="AJ188" s="32"/>
      <c r="AK188" s="20"/>
      <c r="AL188" s="16"/>
      <c r="AM188" s="16"/>
      <c r="AN188" s="16"/>
    </row>
    <row r="189" spans="2:40" x14ac:dyDescent="0.25">
      <c r="B189" s="21"/>
      <c r="C189" s="17"/>
      <c r="D189" s="16"/>
      <c r="E189" s="16"/>
      <c r="F189" s="18"/>
      <c r="G189" s="18"/>
      <c r="H189" s="16"/>
      <c r="I189" s="16"/>
      <c r="J189" s="16"/>
      <c r="K189" s="16"/>
      <c r="L189" s="16"/>
      <c r="M189" s="16"/>
      <c r="N189" s="16"/>
      <c r="O189" s="18"/>
      <c r="P189" s="18"/>
      <c r="Q189" s="19"/>
      <c r="R189" s="17"/>
      <c r="S189" s="16"/>
      <c r="T189" s="16"/>
      <c r="U189" s="16"/>
      <c r="V189" s="16"/>
      <c r="W189" s="16"/>
      <c r="X189" s="16"/>
      <c r="Y189" s="16"/>
      <c r="Z189" s="16"/>
      <c r="AA189" s="16"/>
      <c r="AB189" s="16"/>
      <c r="AC189" s="20"/>
      <c r="AD189" s="20"/>
      <c r="AE189" s="20"/>
      <c r="AF189" s="20"/>
      <c r="AG189" s="20"/>
      <c r="AH189" s="32"/>
      <c r="AI189" s="32"/>
      <c r="AJ189" s="32"/>
      <c r="AK189" s="20"/>
      <c r="AL189" s="16"/>
      <c r="AM189" s="16"/>
      <c r="AN189" s="16"/>
    </row>
    <row r="190" spans="2:40" x14ac:dyDescent="0.25">
      <c r="B190" s="21"/>
      <c r="C190" s="17"/>
      <c r="D190" s="16"/>
      <c r="E190" s="16"/>
      <c r="F190" s="18"/>
      <c r="G190" s="18"/>
      <c r="H190" s="16"/>
      <c r="I190" s="16"/>
      <c r="J190" s="16"/>
      <c r="K190" s="16"/>
      <c r="L190" s="16"/>
      <c r="M190" s="16"/>
      <c r="N190" s="16"/>
      <c r="O190" s="18"/>
      <c r="P190" s="18"/>
      <c r="Q190" s="19"/>
      <c r="R190" s="17"/>
      <c r="S190" s="16"/>
      <c r="T190" s="16"/>
      <c r="U190" s="16"/>
      <c r="V190" s="16"/>
      <c r="W190" s="16"/>
      <c r="X190" s="16"/>
      <c r="Y190" s="16"/>
      <c r="Z190" s="16"/>
      <c r="AA190" s="16"/>
      <c r="AB190" s="16"/>
      <c r="AC190" s="20"/>
      <c r="AD190" s="20"/>
      <c r="AE190" s="20"/>
      <c r="AF190" s="20"/>
      <c r="AG190" s="20"/>
      <c r="AH190" s="32"/>
      <c r="AI190" s="32"/>
      <c r="AJ190" s="32"/>
      <c r="AK190" s="20"/>
      <c r="AL190" s="16"/>
      <c r="AM190" s="16"/>
      <c r="AN190" s="16"/>
    </row>
    <row r="191" spans="2:40" x14ac:dyDescent="0.25">
      <c r="B191" s="21"/>
      <c r="C191" s="17"/>
      <c r="D191" s="16"/>
      <c r="E191" s="16"/>
      <c r="F191" s="18"/>
      <c r="G191" s="18"/>
      <c r="H191" s="16"/>
      <c r="I191" s="16"/>
      <c r="J191" s="16"/>
      <c r="K191" s="16"/>
      <c r="L191" s="16"/>
      <c r="M191" s="16"/>
      <c r="N191" s="16"/>
      <c r="O191" s="18"/>
      <c r="P191" s="18"/>
      <c r="Q191" s="19"/>
      <c r="R191" s="17"/>
      <c r="S191" s="16"/>
      <c r="T191" s="16"/>
      <c r="U191" s="16"/>
      <c r="V191" s="16"/>
      <c r="W191" s="16"/>
      <c r="X191" s="16"/>
      <c r="Y191" s="16"/>
      <c r="Z191" s="16"/>
      <c r="AA191" s="16"/>
      <c r="AB191" s="16"/>
      <c r="AC191" s="20"/>
      <c r="AD191" s="20"/>
      <c r="AE191" s="20"/>
      <c r="AF191" s="20"/>
      <c r="AG191" s="20"/>
      <c r="AH191" s="32"/>
      <c r="AI191" s="32"/>
      <c r="AJ191" s="32"/>
      <c r="AK191" s="20"/>
      <c r="AL191" s="16"/>
      <c r="AM191" s="16"/>
      <c r="AN191" s="16"/>
    </row>
    <row r="192" spans="2:40" x14ac:dyDescent="0.25">
      <c r="B192" s="21"/>
      <c r="C192" s="17"/>
      <c r="D192" s="16"/>
      <c r="E192" s="16"/>
      <c r="F192" s="18"/>
      <c r="G192" s="18"/>
      <c r="H192" s="16"/>
      <c r="I192" s="16"/>
      <c r="J192" s="16"/>
      <c r="K192" s="16"/>
      <c r="L192" s="16"/>
      <c r="M192" s="16"/>
      <c r="N192" s="16"/>
      <c r="O192" s="18"/>
      <c r="P192" s="18"/>
      <c r="Q192" s="19"/>
      <c r="R192" s="17"/>
      <c r="S192" s="16"/>
      <c r="T192" s="16"/>
      <c r="U192" s="16"/>
      <c r="V192" s="16"/>
      <c r="W192" s="16"/>
      <c r="X192" s="16"/>
      <c r="Y192" s="16"/>
      <c r="Z192" s="16"/>
      <c r="AA192" s="16"/>
      <c r="AB192" s="16"/>
      <c r="AC192" s="20"/>
      <c r="AD192" s="20"/>
      <c r="AE192" s="20"/>
      <c r="AF192" s="20"/>
      <c r="AG192" s="20"/>
      <c r="AH192" s="32"/>
      <c r="AI192" s="32"/>
      <c r="AJ192" s="32"/>
      <c r="AK192" s="20"/>
      <c r="AL192" s="16"/>
      <c r="AM192" s="16"/>
      <c r="AN192" s="16"/>
    </row>
    <row r="193" spans="2:40" x14ac:dyDescent="0.25">
      <c r="B193" s="21"/>
      <c r="C193" s="17"/>
      <c r="D193" s="16"/>
      <c r="E193" s="16"/>
      <c r="F193" s="18"/>
      <c r="G193" s="18"/>
      <c r="H193" s="16"/>
      <c r="I193" s="16"/>
      <c r="J193" s="16"/>
      <c r="K193" s="16"/>
      <c r="L193" s="16"/>
      <c r="M193" s="16"/>
      <c r="N193" s="16"/>
      <c r="O193" s="18"/>
      <c r="P193" s="18"/>
      <c r="Q193" s="19"/>
      <c r="R193" s="17"/>
      <c r="S193" s="16"/>
      <c r="T193" s="16"/>
      <c r="U193" s="16"/>
      <c r="V193" s="16"/>
      <c r="W193" s="16"/>
      <c r="X193" s="16"/>
      <c r="Y193" s="16"/>
      <c r="Z193" s="16"/>
      <c r="AA193" s="16"/>
      <c r="AB193" s="16"/>
      <c r="AC193" s="20"/>
      <c r="AD193" s="20"/>
      <c r="AE193" s="20"/>
      <c r="AF193" s="20"/>
      <c r="AG193" s="20"/>
      <c r="AH193" s="32"/>
      <c r="AI193" s="32"/>
      <c r="AJ193" s="32"/>
      <c r="AK193" s="20"/>
      <c r="AL193" s="16"/>
      <c r="AM193" s="16"/>
      <c r="AN193" s="16"/>
    </row>
    <row r="194" spans="2:40" x14ac:dyDescent="0.25">
      <c r="B194" s="5"/>
      <c r="C194" s="5"/>
      <c r="D194" s="5"/>
      <c r="E194" s="5"/>
      <c r="F194" s="5"/>
      <c r="G194" s="5"/>
      <c r="H194" s="5"/>
      <c r="I194" s="5"/>
      <c r="J194" s="5"/>
      <c r="K194" s="5"/>
      <c r="L194" s="5"/>
      <c r="M194" s="5"/>
      <c r="N194" s="5"/>
      <c r="O194" s="5"/>
      <c r="P194" s="5"/>
      <c r="Q194" s="5"/>
    </row>
  </sheetData>
  <autoFilter ref="B47:AN172">
    <filterColumn colId="17">
      <filters>
        <filter val="hau.nguyen-tai"/>
      </filters>
    </filterColumn>
  </autoFilter>
  <customSheetViews>
    <customSheetView guid="{7ECC2B8E-6A82-42F5-8AB0-4A51C54EA5EC}" scale="70" filter="1" showAutoFilter="1" topLeftCell="T28">
      <selection activeCell="AG155" sqref="AG155"/>
      <pageMargins left="0.7" right="0.7" top="0.75" bottom="0.75" header="0.3" footer="0.3"/>
      <pageSetup orientation="portrait" horizontalDpi="300" verticalDpi="0" r:id="rId1"/>
      <autoFilter ref="B47:AN172">
        <filterColumn colId="17">
          <filters>
            <filter val="hau.nguyen-tai"/>
          </filters>
        </filterColumn>
      </autoFilter>
    </customSheetView>
    <customSheetView guid="{3B3E6719-EACB-4D2C-89C1-05FFAB6020FD}" scale="70" showAutoFilter="1" topLeftCell="U132">
      <selection activeCell="AJ176" sqref="AJ176"/>
      <pageMargins left="0.7" right="0.7" top="0.75" bottom="0.75" header="0.3" footer="0.3"/>
      <pageSetup orientation="portrait" horizontalDpi="300" r:id="rId2"/>
      <autoFilter ref="B47:AN172"/>
    </customSheetView>
    <customSheetView guid="{336B6883-2145-4B58-921E-CEC7185A847E}" scale="85" showAutoFilter="1" topLeftCell="P40">
      <selection activeCell="AG242" sqref="AG242"/>
      <pageMargins left="0.7" right="0.7" top="0.75" bottom="0.75" header="0.3" footer="0.3"/>
      <pageSetup orientation="portrait" horizontalDpi="300" verticalDpi="0" r:id="rId3"/>
      <autoFilter ref="P47:P194"/>
    </customSheetView>
    <customSheetView guid="{A2C66332-A809-458E-971B-FDB6D62C74C3}" filter="1" showAutoFilter="1" topLeftCell="A31">
      <selection activeCell="AI155" sqref="AI155"/>
      <pageMargins left="0.7" right="0.7" top="0.75" bottom="0.75" header="0.3" footer="0.3"/>
      <pageSetup orientation="portrait" horizontalDpi="300" verticalDpi="0" r:id="rId4"/>
      <autoFilter ref="B47:AN153">
        <filterColumn colId="17">
          <filters>
            <filter val="bang.nguyen-duy"/>
          </filters>
        </filterColumn>
      </autoFilter>
    </customSheetView>
    <customSheetView guid="{72A6EB0A-84D5-4B8A-AC51-54CCD061630B}" scale="85" topLeftCell="A10">
      <selection activeCell="F156" sqref="F156"/>
      <pageMargins left="0.7" right="0.7" top="0.75" bottom="0.75" header="0.3" footer="0.3"/>
      <pageSetup orientation="portrait" horizontalDpi="300" verticalDpi="0" r:id="rId5"/>
    </customSheetView>
    <customSheetView guid="{4E06BDBF-2CED-473B-850B-2A6C7311FF41}" scale="85" filter="1" showAutoFilter="1" topLeftCell="R37">
      <selection activeCell="T130" sqref="A130:XFD130"/>
      <pageMargins left="0.7" right="0.7" top="0.75" bottom="0.75" header="0.3" footer="0.3"/>
      <pageSetup orientation="portrait" horizontalDpi="300" verticalDpi="0" r:id="rId6"/>
      <autoFilter ref="A47:AN151">
        <filterColumn colId="18">
          <filters>
            <filter val="thanh.nguyen-kim"/>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7"/>
    </customSheetView>
    <customSheetView guid="{7E0EA425-A420-4443-B9E0-CDF0AA9E5D09}" scale="85" topLeftCell="U124">
      <selection activeCell="AL146" sqref="AL146"/>
      <pageMargins left="0.7" right="0.7" top="0.75" bottom="0.75" header="0.3" footer="0.3"/>
      <pageSetup orientation="portrait" horizontalDpi="300" verticalDpi="0" r:id="rId8"/>
    </customSheetView>
    <customSheetView guid="{60D2C030-4E31-4E07-8E1C-44D2EE84B177}" scale="85" filter="1" showAutoFilter="1" topLeftCell="O34">
      <selection activeCell="U156" sqref="U156"/>
      <pageMargins left="0.7" right="0.7" top="0.75" bottom="0.75" header="0.3" footer="0.3"/>
      <pageSetup orientation="portrait" horizontalDpi="300" verticalDpi="0" r:id="rId9"/>
      <autoFilter ref="B47:AN151">
        <filterColumn colId="17">
          <filters>
            <filter val="chung.ly"/>
          </filters>
        </filterColumn>
      </autoFilter>
    </customSheetView>
    <customSheetView guid="{250915DF-0B97-45D7-B29D-7EED4C89C1C1}" scale="70" topLeftCell="J139">
      <selection activeCell="S157" sqref="S157"/>
      <pageMargins left="0.7" right="0.7" top="0.75" bottom="0.75" header="0.3" footer="0.3"/>
      <pageSetup orientation="portrait" horizontalDpi="300" r:id="rId10"/>
    </customSheetView>
  </customSheetViews>
  <conditionalFormatting sqref="H4:H13 H19:H29">
    <cfRule type="cellIs" dxfId="97" priority="103" operator="equal">
      <formula>1</formula>
    </cfRule>
    <cfRule type="cellIs" dxfId="96" priority="104" operator="lessThan">
      <formula>1</formula>
    </cfRule>
  </conditionalFormatting>
  <conditionalFormatting sqref="AG64:AG65 AK64:AK65 AG67:AG193 AK67:AK193">
    <cfRule type="cellIs" dxfId="95" priority="101" operator="equal">
      <formula>"OK"</formula>
    </cfRule>
    <cfRule type="cellIs" dxfId="94" priority="102" operator="equal">
      <formula>"NG"</formula>
    </cfRule>
  </conditionalFormatting>
  <conditionalFormatting sqref="O48:P193">
    <cfRule type="cellIs" dxfId="93" priority="100" operator="equal">
      <formula>"PUT_VERSION"</formula>
    </cfRule>
  </conditionalFormatting>
  <conditionalFormatting sqref="D14">
    <cfRule type="expression" dxfId="92" priority="88">
      <formula>$D$14=SUM($D$4:$D$13)</formula>
    </cfRule>
  </conditionalFormatting>
  <conditionalFormatting sqref="E14">
    <cfRule type="expression" dxfId="91" priority="87">
      <formula>$E$14=SUM($E$4:$E$13)</formula>
    </cfRule>
  </conditionalFormatting>
  <conditionalFormatting sqref="F14">
    <cfRule type="expression" dxfId="90" priority="86">
      <formula>$F$14=SUM($F$4:$F$13)</formula>
    </cfRule>
  </conditionalFormatting>
  <conditionalFormatting sqref="D29">
    <cfRule type="expression" dxfId="89" priority="85">
      <formula>$D$29=SUM($D$19:$D$28)</formula>
    </cfRule>
  </conditionalFormatting>
  <conditionalFormatting sqref="E29">
    <cfRule type="expression" dxfId="88" priority="84">
      <formula>$E$29=SUM($E$19:$E$28)</formula>
    </cfRule>
  </conditionalFormatting>
  <conditionalFormatting sqref="H34">
    <cfRule type="cellIs" dxfId="87" priority="69" operator="equal">
      <formula>1</formula>
    </cfRule>
    <cfRule type="cellIs" dxfId="86" priority="70" operator="lessThan">
      <formula>1</formula>
    </cfRule>
  </conditionalFormatting>
  <conditionalFormatting sqref="H35:H43">
    <cfRule type="cellIs" dxfId="85" priority="67" operator="equal">
      <formula>1</formula>
    </cfRule>
    <cfRule type="cellIs" dxfId="84" priority="68" operator="lessThan">
      <formula>1</formula>
    </cfRule>
  </conditionalFormatting>
  <conditionalFormatting sqref="H44">
    <cfRule type="cellIs" dxfId="83" priority="61" operator="equal">
      <formula>1</formula>
    </cfRule>
    <cfRule type="cellIs" dxfId="82" priority="62" operator="lessThan">
      <formula>1</formula>
    </cfRule>
  </conditionalFormatting>
  <conditionalFormatting sqref="F29">
    <cfRule type="expression" dxfId="81" priority="121">
      <formula>$F$29=SUM($F$19:$F$28)</formula>
    </cfRule>
  </conditionalFormatting>
  <conditionalFormatting sqref="AG48">
    <cfRule type="cellIs" dxfId="80" priority="11" operator="equal">
      <formula>"OK"</formula>
    </cfRule>
    <cfRule type="cellIs" dxfId="79" priority="12" operator="equal">
      <formula>"NG"</formula>
    </cfRule>
  </conditionalFormatting>
  <conditionalFormatting sqref="AG49:AG63">
    <cfRule type="cellIs" dxfId="78" priority="8" operator="equal">
      <formula>"OK"</formula>
    </cfRule>
    <cfRule type="cellIs" dxfId="77" priority="9" operator="equal">
      <formula>"NG"</formula>
    </cfRule>
  </conditionalFormatting>
  <conditionalFormatting sqref="K48:K193">
    <cfRule type="cellIs" dxfId="76" priority="3" operator="equal">
      <formula>"Manual"</formula>
    </cfRule>
    <cfRule type="cellIs" dxfId="75" priority="4" operator="equal">
      <formula>"Auto"</formula>
    </cfRule>
  </conditionalFormatting>
  <conditionalFormatting sqref="D48:D193">
    <cfRule type="cellIs" dxfId="74" priority="1" operator="equal">
      <formula>"ASW"</formula>
    </cfRule>
    <cfRule type="cellIs" dxfId="73" priority="2" operator="equal">
      <formula>"PSW"</formula>
    </cfRule>
  </conditionalFormatting>
  <dataValidations count="2">
    <dataValidation type="list" allowBlank="1" showInputMessage="1" showErrorMessage="1" sqref="AK84 AK69:AK71 AK81:AK82 AG64:AG65 AG67:AG193">
      <formula1>"OK,NG"</formula1>
    </dataValidation>
    <dataValidation type="list" allowBlank="1" showInputMessage="1" showErrorMessage="1" sqref="U169:U193 U48:U167">
      <formula1>"Yes,No"</formula1>
    </dataValidation>
  </dataValidations>
  <pageMargins left="0.7" right="0.7" top="0.75" bottom="0.75" header="0.3" footer="0.3"/>
  <pageSetup orientation="portrait" horizontalDpi="300" verticalDpi="0" r:id="rId11"/>
  <legacyDrawing r:id="rId12"/>
  <extLst>
    <ext xmlns:x14="http://schemas.microsoft.com/office/spreadsheetml/2009/9/main" uri="{78C0D931-6437-407d-A8EE-F0AAD7539E65}">
      <x14:conditionalFormattings>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AK67:AK193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Table!$C$26:$C$32</xm:f>
          </x14:formula1>
          <xm:sqref>AB184:AB193 AA48:AA65 AA67:AA193</xm:sqref>
        </x14:dataValidation>
        <x14:dataValidation type="list" allowBlank="1" showInputMessage="1" showErrorMessage="1">
          <x14:formula1>
            <xm:f>Table!$C$36:$C$38</xm:f>
          </x14:formula1>
          <xm:sqref>AK72:AK80 AK83 AK67:AK68 AK48:AK65 AK85:AK193</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Table!$C$13:$C$22</xm:f>
          </x14:formula1>
          <xm:sqref>S48:T193</xm:sqref>
        </x14:dataValidation>
        <x14:dataValidation type="list" allowBlank="1" showInputMessage="1" showErrorMessage="1">
          <x14:formula1>
            <xm:f>Table!$C$8:$C$9</xm:f>
          </x14:formula1>
          <xm:sqref>D48:D193</xm:sqref>
        </x14:dataValidation>
        <x14:dataValidation type="list" allowBlank="1" showInputMessage="1" showErrorMessage="1">
          <x14:formula1>
            <xm:f>Table!$C$47:$C$48</xm:f>
          </x14:formula1>
          <xm:sqref>K48:K193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AN158"/>
  <sheetViews>
    <sheetView topLeftCell="A16" zoomScaleNormal="70" workbookViewId="0">
      <selection activeCell="Y52" sqref="Y52"/>
    </sheetView>
  </sheetViews>
  <sheetFormatPr defaultRowHeight="15" x14ac:dyDescent="0.25"/>
  <cols>
    <col min="3" max="3" width="21" bestFit="1" customWidth="1"/>
    <col min="5" max="5" width="24.28515625" bestFit="1" customWidth="1"/>
    <col min="6" max="6" width="35.85546875" bestFit="1" customWidth="1"/>
    <col min="9" max="9" width="42.140625" bestFit="1" customWidth="1"/>
    <col min="11" max="11" width="12.42578125" customWidth="1"/>
    <col min="13" max="13" width="12.85546875" customWidth="1"/>
    <col min="14" max="14" width="36.140625" bestFit="1" customWidth="1"/>
    <col min="26" max="26" width="11.140625" bestFit="1" customWidth="1"/>
    <col min="29" max="29" width="17.42578125" bestFit="1" customWidth="1"/>
    <col min="30" max="30" width="16" bestFit="1" customWidth="1"/>
    <col min="31" max="32" width="14" bestFit="1" customWidth="1"/>
    <col min="34" max="36" width="10.140625" bestFit="1" customWidth="1"/>
    <col min="37" max="37" width="11.140625" bestFit="1" customWidth="1"/>
  </cols>
  <sheetData>
    <row r="1" spans="1:13" x14ac:dyDescent="0.25">
      <c r="A1" s="74" t="s">
        <v>150</v>
      </c>
    </row>
    <row r="2" spans="1:13" x14ac:dyDescent="0.25">
      <c r="B2" s="74" t="s">
        <v>52</v>
      </c>
      <c r="C2" s="24"/>
      <c r="D2" s="24"/>
      <c r="E2" s="24"/>
      <c r="F2" s="24"/>
      <c r="G2" s="24"/>
      <c r="H2" s="24"/>
    </row>
    <row r="3" spans="1:13" x14ac:dyDescent="0.25">
      <c r="B3" s="67" t="s">
        <v>0</v>
      </c>
      <c r="C3" s="67" t="s">
        <v>8</v>
      </c>
      <c r="D3" s="67" t="s">
        <v>129</v>
      </c>
      <c r="E3" s="67" t="s">
        <v>53</v>
      </c>
      <c r="F3" s="67" t="s">
        <v>136</v>
      </c>
      <c r="G3" s="67" t="s">
        <v>22</v>
      </c>
      <c r="H3" s="68" t="s">
        <v>24</v>
      </c>
      <c r="J3" s="74" t="s">
        <v>39</v>
      </c>
    </row>
    <row r="4" spans="1:13" x14ac:dyDescent="0.25">
      <c r="B4" s="69">
        <v>1</v>
      </c>
      <c r="C4" s="84" t="s">
        <v>6</v>
      </c>
      <c r="D4" s="71">
        <f>SUMIFS($W$48:$W$158,$D$48:$D$158,Table!$D$3,$S$48:$S$158,C4)</f>
        <v>341.1</v>
      </c>
      <c r="E4" s="71">
        <f>SUMIFS($W$48:$W$158,$D$48:$D$158,Table!$D$3,$S$48:$S$158,C4)-SUM(SUMIFS($W$48:$W$158,$D$48:$D$158,Table!$D$3,$S$48:$S$158,C4,$AA$48:$AA$158,{"Ongoing","N/A",""}))</f>
        <v>341.1</v>
      </c>
      <c r="F4" s="71">
        <f>1/8*(SUMIFS($Z$48:$Z$158,$D$48:$D$158,Table!$D$3,$S$48:$S$158,C4)-SUM(SUMIFS($Z$48:$Z$158,$D$48:$D$158,Table!$D$3,$S$48:$S$158,C4,$AA$48:$AA$158,{"Ongoing","N/A",""})))</f>
        <v>0.875</v>
      </c>
      <c r="G4" s="71">
        <f>IF(ISERROR(E4/(F4)),"N/A",E4/F4)</f>
        <v>389.82857142857148</v>
      </c>
      <c r="H4" s="72">
        <f>IF(ISERROR(E4/D4),"N/A",E4/D4)</f>
        <v>1</v>
      </c>
      <c r="K4" s="74" t="s">
        <v>41</v>
      </c>
    </row>
    <row r="5" spans="1:13" x14ac:dyDescent="0.25">
      <c r="B5" s="69">
        <v>2</v>
      </c>
      <c r="C5" s="84" t="s">
        <v>64</v>
      </c>
      <c r="D5" s="71">
        <f>SUMIFS($W$48:$W$158,$D$48:$D$158,Table!$D$3,$S$48:$S$158,C5)</f>
        <v>0</v>
      </c>
      <c r="E5" s="71">
        <f>SUMIFS($W$48:$W$158,$D$48:$D$158,Table!$D$3,$S$48:$S$158,C5)-SUM(SUMIFS($W$48:$W$158,$D$48:$D$158,Table!$D$3,$S$48:$S$158,C5,$AA$48:$AA$158,{"Ongoing","N/A",""}))</f>
        <v>0</v>
      </c>
      <c r="F5" s="71">
        <f>1/8*(SUMIFS($Z$48:$Z$158,$D$48:$D$158,Table!$D$3,$S$48:$S$158,C5)-SUM(SUMIFS($Z$48:$Z$158,$D$48:$D$158,Table!$D$3,$S$48:$S$158,C5,$AA$48:$AA$158,{"Ongoing","N/A",""})))</f>
        <v>0</v>
      </c>
      <c r="G5" s="71" t="str">
        <f t="shared" ref="G5:G13" si="0">IF(ISERROR(E5/(F5)),"N/A",E5/F5)</f>
        <v>N/A</v>
      </c>
      <c r="H5" s="72" t="str">
        <f t="shared" ref="H5:H14" si="1">IF(ISERROR(E5/D5),"N/A",E5/D5)</f>
        <v>N/A</v>
      </c>
      <c r="L5" s="24" t="s">
        <v>40</v>
      </c>
    </row>
    <row r="6" spans="1:13" x14ac:dyDescent="0.25">
      <c r="B6" s="69">
        <v>3</v>
      </c>
      <c r="C6" s="84" t="s">
        <v>65</v>
      </c>
      <c r="D6" s="71">
        <f>SUMIFS($W$48:$W$158,$D$48:$D$158,Table!$D$3,$S$48:$S$158,C6)</f>
        <v>0</v>
      </c>
      <c r="E6" s="71">
        <f>SUMIFS($W$48:$W$158,$D$48:$D$158,Table!$D$3,$S$48:$S$158,C6)-SUM(SUMIFS($W$48:$W$158,$D$48:$D$158,Table!$D$3,$S$48:$S$158,C6,$AA$48:$AA$158,{"Ongoing","N/A",""}))</f>
        <v>0</v>
      </c>
      <c r="F6" s="71">
        <f>1/8*(SUMIFS($Z$48:$Z$158,$D$48:$D$158,Table!$D$3,$S$48:$S$158,C6)-SUM(SUMIFS($Z$48:$Z$158,$D$48:$D$158,Table!$D$3,$S$48:$S$158,C6,$AA$48:$AA$158,{"Ongoing","N/A",""})))</f>
        <v>0</v>
      </c>
      <c r="G6" s="71" t="str">
        <f t="shared" si="0"/>
        <v>N/A</v>
      </c>
      <c r="H6" s="72" t="str">
        <f t="shared" si="1"/>
        <v>N/A</v>
      </c>
      <c r="L6" s="24" t="s">
        <v>100</v>
      </c>
    </row>
    <row r="7" spans="1:13" x14ac:dyDescent="0.25">
      <c r="B7" s="69">
        <v>4</v>
      </c>
      <c r="C7" s="80" t="s">
        <v>66</v>
      </c>
      <c r="D7" s="71">
        <f>SUMIFS($W$48:$W$158,$D$48:$D$158,Table!$D$3,$S$48:$S$158,C7)</f>
        <v>4711.2749999999996</v>
      </c>
      <c r="E7" s="71">
        <f>SUMIFS($W$48:$W$158,$D$48:$D$158,Table!$D$3,$S$48:$S$158,C7)-SUM(SUMIFS($W$48:$W$158,$D$48:$D$158,Table!$D$3,$S$48:$S$158,C7,$AA$48:$AA$158,{"Ongoing","N/A",""}))</f>
        <v>4711.2749999999996</v>
      </c>
      <c r="F7" s="71">
        <f>1/8*(SUMIFS($Z$48:$Z$158,$D$48:$D$158,Table!$D$3,$S$48:$S$158,C7)-SUM(SUMIFS($Z$48:$Z$158,$D$48:$D$158,Table!$D$3,$S$48:$S$158,C7,$AA$48:$AA$158,{"Ongoing","N/A",""})))</f>
        <v>4.9024999999999999</v>
      </c>
      <c r="G7" s="71">
        <f t="shared" si="0"/>
        <v>960.99439061703208</v>
      </c>
      <c r="H7" s="72">
        <f t="shared" si="1"/>
        <v>1</v>
      </c>
      <c r="K7" s="74" t="s">
        <v>42</v>
      </c>
    </row>
    <row r="8" spans="1:13" x14ac:dyDescent="0.25">
      <c r="B8" s="69">
        <v>5</v>
      </c>
      <c r="C8" s="70" t="s">
        <v>67</v>
      </c>
      <c r="D8" s="71">
        <f>SUMIFS($W$48:$W$158,$D$48:$D$158,Table!$D$3,$S$48:$S$158,C8)</f>
        <v>0</v>
      </c>
      <c r="E8" s="71">
        <f>SUMIFS($W$48:$W$158,$D$48:$D$158,Table!$D$3,$S$48:$S$158,C8)-SUM(SUMIFS($W$48:$W$158,$D$48:$D$158,Table!$D$3,$S$48:$S$158,C8,$AA$48:$AA$158,{"Ongoing","N/A",""}))</f>
        <v>0</v>
      </c>
      <c r="F8" s="71">
        <f>1/8*(SUMIFS($Z$48:$Z$158,$D$48:$D$158,Table!$D$3,$S$48:$S$158,C8)-SUM(SUMIFS($Z$48:$Z$158,$D$48:$D$158,Table!$D$3,$S$48:$S$158,C8,$AA$48:$AA$158,{"Ongoing","N/A",""})))</f>
        <v>0</v>
      </c>
      <c r="G8" s="71" t="str">
        <f t="shared" si="0"/>
        <v>N/A</v>
      </c>
      <c r="H8" s="72" t="str">
        <f t="shared" si="1"/>
        <v>N/A</v>
      </c>
      <c r="L8" s="24" t="s">
        <v>43</v>
      </c>
    </row>
    <row r="9" spans="1:13" x14ac:dyDescent="0.25">
      <c r="B9" s="69">
        <v>6</v>
      </c>
      <c r="C9" s="70" t="s">
        <v>68</v>
      </c>
      <c r="D9" s="71">
        <f>SUMIFS($W$48:$W$158,$D$48:$D$158,Table!$D$3,$S$48:$S$158,C9)</f>
        <v>0</v>
      </c>
      <c r="E9" s="71">
        <f>SUMIFS($W$48:$W$158,$D$48:$D$158,Table!$D$3,$S$48:$S$158,C9)-SUM(SUMIFS($W$48:$W$158,$D$48:$D$158,Table!$D$3,$S$48:$S$158,C9,$AA$48:$AA$158,{"Ongoing","N/A",""}))</f>
        <v>0</v>
      </c>
      <c r="F9" s="71">
        <f>1/8*(SUMIFS($Z$48:$Z$158,$D$48:$D$158,Table!$D$3,$S$48:$S$158,C9)-SUM(SUMIFS($Z$48:$Z$158,$D$48:$D$158,Table!$D$3,$S$48:$S$158,C9,$AA$48:$AA$158,{"Ongoing","N/A",""})))</f>
        <v>0</v>
      </c>
      <c r="G9" s="71" t="str">
        <f t="shared" si="0"/>
        <v>N/A</v>
      </c>
      <c r="H9" s="72" t="str">
        <f t="shared" si="1"/>
        <v>N/A</v>
      </c>
      <c r="L9" s="24" t="s">
        <v>44</v>
      </c>
    </row>
    <row r="10" spans="1:13" x14ac:dyDescent="0.25">
      <c r="B10" s="69">
        <v>7</v>
      </c>
      <c r="C10" s="70" t="s">
        <v>69</v>
      </c>
      <c r="D10" s="71">
        <f>SUMIFS($W$48:$W$158,$D$48:$D$158,Table!$D$3,$S$48:$S$158,C10)</f>
        <v>0</v>
      </c>
      <c r="E10" s="71">
        <f>SUMIFS($W$48:$W$158,$D$48:$D$158,Table!$D$3,$S$48:$S$158,C10)-SUM(SUMIFS($W$48:$W$158,$D$48:$D$158,Table!$D$3,$S$48:$S$158,C10,$AA$48:$AA$158,{"Ongoing","N/A",""}))</f>
        <v>0</v>
      </c>
      <c r="F10" s="71">
        <f>1/8*(SUMIFS($Z$48:$Z$158,$D$48:$D$158,Table!$D$3,$S$48:$S$158,C10)-SUM(SUMIFS($Z$48:$Z$158,$D$48:$D$158,Table!$D$3,$S$48:$S$158,C10,$AA$48:$AA$158,{"Ongoing","N/A",""})))</f>
        <v>0</v>
      </c>
      <c r="G10" s="71" t="str">
        <f t="shared" si="0"/>
        <v>N/A</v>
      </c>
      <c r="H10" s="72" t="str">
        <f t="shared" si="1"/>
        <v>N/A</v>
      </c>
    </row>
    <row r="11" spans="1:13" x14ac:dyDescent="0.25">
      <c r="B11" s="69">
        <v>8</v>
      </c>
      <c r="C11" s="70" t="s">
        <v>70</v>
      </c>
      <c r="D11" s="71">
        <f>SUMIFS($W$48:$W$158,$D$48:$D$158,Table!$D$3,$S$48:$S$158,C11)</f>
        <v>0</v>
      </c>
      <c r="E11" s="71">
        <f>SUMIFS($W$48:$W$158,$D$48:$D$158,Table!$D$3,$S$48:$S$158,C11)-SUM(SUMIFS($W$48:$W$158,$D$48:$D$158,Table!$D$3,$S$48:$S$158,C11,$AA$48:$AA$158,{"Ongoing","N/A",""}))</f>
        <v>0</v>
      </c>
      <c r="F11" s="71">
        <f>1/8*(SUMIFS($Z$48:$Z$158,$D$48:$D$158,Table!$D$3,$S$48:$S$158,C11)-SUM(SUMIFS($Z$48:$Z$158,$D$48:$D$158,Table!$D$3,$S$48:$S$158,C11,$AA$48:$AA$158,{"Ongoing","N/A",""})))</f>
        <v>0</v>
      </c>
      <c r="G11" s="71" t="str">
        <f t="shared" si="0"/>
        <v>N/A</v>
      </c>
      <c r="H11" s="72" t="str">
        <f t="shared" si="1"/>
        <v>N/A</v>
      </c>
    </row>
    <row r="12" spans="1:13" x14ac:dyDescent="0.25">
      <c r="B12" s="69">
        <v>9</v>
      </c>
      <c r="C12" s="80" t="s">
        <v>156</v>
      </c>
      <c r="D12" s="71">
        <f>SUMIFS($W$48:$W$158,$D$48:$D$158,Table!$D$3,$S$48:$S$158,C12)</f>
        <v>4343.8500000000004</v>
      </c>
      <c r="E12" s="71">
        <f>SUMIFS($W$48:$W$158,$D$48:$D$158,Table!$D$3,$S$48:$S$158,C12)-SUM(SUMIFS($W$48:$W$158,$D$48:$D$158,Table!$D$3,$S$48:$S$158,C12,$AA$48:$AA$158,{"Ongoing","N/A",""}))</f>
        <v>2422.3500000000004</v>
      </c>
      <c r="F12" s="71">
        <f>1/8*(SUMIFS($Z$48:$Z$158,$D$48:$D$158,Table!$D$3,$S$48:$S$158,C12)-SUM(SUMIFS($Z$48:$Z$158,$D$48:$D$158,Table!$D$3,$S$48:$S$158,C12,$AA$48:$AA$158,{"Ongoing","N/A",""})))</f>
        <v>4.5374999999999996</v>
      </c>
      <c r="G12" s="71">
        <f t="shared" si="0"/>
        <v>533.8512396694216</v>
      </c>
      <c r="H12" s="72">
        <f t="shared" si="1"/>
        <v>0.55765047135605517</v>
      </c>
    </row>
    <row r="13" spans="1:13" x14ac:dyDescent="0.25">
      <c r="B13" s="69">
        <v>10</v>
      </c>
      <c r="C13" s="84" t="s">
        <v>157</v>
      </c>
      <c r="D13" s="71">
        <f>SUMIFS($W$48:$W$158,$D$48:$D$158,Table!$D$3,$S$48:$S$158,C13)</f>
        <v>0</v>
      </c>
      <c r="E13" s="71">
        <f>SUMIFS($W$48:$W$158,$D$48:$D$158,Table!$D$3,$S$48:$S$158,C13)-SUM(SUMIFS($W$48:$W$158,$D$48:$D$158,Table!$D$3,$S$48:$S$158,C13,$AA$48:$AA$158,{"Ongoing","N/A",""}))</f>
        <v>0</v>
      </c>
      <c r="F13" s="71">
        <f>1/8*(SUMIFS($Z$48:$Z$158,$D$48:$D$158,Table!$D$3,$S$48:$S$158,C13)-SUM(SUMIFS($Z$48:$Z$158,$D$48:$D$158,Table!$D$3,$S$48:$S$158,C13,$AA$48:$AA$158,{"Ongoing","N/A",""})))</f>
        <v>0</v>
      </c>
      <c r="G13" s="71" t="str">
        <f t="shared" si="0"/>
        <v>N/A</v>
      </c>
      <c r="H13" s="72" t="str">
        <f t="shared" si="1"/>
        <v>N/A</v>
      </c>
      <c r="J13" s="74" t="s">
        <v>38</v>
      </c>
      <c r="K13" s="76">
        <v>43952</v>
      </c>
      <c r="M13" s="76">
        <f ca="1">TODAY()</f>
        <v>43963</v>
      </c>
    </row>
    <row r="14" spans="1:13" x14ac:dyDescent="0.25">
      <c r="B14" s="67" t="s">
        <v>109</v>
      </c>
      <c r="C14" s="73"/>
      <c r="D14" s="75">
        <f>SUMIFS($W$48:$W$158,$D$48:$D$158,Table!$D$3)</f>
        <v>9396.2250000000004</v>
      </c>
      <c r="E14" s="75">
        <f>SUMIFS($W$48:$W$158,$D$48:$D$158,Table!$D$3)-SUM(SUMIFS($W$48:$W$158,$D$48:$D$158,Table!$D$3,$AA$48:$AA$158,{"Ongoing","N/A",""}))</f>
        <v>7474.7250000000004</v>
      </c>
      <c r="F14" s="75">
        <f>1/8*(SUMIFS($Z$48:$Z$158,$D$48:$D$158,Table!$D$3)-SUM(SUMIFS($Z$48:$Z$158,$D$48:$D$158,Table!$D$3,$AA$48:$AA$158,{"Ongoing","N/A",""})))</f>
        <v>10.315000000000001</v>
      </c>
      <c r="G14" s="71">
        <f>IF(ISERROR(E14/(F14)),"N/A",E14/F14)</f>
        <v>724.64614638875423</v>
      </c>
      <c r="H14" s="72">
        <f t="shared" si="1"/>
        <v>0.79550298125044894</v>
      </c>
      <c r="J14" s="74" t="s">
        <v>30</v>
      </c>
      <c r="K14" s="77">
        <f ca="1">SUM(INT((WEEKDAY(K13-{2,3,4,5,6}) +M13-K13)/7))</f>
        <v>8</v>
      </c>
    </row>
    <row r="15" spans="1:13" x14ac:dyDescent="0.25">
      <c r="J15" s="74" t="s">
        <v>145</v>
      </c>
      <c r="K15" s="77">
        <v>1</v>
      </c>
      <c r="L15" s="78" t="s">
        <v>319</v>
      </c>
    </row>
    <row r="16" spans="1:13" x14ac:dyDescent="0.25">
      <c r="J16" s="74" t="s">
        <v>111</v>
      </c>
      <c r="K16" s="24">
        <f ca="1">IF(TODAY()&lt;M13,SUM(INT((WEEKDAY(K13-{2,3,4,5,6})+TODAY()-K13)/7)),SUM(INT((WEEKDAY(K13-{2,3,4,5,6})+M13-K13)/7)))-K15</f>
        <v>7</v>
      </c>
    </row>
    <row r="17" spans="1:12" x14ac:dyDescent="0.25">
      <c r="B17" s="74" t="s">
        <v>51</v>
      </c>
    </row>
    <row r="18" spans="1:12" x14ac:dyDescent="0.25">
      <c r="B18" s="67" t="s">
        <v>0</v>
      </c>
      <c r="C18" s="67" t="s">
        <v>8</v>
      </c>
      <c r="D18" s="67" t="s">
        <v>129</v>
      </c>
      <c r="E18" s="67" t="s">
        <v>53</v>
      </c>
      <c r="F18" s="67" t="s">
        <v>136</v>
      </c>
      <c r="G18" s="67" t="s">
        <v>22</v>
      </c>
      <c r="H18" s="68" t="s">
        <v>24</v>
      </c>
    </row>
    <row r="19" spans="1:12" x14ac:dyDescent="0.25">
      <c r="B19" s="69">
        <v>1</v>
      </c>
      <c r="C19" s="84" t="s">
        <v>6</v>
      </c>
      <c r="D19" s="71">
        <f>SUMIFS($W$48:$W$158,$D$48:$D$158,Table!$C$3,$S$48:$S$158,C19)</f>
        <v>0</v>
      </c>
      <c r="E19" s="71">
        <f>SUMIFS($X$48:$X$158,$D$48:$D$158,Table!$C$3,$S$48:$S$158,C19)-SUM(SUMIFS($X$48:$X$158,$D$48:$D$158,Table!$C$3,$S$48:$S$158,C19,$AA$48:$AA$158,{"Ongoing","N/A",""}))</f>
        <v>0</v>
      </c>
      <c r="F19" s="71">
        <f>1/8*(SUMIFS($Z$48:$Z$158,$D$48:$D$158,Table!$C$3,$S$48:$S$158,C19)-SUM(SUMIFS($Z$48:$Z$158,$D$48:$D$158,Table!$C$3,$S$48:$S$158,C19,$AA$48:$AA$158,{"Ongoing","N/A",""})))</f>
        <v>0</v>
      </c>
      <c r="G19" s="71" t="str">
        <f>IF(ISERROR(E19/(F19)),"N/A",E19/F19)</f>
        <v>N/A</v>
      </c>
      <c r="H19" s="72" t="str">
        <f>IF(ISERROR(E19/D19),"N/A",E19/D19)</f>
        <v>N/A</v>
      </c>
    </row>
    <row r="20" spans="1:12" x14ac:dyDescent="0.25">
      <c r="B20" s="69">
        <v>2</v>
      </c>
      <c r="C20" s="84" t="s">
        <v>64</v>
      </c>
      <c r="D20" s="71">
        <f>SUMIFS($W$48:$W$158,$D$48:$D$158,Table!$C$3,$S$48:$S$158,C20)</f>
        <v>0</v>
      </c>
      <c r="E20" s="71">
        <f>SUMIFS($X$48:$X$158,$D$48:$D$158,Table!$C$3,$S$48:$S$158,C20)-SUM(SUMIFS($X$48:$X$158,$D$48:$D$158,Table!$C$3,$S$48:$S$158,C20,$AA$48:$AA$158,{"Ongoing","N/A",""}))</f>
        <v>0</v>
      </c>
      <c r="F20" s="71">
        <f>1/8*(SUMIFS($Z$48:$Z$158,$D$48:$D$158,Table!$C$3,$S$48:$S$158,C20)-SUM(SUMIFS($Z$48:$Z$158,$D$48:$D$158,Table!$C$3,$S$48:$S$158,C20,$AA$48:$AA$158,{"Ongoing","N/A",""})))</f>
        <v>0</v>
      </c>
      <c r="G20" s="71" t="str">
        <f t="shared" ref="G20:G29" si="2">IF(ISERROR(E20/(F20)),"N/A",E20/F20)</f>
        <v>N/A</v>
      </c>
      <c r="H20" s="72" t="str">
        <f t="shared" ref="H20:H29" si="3">IF(ISERROR(E20/D20),"N/A",E20/D20)</f>
        <v>N/A</v>
      </c>
    </row>
    <row r="21" spans="1:12" x14ac:dyDescent="0.25">
      <c r="B21" s="69">
        <v>3</v>
      </c>
      <c r="C21" s="84" t="s">
        <v>65</v>
      </c>
      <c r="D21" s="71">
        <f>SUMIFS($W$48:$W$158,$D$48:$D$158,Table!$C$3,$S$48:$S$158,C21)</f>
        <v>0</v>
      </c>
      <c r="E21" s="71">
        <f>SUMIFS($X$48:$X$158,$D$48:$D$158,Table!$C$3,$S$48:$S$158,C21)-SUM(SUMIFS($X$48:$X$158,$D$48:$D$158,Table!$C$3,$S$48:$S$158,C21,$AA$48:$AA$158,{"Ongoing","N/A",""}))</f>
        <v>0</v>
      </c>
      <c r="F21" s="71">
        <f>1/8*(SUMIFS($Z$48:$Z$158,$D$48:$D$158,Table!$C$3,$S$48:$S$158,C21)-SUM(SUMIFS($Z$48:$Z$158,$D$48:$D$158,Table!$C$3,$S$48:$S$158,C21,$AA$48:$AA$158,{"Ongoing","N/A",""})))</f>
        <v>0</v>
      </c>
      <c r="G21" s="71" t="str">
        <f t="shared" si="2"/>
        <v>N/A</v>
      </c>
      <c r="H21" s="72" t="str">
        <f t="shared" si="3"/>
        <v>N/A</v>
      </c>
    </row>
    <row r="22" spans="1:12" x14ac:dyDescent="0.25">
      <c r="B22" s="69">
        <v>4</v>
      </c>
      <c r="C22" s="80" t="s">
        <v>66</v>
      </c>
      <c r="D22" s="71">
        <f>SUMIFS($W$48:$W$158,$D$48:$D$158,Table!$C$3,$S$48:$S$158,C22)</f>
        <v>1201.2</v>
      </c>
      <c r="E22" s="71">
        <f>SUMIFS($X$48:$X$158,$D$48:$D$158,Table!$C$3,$S$48:$S$158,C22)-SUM(SUMIFS($X$48:$X$158,$D$48:$D$158,Table!$C$3,$S$48:$S$158,C22,$AA$48:$AA$158,{"Ongoing","N/A",""}))</f>
        <v>637</v>
      </c>
      <c r="F22" s="71">
        <f>1/8*(SUMIFS($Z$48:$Z$158,$D$48:$D$158,Table!$C$3,$S$48:$S$158,C22)-SUM(SUMIFS($Z$48:$Z$158,$D$48:$D$158,Table!$C$3,$S$48:$S$158,C22,$AA$48:$AA$158,{"Ongoing","N/A",""})))</f>
        <v>1.625</v>
      </c>
      <c r="G22" s="71">
        <f t="shared" si="2"/>
        <v>392</v>
      </c>
      <c r="H22" s="72">
        <f t="shared" si="3"/>
        <v>0.53030303030303028</v>
      </c>
    </row>
    <row r="23" spans="1:12" x14ac:dyDescent="0.25">
      <c r="B23" s="69">
        <v>5</v>
      </c>
      <c r="C23" s="70" t="s">
        <v>67</v>
      </c>
      <c r="D23" s="71">
        <f>SUMIFS($W$48:$W$158,$D$48:$D$158,Table!$C$3,$S$48:$S$158,C23)</f>
        <v>0</v>
      </c>
      <c r="E23" s="71">
        <f>SUMIFS($X$48:$X$158,$D$48:$D$158,Table!$C$3,$S$48:$S$158,C23)-SUM(SUMIFS($X$48:$X$158,$D$48:$D$158,Table!$C$3,$S$48:$S$158,C23,$AA$48:$AA$158,{"Ongoing","N/A",""}))</f>
        <v>0</v>
      </c>
      <c r="F23" s="71">
        <f>1/8*(SUMIFS($Z$48:$Z$158,$D$48:$D$158,Table!$C$3,$S$48:$S$158,C23)-SUM(SUMIFS($Z$48:$Z$158,$D$48:$D$158,Table!$C$3,$S$48:$S$158,C23,$AA$48:$AA$158,{"Ongoing","N/A",""})))</f>
        <v>0</v>
      </c>
      <c r="G23" s="71" t="str">
        <f t="shared" si="2"/>
        <v>N/A</v>
      </c>
      <c r="H23" s="72" t="str">
        <f t="shared" si="3"/>
        <v>N/A</v>
      </c>
    </row>
    <row r="24" spans="1:12" x14ac:dyDescent="0.25">
      <c r="B24" s="69">
        <v>6</v>
      </c>
      <c r="C24" s="70" t="s">
        <v>68</v>
      </c>
      <c r="D24" s="71">
        <f>SUMIFS($W$48:$W$158,$D$48:$D$158,Table!$C$3,$S$48:$S$158,C24)</f>
        <v>0</v>
      </c>
      <c r="E24" s="71">
        <f>SUMIFS($X$48:$X$158,$D$48:$D$158,Table!$C$3,$S$48:$S$158,C24)-SUM(SUMIFS($X$48:$X$158,$D$48:$D$158,Table!$C$3,$S$48:$S$158,C24,$AA$48:$AA$158,{"Ongoing","N/A",""}))</f>
        <v>0</v>
      </c>
      <c r="F24" s="71">
        <f>1/8*(SUMIFS($Z$48:$Z$158,$D$48:$D$158,Table!$C$3,$S$48:$S$158,C24)-SUM(SUMIFS($Z$48:$Z$158,$D$48:$D$158,Table!$C$3,$S$48:$S$158,C24,$AA$48:$AA$158,{"Ongoing","N/A",""})))</f>
        <v>0</v>
      </c>
      <c r="G24" s="71" t="str">
        <f t="shared" si="2"/>
        <v>N/A</v>
      </c>
      <c r="H24" s="72" t="str">
        <f t="shared" si="3"/>
        <v>N/A</v>
      </c>
    </row>
    <row r="25" spans="1:12" x14ac:dyDescent="0.25">
      <c r="B25" s="69">
        <v>7</v>
      </c>
      <c r="C25" s="70" t="s">
        <v>69</v>
      </c>
      <c r="D25" s="71">
        <f>SUMIFS($W$48:$W$158,$D$48:$D$158,Table!$C$3,$S$48:$S$158,C25)</f>
        <v>0</v>
      </c>
      <c r="E25" s="71">
        <f>SUMIFS($X$48:$X$158,$D$48:$D$158,Table!$C$3,$S$48:$S$158,C25)-SUM(SUMIFS($X$48:$X$158,$D$48:$D$158,Table!$C$3,$S$48:$S$158,C25,$AA$48:$AA$158,{"Ongoing","N/A",""}))</f>
        <v>0</v>
      </c>
      <c r="F25" s="71">
        <f>1/8*(SUMIFS($Z$48:$Z$158,$D$48:$D$158,Table!$C$3,$S$48:$S$158,C25)-SUM(SUMIFS($Z$48:$Z$158,$D$48:$D$158,Table!$C$3,$S$48:$S$158,C25,$AA$48:$AA$158,{"Ongoing","N/A",""})))</f>
        <v>0</v>
      </c>
      <c r="G25" s="71" t="str">
        <f t="shared" si="2"/>
        <v>N/A</v>
      </c>
      <c r="H25" s="72" t="str">
        <f t="shared" si="3"/>
        <v>N/A</v>
      </c>
    </row>
    <row r="26" spans="1:12" x14ac:dyDescent="0.25">
      <c r="B26" s="69">
        <v>8</v>
      </c>
      <c r="C26" s="70" t="s">
        <v>70</v>
      </c>
      <c r="D26" s="71">
        <f>SUMIFS($W$48:$W$158,$D$48:$D$158,Table!$C$3,$S$48:$S$158,C26)</f>
        <v>0</v>
      </c>
      <c r="E26" s="71">
        <f>SUMIFS($X$48:$X$158,$D$48:$D$158,Table!$C$3,$S$48:$S$158,C26)-SUM(SUMIFS($X$48:$X$158,$D$48:$D$158,Table!$C$3,$S$48:$S$158,C26,$AA$48:$AA$158,{"Ongoing","N/A",""}))</f>
        <v>0</v>
      </c>
      <c r="F26" s="71">
        <f>1/8*(SUMIFS($Z$48:$Z$158,$D$48:$D$158,Table!$C$3,$S$48:$S$158,C26)-SUM(SUMIFS($Z$48:$Z$158,$D$48:$D$158,Table!$C$3,$S$48:$S$158,C26,$AA$48:$AA$158,{"Ongoing","N/A",""})))</f>
        <v>0</v>
      </c>
      <c r="G26" s="71" t="str">
        <f t="shared" si="2"/>
        <v>N/A</v>
      </c>
      <c r="H26" s="72" t="str">
        <f t="shared" si="3"/>
        <v>N/A</v>
      </c>
    </row>
    <row r="27" spans="1:12" x14ac:dyDescent="0.25">
      <c r="B27" s="69">
        <v>9</v>
      </c>
      <c r="C27" s="80" t="s">
        <v>156</v>
      </c>
      <c r="D27" s="71">
        <f>SUMIFS($W$48:$W$158,$D$48:$D$158,Table!$C$3,$S$48:$S$158,C27)</f>
        <v>384.8</v>
      </c>
      <c r="E27" s="71">
        <f>SUMIFS($X$48:$X$158,$D$48:$D$158,Table!$C$3,$S$48:$S$158,C27)-SUM(SUMIFS($X$48:$X$158,$D$48:$D$158,Table!$C$3,$S$48:$S$158,C27,$AA$48:$AA$158,{"Ongoing","N/A",""}))</f>
        <v>156</v>
      </c>
      <c r="F27" s="71">
        <f>1/8*(SUMIFS($Z$48:$Z$158,$D$48:$D$158,Table!$C$3,$S$48:$S$158,C27)-SUM(SUMIFS($Z$48:$Z$158,$D$48:$D$158,Table!$C$3,$S$48:$S$158,C27,$AA$48:$AA$158,{"Ongoing","N/A",""})))</f>
        <v>0.625</v>
      </c>
      <c r="G27" s="71">
        <f t="shared" si="2"/>
        <v>249.6</v>
      </c>
      <c r="H27" s="72">
        <f t="shared" si="3"/>
        <v>0.40540540540540537</v>
      </c>
    </row>
    <row r="28" spans="1:12" x14ac:dyDescent="0.25">
      <c r="B28" s="69">
        <v>10</v>
      </c>
      <c r="C28" s="84" t="s">
        <v>157</v>
      </c>
      <c r="D28" s="71">
        <f>SUMIFS($W$48:$W$158,$D$48:$D$158,Table!$C$3,$S$48:$S$158,C28)</f>
        <v>0</v>
      </c>
      <c r="E28" s="71">
        <f>SUMIFS($X$48:$X$158,$D$48:$D$158,Table!$C$3,$S$48:$S$158,C28)-SUM(SUMIFS($X$48:$X$158,$D$48:$D$158,Table!$C$3,$S$48:$S$158,C28,$AA$48:$AA$158,{"Ongoing","N/A",""}))</f>
        <v>0</v>
      </c>
      <c r="F28" s="71">
        <f>1/8*(SUMIFS($Z$48:$Z$158,$D$48:$D$158,Table!$C$3,$S$48:$S$158,C28)-SUM(SUMIFS($Z$48:$Z$158,$D$48:$D$158,Table!$C$3,$S$48:$S$158,C28,$AA$48:$AA$158,{"Ongoing","N/A",""})))</f>
        <v>0</v>
      </c>
      <c r="G28" s="71" t="str">
        <f t="shared" si="2"/>
        <v>N/A</v>
      </c>
      <c r="H28" s="72" t="str">
        <f t="shared" si="3"/>
        <v>N/A</v>
      </c>
    </row>
    <row r="29" spans="1:12" x14ac:dyDescent="0.25">
      <c r="B29" s="67" t="s">
        <v>109</v>
      </c>
      <c r="C29" s="73"/>
      <c r="D29" s="75">
        <f>ROUND(SUMIFS($W$48:$W$158,$D$48:$D$158,Table!$C$3),3)</f>
        <v>1586</v>
      </c>
      <c r="E29" s="75">
        <f>ROUND(SUMIFS($W$48:$W$158,$D$48:$D$158,Table!$C$3)-SUM(SUMIFS($W$48:$W$158,$D$48:$D$158,Table!$C$3,$AA$48:$AA$158,{"Ongoing","N/A",""})),3)</f>
        <v>793</v>
      </c>
      <c r="F29" s="75">
        <f>1/8*(SUMIFS($Z$48:$Z$158,$D$48:$D$158,Table!$C$3)-SUM(SUMIFS($Z$48:$Z$158,$D$48:$D$158,Table!$C$3,$AA$48:$AA$158,{"Ongoing","N/A",""})))</f>
        <v>2.25</v>
      </c>
      <c r="G29" s="71">
        <f t="shared" si="2"/>
        <v>352.44444444444446</v>
      </c>
      <c r="H29" s="72">
        <f t="shared" si="3"/>
        <v>0.5</v>
      </c>
      <c r="L29" s="6"/>
    </row>
    <row r="32" spans="1:12" x14ac:dyDescent="0.25">
      <c r="A32" s="1" t="s">
        <v>418</v>
      </c>
      <c r="B32" s="74" t="s">
        <v>110</v>
      </c>
    </row>
    <row r="33" spans="2:40" x14ac:dyDescent="0.25">
      <c r="B33" s="67" t="s">
        <v>0</v>
      </c>
      <c r="C33" s="67" t="s">
        <v>8</v>
      </c>
      <c r="D33" s="67" t="s">
        <v>129</v>
      </c>
      <c r="E33" s="67" t="s">
        <v>53</v>
      </c>
      <c r="F33" s="67" t="s">
        <v>102</v>
      </c>
      <c r="G33" s="67" t="s">
        <v>22</v>
      </c>
      <c r="H33" s="68" t="s">
        <v>24</v>
      </c>
      <c r="I33" s="68" t="s">
        <v>149</v>
      </c>
      <c r="J33" s="68" t="s">
        <v>164</v>
      </c>
    </row>
    <row r="34" spans="2:40" x14ac:dyDescent="0.25">
      <c r="B34" s="69">
        <v>1</v>
      </c>
      <c r="C34" s="84" t="s">
        <v>6</v>
      </c>
      <c r="D34" s="71">
        <f>SUM(D19*Table!$D$4/Table!$C$4,D4)</f>
        <v>341.1</v>
      </c>
      <c r="E34" s="71">
        <f>SUM(E19*Table!$D$4/Table!$C$4,E4)</f>
        <v>341.1</v>
      </c>
      <c r="F34" s="71">
        <f t="shared" ref="F34:F43" ca="1" si="4">$K$16</f>
        <v>7</v>
      </c>
      <c r="G34" s="71">
        <f t="shared" ref="G34" ca="1" si="5">IF(ISERROR(E34/(F34)),"N/A",E34/F34)</f>
        <v>48.728571428571435</v>
      </c>
      <c r="H34" s="72">
        <f t="shared" ref="H34:H44" si="6">IF(ISERROR(E34/D34),"N/A",E34/D34)</f>
        <v>1</v>
      </c>
      <c r="I34" s="3">
        <f>COUNTIFS($S$48:$S$158,C34,$AK$48:$AK$158,Table!$C$36)</f>
        <v>0</v>
      </c>
      <c r="J34" s="3">
        <f>COUNTIFS($S$48:$S$158,C34,$AK$48:$AK$158,Table!$C$37)</f>
        <v>0</v>
      </c>
    </row>
    <row r="35" spans="2:40" x14ac:dyDescent="0.25">
      <c r="B35" s="69">
        <v>2</v>
      </c>
      <c r="C35" s="84" t="s">
        <v>64</v>
      </c>
      <c r="D35" s="71">
        <f>SUM(D20*Table!$D$4/Table!$C$4,D5)</f>
        <v>0</v>
      </c>
      <c r="E35" s="71">
        <f>SUM(E20*Table!$D$4/Table!$C$4,E5)</f>
        <v>0</v>
      </c>
      <c r="F35" s="71">
        <f t="shared" ca="1" si="4"/>
        <v>7</v>
      </c>
      <c r="G35" s="71">
        <f ca="1">IF(ISERROR(E35/(F35)),"N/A",E35/F35)</f>
        <v>0</v>
      </c>
      <c r="H35" s="72" t="str">
        <f t="shared" si="6"/>
        <v>N/A</v>
      </c>
      <c r="I35" s="3">
        <f>COUNTIFS($S$48:$S$158,C35,$AK$48:$AK$158,Table!$C$36)</f>
        <v>0</v>
      </c>
      <c r="J35" s="3">
        <f>COUNTIFS($S$48:$S$158,C35,$AK$48:$AK$158,Table!$C$37)</f>
        <v>0</v>
      </c>
    </row>
    <row r="36" spans="2:40" x14ac:dyDescent="0.25">
      <c r="B36" s="69">
        <v>3</v>
      </c>
      <c r="C36" s="84" t="s">
        <v>65</v>
      </c>
      <c r="D36" s="71">
        <f>SUM(D21*Table!$D$4/Table!$C$4,D6)</f>
        <v>0</v>
      </c>
      <c r="E36" s="71">
        <f>SUM(E21*Table!$D$4/Table!$C$4,E6)</f>
        <v>0</v>
      </c>
      <c r="F36" s="71">
        <f t="shared" ca="1" si="4"/>
        <v>7</v>
      </c>
      <c r="G36" s="71">
        <f t="shared" ref="G36:G43" ca="1" si="7">IF(ISERROR(E36/(F36)),"N/A",E36/F36)</f>
        <v>0</v>
      </c>
      <c r="H36" s="72" t="str">
        <f t="shared" si="6"/>
        <v>N/A</v>
      </c>
      <c r="I36" s="3">
        <f>COUNTIFS($S$48:$S$158,C36,$AK$48:$AK$158,Table!$C$36)</f>
        <v>0</v>
      </c>
      <c r="J36" s="3">
        <f>COUNTIFS($S$48:$S$158,C36,$AK$48:$AK$158,Table!$C$37)</f>
        <v>0</v>
      </c>
    </row>
    <row r="37" spans="2:40" x14ac:dyDescent="0.25">
      <c r="B37" s="69">
        <v>4</v>
      </c>
      <c r="C37" s="80" t="s">
        <v>66</v>
      </c>
      <c r="D37" s="71">
        <f>SUM(D22*Table!$D$4/Table!$C$4,D7)</f>
        <v>8869.2749999999996</v>
      </c>
      <c r="E37" s="71">
        <f>SUM(E22*Table!$D$4/Table!$C$4,E7)</f>
        <v>6916.2749999999996</v>
      </c>
      <c r="F37" s="71">
        <f t="shared" ca="1" si="4"/>
        <v>7</v>
      </c>
      <c r="G37" s="71">
        <f t="shared" ca="1" si="7"/>
        <v>988.03928571428571</v>
      </c>
      <c r="H37" s="72">
        <f t="shared" si="6"/>
        <v>0.77980161850884089</v>
      </c>
      <c r="I37" s="3">
        <f>COUNTIFS($S$48:$S$158,C37,$AK$48:$AK$158,Table!$C$36)</f>
        <v>0</v>
      </c>
      <c r="J37" s="3">
        <f>COUNTIFS($S$48:$S$158,C37,$AK$48:$AK$158,Table!$C$37)</f>
        <v>0</v>
      </c>
    </row>
    <row r="38" spans="2:40" x14ac:dyDescent="0.25">
      <c r="B38" s="69">
        <v>5</v>
      </c>
      <c r="C38" s="70" t="s">
        <v>67</v>
      </c>
      <c r="D38" s="71">
        <f>SUM(D23*Table!$D$4/Table!$C$4,D8)</f>
        <v>0</v>
      </c>
      <c r="E38" s="71">
        <f>SUM(E23*Table!$D$4/Table!$C$4,E8)</f>
        <v>0</v>
      </c>
      <c r="F38" s="71">
        <f t="shared" ca="1" si="4"/>
        <v>7</v>
      </c>
      <c r="G38" s="71">
        <f t="shared" ca="1" si="7"/>
        <v>0</v>
      </c>
      <c r="H38" s="72" t="str">
        <f t="shared" si="6"/>
        <v>N/A</v>
      </c>
      <c r="I38" s="3">
        <f>COUNTIFS($S$48:$S$158,C38,$AK$48:$AK$158,Table!$C$36)</f>
        <v>0</v>
      </c>
      <c r="J38" s="3">
        <f>COUNTIFS($S$48:$S$158,C38,$AK$48:$AK$158,Table!$C$37)</f>
        <v>0</v>
      </c>
    </row>
    <row r="39" spans="2:40" x14ac:dyDescent="0.25">
      <c r="B39" s="69">
        <v>6</v>
      </c>
      <c r="C39" s="70" t="s">
        <v>68</v>
      </c>
      <c r="D39" s="71">
        <f>SUM(D24*Table!$D$4/Table!$C$4,D9)</f>
        <v>0</v>
      </c>
      <c r="E39" s="71">
        <f>SUM(E24*Table!$D$4/Table!$C$4,E9)</f>
        <v>0</v>
      </c>
      <c r="F39" s="71">
        <f t="shared" ca="1" si="4"/>
        <v>7</v>
      </c>
      <c r="G39" s="71">
        <f t="shared" ca="1" si="7"/>
        <v>0</v>
      </c>
      <c r="H39" s="72" t="str">
        <f t="shared" si="6"/>
        <v>N/A</v>
      </c>
      <c r="I39" s="3">
        <f>COUNTIFS($S$48:$S$158,C39,$AK$48:$AK$158,Table!$C$36)</f>
        <v>0</v>
      </c>
      <c r="J39" s="3">
        <f>COUNTIFS($S$48:$S$158,C39,$AK$48:$AK$158,Table!$C$37)</f>
        <v>0</v>
      </c>
    </row>
    <row r="40" spans="2:40" x14ac:dyDescent="0.25">
      <c r="B40" s="69">
        <v>7</v>
      </c>
      <c r="C40" s="70" t="s">
        <v>69</v>
      </c>
      <c r="D40" s="71">
        <f>SUM(D25*Table!$D$4/Table!$C$4,D10)</f>
        <v>0</v>
      </c>
      <c r="E40" s="71">
        <f>SUM(E25*Table!$D$4/Table!$C$4,E10)</f>
        <v>0</v>
      </c>
      <c r="F40" s="71">
        <f t="shared" ca="1" si="4"/>
        <v>7</v>
      </c>
      <c r="G40" s="71">
        <f t="shared" ca="1" si="7"/>
        <v>0</v>
      </c>
      <c r="H40" s="72" t="str">
        <f t="shared" si="6"/>
        <v>N/A</v>
      </c>
      <c r="I40" s="3">
        <f>COUNTIFS($S$48:$S$158,C40,$AK$48:$AK$158,Table!$C$36)</f>
        <v>0</v>
      </c>
      <c r="J40" s="3">
        <f>COUNTIFS($S$48:$S$158,C40,$AK$48:$AK$158,Table!$C$37)</f>
        <v>0</v>
      </c>
    </row>
    <row r="41" spans="2:40" x14ac:dyDescent="0.25">
      <c r="B41" s="69">
        <v>8</v>
      </c>
      <c r="C41" s="70" t="s">
        <v>70</v>
      </c>
      <c r="D41" s="71">
        <f>SUM(D26*Table!$D$4/Table!$C$4,D11)</f>
        <v>0</v>
      </c>
      <c r="E41" s="71">
        <f>SUM(E26*Table!$D$4/Table!$C$4,E11)</f>
        <v>0</v>
      </c>
      <c r="F41" s="71">
        <f t="shared" ca="1" si="4"/>
        <v>7</v>
      </c>
      <c r="G41" s="71">
        <f t="shared" ca="1" si="7"/>
        <v>0</v>
      </c>
      <c r="H41" s="72" t="str">
        <f t="shared" si="6"/>
        <v>N/A</v>
      </c>
      <c r="I41" s="3">
        <f>COUNTIFS($S$48:$S$158,C41,$AK$48:$AK$158,Table!$C$36)</f>
        <v>0</v>
      </c>
      <c r="J41" s="3">
        <f>COUNTIFS($S$48:$S$158,C41,$AK$48:$AK$158,Table!$C$37)</f>
        <v>0</v>
      </c>
    </row>
    <row r="42" spans="2:40" x14ac:dyDescent="0.25">
      <c r="B42" s="69">
        <v>9</v>
      </c>
      <c r="C42" s="80" t="s">
        <v>156</v>
      </c>
      <c r="D42" s="71">
        <f>SUM(D27*Table!$D$4/Table!$C$4,D12)</f>
        <v>5675.85</v>
      </c>
      <c r="E42" s="71">
        <f>SUM(E27*Table!$D$4/Table!$C$4,E12)</f>
        <v>2962.3500000000004</v>
      </c>
      <c r="F42" s="71">
        <f t="shared" ca="1" si="4"/>
        <v>7</v>
      </c>
      <c r="G42" s="71">
        <f t="shared" ca="1" si="7"/>
        <v>423.19285714285718</v>
      </c>
      <c r="H42" s="72">
        <f t="shared" si="6"/>
        <v>0.5219218266867518</v>
      </c>
      <c r="I42" s="3">
        <f>COUNTIFS($S$48:$S$158,C42,$AK$48:$AK$158,Table!$C$36)</f>
        <v>0</v>
      </c>
      <c r="J42" s="3">
        <f>COUNTIFS($S$48:$S$158,C42,$AK$48:$AK$158,Table!$C$37)</f>
        <v>0</v>
      </c>
    </row>
    <row r="43" spans="2:40" x14ac:dyDescent="0.25">
      <c r="B43" s="69">
        <v>10</v>
      </c>
      <c r="C43" s="84" t="s">
        <v>157</v>
      </c>
      <c r="D43" s="71">
        <f>SUM(D28*Table!$D$4/Table!$C$4,D13)</f>
        <v>0</v>
      </c>
      <c r="E43" s="71">
        <f>SUM(E28*Table!$D$4/Table!$C$4,E13)</f>
        <v>0</v>
      </c>
      <c r="F43" s="71">
        <f t="shared" ca="1" si="4"/>
        <v>7</v>
      </c>
      <c r="G43" s="71">
        <f t="shared" ca="1" si="7"/>
        <v>0</v>
      </c>
      <c r="H43" s="72" t="str">
        <f t="shared" si="6"/>
        <v>N/A</v>
      </c>
      <c r="I43" s="3">
        <f>COUNTIFS($S$48:$S$158,C43,$AK$48:$AK$158,Table!$C$36)</f>
        <v>0</v>
      </c>
      <c r="J43" s="3">
        <f>COUNTIFS($S$48:$S$158,C43,$AK$48:$AK$158,Table!$C$37)</f>
        <v>0</v>
      </c>
    </row>
    <row r="44" spans="2:40" x14ac:dyDescent="0.25">
      <c r="B44" s="67" t="s">
        <v>109</v>
      </c>
      <c r="C44" s="73"/>
      <c r="D44" s="71">
        <f>SUM(D34:D43)</f>
        <v>14886.225</v>
      </c>
      <c r="E44" s="71">
        <f>SUM(E34:E43)</f>
        <v>10219.725</v>
      </c>
      <c r="F44" s="71">
        <f ca="1">$K$16*5</f>
        <v>35</v>
      </c>
      <c r="G44" s="71">
        <f ca="1">IF(ISERROR(E44/(F44)),"N/A",E44/F44)</f>
        <v>291.99214285714288</v>
      </c>
      <c r="H44" s="72">
        <f t="shared" si="6"/>
        <v>0.68652227142878741</v>
      </c>
      <c r="I44" s="3">
        <f>SUM(I34:I43)</f>
        <v>0</v>
      </c>
      <c r="J44" s="3">
        <f>SUM(J34:J43)</f>
        <v>0</v>
      </c>
    </row>
    <row r="47" spans="2:40" x14ac:dyDescent="0.25">
      <c r="B47" s="62" t="s">
        <v>0</v>
      </c>
      <c r="C47" s="62" t="s">
        <v>63</v>
      </c>
      <c r="D47" s="62" t="s">
        <v>1</v>
      </c>
      <c r="E47" s="62" t="s">
        <v>56</v>
      </c>
      <c r="F47" s="62" t="s">
        <v>57</v>
      </c>
      <c r="G47" s="62" t="s">
        <v>158</v>
      </c>
      <c r="H47" s="62" t="s">
        <v>113</v>
      </c>
      <c r="I47" s="62" t="s">
        <v>58</v>
      </c>
      <c r="J47" s="62" t="s">
        <v>112</v>
      </c>
      <c r="K47" s="62" t="s">
        <v>159</v>
      </c>
      <c r="L47" s="62" t="s">
        <v>72</v>
      </c>
      <c r="M47" s="62" t="s">
        <v>162</v>
      </c>
      <c r="N47" s="62" t="s">
        <v>71</v>
      </c>
      <c r="O47" s="62" t="s">
        <v>62</v>
      </c>
      <c r="P47" s="62" t="s">
        <v>80</v>
      </c>
      <c r="Q47" s="59" t="s">
        <v>55</v>
      </c>
      <c r="R47" s="63" t="s">
        <v>7</v>
      </c>
      <c r="S47" s="63" t="s">
        <v>8</v>
      </c>
      <c r="T47" s="63" t="s">
        <v>78</v>
      </c>
      <c r="U47" s="63" t="s">
        <v>92</v>
      </c>
      <c r="V47" s="63" t="s">
        <v>75</v>
      </c>
      <c r="W47" s="63" t="s">
        <v>76</v>
      </c>
      <c r="X47" s="63" t="s">
        <v>53</v>
      </c>
      <c r="Y47" s="63" t="s">
        <v>79</v>
      </c>
      <c r="Z47" s="63" t="s">
        <v>54</v>
      </c>
      <c r="AA47" s="63" t="s">
        <v>17</v>
      </c>
      <c r="AB47" s="63" t="s">
        <v>184</v>
      </c>
      <c r="AC47" s="63" t="s">
        <v>59</v>
      </c>
      <c r="AD47" s="63" t="s">
        <v>60</v>
      </c>
      <c r="AE47" s="62" t="s">
        <v>12</v>
      </c>
      <c r="AF47" s="62" t="s">
        <v>13</v>
      </c>
      <c r="AG47" s="62" t="s">
        <v>77</v>
      </c>
      <c r="AH47" s="62" t="s">
        <v>14</v>
      </c>
      <c r="AI47" s="62" t="s">
        <v>15</v>
      </c>
      <c r="AJ47" s="63" t="s">
        <v>16</v>
      </c>
      <c r="AK47" s="62" t="s">
        <v>160</v>
      </c>
      <c r="AL47" s="63" t="s">
        <v>147</v>
      </c>
      <c r="AM47" s="63" t="s">
        <v>146</v>
      </c>
      <c r="AN47" s="63" t="s">
        <v>81</v>
      </c>
    </row>
    <row r="48" spans="2:40" x14ac:dyDescent="0.25">
      <c r="B48" s="46">
        <v>1</v>
      </c>
      <c r="C48" s="17">
        <v>20200427</v>
      </c>
      <c r="D48" s="16" t="s">
        <v>2</v>
      </c>
      <c r="E48" s="16" t="s">
        <v>256</v>
      </c>
      <c r="F48" s="18" t="s">
        <v>257</v>
      </c>
      <c r="G48" s="58" t="s">
        <v>61</v>
      </c>
      <c r="H48" s="16" t="s">
        <v>199</v>
      </c>
      <c r="I48" s="16" t="s">
        <v>261</v>
      </c>
      <c r="J48" s="16" t="s">
        <v>198</v>
      </c>
      <c r="K48" s="58" t="s">
        <v>61</v>
      </c>
      <c r="L48" s="58" t="s">
        <v>61</v>
      </c>
      <c r="M48" s="58" t="s">
        <v>61</v>
      </c>
      <c r="N48" s="16" t="s">
        <v>317</v>
      </c>
      <c r="O48" s="18" t="s">
        <v>194</v>
      </c>
      <c r="P48" s="18" t="s">
        <v>318</v>
      </c>
      <c r="Q48" s="19"/>
      <c r="R48" s="17" t="s">
        <v>98</v>
      </c>
      <c r="S48" s="16" t="s">
        <v>66</v>
      </c>
      <c r="T48" s="16"/>
      <c r="U48" s="16"/>
      <c r="V48" s="16">
        <v>36</v>
      </c>
      <c r="W48" s="16">
        <f>ROUND(IF(D48=Table!$C$3,Y48*Table!$C$4/8,Y48*Table!$D$4/8),3)</f>
        <v>26</v>
      </c>
      <c r="X48" s="16">
        <f t="shared" ref="X48:X79" si="8">W48</f>
        <v>26</v>
      </c>
      <c r="Y48" s="16">
        <v>1.6</v>
      </c>
      <c r="Z48" s="16">
        <v>1</v>
      </c>
      <c r="AA48" s="16" t="s">
        <v>21</v>
      </c>
      <c r="AB48" s="16"/>
      <c r="AC48" s="20">
        <v>43946</v>
      </c>
      <c r="AD48" s="20">
        <v>43958</v>
      </c>
      <c r="AE48" s="20">
        <v>43955</v>
      </c>
      <c r="AF48" s="20">
        <v>43955</v>
      </c>
      <c r="AG48" s="20" t="s">
        <v>336</v>
      </c>
      <c r="AH48" s="32">
        <v>0.77800000000000002</v>
      </c>
      <c r="AI48" s="32">
        <v>0.77800000000000002</v>
      </c>
      <c r="AJ48" s="32">
        <v>1</v>
      </c>
      <c r="AK48" s="20" t="s">
        <v>165</v>
      </c>
      <c r="AL48" s="16" t="s">
        <v>415</v>
      </c>
      <c r="AM48" s="16"/>
      <c r="AN48" s="16"/>
    </row>
    <row r="49" spans="2:40" x14ac:dyDescent="0.25">
      <c r="B49" s="46">
        <f>B48+1</f>
        <v>2</v>
      </c>
      <c r="C49" s="17">
        <v>20200427</v>
      </c>
      <c r="D49" s="16" t="s">
        <v>2</v>
      </c>
      <c r="E49" s="16" t="s">
        <v>256</v>
      </c>
      <c r="F49" s="18" t="s">
        <v>257</v>
      </c>
      <c r="G49" s="58" t="s">
        <v>61</v>
      </c>
      <c r="H49" s="16" t="s">
        <v>200</v>
      </c>
      <c r="I49" s="16" t="s">
        <v>262</v>
      </c>
      <c r="J49" s="16" t="s">
        <v>198</v>
      </c>
      <c r="K49" s="58" t="s">
        <v>61</v>
      </c>
      <c r="L49" s="58" t="s">
        <v>61</v>
      </c>
      <c r="M49" s="58" t="s">
        <v>61</v>
      </c>
      <c r="N49" s="16" t="s">
        <v>317</v>
      </c>
      <c r="O49" s="18" t="s">
        <v>195</v>
      </c>
      <c r="P49" s="18" t="s">
        <v>318</v>
      </c>
      <c r="Q49" s="19"/>
      <c r="R49" s="17" t="s">
        <v>98</v>
      </c>
      <c r="S49" s="16" t="s">
        <v>66</v>
      </c>
      <c r="T49" s="16"/>
      <c r="U49" s="16"/>
      <c r="V49" s="16">
        <v>82</v>
      </c>
      <c r="W49" s="16">
        <f>ROUND(IF(D49=Table!$C$3,Y49*Table!$C$4/8,Y49*Table!$D$4/8),3)</f>
        <v>71.5</v>
      </c>
      <c r="X49" s="16">
        <f t="shared" si="8"/>
        <v>71.5</v>
      </c>
      <c r="Y49" s="16">
        <v>4.4000000000000004</v>
      </c>
      <c r="Z49" s="16">
        <v>2</v>
      </c>
      <c r="AA49" s="16" t="s">
        <v>21</v>
      </c>
      <c r="AB49" s="16"/>
      <c r="AC49" s="20">
        <v>43946</v>
      </c>
      <c r="AD49" s="20">
        <v>43958</v>
      </c>
      <c r="AE49" s="20">
        <v>43955</v>
      </c>
      <c r="AF49" s="20">
        <v>43955</v>
      </c>
      <c r="AG49" s="20" t="s">
        <v>336</v>
      </c>
      <c r="AH49" s="32">
        <v>0.92900000000000005</v>
      </c>
      <c r="AI49" s="32">
        <v>0.92900000000000005</v>
      </c>
      <c r="AJ49" s="32">
        <v>0.625</v>
      </c>
      <c r="AK49" s="20" t="s">
        <v>165</v>
      </c>
      <c r="AL49" s="16" t="s">
        <v>415</v>
      </c>
      <c r="AM49" s="16"/>
      <c r="AN49" s="16"/>
    </row>
    <row r="50" spans="2:40" x14ac:dyDescent="0.25">
      <c r="B50" s="46">
        <f t="shared" ref="B50:B108" si="9">B49+1</f>
        <v>3</v>
      </c>
      <c r="C50" s="17">
        <v>20200427</v>
      </c>
      <c r="D50" s="16" t="s">
        <v>2</v>
      </c>
      <c r="E50" s="16" t="s">
        <v>256</v>
      </c>
      <c r="F50" s="18" t="s">
        <v>258</v>
      </c>
      <c r="G50" s="58" t="s">
        <v>61</v>
      </c>
      <c r="H50" s="16" t="s">
        <v>201</v>
      </c>
      <c r="I50" s="16" t="s">
        <v>263</v>
      </c>
      <c r="J50" s="16" t="s">
        <v>121</v>
      </c>
      <c r="K50" s="58" t="s">
        <v>61</v>
      </c>
      <c r="L50" s="58" t="s">
        <v>61</v>
      </c>
      <c r="M50" s="58" t="s">
        <v>61</v>
      </c>
      <c r="N50" s="16" t="s">
        <v>317</v>
      </c>
      <c r="O50" s="18" t="s">
        <v>196</v>
      </c>
      <c r="P50" s="18" t="s">
        <v>318</v>
      </c>
      <c r="Q50" s="19"/>
      <c r="R50" s="17" t="s">
        <v>98</v>
      </c>
      <c r="S50" s="16" t="s">
        <v>66</v>
      </c>
      <c r="T50" s="16"/>
      <c r="U50" s="16"/>
      <c r="V50" s="16">
        <v>179</v>
      </c>
      <c r="W50" s="16">
        <f>ROUND(IF(D50=Table!$C$3,Y50*Table!$C$4/8,Y50*Table!$D$4/8),3)</f>
        <v>84.5</v>
      </c>
      <c r="X50" s="16">
        <f t="shared" si="8"/>
        <v>84.5</v>
      </c>
      <c r="Y50" s="16">
        <v>5.2</v>
      </c>
      <c r="Z50" s="16">
        <v>2</v>
      </c>
      <c r="AA50" s="16" t="s">
        <v>21</v>
      </c>
      <c r="AB50" s="16"/>
      <c r="AC50" s="20">
        <v>43946</v>
      </c>
      <c r="AD50" s="20">
        <v>43958</v>
      </c>
      <c r="AE50" s="20">
        <v>43955</v>
      </c>
      <c r="AF50" s="20">
        <v>43955</v>
      </c>
      <c r="AG50" s="20" t="s">
        <v>336</v>
      </c>
      <c r="AH50" s="32">
        <v>0.88900000000000001</v>
      </c>
      <c r="AI50" s="32">
        <v>0.9</v>
      </c>
      <c r="AJ50" s="32" t="s">
        <v>413</v>
      </c>
      <c r="AK50" s="20" t="s">
        <v>165</v>
      </c>
      <c r="AL50" s="16" t="s">
        <v>416</v>
      </c>
      <c r="AM50" s="16"/>
      <c r="AN50" s="16"/>
    </row>
    <row r="51" spans="2:40" x14ac:dyDescent="0.25">
      <c r="B51" s="46">
        <f t="shared" si="9"/>
        <v>4</v>
      </c>
      <c r="C51" s="17">
        <v>20200427</v>
      </c>
      <c r="D51" s="16" t="s">
        <v>2</v>
      </c>
      <c r="E51" s="16" t="s">
        <v>256</v>
      </c>
      <c r="F51" s="18" t="s">
        <v>259</v>
      </c>
      <c r="G51" s="58" t="s">
        <v>61</v>
      </c>
      <c r="H51" s="16" t="s">
        <v>202</v>
      </c>
      <c r="I51" s="16" t="s">
        <v>264</v>
      </c>
      <c r="J51" s="16" t="s">
        <v>121</v>
      </c>
      <c r="K51" s="58" t="s">
        <v>61</v>
      </c>
      <c r="L51" s="58" t="s">
        <v>61</v>
      </c>
      <c r="M51" s="58" t="s">
        <v>61</v>
      </c>
      <c r="N51" s="16" t="s">
        <v>317</v>
      </c>
      <c r="O51" s="18" t="s">
        <v>143</v>
      </c>
      <c r="P51" s="18" t="s">
        <v>318</v>
      </c>
      <c r="Q51" s="19"/>
      <c r="R51" s="17" t="s">
        <v>98</v>
      </c>
      <c r="S51" s="16" t="s">
        <v>66</v>
      </c>
      <c r="T51" s="16"/>
      <c r="U51" s="16"/>
      <c r="V51" s="16">
        <v>10</v>
      </c>
      <c r="W51" s="16">
        <f>ROUND(IF(D51=Table!$C$3,Y51*Table!$C$4/8,Y51*Table!$D$4/8),3)</f>
        <v>26</v>
      </c>
      <c r="X51" s="16">
        <f t="shared" si="8"/>
        <v>26</v>
      </c>
      <c r="Y51" s="16">
        <v>1.6</v>
      </c>
      <c r="Z51" s="16">
        <v>0.5</v>
      </c>
      <c r="AA51" s="16" t="s">
        <v>21</v>
      </c>
      <c r="AB51" s="16"/>
      <c r="AC51" s="20">
        <v>43946</v>
      </c>
      <c r="AD51" s="20">
        <v>43958</v>
      </c>
      <c r="AE51" s="20">
        <v>43956</v>
      </c>
      <c r="AF51" s="20">
        <v>43956</v>
      </c>
      <c r="AG51" s="20" t="s">
        <v>336</v>
      </c>
      <c r="AH51" s="32">
        <v>1</v>
      </c>
      <c r="AI51" s="32" t="s">
        <v>413</v>
      </c>
      <c r="AJ51" s="32" t="s">
        <v>413</v>
      </c>
      <c r="AK51" s="20" t="s">
        <v>165</v>
      </c>
      <c r="AL51" s="16"/>
      <c r="AM51" s="16"/>
      <c r="AN51" s="16"/>
    </row>
    <row r="52" spans="2:40" x14ac:dyDescent="0.25">
      <c r="B52" s="46">
        <f t="shared" si="9"/>
        <v>5</v>
      </c>
      <c r="C52" s="17">
        <v>20200427</v>
      </c>
      <c r="D52" s="16" t="s">
        <v>2</v>
      </c>
      <c r="E52" s="16" t="s">
        <v>256</v>
      </c>
      <c r="F52" s="18" t="s">
        <v>259</v>
      </c>
      <c r="G52" s="58" t="s">
        <v>61</v>
      </c>
      <c r="H52" s="16" t="s">
        <v>203</v>
      </c>
      <c r="I52" s="16" t="s">
        <v>265</v>
      </c>
      <c r="J52" s="16" t="s">
        <v>121</v>
      </c>
      <c r="K52" s="58" t="s">
        <v>61</v>
      </c>
      <c r="L52" s="58" t="s">
        <v>61</v>
      </c>
      <c r="M52" s="58" t="s">
        <v>61</v>
      </c>
      <c r="N52" s="16" t="s">
        <v>317</v>
      </c>
      <c r="O52" s="18" t="s">
        <v>143</v>
      </c>
      <c r="P52" s="18" t="s">
        <v>318</v>
      </c>
      <c r="Q52" s="19"/>
      <c r="R52" s="17" t="s">
        <v>98</v>
      </c>
      <c r="S52" s="16" t="s">
        <v>66</v>
      </c>
      <c r="T52" s="16"/>
      <c r="U52" s="16"/>
      <c r="V52" s="16">
        <v>10</v>
      </c>
      <c r="W52" s="16">
        <f>ROUND(IF(D52=Table!$C$3,Y52*Table!$C$4/8,Y52*Table!$D$4/8),3)</f>
        <v>26</v>
      </c>
      <c r="X52" s="16">
        <f t="shared" si="8"/>
        <v>26</v>
      </c>
      <c r="Y52" s="16">
        <v>1.6</v>
      </c>
      <c r="Z52" s="16">
        <v>0.5</v>
      </c>
      <c r="AA52" s="16" t="s">
        <v>21</v>
      </c>
      <c r="AB52" s="16"/>
      <c r="AC52" s="20">
        <v>43946</v>
      </c>
      <c r="AD52" s="20">
        <v>43958</v>
      </c>
      <c r="AE52" s="20">
        <v>43956</v>
      </c>
      <c r="AF52" s="20">
        <v>43956</v>
      </c>
      <c r="AG52" s="20" t="s">
        <v>336</v>
      </c>
      <c r="AH52" s="32">
        <v>1</v>
      </c>
      <c r="AI52" s="32" t="s">
        <v>413</v>
      </c>
      <c r="AJ52" s="32" t="s">
        <v>413</v>
      </c>
      <c r="AK52" s="20" t="s">
        <v>165</v>
      </c>
      <c r="AL52" s="16"/>
      <c r="AM52" s="16"/>
      <c r="AN52" s="16"/>
    </row>
    <row r="53" spans="2:40" x14ac:dyDescent="0.25">
      <c r="B53" s="46">
        <f t="shared" si="9"/>
        <v>6</v>
      </c>
      <c r="C53" s="17">
        <v>20200427</v>
      </c>
      <c r="D53" s="16" t="s">
        <v>2</v>
      </c>
      <c r="E53" s="16" t="s">
        <v>256</v>
      </c>
      <c r="F53" s="18" t="s">
        <v>259</v>
      </c>
      <c r="G53" s="58" t="s">
        <v>61</v>
      </c>
      <c r="H53" s="16" t="s">
        <v>204</v>
      </c>
      <c r="I53" s="16" t="s">
        <v>266</v>
      </c>
      <c r="J53" s="16" t="s">
        <v>121</v>
      </c>
      <c r="K53" s="58" t="s">
        <v>61</v>
      </c>
      <c r="L53" s="58" t="s">
        <v>61</v>
      </c>
      <c r="M53" s="58" t="s">
        <v>61</v>
      </c>
      <c r="N53" s="16" t="s">
        <v>317</v>
      </c>
      <c r="O53" s="18" t="s">
        <v>197</v>
      </c>
      <c r="P53" s="18" t="s">
        <v>318</v>
      </c>
      <c r="Q53" s="19"/>
      <c r="R53" s="17" t="s">
        <v>98</v>
      </c>
      <c r="S53" s="16" t="s">
        <v>66</v>
      </c>
      <c r="T53" s="16"/>
      <c r="U53" s="16"/>
      <c r="V53" s="16">
        <v>90</v>
      </c>
      <c r="W53" s="16">
        <f>ROUND(IF(D53=Table!$C$3,Y53*Table!$C$4/8,Y53*Table!$D$4/8),3)</f>
        <v>65</v>
      </c>
      <c r="X53" s="16">
        <f t="shared" si="8"/>
        <v>65</v>
      </c>
      <c r="Y53" s="16">
        <v>4</v>
      </c>
      <c r="Z53" s="16">
        <v>2</v>
      </c>
      <c r="AA53" s="16" t="s">
        <v>21</v>
      </c>
      <c r="AB53" s="16"/>
      <c r="AC53" s="20">
        <v>43946</v>
      </c>
      <c r="AD53" s="20">
        <v>43958</v>
      </c>
      <c r="AE53" s="20">
        <v>43955</v>
      </c>
      <c r="AF53" s="20">
        <v>43955</v>
      </c>
      <c r="AG53" s="20" t="s">
        <v>336</v>
      </c>
      <c r="AH53" s="32">
        <v>1</v>
      </c>
      <c r="AI53" s="32">
        <v>1</v>
      </c>
      <c r="AJ53" s="32">
        <v>0.26900000000000002</v>
      </c>
      <c r="AK53" s="20" t="s">
        <v>165</v>
      </c>
      <c r="AL53" s="16"/>
      <c r="AM53" s="16"/>
      <c r="AN53" s="16"/>
    </row>
    <row r="54" spans="2:40" x14ac:dyDescent="0.25">
      <c r="B54" s="46">
        <f t="shared" si="9"/>
        <v>7</v>
      </c>
      <c r="C54" s="17">
        <v>20200427</v>
      </c>
      <c r="D54" s="16" t="s">
        <v>3</v>
      </c>
      <c r="E54" s="16" t="s">
        <v>256</v>
      </c>
      <c r="F54" s="18" t="s">
        <v>260</v>
      </c>
      <c r="G54" s="58" t="s">
        <v>61</v>
      </c>
      <c r="H54" s="16" t="s">
        <v>142</v>
      </c>
      <c r="I54" s="16" t="s">
        <v>267</v>
      </c>
      <c r="J54" s="16" t="s">
        <v>121</v>
      </c>
      <c r="K54" s="58" t="s">
        <v>61</v>
      </c>
      <c r="L54" s="58" t="s">
        <v>61</v>
      </c>
      <c r="M54" s="58" t="s">
        <v>61</v>
      </c>
      <c r="N54" s="16" t="s">
        <v>148</v>
      </c>
      <c r="O54" s="18" t="s">
        <v>61</v>
      </c>
      <c r="P54" s="18" t="s">
        <v>318</v>
      </c>
      <c r="Q54" s="19"/>
      <c r="R54" s="17" t="s">
        <v>98</v>
      </c>
      <c r="S54" s="16" t="s">
        <v>66</v>
      </c>
      <c r="T54" s="16"/>
      <c r="U54" s="16"/>
      <c r="V54" s="16">
        <v>66</v>
      </c>
      <c r="W54" s="16">
        <f>ROUND(IF(D54=Table!$C$3,Y54*Table!$C$4/8,Y54*Table!$D$4/8),3)</f>
        <v>6.75</v>
      </c>
      <c r="X54" s="16">
        <f t="shared" si="8"/>
        <v>6.75</v>
      </c>
      <c r="Y54" s="16">
        <v>0.12</v>
      </c>
      <c r="Z54" s="16">
        <f t="shared" ref="Z54:Z67" si="10">Y54</f>
        <v>0.12</v>
      </c>
      <c r="AA54" s="16" t="s">
        <v>21</v>
      </c>
      <c r="AB54" s="16"/>
      <c r="AC54" s="20">
        <v>43946</v>
      </c>
      <c r="AD54" s="20">
        <v>43958</v>
      </c>
      <c r="AE54" s="20">
        <v>43955</v>
      </c>
      <c r="AF54" s="20">
        <v>43955</v>
      </c>
      <c r="AG54" s="20" t="s">
        <v>336</v>
      </c>
      <c r="AH54" s="32">
        <v>1</v>
      </c>
      <c r="AI54" s="32">
        <v>1</v>
      </c>
      <c r="AJ54" s="32">
        <v>1</v>
      </c>
      <c r="AK54" s="104" t="s">
        <v>165</v>
      </c>
      <c r="AL54" s="16"/>
      <c r="AM54" s="16"/>
      <c r="AN54" s="16"/>
    </row>
    <row r="55" spans="2:40" x14ac:dyDescent="0.25">
      <c r="B55" s="46">
        <f t="shared" si="9"/>
        <v>8</v>
      </c>
      <c r="C55" s="17">
        <v>20200427</v>
      </c>
      <c r="D55" s="16" t="s">
        <v>3</v>
      </c>
      <c r="E55" s="16" t="s">
        <v>256</v>
      </c>
      <c r="F55" s="18" t="s">
        <v>260</v>
      </c>
      <c r="G55" s="58" t="s">
        <v>61</v>
      </c>
      <c r="H55" s="16" t="s">
        <v>94</v>
      </c>
      <c r="I55" s="16" t="s">
        <v>268</v>
      </c>
      <c r="J55" s="16" t="s">
        <v>121</v>
      </c>
      <c r="K55" s="58" t="s">
        <v>61</v>
      </c>
      <c r="L55" s="58" t="s">
        <v>61</v>
      </c>
      <c r="M55" s="58" t="s">
        <v>61</v>
      </c>
      <c r="N55" s="16" t="s">
        <v>148</v>
      </c>
      <c r="O55" s="18" t="s">
        <v>61</v>
      </c>
      <c r="P55" s="18" t="s">
        <v>318</v>
      </c>
      <c r="Q55" s="19"/>
      <c r="R55" s="17" t="s">
        <v>98</v>
      </c>
      <c r="S55" s="16" t="s">
        <v>66</v>
      </c>
      <c r="T55" s="16"/>
      <c r="U55" s="16"/>
      <c r="V55" s="16">
        <v>15</v>
      </c>
      <c r="W55" s="16">
        <f>ROUND(IF(D55=Table!$C$3,Y55*Table!$C$4/8,Y55*Table!$D$4/8),3)</f>
        <v>6.75</v>
      </c>
      <c r="X55" s="16">
        <f t="shared" si="8"/>
        <v>6.75</v>
      </c>
      <c r="Y55" s="16">
        <v>0.12</v>
      </c>
      <c r="Z55" s="16">
        <f t="shared" si="10"/>
        <v>0.12</v>
      </c>
      <c r="AA55" s="16" t="s">
        <v>21</v>
      </c>
      <c r="AB55" s="16"/>
      <c r="AC55" s="20">
        <v>43946</v>
      </c>
      <c r="AD55" s="20">
        <v>43958</v>
      </c>
      <c r="AE55" s="20">
        <v>43955</v>
      </c>
      <c r="AF55" s="20">
        <v>43955</v>
      </c>
      <c r="AG55" s="20" t="s">
        <v>336</v>
      </c>
      <c r="AH55" s="32">
        <v>1</v>
      </c>
      <c r="AI55" s="32">
        <v>1</v>
      </c>
      <c r="AJ55" s="32">
        <v>1</v>
      </c>
      <c r="AK55" s="104" t="s">
        <v>165</v>
      </c>
      <c r="AL55" s="16"/>
      <c r="AM55" s="16"/>
      <c r="AN55" s="16"/>
    </row>
    <row r="56" spans="2:40" x14ac:dyDescent="0.25">
      <c r="B56" s="46">
        <f t="shared" si="9"/>
        <v>9</v>
      </c>
      <c r="C56" s="17">
        <v>20200427</v>
      </c>
      <c r="D56" s="16" t="s">
        <v>3</v>
      </c>
      <c r="E56" s="16" t="s">
        <v>256</v>
      </c>
      <c r="F56" s="18" t="s">
        <v>260</v>
      </c>
      <c r="G56" s="58" t="s">
        <v>61</v>
      </c>
      <c r="H56" s="16" t="s">
        <v>95</v>
      </c>
      <c r="I56" s="16" t="s">
        <v>269</v>
      </c>
      <c r="J56" s="16" t="s">
        <v>121</v>
      </c>
      <c r="K56" s="58" t="s">
        <v>61</v>
      </c>
      <c r="L56" s="58" t="s">
        <v>61</v>
      </c>
      <c r="M56" s="58" t="s">
        <v>61</v>
      </c>
      <c r="N56" s="16" t="s">
        <v>148</v>
      </c>
      <c r="O56" s="18" t="s">
        <v>61</v>
      </c>
      <c r="P56" s="18" t="s">
        <v>318</v>
      </c>
      <c r="Q56" s="19"/>
      <c r="R56" s="17" t="s">
        <v>98</v>
      </c>
      <c r="S56" s="16" t="s">
        <v>66</v>
      </c>
      <c r="T56" s="16"/>
      <c r="U56" s="16"/>
      <c r="V56" s="16">
        <v>12</v>
      </c>
      <c r="W56" s="16">
        <f>ROUND(IF(D56=Table!$C$3,Y56*Table!$C$4/8,Y56*Table!$D$4/8),3)</f>
        <v>6.75</v>
      </c>
      <c r="X56" s="16">
        <f t="shared" si="8"/>
        <v>6.75</v>
      </c>
      <c r="Y56" s="16">
        <v>0.12</v>
      </c>
      <c r="Z56" s="16">
        <f t="shared" si="10"/>
        <v>0.12</v>
      </c>
      <c r="AA56" s="16" t="s">
        <v>21</v>
      </c>
      <c r="AB56" s="16"/>
      <c r="AC56" s="20">
        <v>43946</v>
      </c>
      <c r="AD56" s="20">
        <v>43958</v>
      </c>
      <c r="AE56" s="20">
        <v>43955</v>
      </c>
      <c r="AF56" s="20">
        <v>43955</v>
      </c>
      <c r="AG56" s="20" t="s">
        <v>336</v>
      </c>
      <c r="AH56" s="32">
        <v>1</v>
      </c>
      <c r="AI56" s="32">
        <v>1</v>
      </c>
      <c r="AJ56" s="32">
        <v>1</v>
      </c>
      <c r="AK56" s="104" t="s">
        <v>165</v>
      </c>
      <c r="AL56" s="16"/>
      <c r="AM56" s="16"/>
      <c r="AN56" s="16"/>
    </row>
    <row r="57" spans="2:40" x14ac:dyDescent="0.25">
      <c r="B57" s="46">
        <f t="shared" si="9"/>
        <v>10</v>
      </c>
      <c r="C57" s="17">
        <v>20200427</v>
      </c>
      <c r="D57" s="16" t="s">
        <v>3</v>
      </c>
      <c r="E57" s="16" t="s">
        <v>256</v>
      </c>
      <c r="F57" s="18" t="s">
        <v>260</v>
      </c>
      <c r="G57" s="58" t="s">
        <v>61</v>
      </c>
      <c r="H57" s="16" t="s">
        <v>96</v>
      </c>
      <c r="I57" s="16" t="s">
        <v>270</v>
      </c>
      <c r="J57" s="16" t="s">
        <v>121</v>
      </c>
      <c r="K57" s="58" t="s">
        <v>61</v>
      </c>
      <c r="L57" s="58" t="s">
        <v>61</v>
      </c>
      <c r="M57" s="58" t="s">
        <v>61</v>
      </c>
      <c r="N57" s="16" t="s">
        <v>148</v>
      </c>
      <c r="O57" s="18" t="s">
        <v>61</v>
      </c>
      <c r="P57" s="18" t="s">
        <v>318</v>
      </c>
      <c r="Q57" s="19"/>
      <c r="R57" s="17" t="s">
        <v>98</v>
      </c>
      <c r="S57" s="16" t="s">
        <v>66</v>
      </c>
      <c r="T57" s="16"/>
      <c r="U57" s="16"/>
      <c r="V57" s="16">
        <v>9</v>
      </c>
      <c r="W57" s="16">
        <f>ROUND(IF(D57=Table!$C$3,Y57*Table!$C$4/8,Y57*Table!$D$4/8),3)</f>
        <v>6.75</v>
      </c>
      <c r="X57" s="16">
        <f t="shared" si="8"/>
        <v>6.75</v>
      </c>
      <c r="Y57" s="16">
        <v>0.12</v>
      </c>
      <c r="Z57" s="16">
        <f t="shared" si="10"/>
        <v>0.12</v>
      </c>
      <c r="AA57" s="16" t="s">
        <v>21</v>
      </c>
      <c r="AB57" s="16"/>
      <c r="AC57" s="20">
        <v>43946</v>
      </c>
      <c r="AD57" s="20">
        <v>43958</v>
      </c>
      <c r="AE57" s="20">
        <v>43955</v>
      </c>
      <c r="AF57" s="20">
        <v>43955</v>
      </c>
      <c r="AG57" s="20" t="s">
        <v>336</v>
      </c>
      <c r="AH57" s="32">
        <v>1</v>
      </c>
      <c r="AI57" s="32">
        <v>1</v>
      </c>
      <c r="AJ57" s="32">
        <v>1</v>
      </c>
      <c r="AK57" s="104" t="s">
        <v>165</v>
      </c>
      <c r="AL57" s="16"/>
      <c r="AM57" s="16"/>
      <c r="AN57" s="16"/>
    </row>
    <row r="58" spans="2:40" x14ac:dyDescent="0.25">
      <c r="B58" s="46">
        <f t="shared" si="9"/>
        <v>11</v>
      </c>
      <c r="C58" s="17">
        <v>20200427</v>
      </c>
      <c r="D58" s="16" t="s">
        <v>3</v>
      </c>
      <c r="E58" s="16" t="s">
        <v>256</v>
      </c>
      <c r="F58" s="18" t="s">
        <v>260</v>
      </c>
      <c r="G58" s="58" t="s">
        <v>61</v>
      </c>
      <c r="H58" s="16" t="s">
        <v>205</v>
      </c>
      <c r="I58" s="16" t="s">
        <v>271</v>
      </c>
      <c r="J58" s="16" t="s">
        <v>121</v>
      </c>
      <c r="K58" s="58" t="s">
        <v>61</v>
      </c>
      <c r="L58" s="58" t="s">
        <v>61</v>
      </c>
      <c r="M58" s="58" t="s">
        <v>61</v>
      </c>
      <c r="N58" s="16" t="s">
        <v>148</v>
      </c>
      <c r="O58" s="18" t="s">
        <v>61</v>
      </c>
      <c r="P58" s="18" t="s">
        <v>318</v>
      </c>
      <c r="Q58" s="19"/>
      <c r="R58" s="17" t="s">
        <v>98</v>
      </c>
      <c r="S58" s="16" t="s">
        <v>66</v>
      </c>
      <c r="T58" s="16"/>
      <c r="U58" s="16"/>
      <c r="V58" s="16">
        <v>12</v>
      </c>
      <c r="W58" s="16">
        <f>ROUND(IF(D58=Table!$C$3,Y58*Table!$C$4/8,Y58*Table!$D$4/8),3)</f>
        <v>67.5</v>
      </c>
      <c r="X58" s="16">
        <f t="shared" si="8"/>
        <v>67.5</v>
      </c>
      <c r="Y58" s="16">
        <v>1.2</v>
      </c>
      <c r="Z58" s="16">
        <f t="shared" si="10"/>
        <v>1.2</v>
      </c>
      <c r="AA58" s="16" t="s">
        <v>21</v>
      </c>
      <c r="AB58" s="16"/>
      <c r="AC58" s="20">
        <v>43946</v>
      </c>
      <c r="AD58" s="20">
        <v>43958</v>
      </c>
      <c r="AE58" s="20">
        <v>43955</v>
      </c>
      <c r="AF58" s="20">
        <v>43955</v>
      </c>
      <c r="AG58" s="20" t="s">
        <v>336</v>
      </c>
      <c r="AH58" s="32">
        <v>1</v>
      </c>
      <c r="AI58" s="32">
        <v>1</v>
      </c>
      <c r="AJ58" s="32">
        <v>1</v>
      </c>
      <c r="AK58" s="104" t="s">
        <v>165</v>
      </c>
      <c r="AL58" s="16"/>
      <c r="AM58" s="16"/>
      <c r="AN58" s="16"/>
    </row>
    <row r="59" spans="2:40" x14ac:dyDescent="0.25">
      <c r="B59" s="46">
        <f t="shared" si="9"/>
        <v>12</v>
      </c>
      <c r="C59" s="17">
        <v>20200427</v>
      </c>
      <c r="D59" s="16" t="s">
        <v>3</v>
      </c>
      <c r="E59" s="16" t="s">
        <v>256</v>
      </c>
      <c r="F59" s="18" t="s">
        <v>260</v>
      </c>
      <c r="G59" s="58" t="s">
        <v>61</v>
      </c>
      <c r="H59" s="16" t="s">
        <v>206</v>
      </c>
      <c r="I59" s="16" t="s">
        <v>272</v>
      </c>
      <c r="J59" s="16" t="s">
        <v>121</v>
      </c>
      <c r="K59" s="58" t="s">
        <v>61</v>
      </c>
      <c r="L59" s="58" t="s">
        <v>61</v>
      </c>
      <c r="M59" s="58" t="s">
        <v>61</v>
      </c>
      <c r="N59" s="16" t="s">
        <v>148</v>
      </c>
      <c r="O59" s="18" t="s">
        <v>61</v>
      </c>
      <c r="P59" s="18" t="s">
        <v>318</v>
      </c>
      <c r="Q59" s="19"/>
      <c r="R59" s="17" t="s">
        <v>98</v>
      </c>
      <c r="S59" s="16" t="s">
        <v>66</v>
      </c>
      <c r="T59" s="16"/>
      <c r="U59" s="16"/>
      <c r="V59" s="16">
        <v>14</v>
      </c>
      <c r="W59" s="16">
        <f>ROUND(IF(D59=Table!$C$3,Y59*Table!$C$4/8,Y59*Table!$D$4/8),3)</f>
        <v>6.75</v>
      </c>
      <c r="X59" s="16">
        <f t="shared" si="8"/>
        <v>6.75</v>
      </c>
      <c r="Y59" s="16">
        <v>0.12</v>
      </c>
      <c r="Z59" s="16">
        <f t="shared" si="10"/>
        <v>0.12</v>
      </c>
      <c r="AA59" s="16" t="s">
        <v>21</v>
      </c>
      <c r="AB59" s="16"/>
      <c r="AC59" s="20">
        <v>43946</v>
      </c>
      <c r="AD59" s="20">
        <v>43958</v>
      </c>
      <c r="AE59" s="20">
        <v>43955</v>
      </c>
      <c r="AF59" s="20">
        <v>43955</v>
      </c>
      <c r="AG59" s="20" t="s">
        <v>336</v>
      </c>
      <c r="AH59" s="32">
        <v>1</v>
      </c>
      <c r="AI59" s="32">
        <v>1</v>
      </c>
      <c r="AJ59" s="32">
        <v>1</v>
      </c>
      <c r="AK59" s="104" t="s">
        <v>165</v>
      </c>
      <c r="AL59" s="16"/>
      <c r="AM59" s="16"/>
      <c r="AN59" s="16"/>
    </row>
    <row r="60" spans="2:40" x14ac:dyDescent="0.25">
      <c r="B60" s="46">
        <f t="shared" si="9"/>
        <v>13</v>
      </c>
      <c r="C60" s="17">
        <v>20200427</v>
      </c>
      <c r="D60" s="16" t="s">
        <v>3</v>
      </c>
      <c r="E60" s="16" t="s">
        <v>256</v>
      </c>
      <c r="F60" s="18" t="s">
        <v>260</v>
      </c>
      <c r="G60" s="58" t="s">
        <v>61</v>
      </c>
      <c r="H60" s="16" t="s">
        <v>207</v>
      </c>
      <c r="I60" s="16" t="s">
        <v>273</v>
      </c>
      <c r="J60" s="16" t="s">
        <v>121</v>
      </c>
      <c r="K60" s="58" t="s">
        <v>61</v>
      </c>
      <c r="L60" s="58" t="s">
        <v>61</v>
      </c>
      <c r="M60" s="58" t="s">
        <v>61</v>
      </c>
      <c r="N60" s="16" t="s">
        <v>148</v>
      </c>
      <c r="O60" s="18" t="s">
        <v>61</v>
      </c>
      <c r="P60" s="18" t="s">
        <v>318</v>
      </c>
      <c r="Q60" s="19"/>
      <c r="R60" s="17" t="s">
        <v>98</v>
      </c>
      <c r="S60" s="16" t="s">
        <v>66</v>
      </c>
      <c r="T60" s="16"/>
      <c r="U60" s="16"/>
      <c r="V60" s="16">
        <v>12</v>
      </c>
      <c r="W60" s="16">
        <f>ROUND(IF(D60=Table!$C$3,Y60*Table!$C$4/8,Y60*Table!$D$4/8),3)</f>
        <v>6.75</v>
      </c>
      <c r="X60" s="16">
        <f t="shared" si="8"/>
        <v>6.75</v>
      </c>
      <c r="Y60" s="16">
        <v>0.12</v>
      </c>
      <c r="Z60" s="16">
        <f t="shared" si="10"/>
        <v>0.12</v>
      </c>
      <c r="AA60" s="16" t="s">
        <v>21</v>
      </c>
      <c r="AB60" s="16"/>
      <c r="AC60" s="20">
        <v>43946</v>
      </c>
      <c r="AD60" s="20">
        <v>43958</v>
      </c>
      <c r="AE60" s="20">
        <v>43955</v>
      </c>
      <c r="AF60" s="20">
        <v>43955</v>
      </c>
      <c r="AG60" s="20" t="s">
        <v>336</v>
      </c>
      <c r="AH60" s="32">
        <v>1</v>
      </c>
      <c r="AI60" s="32">
        <v>1</v>
      </c>
      <c r="AJ60" s="32">
        <v>1</v>
      </c>
      <c r="AK60" s="104" t="s">
        <v>165</v>
      </c>
      <c r="AL60" s="16"/>
      <c r="AM60" s="16"/>
      <c r="AN60" s="16"/>
    </row>
    <row r="61" spans="2:40" x14ac:dyDescent="0.25">
      <c r="B61" s="46">
        <f t="shared" si="9"/>
        <v>14</v>
      </c>
      <c r="C61" s="17">
        <v>20200427</v>
      </c>
      <c r="D61" s="16" t="s">
        <v>3</v>
      </c>
      <c r="E61" s="16" t="s">
        <v>256</v>
      </c>
      <c r="F61" s="18" t="s">
        <v>260</v>
      </c>
      <c r="G61" s="58" t="s">
        <v>61</v>
      </c>
      <c r="H61" s="16" t="s">
        <v>208</v>
      </c>
      <c r="I61" s="16" t="s">
        <v>274</v>
      </c>
      <c r="J61" s="16" t="s">
        <v>121</v>
      </c>
      <c r="K61" s="58" t="s">
        <v>61</v>
      </c>
      <c r="L61" s="58" t="s">
        <v>61</v>
      </c>
      <c r="M61" s="58" t="s">
        <v>61</v>
      </c>
      <c r="N61" s="16" t="s">
        <v>148</v>
      </c>
      <c r="O61" s="18" t="s">
        <v>61</v>
      </c>
      <c r="P61" s="18" t="s">
        <v>318</v>
      </c>
      <c r="Q61" s="19"/>
      <c r="R61" s="17" t="s">
        <v>98</v>
      </c>
      <c r="S61" s="16" t="s">
        <v>66</v>
      </c>
      <c r="T61" s="16"/>
      <c r="U61" s="16"/>
      <c r="V61" s="16">
        <v>9</v>
      </c>
      <c r="W61" s="16">
        <f>ROUND(IF(D61=Table!$C$3,Y61*Table!$C$4/8,Y61*Table!$D$4/8),3)</f>
        <v>6.75</v>
      </c>
      <c r="X61" s="16">
        <f t="shared" si="8"/>
        <v>6.75</v>
      </c>
      <c r="Y61" s="16">
        <v>0.12</v>
      </c>
      <c r="Z61" s="16">
        <f t="shared" si="10"/>
        <v>0.12</v>
      </c>
      <c r="AA61" s="16" t="s">
        <v>21</v>
      </c>
      <c r="AB61" s="16"/>
      <c r="AC61" s="20">
        <v>43946</v>
      </c>
      <c r="AD61" s="20">
        <v>43958</v>
      </c>
      <c r="AE61" s="20">
        <v>43955</v>
      </c>
      <c r="AF61" s="20">
        <v>43955</v>
      </c>
      <c r="AG61" s="20" t="s">
        <v>336</v>
      </c>
      <c r="AH61" s="32">
        <v>1</v>
      </c>
      <c r="AI61" s="32">
        <v>1</v>
      </c>
      <c r="AJ61" s="32">
        <v>1</v>
      </c>
      <c r="AK61" s="104" t="s">
        <v>165</v>
      </c>
      <c r="AL61" s="16"/>
      <c r="AM61" s="16"/>
      <c r="AN61" s="16"/>
    </row>
    <row r="62" spans="2:40" x14ac:dyDescent="0.25">
      <c r="B62" s="46">
        <f t="shared" si="9"/>
        <v>15</v>
      </c>
      <c r="C62" s="17">
        <v>20200427</v>
      </c>
      <c r="D62" s="16" t="s">
        <v>3</v>
      </c>
      <c r="E62" s="16" t="s">
        <v>256</v>
      </c>
      <c r="F62" s="18" t="s">
        <v>260</v>
      </c>
      <c r="G62" s="58" t="s">
        <v>61</v>
      </c>
      <c r="H62" s="16" t="s">
        <v>209</v>
      </c>
      <c r="I62" s="16" t="s">
        <v>275</v>
      </c>
      <c r="J62" s="16" t="s">
        <v>121</v>
      </c>
      <c r="K62" s="58" t="s">
        <v>61</v>
      </c>
      <c r="L62" s="58" t="s">
        <v>61</v>
      </c>
      <c r="M62" s="58" t="s">
        <v>61</v>
      </c>
      <c r="N62" s="16" t="s">
        <v>148</v>
      </c>
      <c r="O62" s="18" t="s">
        <v>61</v>
      </c>
      <c r="P62" s="18" t="s">
        <v>318</v>
      </c>
      <c r="Q62" s="19"/>
      <c r="R62" s="17" t="s">
        <v>98</v>
      </c>
      <c r="S62" s="16" t="s">
        <v>66</v>
      </c>
      <c r="T62" s="16"/>
      <c r="U62" s="16"/>
      <c r="V62" s="16">
        <v>67</v>
      </c>
      <c r="W62" s="16">
        <f>ROUND(IF(D62=Table!$C$3,Y62*Table!$C$4/8,Y62*Table!$D$4/8),3)</f>
        <v>6.75</v>
      </c>
      <c r="X62" s="16">
        <f t="shared" si="8"/>
        <v>6.75</v>
      </c>
      <c r="Y62" s="16">
        <v>0.12</v>
      </c>
      <c r="Z62" s="16">
        <f t="shared" si="10"/>
        <v>0.12</v>
      </c>
      <c r="AA62" s="16" t="s">
        <v>21</v>
      </c>
      <c r="AB62" s="16"/>
      <c r="AC62" s="20">
        <v>43946</v>
      </c>
      <c r="AD62" s="20">
        <v>43958</v>
      </c>
      <c r="AE62" s="20">
        <v>43955</v>
      </c>
      <c r="AF62" s="20">
        <v>43955</v>
      </c>
      <c r="AG62" s="20" t="s">
        <v>336</v>
      </c>
      <c r="AH62" s="32">
        <v>1</v>
      </c>
      <c r="AI62" s="32">
        <v>1</v>
      </c>
      <c r="AJ62" s="32">
        <v>1</v>
      </c>
      <c r="AK62" s="104" t="s">
        <v>165</v>
      </c>
      <c r="AL62" s="16"/>
      <c r="AM62" s="16"/>
      <c r="AN62" s="16"/>
    </row>
    <row r="63" spans="2:40" x14ac:dyDescent="0.25">
      <c r="B63" s="46">
        <f t="shared" si="9"/>
        <v>16</v>
      </c>
      <c r="C63" s="17">
        <v>20200427</v>
      </c>
      <c r="D63" s="16" t="s">
        <v>3</v>
      </c>
      <c r="E63" s="16" t="s">
        <v>256</v>
      </c>
      <c r="F63" s="18" t="s">
        <v>260</v>
      </c>
      <c r="G63" s="58" t="s">
        <v>61</v>
      </c>
      <c r="H63" s="16" t="s">
        <v>210</v>
      </c>
      <c r="I63" s="16" t="s">
        <v>276</v>
      </c>
      <c r="J63" s="16" t="s">
        <v>121</v>
      </c>
      <c r="K63" s="58" t="s">
        <v>61</v>
      </c>
      <c r="L63" s="58" t="s">
        <v>61</v>
      </c>
      <c r="M63" s="58" t="s">
        <v>61</v>
      </c>
      <c r="N63" s="16" t="s">
        <v>148</v>
      </c>
      <c r="O63" s="18" t="s">
        <v>61</v>
      </c>
      <c r="P63" s="18" t="s">
        <v>318</v>
      </c>
      <c r="Q63" s="19"/>
      <c r="R63" s="17" t="s">
        <v>98</v>
      </c>
      <c r="S63" s="16" t="s">
        <v>66</v>
      </c>
      <c r="T63" s="16"/>
      <c r="U63" s="16"/>
      <c r="V63" s="16">
        <v>43</v>
      </c>
      <c r="W63" s="16">
        <f>ROUND(IF(D63=Table!$C$3,Y63*Table!$C$4/8,Y63*Table!$D$4/8),3)</f>
        <v>67.5</v>
      </c>
      <c r="X63" s="16">
        <f t="shared" si="8"/>
        <v>67.5</v>
      </c>
      <c r="Y63" s="16">
        <v>1.2</v>
      </c>
      <c r="Z63" s="16">
        <f t="shared" si="10"/>
        <v>1.2</v>
      </c>
      <c r="AA63" s="16" t="s">
        <v>21</v>
      </c>
      <c r="AB63" s="16"/>
      <c r="AC63" s="20">
        <v>43946</v>
      </c>
      <c r="AD63" s="20">
        <v>43958</v>
      </c>
      <c r="AE63" s="20">
        <v>43955</v>
      </c>
      <c r="AF63" s="20">
        <v>43955</v>
      </c>
      <c r="AG63" s="20" t="s">
        <v>336</v>
      </c>
      <c r="AH63" s="32">
        <v>1</v>
      </c>
      <c r="AI63" s="32">
        <v>0.9</v>
      </c>
      <c r="AJ63" s="32">
        <v>1</v>
      </c>
      <c r="AK63" s="20" t="s">
        <v>165</v>
      </c>
      <c r="AL63" s="89" t="s">
        <v>410</v>
      </c>
      <c r="AM63" s="16"/>
      <c r="AN63" s="16"/>
    </row>
    <row r="64" spans="2:40" x14ac:dyDescent="0.25">
      <c r="B64" s="46">
        <f t="shared" si="9"/>
        <v>17</v>
      </c>
      <c r="C64" s="17">
        <v>20200427</v>
      </c>
      <c r="D64" s="16" t="s">
        <v>3</v>
      </c>
      <c r="E64" s="16" t="s">
        <v>256</v>
      </c>
      <c r="F64" s="18" t="s">
        <v>260</v>
      </c>
      <c r="G64" s="58" t="s">
        <v>61</v>
      </c>
      <c r="H64" s="16" t="s">
        <v>211</v>
      </c>
      <c r="I64" s="16" t="s">
        <v>277</v>
      </c>
      <c r="J64" s="16" t="s">
        <v>121</v>
      </c>
      <c r="K64" s="58" t="s">
        <v>61</v>
      </c>
      <c r="L64" s="58" t="s">
        <v>61</v>
      </c>
      <c r="M64" s="58" t="s">
        <v>61</v>
      </c>
      <c r="N64" s="16" t="s">
        <v>148</v>
      </c>
      <c r="O64" s="18" t="s">
        <v>61</v>
      </c>
      <c r="P64" s="18" t="s">
        <v>318</v>
      </c>
      <c r="Q64" s="19"/>
      <c r="R64" s="17" t="s">
        <v>98</v>
      </c>
      <c r="S64" s="16" t="s">
        <v>66</v>
      </c>
      <c r="T64" s="16"/>
      <c r="U64" s="16"/>
      <c r="V64" s="16">
        <v>7</v>
      </c>
      <c r="W64" s="16">
        <f>ROUND(IF(D64=Table!$C$3,Y64*Table!$C$4/8,Y64*Table!$D$4/8),3)</f>
        <v>6.75</v>
      </c>
      <c r="X64" s="16">
        <f t="shared" si="8"/>
        <v>6.75</v>
      </c>
      <c r="Y64" s="16">
        <v>0.12</v>
      </c>
      <c r="Z64" s="16">
        <f t="shared" si="10"/>
        <v>0.12</v>
      </c>
      <c r="AA64" s="16" t="s">
        <v>21</v>
      </c>
      <c r="AB64" s="16"/>
      <c r="AC64" s="20">
        <v>43946</v>
      </c>
      <c r="AD64" s="20">
        <v>43958</v>
      </c>
      <c r="AE64" s="20">
        <v>43955</v>
      </c>
      <c r="AF64" s="20">
        <v>43955</v>
      </c>
      <c r="AG64" s="20" t="s">
        <v>336</v>
      </c>
      <c r="AH64" s="32">
        <v>1</v>
      </c>
      <c r="AI64" s="32">
        <v>1</v>
      </c>
      <c r="AJ64" s="32">
        <v>1</v>
      </c>
      <c r="AK64" s="104" t="s">
        <v>165</v>
      </c>
      <c r="AL64" s="16"/>
      <c r="AM64" s="16"/>
      <c r="AN64" s="16"/>
    </row>
    <row r="65" spans="2:40" x14ac:dyDescent="0.25">
      <c r="B65" s="46">
        <f t="shared" si="9"/>
        <v>18</v>
      </c>
      <c r="C65" s="17">
        <v>20200427</v>
      </c>
      <c r="D65" s="16" t="s">
        <v>3</v>
      </c>
      <c r="E65" s="16" t="s">
        <v>256</v>
      </c>
      <c r="F65" s="18" t="s">
        <v>260</v>
      </c>
      <c r="G65" s="58" t="s">
        <v>61</v>
      </c>
      <c r="H65" s="16" t="s">
        <v>212</v>
      </c>
      <c r="I65" s="16" t="s">
        <v>278</v>
      </c>
      <c r="J65" s="16" t="s">
        <v>121</v>
      </c>
      <c r="K65" s="58" t="s">
        <v>61</v>
      </c>
      <c r="L65" s="58" t="s">
        <v>61</v>
      </c>
      <c r="M65" s="58" t="s">
        <v>61</v>
      </c>
      <c r="N65" s="16" t="s">
        <v>148</v>
      </c>
      <c r="O65" s="18" t="s">
        <v>61</v>
      </c>
      <c r="P65" s="18" t="s">
        <v>318</v>
      </c>
      <c r="Q65" s="19"/>
      <c r="R65" s="17" t="s">
        <v>98</v>
      </c>
      <c r="S65" s="16" t="s">
        <v>66</v>
      </c>
      <c r="T65" s="16"/>
      <c r="U65" s="16"/>
      <c r="V65" s="16">
        <v>16</v>
      </c>
      <c r="W65" s="16">
        <f>ROUND(IF(D65=Table!$C$3,Y65*Table!$C$4/8,Y65*Table!$D$4/8),3)</f>
        <v>6.75</v>
      </c>
      <c r="X65" s="16">
        <f t="shared" si="8"/>
        <v>6.75</v>
      </c>
      <c r="Y65" s="16">
        <v>0.12</v>
      </c>
      <c r="Z65" s="16">
        <f t="shared" si="10"/>
        <v>0.12</v>
      </c>
      <c r="AA65" s="16" t="s">
        <v>21</v>
      </c>
      <c r="AB65" s="16"/>
      <c r="AC65" s="20">
        <v>43946</v>
      </c>
      <c r="AD65" s="20">
        <v>43958</v>
      </c>
      <c r="AE65" s="20">
        <v>43955</v>
      </c>
      <c r="AF65" s="20">
        <v>43955</v>
      </c>
      <c r="AG65" s="20" t="s">
        <v>336</v>
      </c>
      <c r="AH65" s="32">
        <v>1</v>
      </c>
      <c r="AI65" s="32">
        <v>1</v>
      </c>
      <c r="AJ65" s="32">
        <v>1</v>
      </c>
      <c r="AK65" s="104" t="s">
        <v>165</v>
      </c>
      <c r="AL65" s="16"/>
      <c r="AM65" s="16"/>
      <c r="AN65" s="16"/>
    </row>
    <row r="66" spans="2:40" x14ac:dyDescent="0.25">
      <c r="B66" s="46">
        <f t="shared" si="9"/>
        <v>19</v>
      </c>
      <c r="C66" s="17">
        <v>20200427</v>
      </c>
      <c r="D66" s="16" t="s">
        <v>3</v>
      </c>
      <c r="E66" s="16" t="s">
        <v>256</v>
      </c>
      <c r="F66" s="18" t="s">
        <v>260</v>
      </c>
      <c r="G66" s="58" t="s">
        <v>61</v>
      </c>
      <c r="H66" s="16" t="s">
        <v>213</v>
      </c>
      <c r="I66" s="16" t="s">
        <v>279</v>
      </c>
      <c r="J66" s="16" t="s">
        <v>121</v>
      </c>
      <c r="K66" s="58" t="s">
        <v>61</v>
      </c>
      <c r="L66" s="58" t="s">
        <v>61</v>
      </c>
      <c r="M66" s="58" t="s">
        <v>61</v>
      </c>
      <c r="N66" s="16" t="s">
        <v>148</v>
      </c>
      <c r="O66" s="18" t="s">
        <v>61</v>
      </c>
      <c r="P66" s="18" t="s">
        <v>318</v>
      </c>
      <c r="Q66" s="19"/>
      <c r="R66" s="17" t="s">
        <v>98</v>
      </c>
      <c r="S66" s="16" t="s">
        <v>66</v>
      </c>
      <c r="T66" s="16"/>
      <c r="U66" s="16"/>
      <c r="V66" s="16">
        <v>4</v>
      </c>
      <c r="W66" s="16">
        <f>ROUND(IF(D66=Table!$C$3,Y66*Table!$C$4/8,Y66*Table!$D$4/8),3)</f>
        <v>6.75</v>
      </c>
      <c r="X66" s="16">
        <f t="shared" si="8"/>
        <v>6.75</v>
      </c>
      <c r="Y66" s="16">
        <v>0.12</v>
      </c>
      <c r="Z66" s="16">
        <f t="shared" si="10"/>
        <v>0.12</v>
      </c>
      <c r="AA66" s="16" t="s">
        <v>21</v>
      </c>
      <c r="AB66" s="16"/>
      <c r="AC66" s="20">
        <v>43946</v>
      </c>
      <c r="AD66" s="20">
        <v>43958</v>
      </c>
      <c r="AE66" s="20">
        <v>43955</v>
      </c>
      <c r="AF66" s="20">
        <v>43955</v>
      </c>
      <c r="AG66" s="20" t="s">
        <v>336</v>
      </c>
      <c r="AH66" s="32">
        <v>1</v>
      </c>
      <c r="AI66" s="32">
        <v>1</v>
      </c>
      <c r="AJ66" s="32">
        <v>1</v>
      </c>
      <c r="AK66" s="104" t="s">
        <v>165</v>
      </c>
      <c r="AL66" s="16"/>
      <c r="AM66" s="16"/>
      <c r="AN66" s="16"/>
    </row>
    <row r="67" spans="2:40" x14ac:dyDescent="0.25">
      <c r="B67" s="46">
        <f t="shared" si="9"/>
        <v>20</v>
      </c>
      <c r="C67" s="17">
        <v>20200427</v>
      </c>
      <c r="D67" s="16" t="s">
        <v>3</v>
      </c>
      <c r="E67" s="16" t="s">
        <v>256</v>
      </c>
      <c r="F67" s="18" t="s">
        <v>260</v>
      </c>
      <c r="G67" s="58" t="s">
        <v>61</v>
      </c>
      <c r="H67" s="16" t="s">
        <v>214</v>
      </c>
      <c r="I67" s="16" t="s">
        <v>280</v>
      </c>
      <c r="J67" s="16" t="s">
        <v>121</v>
      </c>
      <c r="K67" s="58" t="s">
        <v>61</v>
      </c>
      <c r="L67" s="58" t="s">
        <v>61</v>
      </c>
      <c r="M67" s="58" t="s">
        <v>61</v>
      </c>
      <c r="N67" s="16" t="s">
        <v>148</v>
      </c>
      <c r="O67" s="18" t="s">
        <v>61</v>
      </c>
      <c r="P67" s="18" t="s">
        <v>318</v>
      </c>
      <c r="Q67" s="19"/>
      <c r="R67" s="17" t="s">
        <v>98</v>
      </c>
      <c r="S67" s="16" t="s">
        <v>66</v>
      </c>
      <c r="T67" s="16"/>
      <c r="U67" s="16"/>
      <c r="V67" s="16">
        <v>42</v>
      </c>
      <c r="W67" s="16">
        <f>ROUND(IF(D67=Table!$C$3,Y67*Table!$C$4/8,Y67*Table!$D$4/8),3)</f>
        <v>67.5</v>
      </c>
      <c r="X67" s="16">
        <f t="shared" si="8"/>
        <v>67.5</v>
      </c>
      <c r="Y67" s="16">
        <v>1.2</v>
      </c>
      <c r="Z67" s="16">
        <f t="shared" si="10"/>
        <v>1.2</v>
      </c>
      <c r="AA67" s="16" t="s">
        <v>21</v>
      </c>
      <c r="AB67" s="16"/>
      <c r="AC67" s="20">
        <v>43946</v>
      </c>
      <c r="AD67" s="20">
        <v>43958</v>
      </c>
      <c r="AE67" s="20">
        <v>43955</v>
      </c>
      <c r="AF67" s="20">
        <v>43955</v>
      </c>
      <c r="AG67" s="20" t="s">
        <v>336</v>
      </c>
      <c r="AH67" s="32">
        <v>1</v>
      </c>
      <c r="AI67" s="32">
        <v>1</v>
      </c>
      <c r="AJ67" s="32">
        <v>0.5</v>
      </c>
      <c r="AK67" s="20" t="s">
        <v>165</v>
      </c>
      <c r="AL67" s="89" t="s">
        <v>411</v>
      </c>
      <c r="AM67" s="16"/>
      <c r="AN67" s="16"/>
    </row>
    <row r="68" spans="2:40" x14ac:dyDescent="0.25">
      <c r="B68" s="46">
        <f t="shared" si="9"/>
        <v>21</v>
      </c>
      <c r="C68" s="17">
        <v>20200427</v>
      </c>
      <c r="D68" s="16" t="s">
        <v>3</v>
      </c>
      <c r="E68" s="16" t="s">
        <v>256</v>
      </c>
      <c r="F68" s="18" t="s">
        <v>260</v>
      </c>
      <c r="G68" s="58" t="s">
        <v>61</v>
      </c>
      <c r="H68" s="16" t="s">
        <v>215</v>
      </c>
      <c r="I68" s="16" t="s">
        <v>151</v>
      </c>
      <c r="J68" s="16" t="s">
        <v>121</v>
      </c>
      <c r="K68" s="58" t="s">
        <v>61</v>
      </c>
      <c r="L68" s="58" t="s">
        <v>61</v>
      </c>
      <c r="M68" s="58" t="s">
        <v>61</v>
      </c>
      <c r="N68" s="16" t="s">
        <v>148</v>
      </c>
      <c r="O68" s="18" t="s">
        <v>61</v>
      </c>
      <c r="P68" s="18" t="s">
        <v>318</v>
      </c>
      <c r="Q68" s="19"/>
      <c r="R68" s="17" t="s">
        <v>97</v>
      </c>
      <c r="S68" s="16" t="s">
        <v>156</v>
      </c>
      <c r="T68" s="16"/>
      <c r="U68" s="16"/>
      <c r="V68" s="16">
        <v>360</v>
      </c>
      <c r="W68" s="16">
        <f>ROUND(IF(D68=Table!$C$3,Y68*Table!$C$4/8,Y68*Table!$D$4/8),3)</f>
        <v>202.5</v>
      </c>
      <c r="X68" s="16">
        <f t="shared" si="8"/>
        <v>202.5</v>
      </c>
      <c r="Y68" s="16">
        <v>3.6</v>
      </c>
      <c r="Z68" s="16">
        <v>3</v>
      </c>
      <c r="AA68" s="16" t="s">
        <v>21</v>
      </c>
      <c r="AB68" s="16"/>
      <c r="AC68" s="20">
        <v>43946</v>
      </c>
      <c r="AD68" s="20">
        <v>43958</v>
      </c>
      <c r="AE68" s="20">
        <v>43955</v>
      </c>
      <c r="AF68" s="20">
        <v>43955</v>
      </c>
      <c r="AG68" s="20" t="s">
        <v>336</v>
      </c>
      <c r="AH68" s="32">
        <v>0.99</v>
      </c>
      <c r="AI68" s="32">
        <v>0.99</v>
      </c>
      <c r="AJ68" s="32">
        <v>1</v>
      </c>
      <c r="AK68" s="20" t="s">
        <v>165</v>
      </c>
      <c r="AL68" s="16" t="s">
        <v>417</v>
      </c>
      <c r="AM68" s="16"/>
      <c r="AN68" s="16"/>
    </row>
    <row r="69" spans="2:40" x14ac:dyDescent="0.25">
      <c r="B69" s="46">
        <f t="shared" si="9"/>
        <v>22</v>
      </c>
      <c r="C69" s="17">
        <v>20200427</v>
      </c>
      <c r="D69" s="16" t="s">
        <v>3</v>
      </c>
      <c r="E69" s="16" t="s">
        <v>256</v>
      </c>
      <c r="F69" s="18" t="s">
        <v>260</v>
      </c>
      <c r="G69" s="58" t="s">
        <v>61</v>
      </c>
      <c r="H69" s="16" t="s">
        <v>216</v>
      </c>
      <c r="I69" s="16" t="s">
        <v>281</v>
      </c>
      <c r="J69" s="16" t="s">
        <v>121</v>
      </c>
      <c r="K69" s="58" t="s">
        <v>61</v>
      </c>
      <c r="L69" s="58" t="s">
        <v>61</v>
      </c>
      <c r="M69" s="58" t="s">
        <v>61</v>
      </c>
      <c r="N69" s="16" t="s">
        <v>148</v>
      </c>
      <c r="O69" s="18" t="s">
        <v>61</v>
      </c>
      <c r="P69" s="18" t="s">
        <v>318</v>
      </c>
      <c r="Q69" s="19"/>
      <c r="R69" s="17" t="s">
        <v>97</v>
      </c>
      <c r="S69" s="16" t="s">
        <v>156</v>
      </c>
      <c r="T69" s="16"/>
      <c r="U69" s="16"/>
      <c r="V69" s="16">
        <v>202</v>
      </c>
      <c r="W69" s="16">
        <f>ROUND(IF(D69=Table!$C$3,Y69*Table!$C$4/8,Y69*Table!$D$4/8),3)</f>
        <v>202.5</v>
      </c>
      <c r="X69" s="16">
        <f t="shared" si="8"/>
        <v>202.5</v>
      </c>
      <c r="Y69" s="16">
        <v>3.6</v>
      </c>
      <c r="Z69" s="16">
        <v>3</v>
      </c>
      <c r="AA69" s="16" t="s">
        <v>21</v>
      </c>
      <c r="AB69" s="16"/>
      <c r="AC69" s="20">
        <v>43946</v>
      </c>
      <c r="AD69" s="20">
        <v>43958</v>
      </c>
      <c r="AE69" s="20">
        <v>43955</v>
      </c>
      <c r="AF69" s="20">
        <v>43955</v>
      </c>
      <c r="AG69" s="20" t="s">
        <v>336</v>
      </c>
      <c r="AH69" s="32">
        <v>1</v>
      </c>
      <c r="AI69" s="32">
        <v>1</v>
      </c>
      <c r="AJ69" s="32">
        <v>1</v>
      </c>
      <c r="AK69" s="20" t="s">
        <v>165</v>
      </c>
      <c r="AL69" s="16"/>
      <c r="AM69" s="16"/>
      <c r="AN69" s="16"/>
    </row>
    <row r="70" spans="2:40" x14ac:dyDescent="0.25">
      <c r="B70" s="46">
        <f t="shared" si="9"/>
        <v>23</v>
      </c>
      <c r="C70" s="17">
        <v>20200427</v>
      </c>
      <c r="D70" s="16" t="s">
        <v>3</v>
      </c>
      <c r="E70" s="16" t="s">
        <v>256</v>
      </c>
      <c r="F70" s="18" t="s">
        <v>260</v>
      </c>
      <c r="G70" s="58" t="s">
        <v>61</v>
      </c>
      <c r="H70" s="16" t="s">
        <v>217</v>
      </c>
      <c r="I70" s="16" t="s">
        <v>282</v>
      </c>
      <c r="J70" s="16" t="s">
        <v>121</v>
      </c>
      <c r="K70" s="58" t="s">
        <v>61</v>
      </c>
      <c r="L70" s="58" t="s">
        <v>61</v>
      </c>
      <c r="M70" s="58" t="s">
        <v>61</v>
      </c>
      <c r="N70" s="16" t="s">
        <v>148</v>
      </c>
      <c r="O70" s="18" t="s">
        <v>61</v>
      </c>
      <c r="P70" s="18" t="s">
        <v>318</v>
      </c>
      <c r="Q70" s="19"/>
      <c r="R70" s="17" t="s">
        <v>97</v>
      </c>
      <c r="S70" s="16" t="s">
        <v>156</v>
      </c>
      <c r="T70" s="16"/>
      <c r="U70" s="16"/>
      <c r="V70" s="16">
        <v>65</v>
      </c>
      <c r="W70" s="16">
        <f>ROUND(IF(D70=Table!$C$3,Y70*Table!$C$4/8,Y70*Table!$D$4/8),3)</f>
        <v>95.625</v>
      </c>
      <c r="X70" s="16">
        <f t="shared" si="8"/>
        <v>95.625</v>
      </c>
      <c r="Y70" s="16">
        <v>1.7</v>
      </c>
      <c r="Z70" s="16">
        <v>2</v>
      </c>
      <c r="AA70" s="16" t="s">
        <v>21</v>
      </c>
      <c r="AB70" s="16"/>
      <c r="AC70" s="20">
        <v>43946</v>
      </c>
      <c r="AD70" s="20">
        <v>43958</v>
      </c>
      <c r="AE70" s="20">
        <v>43955</v>
      </c>
      <c r="AF70" s="20">
        <v>43955</v>
      </c>
      <c r="AG70" s="20" t="s">
        <v>336</v>
      </c>
      <c r="AH70" s="32">
        <v>1</v>
      </c>
      <c r="AI70" s="32">
        <v>1</v>
      </c>
      <c r="AJ70" s="32">
        <v>0.75</v>
      </c>
      <c r="AK70" s="20" t="s">
        <v>165</v>
      </c>
      <c r="AL70" s="16"/>
      <c r="AM70" s="16"/>
      <c r="AN70" s="16"/>
    </row>
    <row r="71" spans="2:40" x14ac:dyDescent="0.25">
      <c r="B71" s="46">
        <f t="shared" si="9"/>
        <v>24</v>
      </c>
      <c r="C71" s="17">
        <v>20200427</v>
      </c>
      <c r="D71" s="16" t="s">
        <v>3</v>
      </c>
      <c r="E71" s="16" t="s">
        <v>256</v>
      </c>
      <c r="F71" s="18" t="s">
        <v>260</v>
      </c>
      <c r="G71" s="58" t="s">
        <v>61</v>
      </c>
      <c r="H71" s="16" t="s">
        <v>218</v>
      </c>
      <c r="I71" s="16" t="s">
        <v>283</v>
      </c>
      <c r="J71" s="16" t="s">
        <v>121</v>
      </c>
      <c r="K71" s="58" t="s">
        <v>61</v>
      </c>
      <c r="L71" s="58" t="s">
        <v>61</v>
      </c>
      <c r="M71" s="58" t="s">
        <v>61</v>
      </c>
      <c r="N71" s="16" t="s">
        <v>148</v>
      </c>
      <c r="O71" s="18" t="s">
        <v>61</v>
      </c>
      <c r="P71" s="18" t="s">
        <v>318</v>
      </c>
      <c r="Q71" s="19"/>
      <c r="R71" s="17" t="s">
        <v>98</v>
      </c>
      <c r="S71" s="16" t="s">
        <v>66</v>
      </c>
      <c r="T71" s="16"/>
      <c r="U71" s="16"/>
      <c r="V71" s="16">
        <v>47</v>
      </c>
      <c r="W71" s="16">
        <f>ROUND(IF(D71=Table!$C$3,Y71*Table!$C$4/8,Y71*Table!$D$4/8),3)</f>
        <v>76.5</v>
      </c>
      <c r="X71" s="16">
        <f t="shared" si="8"/>
        <v>76.5</v>
      </c>
      <c r="Y71" s="16">
        <v>1.36</v>
      </c>
      <c r="Z71" s="16">
        <f t="shared" ref="Z71" si="11">Y71</f>
        <v>1.36</v>
      </c>
      <c r="AA71" s="16" t="s">
        <v>21</v>
      </c>
      <c r="AB71" s="16"/>
      <c r="AC71" s="20">
        <v>43946</v>
      </c>
      <c r="AD71" s="20">
        <v>43958</v>
      </c>
      <c r="AE71" s="20">
        <v>43955</v>
      </c>
      <c r="AF71" s="20">
        <v>43955</v>
      </c>
      <c r="AG71" s="20" t="s">
        <v>336</v>
      </c>
      <c r="AH71" s="32">
        <v>1</v>
      </c>
      <c r="AI71" s="32">
        <v>1</v>
      </c>
      <c r="AJ71" s="32">
        <v>1</v>
      </c>
      <c r="AK71" s="104" t="s">
        <v>165</v>
      </c>
      <c r="AL71" s="16"/>
      <c r="AM71" s="16"/>
      <c r="AN71" s="16"/>
    </row>
    <row r="72" spans="2:40" x14ac:dyDescent="0.25">
      <c r="B72" s="46">
        <f t="shared" si="9"/>
        <v>25</v>
      </c>
      <c r="C72" s="17">
        <v>20200427</v>
      </c>
      <c r="D72" s="16" t="s">
        <v>3</v>
      </c>
      <c r="E72" s="16" t="s">
        <v>256</v>
      </c>
      <c r="F72" s="18" t="s">
        <v>260</v>
      </c>
      <c r="G72" s="58" t="s">
        <v>61</v>
      </c>
      <c r="H72" s="16" t="s">
        <v>219</v>
      </c>
      <c r="I72" s="16" t="s">
        <v>284</v>
      </c>
      <c r="J72" s="16" t="s">
        <v>121</v>
      </c>
      <c r="K72" s="58" t="s">
        <v>61</v>
      </c>
      <c r="L72" s="58" t="s">
        <v>61</v>
      </c>
      <c r="M72" s="58" t="s">
        <v>61</v>
      </c>
      <c r="N72" s="16" t="s">
        <v>148</v>
      </c>
      <c r="O72" s="18" t="s">
        <v>61</v>
      </c>
      <c r="P72" s="18" t="s">
        <v>318</v>
      </c>
      <c r="Q72" s="19"/>
      <c r="R72" s="17" t="s">
        <v>98</v>
      </c>
      <c r="S72" s="16" t="s">
        <v>66</v>
      </c>
      <c r="T72" s="16"/>
      <c r="U72" s="16"/>
      <c r="V72" s="16">
        <v>160</v>
      </c>
      <c r="W72" s="16">
        <f>ROUND(IF(D72=Table!$C$3,Y72*Table!$C$4/8,Y72*Table!$D$4/8),3)</f>
        <v>157.5</v>
      </c>
      <c r="X72" s="16">
        <f t="shared" si="8"/>
        <v>157.5</v>
      </c>
      <c r="Y72" s="16">
        <v>2.8</v>
      </c>
      <c r="Z72" s="16">
        <v>1</v>
      </c>
      <c r="AA72" s="16" t="s">
        <v>21</v>
      </c>
      <c r="AB72" s="16"/>
      <c r="AC72" s="20">
        <v>43946</v>
      </c>
      <c r="AD72" s="20">
        <v>43958</v>
      </c>
      <c r="AE72" s="20">
        <v>43955</v>
      </c>
      <c r="AF72" s="20">
        <v>43955</v>
      </c>
      <c r="AG72" s="20" t="s">
        <v>336</v>
      </c>
      <c r="AH72" s="32">
        <v>0.03</v>
      </c>
      <c r="AI72" s="32">
        <v>0</v>
      </c>
      <c r="AJ72" s="32">
        <v>0</v>
      </c>
      <c r="AK72" s="20" t="s">
        <v>165</v>
      </c>
      <c r="AL72" s="90" t="s">
        <v>412</v>
      </c>
      <c r="AM72" s="16"/>
      <c r="AN72" s="16"/>
    </row>
    <row r="73" spans="2:40" x14ac:dyDescent="0.25">
      <c r="B73" s="46">
        <f t="shared" si="9"/>
        <v>26</v>
      </c>
      <c r="C73" s="17">
        <v>20200427</v>
      </c>
      <c r="D73" s="16" t="s">
        <v>3</v>
      </c>
      <c r="E73" s="16" t="s">
        <v>256</v>
      </c>
      <c r="F73" s="18" t="s">
        <v>260</v>
      </c>
      <c r="G73" s="58" t="s">
        <v>61</v>
      </c>
      <c r="H73" s="16" t="s">
        <v>220</v>
      </c>
      <c r="I73" s="16" t="s">
        <v>155</v>
      </c>
      <c r="J73" s="16" t="s">
        <v>121</v>
      </c>
      <c r="K73" s="58" t="s">
        <v>61</v>
      </c>
      <c r="L73" s="58" t="s">
        <v>61</v>
      </c>
      <c r="M73" s="58" t="s">
        <v>61</v>
      </c>
      <c r="N73" s="16" t="s">
        <v>148</v>
      </c>
      <c r="O73" s="18" t="s">
        <v>61</v>
      </c>
      <c r="P73" s="18" t="s">
        <v>318</v>
      </c>
      <c r="Q73" s="19"/>
      <c r="R73" s="17" t="s">
        <v>98</v>
      </c>
      <c r="S73" s="16" t="s">
        <v>66</v>
      </c>
      <c r="T73" s="16"/>
      <c r="U73" s="16"/>
      <c r="V73" s="16">
        <v>246</v>
      </c>
      <c r="W73" s="16">
        <f>ROUND(IF(D73=Table!$C$3,Y73*Table!$C$4/8,Y73*Table!$D$4/8),3)</f>
        <v>247.5</v>
      </c>
      <c r="X73" s="16">
        <f t="shared" si="8"/>
        <v>247.5</v>
      </c>
      <c r="Y73" s="16">
        <v>4.4000000000000004</v>
      </c>
      <c r="Z73" s="16">
        <v>2</v>
      </c>
      <c r="AA73" s="16" t="s">
        <v>21</v>
      </c>
      <c r="AB73" s="16"/>
      <c r="AC73" s="20">
        <v>43946</v>
      </c>
      <c r="AD73" s="20">
        <v>43958</v>
      </c>
      <c r="AE73" s="20">
        <v>43955</v>
      </c>
      <c r="AF73" s="20">
        <v>43955</v>
      </c>
      <c r="AG73" s="20" t="s">
        <v>336</v>
      </c>
      <c r="AH73" s="32">
        <v>1</v>
      </c>
      <c r="AI73" s="32">
        <v>1</v>
      </c>
      <c r="AJ73" s="32">
        <v>1</v>
      </c>
      <c r="AK73" s="104" t="s">
        <v>165</v>
      </c>
      <c r="AL73" s="16"/>
      <c r="AM73" s="16"/>
      <c r="AN73" s="16"/>
    </row>
    <row r="74" spans="2:40" x14ac:dyDescent="0.25">
      <c r="B74" s="46">
        <f t="shared" si="9"/>
        <v>27</v>
      </c>
      <c r="C74" s="17">
        <v>20200427</v>
      </c>
      <c r="D74" s="16" t="s">
        <v>3</v>
      </c>
      <c r="E74" s="16" t="s">
        <v>256</v>
      </c>
      <c r="F74" s="18" t="s">
        <v>260</v>
      </c>
      <c r="G74" s="58" t="s">
        <v>61</v>
      </c>
      <c r="H74" s="16" t="s">
        <v>221</v>
      </c>
      <c r="I74" s="16" t="s">
        <v>285</v>
      </c>
      <c r="J74" s="16" t="s">
        <v>121</v>
      </c>
      <c r="K74" s="58" t="s">
        <v>61</v>
      </c>
      <c r="L74" s="58" t="s">
        <v>61</v>
      </c>
      <c r="M74" s="58" t="s">
        <v>61</v>
      </c>
      <c r="N74" s="16" t="s">
        <v>148</v>
      </c>
      <c r="O74" s="18" t="s">
        <v>61</v>
      </c>
      <c r="P74" s="18" t="s">
        <v>318</v>
      </c>
      <c r="Q74" s="19"/>
      <c r="R74" s="17" t="s">
        <v>98</v>
      </c>
      <c r="S74" s="16" t="s">
        <v>66</v>
      </c>
      <c r="T74" s="16"/>
      <c r="U74" s="16"/>
      <c r="V74" s="16">
        <v>23</v>
      </c>
      <c r="W74" s="16">
        <f>ROUND(IF(D74=Table!$C$3,Y74*Table!$C$4/8,Y74*Table!$D$4/8),3)</f>
        <v>67.5</v>
      </c>
      <c r="X74" s="16">
        <f t="shared" si="8"/>
        <v>67.5</v>
      </c>
      <c r="Y74" s="16">
        <v>1.2</v>
      </c>
      <c r="Z74" s="16">
        <v>0.5</v>
      </c>
      <c r="AA74" s="16" t="s">
        <v>21</v>
      </c>
      <c r="AB74" s="16"/>
      <c r="AC74" s="20">
        <v>43946</v>
      </c>
      <c r="AD74" s="20">
        <v>43958</v>
      </c>
      <c r="AE74" s="20">
        <v>43955</v>
      </c>
      <c r="AF74" s="20">
        <v>43955</v>
      </c>
      <c r="AG74" s="20" t="s">
        <v>336</v>
      </c>
      <c r="AH74" s="32">
        <v>1</v>
      </c>
      <c r="AI74" s="32">
        <v>1</v>
      </c>
      <c r="AJ74" s="32">
        <v>1</v>
      </c>
      <c r="AK74" s="104" t="s">
        <v>165</v>
      </c>
      <c r="AL74" s="16"/>
      <c r="AM74" s="16"/>
      <c r="AN74" s="16"/>
    </row>
    <row r="75" spans="2:40" x14ac:dyDescent="0.25">
      <c r="B75" s="46">
        <f t="shared" si="9"/>
        <v>28</v>
      </c>
      <c r="C75" s="17">
        <v>20200427</v>
      </c>
      <c r="D75" s="16" t="s">
        <v>3</v>
      </c>
      <c r="E75" s="16" t="s">
        <v>256</v>
      </c>
      <c r="F75" s="18" t="s">
        <v>260</v>
      </c>
      <c r="G75" s="58" t="s">
        <v>61</v>
      </c>
      <c r="H75" s="16" t="s">
        <v>222</v>
      </c>
      <c r="I75" s="16" t="s">
        <v>286</v>
      </c>
      <c r="J75" s="16" t="s">
        <v>121</v>
      </c>
      <c r="K75" s="58" t="s">
        <v>61</v>
      </c>
      <c r="L75" s="58" t="s">
        <v>61</v>
      </c>
      <c r="M75" s="58" t="s">
        <v>61</v>
      </c>
      <c r="N75" s="16" t="s">
        <v>148</v>
      </c>
      <c r="O75" s="18" t="s">
        <v>61</v>
      </c>
      <c r="P75" s="18" t="s">
        <v>318</v>
      </c>
      <c r="Q75" s="19"/>
      <c r="R75" s="17" t="s">
        <v>97</v>
      </c>
      <c r="S75" s="16" t="s">
        <v>156</v>
      </c>
      <c r="T75" s="16"/>
      <c r="U75" s="16"/>
      <c r="V75" s="16">
        <v>126</v>
      </c>
      <c r="W75" s="16">
        <f>ROUND(IF(D75=Table!$C$3,Y75*Table!$C$4/8,Y75*Table!$D$4/8),3)</f>
        <v>114.75</v>
      </c>
      <c r="X75" s="16">
        <f t="shared" si="8"/>
        <v>114.75</v>
      </c>
      <c r="Y75" s="16">
        <v>2.04</v>
      </c>
      <c r="Z75" s="16">
        <v>3</v>
      </c>
      <c r="AA75" s="16" t="s">
        <v>21</v>
      </c>
      <c r="AB75" s="16"/>
      <c r="AC75" s="20">
        <v>43946</v>
      </c>
      <c r="AD75" s="20">
        <v>43958</v>
      </c>
      <c r="AE75" s="20">
        <v>43956</v>
      </c>
      <c r="AF75" s="20">
        <v>43956</v>
      </c>
      <c r="AG75" s="20" t="s">
        <v>336</v>
      </c>
      <c r="AH75" s="32">
        <v>1</v>
      </c>
      <c r="AI75" s="32">
        <v>0.96</v>
      </c>
      <c r="AJ75" s="32">
        <v>0.33</v>
      </c>
      <c r="AK75" s="20" t="s">
        <v>165</v>
      </c>
      <c r="AL75" s="16" t="s">
        <v>438</v>
      </c>
      <c r="AM75" s="16"/>
      <c r="AN75" s="16"/>
    </row>
    <row r="76" spans="2:40" x14ac:dyDescent="0.25">
      <c r="B76" s="46">
        <f t="shared" si="9"/>
        <v>29</v>
      </c>
      <c r="C76" s="17">
        <v>20200427</v>
      </c>
      <c r="D76" s="16" t="s">
        <v>3</v>
      </c>
      <c r="E76" s="16" t="s">
        <v>256</v>
      </c>
      <c r="F76" s="18" t="s">
        <v>260</v>
      </c>
      <c r="G76" s="58" t="s">
        <v>61</v>
      </c>
      <c r="H76" s="16" t="s">
        <v>223</v>
      </c>
      <c r="I76" s="16" t="s">
        <v>287</v>
      </c>
      <c r="J76" s="16" t="s">
        <v>121</v>
      </c>
      <c r="K76" s="58" t="s">
        <v>61</v>
      </c>
      <c r="L76" s="58" t="s">
        <v>61</v>
      </c>
      <c r="M76" s="58" t="s">
        <v>61</v>
      </c>
      <c r="N76" s="16" t="s">
        <v>148</v>
      </c>
      <c r="O76" s="18" t="s">
        <v>61</v>
      </c>
      <c r="P76" s="18" t="s">
        <v>318</v>
      </c>
      <c r="Q76" s="19"/>
      <c r="R76" s="17" t="s">
        <v>98</v>
      </c>
      <c r="S76" s="16" t="s">
        <v>66</v>
      </c>
      <c r="T76" s="16"/>
      <c r="U76" s="16"/>
      <c r="V76" s="16">
        <v>50</v>
      </c>
      <c r="W76" s="16">
        <f>ROUND(IF(D76=Table!$C$3,Y76*Table!$C$4/8,Y76*Table!$D$4/8),3)</f>
        <v>67.5</v>
      </c>
      <c r="X76" s="16">
        <f t="shared" si="8"/>
        <v>67.5</v>
      </c>
      <c r="Y76" s="16">
        <v>1.2</v>
      </c>
      <c r="Z76" s="16">
        <v>0.5</v>
      </c>
      <c r="AA76" s="16" t="s">
        <v>21</v>
      </c>
      <c r="AB76" s="16"/>
      <c r="AC76" s="20">
        <v>43946</v>
      </c>
      <c r="AD76" s="20">
        <v>43958</v>
      </c>
      <c r="AE76" s="20">
        <v>43955</v>
      </c>
      <c r="AF76" s="20">
        <v>43955</v>
      </c>
      <c r="AG76" s="20" t="s">
        <v>336</v>
      </c>
      <c r="AH76" s="32">
        <v>1</v>
      </c>
      <c r="AI76" s="32">
        <v>1</v>
      </c>
      <c r="AJ76" s="3" t="s">
        <v>413</v>
      </c>
      <c r="AK76" s="104" t="s">
        <v>165</v>
      </c>
      <c r="AL76" s="16"/>
      <c r="AM76" s="16"/>
      <c r="AN76" s="16"/>
    </row>
    <row r="77" spans="2:40" x14ac:dyDescent="0.25">
      <c r="B77" s="46">
        <f t="shared" si="9"/>
        <v>30</v>
      </c>
      <c r="C77" s="17">
        <v>20200427</v>
      </c>
      <c r="D77" s="16" t="s">
        <v>3</v>
      </c>
      <c r="E77" s="16" t="s">
        <v>256</v>
      </c>
      <c r="F77" s="18" t="s">
        <v>260</v>
      </c>
      <c r="G77" s="58" t="s">
        <v>61</v>
      </c>
      <c r="H77" s="16" t="s">
        <v>224</v>
      </c>
      <c r="I77" s="16" t="s">
        <v>288</v>
      </c>
      <c r="J77" s="16" t="s">
        <v>121</v>
      </c>
      <c r="K77" s="58" t="s">
        <v>61</v>
      </c>
      <c r="L77" s="58" t="s">
        <v>61</v>
      </c>
      <c r="M77" s="58" t="s">
        <v>61</v>
      </c>
      <c r="N77" s="16" t="s">
        <v>148</v>
      </c>
      <c r="O77" s="18" t="s">
        <v>61</v>
      </c>
      <c r="P77" s="18" t="s">
        <v>318</v>
      </c>
      <c r="Q77" s="19"/>
      <c r="R77" s="17" t="s">
        <v>98</v>
      </c>
      <c r="S77" s="16" t="s">
        <v>66</v>
      </c>
      <c r="T77" s="16"/>
      <c r="U77" s="16"/>
      <c r="V77" s="16">
        <v>206</v>
      </c>
      <c r="W77" s="16">
        <f>ROUND(IF(D77=Table!$C$3,Y77*Table!$C$4/8,Y77*Table!$D$4/8),3)</f>
        <v>202.5</v>
      </c>
      <c r="X77" s="16">
        <f t="shared" si="8"/>
        <v>202.5</v>
      </c>
      <c r="Y77" s="16">
        <v>3.6</v>
      </c>
      <c r="Z77" s="16">
        <v>1</v>
      </c>
      <c r="AA77" s="16" t="s">
        <v>21</v>
      </c>
      <c r="AB77" s="16"/>
      <c r="AC77" s="20">
        <v>43946</v>
      </c>
      <c r="AD77" s="20">
        <v>43958</v>
      </c>
      <c r="AE77" s="20">
        <v>43955</v>
      </c>
      <c r="AF77" s="20">
        <v>43955</v>
      </c>
      <c r="AG77" s="20" t="s">
        <v>336</v>
      </c>
      <c r="AH77" s="32">
        <v>1</v>
      </c>
      <c r="AI77" s="32">
        <v>0.97</v>
      </c>
      <c r="AJ77" s="3" t="s">
        <v>413</v>
      </c>
      <c r="AK77" s="20" t="s">
        <v>165</v>
      </c>
      <c r="AL77" s="91" t="s">
        <v>414</v>
      </c>
      <c r="AM77" s="16"/>
      <c r="AN77" s="16"/>
    </row>
    <row r="78" spans="2:40" x14ac:dyDescent="0.25">
      <c r="B78" s="46">
        <f t="shared" si="9"/>
        <v>31</v>
      </c>
      <c r="C78" s="17">
        <v>20200427</v>
      </c>
      <c r="D78" s="16" t="s">
        <v>3</v>
      </c>
      <c r="E78" s="16" t="s">
        <v>256</v>
      </c>
      <c r="F78" s="18" t="s">
        <v>260</v>
      </c>
      <c r="G78" s="58" t="s">
        <v>61</v>
      </c>
      <c r="H78" s="16" t="s">
        <v>225</v>
      </c>
      <c r="I78" s="16" t="s">
        <v>289</v>
      </c>
      <c r="J78" s="16" t="s">
        <v>121</v>
      </c>
      <c r="K78" s="58" t="s">
        <v>61</v>
      </c>
      <c r="L78" s="58" t="s">
        <v>61</v>
      </c>
      <c r="M78" s="58" t="s">
        <v>61</v>
      </c>
      <c r="N78" s="16" t="s">
        <v>148</v>
      </c>
      <c r="O78" s="18" t="s">
        <v>61</v>
      </c>
      <c r="P78" s="18" t="s">
        <v>318</v>
      </c>
      <c r="Q78" s="19"/>
      <c r="R78" s="17" t="s">
        <v>98</v>
      </c>
      <c r="S78" s="16" t="s">
        <v>66</v>
      </c>
      <c r="T78" s="16"/>
      <c r="U78" s="16"/>
      <c r="V78" s="16">
        <v>131</v>
      </c>
      <c r="W78" s="16">
        <f>ROUND(IF(D78=Table!$C$3,Y78*Table!$C$4/8,Y78*Table!$D$4/8),3)</f>
        <v>135</v>
      </c>
      <c r="X78" s="16">
        <f t="shared" si="8"/>
        <v>135</v>
      </c>
      <c r="Y78" s="16">
        <v>2.4</v>
      </c>
      <c r="Z78" s="16">
        <v>1</v>
      </c>
      <c r="AA78" s="16" t="s">
        <v>21</v>
      </c>
      <c r="AB78" s="16"/>
      <c r="AC78" s="20">
        <v>43946</v>
      </c>
      <c r="AD78" s="20">
        <v>43958</v>
      </c>
      <c r="AE78" s="20">
        <v>43955</v>
      </c>
      <c r="AF78" s="20">
        <v>43955</v>
      </c>
      <c r="AG78" s="20" t="s">
        <v>336</v>
      </c>
      <c r="AH78" s="32">
        <v>1</v>
      </c>
      <c r="AI78" s="32">
        <v>1</v>
      </c>
      <c r="AJ78" s="3" t="s">
        <v>413</v>
      </c>
      <c r="AK78" s="104" t="s">
        <v>165</v>
      </c>
      <c r="AL78" s="16"/>
      <c r="AM78" s="16"/>
      <c r="AN78" s="16"/>
    </row>
    <row r="79" spans="2:40" x14ac:dyDescent="0.25">
      <c r="B79" s="46">
        <f t="shared" si="9"/>
        <v>32</v>
      </c>
      <c r="C79" s="17">
        <v>20200427</v>
      </c>
      <c r="D79" s="16" t="s">
        <v>3</v>
      </c>
      <c r="E79" s="16" t="s">
        <v>256</v>
      </c>
      <c r="F79" s="18" t="s">
        <v>260</v>
      </c>
      <c r="G79" s="58" t="s">
        <v>61</v>
      </c>
      <c r="H79" s="16" t="s">
        <v>226</v>
      </c>
      <c r="I79" s="16" t="s">
        <v>290</v>
      </c>
      <c r="J79" s="16" t="s">
        <v>121</v>
      </c>
      <c r="K79" s="58" t="s">
        <v>61</v>
      </c>
      <c r="L79" s="58" t="s">
        <v>61</v>
      </c>
      <c r="M79" s="58" t="s">
        <v>61</v>
      </c>
      <c r="N79" s="16" t="s">
        <v>148</v>
      </c>
      <c r="O79" s="18" t="s">
        <v>61</v>
      </c>
      <c r="P79" s="18" t="s">
        <v>318</v>
      </c>
      <c r="Q79" s="19"/>
      <c r="R79" s="17" t="s">
        <v>98</v>
      </c>
      <c r="S79" s="16" t="s">
        <v>6</v>
      </c>
      <c r="T79" s="16"/>
      <c r="U79" s="16"/>
      <c r="V79" s="16">
        <v>146</v>
      </c>
      <c r="W79" s="16">
        <f>ROUND(IF(D79=Table!$C$3,Y79*Table!$C$4/8,Y79*Table!$D$4/8),3)</f>
        <v>76.5</v>
      </c>
      <c r="X79" s="16">
        <f t="shared" si="8"/>
        <v>76.5</v>
      </c>
      <c r="Y79" s="16">
        <v>1.36</v>
      </c>
      <c r="Z79" s="16">
        <v>2</v>
      </c>
      <c r="AA79" s="16" t="s">
        <v>21</v>
      </c>
      <c r="AB79" s="16"/>
      <c r="AC79" s="20">
        <v>43946</v>
      </c>
      <c r="AD79" s="20">
        <v>43958</v>
      </c>
      <c r="AE79" s="20">
        <v>43955</v>
      </c>
      <c r="AF79" s="20">
        <v>43955</v>
      </c>
      <c r="AG79" s="20" t="s">
        <v>336</v>
      </c>
      <c r="AH79" s="32">
        <v>1</v>
      </c>
      <c r="AI79" s="32">
        <v>1</v>
      </c>
      <c r="AJ79" s="32">
        <v>1</v>
      </c>
      <c r="AK79" s="20" t="s">
        <v>165</v>
      </c>
      <c r="AL79" s="16"/>
      <c r="AM79" s="16"/>
      <c r="AN79" s="16"/>
    </row>
    <row r="80" spans="2:40" x14ac:dyDescent="0.25">
      <c r="B80" s="46">
        <f t="shared" si="9"/>
        <v>33</v>
      </c>
      <c r="C80" s="17">
        <v>20200427</v>
      </c>
      <c r="D80" s="16" t="s">
        <v>3</v>
      </c>
      <c r="E80" s="16" t="s">
        <v>256</v>
      </c>
      <c r="F80" s="18" t="s">
        <v>260</v>
      </c>
      <c r="G80" s="58" t="s">
        <v>61</v>
      </c>
      <c r="H80" s="16" t="s">
        <v>227</v>
      </c>
      <c r="I80" s="16" t="s">
        <v>291</v>
      </c>
      <c r="J80" s="16" t="s">
        <v>121</v>
      </c>
      <c r="K80" s="58" t="s">
        <v>61</v>
      </c>
      <c r="L80" s="58" t="s">
        <v>61</v>
      </c>
      <c r="M80" s="58" t="s">
        <v>61</v>
      </c>
      <c r="N80" s="16" t="s">
        <v>148</v>
      </c>
      <c r="O80" s="18" t="s">
        <v>61</v>
      </c>
      <c r="P80" s="18" t="s">
        <v>318</v>
      </c>
      <c r="Q80" s="19"/>
      <c r="R80" s="17" t="s">
        <v>98</v>
      </c>
      <c r="S80" s="16" t="s">
        <v>6</v>
      </c>
      <c r="T80" s="16"/>
      <c r="U80" s="16"/>
      <c r="V80" s="16">
        <v>94</v>
      </c>
      <c r="W80" s="16">
        <f>ROUND(IF(D80=Table!$C$3,Y80*Table!$C$4/8,Y80*Table!$D$4/8),3)</f>
        <v>107.1</v>
      </c>
      <c r="X80" s="16">
        <f t="shared" ref="X80:X111" si="12">W80</f>
        <v>107.1</v>
      </c>
      <c r="Y80" s="16">
        <v>1.9040000000000001</v>
      </c>
      <c r="Z80" s="16">
        <v>2</v>
      </c>
      <c r="AA80" s="16" t="s">
        <v>21</v>
      </c>
      <c r="AB80" s="16"/>
      <c r="AC80" s="20">
        <v>43946</v>
      </c>
      <c r="AD80" s="20">
        <v>43958</v>
      </c>
      <c r="AE80" s="20">
        <v>43955</v>
      </c>
      <c r="AF80" s="20">
        <v>43955</v>
      </c>
      <c r="AG80" s="20" t="s">
        <v>336</v>
      </c>
      <c r="AH80" s="32">
        <v>1</v>
      </c>
      <c r="AI80" s="32">
        <v>1</v>
      </c>
      <c r="AJ80" s="32">
        <v>1</v>
      </c>
      <c r="AK80" s="20" t="s">
        <v>165</v>
      </c>
      <c r="AL80" s="16"/>
      <c r="AM80" s="16"/>
      <c r="AN80" s="16"/>
    </row>
    <row r="81" spans="2:40" x14ac:dyDescent="0.25">
      <c r="B81" s="46">
        <f t="shared" si="9"/>
        <v>34</v>
      </c>
      <c r="C81" s="17">
        <v>20200427</v>
      </c>
      <c r="D81" s="16" t="s">
        <v>3</v>
      </c>
      <c r="E81" s="16" t="s">
        <v>256</v>
      </c>
      <c r="F81" s="18" t="s">
        <v>260</v>
      </c>
      <c r="G81" s="58" t="s">
        <v>61</v>
      </c>
      <c r="H81" s="16" t="s">
        <v>228</v>
      </c>
      <c r="I81" s="16" t="s">
        <v>292</v>
      </c>
      <c r="J81" s="16" t="s">
        <v>121</v>
      </c>
      <c r="K81" s="58" t="s">
        <v>61</v>
      </c>
      <c r="L81" s="58" t="s">
        <v>61</v>
      </c>
      <c r="M81" s="58" t="s">
        <v>61</v>
      </c>
      <c r="N81" s="16" t="s">
        <v>148</v>
      </c>
      <c r="O81" s="18" t="s">
        <v>61</v>
      </c>
      <c r="P81" s="18" t="s">
        <v>318</v>
      </c>
      <c r="Q81" s="19"/>
      <c r="R81" s="17" t="s">
        <v>98</v>
      </c>
      <c r="S81" s="16" t="s">
        <v>6</v>
      </c>
      <c r="T81" s="16"/>
      <c r="U81" s="16"/>
      <c r="V81" s="16">
        <v>149</v>
      </c>
      <c r="W81" s="16">
        <f>ROUND(IF(D81=Table!$C$3,Y81*Table!$C$4/8,Y81*Table!$D$4/8),3)</f>
        <v>157.5</v>
      </c>
      <c r="X81" s="16">
        <f t="shared" si="12"/>
        <v>157.5</v>
      </c>
      <c r="Y81" s="16">
        <v>2.8</v>
      </c>
      <c r="Z81" s="16">
        <v>3</v>
      </c>
      <c r="AA81" s="16" t="s">
        <v>21</v>
      </c>
      <c r="AB81" s="16"/>
      <c r="AC81" s="20">
        <v>43946</v>
      </c>
      <c r="AD81" s="20">
        <v>43958</v>
      </c>
      <c r="AE81" s="20">
        <v>43955</v>
      </c>
      <c r="AF81" s="20">
        <v>43955</v>
      </c>
      <c r="AG81" s="20" t="s">
        <v>336</v>
      </c>
      <c r="AH81" s="32">
        <v>1</v>
      </c>
      <c r="AI81" s="32">
        <v>1</v>
      </c>
      <c r="AJ81" s="32">
        <v>0.5</v>
      </c>
      <c r="AK81" s="20" t="s">
        <v>165</v>
      </c>
      <c r="AL81" s="16"/>
      <c r="AM81" s="16"/>
      <c r="AN81" s="16"/>
    </row>
    <row r="82" spans="2:40" x14ac:dyDescent="0.25">
      <c r="B82" s="46">
        <f t="shared" si="9"/>
        <v>35</v>
      </c>
      <c r="C82" s="17">
        <v>20200427</v>
      </c>
      <c r="D82" s="16" t="s">
        <v>3</v>
      </c>
      <c r="E82" s="16" t="s">
        <v>256</v>
      </c>
      <c r="F82" s="18" t="s">
        <v>260</v>
      </c>
      <c r="G82" s="58" t="s">
        <v>61</v>
      </c>
      <c r="H82" s="16" t="s">
        <v>229</v>
      </c>
      <c r="I82" s="16" t="s">
        <v>293</v>
      </c>
      <c r="J82" s="16" t="s">
        <v>121</v>
      </c>
      <c r="K82" s="58" t="s">
        <v>61</v>
      </c>
      <c r="L82" s="58" t="s">
        <v>61</v>
      </c>
      <c r="M82" s="58" t="s">
        <v>61</v>
      </c>
      <c r="N82" s="16" t="s">
        <v>148</v>
      </c>
      <c r="O82" s="18" t="s">
        <v>61</v>
      </c>
      <c r="P82" s="18" t="s">
        <v>318</v>
      </c>
      <c r="Q82" s="19"/>
      <c r="R82" s="17" t="s">
        <v>98</v>
      </c>
      <c r="S82" s="16" t="s">
        <v>66</v>
      </c>
      <c r="T82" s="16"/>
      <c r="U82" s="16"/>
      <c r="V82" s="16">
        <v>27</v>
      </c>
      <c r="W82" s="16">
        <f>ROUND(IF(D82=Table!$C$3,Y82*Table!$C$4/8,Y82*Table!$D$4/8),3)</f>
        <v>67.5</v>
      </c>
      <c r="X82" s="16">
        <f t="shared" si="12"/>
        <v>67.5</v>
      </c>
      <c r="Y82" s="16">
        <v>1.2</v>
      </c>
      <c r="Z82" s="16">
        <v>0.1</v>
      </c>
      <c r="AA82" s="16" t="s">
        <v>21</v>
      </c>
      <c r="AB82" s="16"/>
      <c r="AC82" s="20">
        <v>43946</v>
      </c>
      <c r="AD82" s="20">
        <v>43958</v>
      </c>
      <c r="AE82" s="20">
        <v>43956</v>
      </c>
      <c r="AF82" s="20">
        <v>43956</v>
      </c>
      <c r="AG82" s="20" t="s">
        <v>336</v>
      </c>
      <c r="AH82" s="101">
        <v>1</v>
      </c>
      <c r="AI82" s="32">
        <v>1</v>
      </c>
      <c r="AJ82" s="32">
        <v>1</v>
      </c>
      <c r="AK82" s="20" t="s">
        <v>165</v>
      </c>
      <c r="AL82" s="16"/>
      <c r="AM82" s="16"/>
      <c r="AN82" s="16"/>
    </row>
    <row r="83" spans="2:40" x14ac:dyDescent="0.25">
      <c r="B83" s="46">
        <f t="shared" si="9"/>
        <v>36</v>
      </c>
      <c r="C83" s="17">
        <v>20200427</v>
      </c>
      <c r="D83" s="16" t="s">
        <v>3</v>
      </c>
      <c r="E83" s="16" t="s">
        <v>256</v>
      </c>
      <c r="F83" s="18" t="s">
        <v>260</v>
      </c>
      <c r="G83" s="58" t="s">
        <v>61</v>
      </c>
      <c r="H83" s="16" t="s">
        <v>230</v>
      </c>
      <c r="I83" s="16" t="s">
        <v>294</v>
      </c>
      <c r="J83" s="16" t="s">
        <v>121</v>
      </c>
      <c r="K83" s="58" t="s">
        <v>61</v>
      </c>
      <c r="L83" s="58" t="s">
        <v>61</v>
      </c>
      <c r="M83" s="58" t="s">
        <v>61</v>
      </c>
      <c r="N83" s="16" t="s">
        <v>148</v>
      </c>
      <c r="O83" s="18" t="s">
        <v>61</v>
      </c>
      <c r="P83" s="18" t="s">
        <v>318</v>
      </c>
      <c r="Q83" s="19"/>
      <c r="R83" s="17" t="s">
        <v>98</v>
      </c>
      <c r="S83" s="16" t="s">
        <v>66</v>
      </c>
      <c r="T83" s="16"/>
      <c r="U83" s="16"/>
      <c r="V83" s="16">
        <v>21</v>
      </c>
      <c r="W83" s="16">
        <f>ROUND(IF(D83=Table!$C$3,Y83*Table!$C$4/8,Y83*Table!$D$4/8),3)</f>
        <v>67.5</v>
      </c>
      <c r="X83" s="16">
        <f t="shared" si="12"/>
        <v>67.5</v>
      </c>
      <c r="Y83" s="16">
        <v>1.2</v>
      </c>
      <c r="Z83" s="16">
        <v>0.1</v>
      </c>
      <c r="AA83" s="16" t="s">
        <v>21</v>
      </c>
      <c r="AB83" s="16"/>
      <c r="AC83" s="20">
        <v>43946</v>
      </c>
      <c r="AD83" s="20">
        <v>43958</v>
      </c>
      <c r="AE83" s="20">
        <v>43956</v>
      </c>
      <c r="AF83" s="20">
        <v>43956</v>
      </c>
      <c r="AG83" s="20" t="s">
        <v>336</v>
      </c>
      <c r="AH83" s="101">
        <v>1</v>
      </c>
      <c r="AI83" s="32">
        <v>1</v>
      </c>
      <c r="AJ83" s="32">
        <v>1</v>
      </c>
      <c r="AK83" s="20" t="s">
        <v>165</v>
      </c>
      <c r="AL83" s="16"/>
      <c r="AM83" s="16"/>
      <c r="AN83" s="16"/>
    </row>
    <row r="84" spans="2:40" x14ac:dyDescent="0.25">
      <c r="B84" s="46">
        <f t="shared" si="9"/>
        <v>37</v>
      </c>
      <c r="C84" s="17">
        <v>20200427</v>
      </c>
      <c r="D84" s="16" t="s">
        <v>3</v>
      </c>
      <c r="E84" s="16" t="s">
        <v>256</v>
      </c>
      <c r="F84" s="18" t="s">
        <v>260</v>
      </c>
      <c r="G84" s="58" t="s">
        <v>61</v>
      </c>
      <c r="H84" s="16" t="s">
        <v>231</v>
      </c>
      <c r="I84" s="16" t="s">
        <v>295</v>
      </c>
      <c r="J84" s="16" t="s">
        <v>121</v>
      </c>
      <c r="K84" s="58" t="s">
        <v>61</v>
      </c>
      <c r="L84" s="58" t="s">
        <v>61</v>
      </c>
      <c r="M84" s="58" t="s">
        <v>61</v>
      </c>
      <c r="N84" s="16" t="s">
        <v>148</v>
      </c>
      <c r="O84" s="18" t="s">
        <v>61</v>
      </c>
      <c r="P84" s="18" t="s">
        <v>318</v>
      </c>
      <c r="Q84" s="19"/>
      <c r="R84" s="17" t="s">
        <v>98</v>
      </c>
      <c r="S84" s="16" t="s">
        <v>66</v>
      </c>
      <c r="T84" s="16"/>
      <c r="U84" s="16"/>
      <c r="V84" s="16">
        <v>113</v>
      </c>
      <c r="W84" s="16">
        <f>ROUND(IF(D84=Table!$C$3,Y84*Table!$C$4/8,Y84*Table!$D$4/8),3)</f>
        <v>67.5</v>
      </c>
      <c r="X84" s="16">
        <f t="shared" si="12"/>
        <v>67.5</v>
      </c>
      <c r="Y84" s="16">
        <v>1.2</v>
      </c>
      <c r="Z84" s="16">
        <v>0.5</v>
      </c>
      <c r="AA84" s="16" t="s">
        <v>21</v>
      </c>
      <c r="AB84" s="16"/>
      <c r="AC84" s="20">
        <v>43946</v>
      </c>
      <c r="AD84" s="20">
        <v>43958</v>
      </c>
      <c r="AE84" s="20">
        <v>43956</v>
      </c>
      <c r="AF84" s="20">
        <v>43956</v>
      </c>
      <c r="AG84" s="20" t="s">
        <v>336</v>
      </c>
      <c r="AH84" s="101">
        <v>1</v>
      </c>
      <c r="AI84" s="32">
        <v>1</v>
      </c>
      <c r="AJ84" s="32">
        <v>1</v>
      </c>
      <c r="AK84" s="20" t="s">
        <v>165</v>
      </c>
      <c r="AL84" s="16"/>
      <c r="AM84" s="16"/>
      <c r="AN84" s="16"/>
    </row>
    <row r="85" spans="2:40" x14ac:dyDescent="0.25">
      <c r="B85" s="46">
        <f t="shared" si="9"/>
        <v>38</v>
      </c>
      <c r="C85" s="17">
        <v>20200427</v>
      </c>
      <c r="D85" s="16" t="s">
        <v>3</v>
      </c>
      <c r="E85" s="16" t="s">
        <v>256</v>
      </c>
      <c r="F85" s="18" t="s">
        <v>260</v>
      </c>
      <c r="G85" s="58" t="s">
        <v>61</v>
      </c>
      <c r="H85" s="16" t="s">
        <v>232</v>
      </c>
      <c r="I85" s="16" t="s">
        <v>296</v>
      </c>
      <c r="J85" s="16" t="s">
        <v>121</v>
      </c>
      <c r="K85" s="58" t="s">
        <v>61</v>
      </c>
      <c r="L85" s="58" t="s">
        <v>61</v>
      </c>
      <c r="M85" s="58" t="s">
        <v>61</v>
      </c>
      <c r="N85" s="16" t="s">
        <v>148</v>
      </c>
      <c r="O85" s="18" t="s">
        <v>61</v>
      </c>
      <c r="P85" s="18" t="s">
        <v>318</v>
      </c>
      <c r="Q85" s="19"/>
      <c r="R85" s="17" t="s">
        <v>98</v>
      </c>
      <c r="S85" s="16" t="s">
        <v>66</v>
      </c>
      <c r="T85" s="16"/>
      <c r="U85" s="16"/>
      <c r="V85" s="16">
        <v>82</v>
      </c>
      <c r="W85" s="16">
        <f>ROUND(IF(D85=Table!$C$3,Y85*Table!$C$4/8,Y85*Table!$D$4/8),3)</f>
        <v>6.75</v>
      </c>
      <c r="X85" s="16">
        <f t="shared" si="12"/>
        <v>6.75</v>
      </c>
      <c r="Y85" s="16">
        <v>0.12</v>
      </c>
      <c r="Z85" s="16">
        <v>0.1</v>
      </c>
      <c r="AA85" s="16" t="s">
        <v>21</v>
      </c>
      <c r="AB85" s="16"/>
      <c r="AC85" s="20">
        <v>43946</v>
      </c>
      <c r="AD85" s="20">
        <v>43958</v>
      </c>
      <c r="AE85" s="20">
        <v>43956</v>
      </c>
      <c r="AF85" s="20">
        <v>43956</v>
      </c>
      <c r="AG85" s="20" t="s">
        <v>336</v>
      </c>
      <c r="AH85" s="101">
        <v>1</v>
      </c>
      <c r="AI85" s="32">
        <v>1</v>
      </c>
      <c r="AJ85" s="32">
        <v>1</v>
      </c>
      <c r="AK85" s="108" t="s">
        <v>165</v>
      </c>
      <c r="AL85" s="16"/>
      <c r="AM85" s="16"/>
      <c r="AN85" s="16"/>
    </row>
    <row r="86" spans="2:40" x14ac:dyDescent="0.25">
      <c r="B86" s="46">
        <f t="shared" si="9"/>
        <v>39</v>
      </c>
      <c r="C86" s="17">
        <v>20200427</v>
      </c>
      <c r="D86" s="16" t="s">
        <v>3</v>
      </c>
      <c r="E86" s="16" t="s">
        <v>256</v>
      </c>
      <c r="F86" s="18" t="s">
        <v>260</v>
      </c>
      <c r="G86" s="58" t="s">
        <v>61</v>
      </c>
      <c r="H86" s="16" t="s">
        <v>233</v>
      </c>
      <c r="I86" s="16" t="s">
        <v>297</v>
      </c>
      <c r="J86" s="16" t="s">
        <v>121</v>
      </c>
      <c r="K86" s="58" t="s">
        <v>61</v>
      </c>
      <c r="L86" s="58" t="s">
        <v>61</v>
      </c>
      <c r="M86" s="58" t="s">
        <v>61</v>
      </c>
      <c r="N86" s="16" t="s">
        <v>148</v>
      </c>
      <c r="O86" s="18" t="s">
        <v>61</v>
      </c>
      <c r="P86" s="18" t="s">
        <v>318</v>
      </c>
      <c r="Q86" s="19"/>
      <c r="R86" s="17" t="s">
        <v>97</v>
      </c>
      <c r="S86" s="16" t="s">
        <v>156</v>
      </c>
      <c r="T86" s="16"/>
      <c r="U86" s="16"/>
      <c r="V86" s="16">
        <v>57</v>
      </c>
      <c r="W86" s="16">
        <f>ROUND(IF(D86=Table!$C$3,Y86*Table!$C$4/8,Y86*Table!$D$4/8),3)</f>
        <v>67.5</v>
      </c>
      <c r="X86" s="16">
        <f t="shared" si="12"/>
        <v>67.5</v>
      </c>
      <c r="Y86" s="16">
        <v>1.2</v>
      </c>
      <c r="Z86" s="16">
        <v>0.25</v>
      </c>
      <c r="AA86" s="16" t="s">
        <v>21</v>
      </c>
      <c r="AB86" s="16"/>
      <c r="AC86" s="20">
        <v>43946</v>
      </c>
      <c r="AD86" s="20">
        <v>43958</v>
      </c>
      <c r="AE86" s="20">
        <v>43956</v>
      </c>
      <c r="AF86" s="20">
        <v>43956</v>
      </c>
      <c r="AG86" s="20" t="s">
        <v>336</v>
      </c>
      <c r="AH86" s="106">
        <v>1</v>
      </c>
      <c r="AI86" s="107">
        <v>0.96</v>
      </c>
      <c r="AJ86" s="107">
        <v>1</v>
      </c>
      <c r="AK86" s="123" t="s">
        <v>165</v>
      </c>
      <c r="AL86" s="16" t="s">
        <v>446</v>
      </c>
      <c r="AM86" s="16"/>
      <c r="AN86" s="16"/>
    </row>
    <row r="87" spans="2:40" x14ac:dyDescent="0.25">
      <c r="B87" s="46">
        <f t="shared" si="9"/>
        <v>40</v>
      </c>
      <c r="C87" s="17">
        <v>20200427</v>
      </c>
      <c r="D87" s="16" t="s">
        <v>3</v>
      </c>
      <c r="E87" s="16" t="s">
        <v>256</v>
      </c>
      <c r="F87" s="18" t="s">
        <v>260</v>
      </c>
      <c r="G87" s="58" t="s">
        <v>61</v>
      </c>
      <c r="H87" s="16" t="s">
        <v>234</v>
      </c>
      <c r="I87" s="16" t="s">
        <v>298</v>
      </c>
      <c r="J87" s="16" t="s">
        <v>121</v>
      </c>
      <c r="K87" s="58" t="s">
        <v>61</v>
      </c>
      <c r="L87" s="58" t="s">
        <v>61</v>
      </c>
      <c r="M87" s="58" t="s">
        <v>61</v>
      </c>
      <c r="N87" s="16" t="s">
        <v>148</v>
      </c>
      <c r="O87" s="18" t="s">
        <v>61</v>
      </c>
      <c r="P87" s="18" t="s">
        <v>318</v>
      </c>
      <c r="Q87" s="19"/>
      <c r="R87" s="17" t="s">
        <v>97</v>
      </c>
      <c r="S87" s="16" t="s">
        <v>156</v>
      </c>
      <c r="T87" s="16"/>
      <c r="U87" s="16"/>
      <c r="V87" s="16">
        <v>103</v>
      </c>
      <c r="W87" s="16">
        <f>ROUND(IF(D87=Table!$C$3,Y87*Table!$C$4/8,Y87*Table!$D$4/8),3)</f>
        <v>6.75</v>
      </c>
      <c r="X87" s="16">
        <f t="shared" si="12"/>
        <v>6.75</v>
      </c>
      <c r="Y87" s="16">
        <v>0.12</v>
      </c>
      <c r="Z87" s="16">
        <v>0.1</v>
      </c>
      <c r="AA87" s="16" t="s">
        <v>21</v>
      </c>
      <c r="AB87" s="16"/>
      <c r="AC87" s="20">
        <v>43946</v>
      </c>
      <c r="AD87" s="20">
        <v>43958</v>
      </c>
      <c r="AE87" s="20">
        <v>43955</v>
      </c>
      <c r="AF87" s="20">
        <v>43955</v>
      </c>
      <c r="AG87" s="20" t="s">
        <v>336</v>
      </c>
      <c r="AH87" s="106">
        <v>1</v>
      </c>
      <c r="AI87" s="107">
        <v>1</v>
      </c>
      <c r="AJ87" s="107">
        <v>1</v>
      </c>
      <c r="AK87" s="108" t="s">
        <v>165</v>
      </c>
      <c r="AL87" s="16"/>
      <c r="AM87" s="16"/>
      <c r="AN87" s="16"/>
    </row>
    <row r="88" spans="2:40" x14ac:dyDescent="0.25">
      <c r="B88" s="46">
        <f t="shared" si="9"/>
        <v>41</v>
      </c>
      <c r="C88" s="17">
        <v>20200427</v>
      </c>
      <c r="D88" s="16" t="s">
        <v>3</v>
      </c>
      <c r="E88" s="16" t="s">
        <v>256</v>
      </c>
      <c r="F88" s="18" t="s">
        <v>260</v>
      </c>
      <c r="G88" s="58" t="s">
        <v>61</v>
      </c>
      <c r="H88" s="16" t="s">
        <v>235</v>
      </c>
      <c r="I88" s="16" t="s">
        <v>299</v>
      </c>
      <c r="J88" s="16" t="s">
        <v>121</v>
      </c>
      <c r="K88" s="58" t="s">
        <v>61</v>
      </c>
      <c r="L88" s="58" t="s">
        <v>61</v>
      </c>
      <c r="M88" s="58" t="s">
        <v>61</v>
      </c>
      <c r="N88" s="16" t="s">
        <v>148</v>
      </c>
      <c r="O88" s="18" t="s">
        <v>61</v>
      </c>
      <c r="P88" s="18" t="s">
        <v>318</v>
      </c>
      <c r="Q88" s="19"/>
      <c r="R88" s="17" t="s">
        <v>97</v>
      </c>
      <c r="S88" s="16" t="s">
        <v>156</v>
      </c>
      <c r="T88" s="16"/>
      <c r="U88" s="16"/>
      <c r="V88" s="16">
        <v>59</v>
      </c>
      <c r="W88" s="16">
        <f>ROUND(IF(D88=Table!$C$3,Y88*Table!$C$4/8,Y88*Table!$D$4/8),3)</f>
        <v>6.75</v>
      </c>
      <c r="X88" s="16">
        <f t="shared" si="12"/>
        <v>6.75</v>
      </c>
      <c r="Y88" s="16">
        <v>0.12</v>
      </c>
      <c r="Z88" s="16">
        <v>0.1</v>
      </c>
      <c r="AA88" s="16" t="s">
        <v>21</v>
      </c>
      <c r="AB88" s="16"/>
      <c r="AC88" s="20">
        <v>43946</v>
      </c>
      <c r="AD88" s="20">
        <v>43958</v>
      </c>
      <c r="AE88" s="20">
        <v>43955</v>
      </c>
      <c r="AF88" s="20">
        <v>43955</v>
      </c>
      <c r="AG88" s="20" t="s">
        <v>336</v>
      </c>
      <c r="AH88" s="106">
        <v>1</v>
      </c>
      <c r="AI88" s="107">
        <v>1</v>
      </c>
      <c r="AJ88" s="107">
        <v>1</v>
      </c>
      <c r="AK88" s="108" t="s">
        <v>165</v>
      </c>
      <c r="AL88" s="16"/>
      <c r="AM88" s="16"/>
      <c r="AN88" s="16"/>
    </row>
    <row r="89" spans="2:40" x14ac:dyDescent="0.25">
      <c r="B89" s="46">
        <f t="shared" si="9"/>
        <v>42</v>
      </c>
      <c r="C89" s="17">
        <v>20200427</v>
      </c>
      <c r="D89" s="16" t="s">
        <v>3</v>
      </c>
      <c r="E89" s="16" t="s">
        <v>256</v>
      </c>
      <c r="F89" s="18" t="s">
        <v>260</v>
      </c>
      <c r="G89" s="58" t="s">
        <v>61</v>
      </c>
      <c r="H89" s="16" t="s">
        <v>236</v>
      </c>
      <c r="I89" s="16" t="s">
        <v>300</v>
      </c>
      <c r="J89" s="16" t="s">
        <v>121</v>
      </c>
      <c r="K89" s="58" t="s">
        <v>61</v>
      </c>
      <c r="L89" s="58" t="s">
        <v>61</v>
      </c>
      <c r="M89" s="58" t="s">
        <v>61</v>
      </c>
      <c r="N89" s="16" t="s">
        <v>148</v>
      </c>
      <c r="O89" s="18" t="s">
        <v>61</v>
      </c>
      <c r="P89" s="18" t="s">
        <v>318</v>
      </c>
      <c r="Q89" s="19"/>
      <c r="R89" s="17" t="s">
        <v>97</v>
      </c>
      <c r="S89" s="16" t="s">
        <v>156</v>
      </c>
      <c r="T89" s="16"/>
      <c r="U89" s="16"/>
      <c r="V89" s="16">
        <v>101</v>
      </c>
      <c r="W89" s="16">
        <f>ROUND(IF(D89=Table!$C$3,Y89*Table!$C$4/8,Y89*Table!$D$4/8),3)</f>
        <v>67.5</v>
      </c>
      <c r="X89" s="16">
        <f t="shared" si="12"/>
        <v>67.5</v>
      </c>
      <c r="Y89" s="16">
        <v>1.2</v>
      </c>
      <c r="Z89" s="16">
        <v>1</v>
      </c>
      <c r="AA89" s="16" t="s">
        <v>21</v>
      </c>
      <c r="AB89" s="16"/>
      <c r="AC89" s="20">
        <v>43946</v>
      </c>
      <c r="AD89" s="20">
        <v>43958</v>
      </c>
      <c r="AE89" s="20">
        <v>43955</v>
      </c>
      <c r="AF89" s="20">
        <v>43955</v>
      </c>
      <c r="AG89" s="20" t="s">
        <v>336</v>
      </c>
      <c r="AH89" s="106">
        <v>1</v>
      </c>
      <c r="AI89" s="107">
        <v>0.9</v>
      </c>
      <c r="AJ89" s="107">
        <v>0.5</v>
      </c>
      <c r="AK89" s="20" t="s">
        <v>165</v>
      </c>
      <c r="AL89" s="16" t="s">
        <v>447</v>
      </c>
      <c r="AM89" s="16" t="s">
        <v>424</v>
      </c>
      <c r="AN89" s="16"/>
    </row>
    <row r="90" spans="2:40" x14ac:dyDescent="0.25">
      <c r="B90" s="46">
        <f t="shared" si="9"/>
        <v>43</v>
      </c>
      <c r="C90" s="17">
        <v>20200427</v>
      </c>
      <c r="D90" s="16" t="s">
        <v>3</v>
      </c>
      <c r="E90" s="16" t="s">
        <v>256</v>
      </c>
      <c r="F90" s="18" t="s">
        <v>260</v>
      </c>
      <c r="G90" s="58" t="s">
        <v>61</v>
      </c>
      <c r="H90" s="16" t="s">
        <v>237</v>
      </c>
      <c r="I90" s="16" t="s">
        <v>301</v>
      </c>
      <c r="J90" s="16" t="s">
        <v>121</v>
      </c>
      <c r="K90" s="58" t="s">
        <v>61</v>
      </c>
      <c r="L90" s="58" t="s">
        <v>61</v>
      </c>
      <c r="M90" s="58" t="s">
        <v>61</v>
      </c>
      <c r="N90" s="16" t="s">
        <v>148</v>
      </c>
      <c r="O90" s="18" t="s">
        <v>61</v>
      </c>
      <c r="P90" s="18" t="s">
        <v>318</v>
      </c>
      <c r="Q90" s="19"/>
      <c r="R90" s="17" t="s">
        <v>97</v>
      </c>
      <c r="S90" s="16" t="s">
        <v>156</v>
      </c>
      <c r="T90" s="16"/>
      <c r="U90" s="16"/>
      <c r="V90" s="16">
        <v>626</v>
      </c>
      <c r="W90" s="16">
        <f>ROUND(IF(D90=Table!$C$3,Y90*Table!$C$4/8,Y90*Table!$D$4/8),3)</f>
        <v>6.75</v>
      </c>
      <c r="X90" s="16">
        <f t="shared" si="12"/>
        <v>6.75</v>
      </c>
      <c r="Y90" s="16">
        <v>0.12</v>
      </c>
      <c r="Z90" s="16">
        <v>0.1</v>
      </c>
      <c r="AA90" s="16" t="s">
        <v>21</v>
      </c>
      <c r="AB90" s="16"/>
      <c r="AC90" s="20">
        <v>43946</v>
      </c>
      <c r="AD90" s="20">
        <v>43958</v>
      </c>
      <c r="AE90" s="20">
        <v>43955</v>
      </c>
      <c r="AF90" s="20">
        <v>43955</v>
      </c>
      <c r="AG90" s="20" t="s">
        <v>336</v>
      </c>
      <c r="AH90" s="106">
        <v>1</v>
      </c>
      <c r="AI90" s="107">
        <v>1</v>
      </c>
      <c r="AJ90" s="107">
        <v>0.83</v>
      </c>
      <c r="AK90" s="108" t="s">
        <v>165</v>
      </c>
      <c r="AL90" s="16"/>
      <c r="AM90" s="16"/>
      <c r="AN90" s="16"/>
    </row>
    <row r="91" spans="2:40" x14ac:dyDescent="0.25">
      <c r="B91" s="46">
        <f t="shared" si="9"/>
        <v>44</v>
      </c>
      <c r="C91" s="17">
        <v>20200427</v>
      </c>
      <c r="D91" s="16" t="s">
        <v>3</v>
      </c>
      <c r="E91" s="16" t="s">
        <v>256</v>
      </c>
      <c r="F91" s="18" t="s">
        <v>260</v>
      </c>
      <c r="G91" s="58" t="s">
        <v>61</v>
      </c>
      <c r="H91" s="16" t="s">
        <v>238</v>
      </c>
      <c r="I91" s="16" t="s">
        <v>302</v>
      </c>
      <c r="J91" s="16" t="s">
        <v>121</v>
      </c>
      <c r="K91" s="58" t="s">
        <v>61</v>
      </c>
      <c r="L91" s="58" t="s">
        <v>61</v>
      </c>
      <c r="M91" s="58" t="s">
        <v>61</v>
      </c>
      <c r="N91" s="16" t="s">
        <v>148</v>
      </c>
      <c r="O91" s="18" t="s">
        <v>61</v>
      </c>
      <c r="P91" s="18" t="s">
        <v>318</v>
      </c>
      <c r="Q91" s="19"/>
      <c r="R91" s="17" t="s">
        <v>97</v>
      </c>
      <c r="S91" s="16" t="s">
        <v>156</v>
      </c>
      <c r="T91" s="16"/>
      <c r="U91" s="16"/>
      <c r="V91" s="16">
        <v>90</v>
      </c>
      <c r="W91" s="16">
        <f>ROUND(IF(D91=Table!$C$3,Y91*Table!$C$4/8,Y91*Table!$D$4/8),3)</f>
        <v>95.625</v>
      </c>
      <c r="X91" s="16">
        <f t="shared" si="12"/>
        <v>95.625</v>
      </c>
      <c r="Y91" s="16">
        <v>1.7</v>
      </c>
      <c r="Z91" s="16">
        <v>3</v>
      </c>
      <c r="AA91" s="16" t="s">
        <v>21</v>
      </c>
      <c r="AB91" s="16"/>
      <c r="AC91" s="20">
        <v>43946</v>
      </c>
      <c r="AD91" s="20">
        <v>43958</v>
      </c>
      <c r="AE91" s="20">
        <v>43956</v>
      </c>
      <c r="AF91" s="20">
        <v>43956</v>
      </c>
      <c r="AG91" s="20" t="s">
        <v>336</v>
      </c>
      <c r="AH91" s="106">
        <v>1</v>
      </c>
      <c r="AI91" s="107">
        <v>1</v>
      </c>
      <c r="AJ91" s="107">
        <v>0.9</v>
      </c>
      <c r="AK91" s="123" t="s">
        <v>165</v>
      </c>
      <c r="AL91" s="16"/>
      <c r="AM91" s="16"/>
      <c r="AN91" s="16"/>
    </row>
    <row r="92" spans="2:40" x14ac:dyDescent="0.25">
      <c r="B92" s="46">
        <f t="shared" si="9"/>
        <v>45</v>
      </c>
      <c r="C92" s="17">
        <v>20200427</v>
      </c>
      <c r="D92" s="16" t="s">
        <v>3</v>
      </c>
      <c r="E92" s="16" t="s">
        <v>256</v>
      </c>
      <c r="F92" s="18" t="s">
        <v>260</v>
      </c>
      <c r="G92" s="58" t="s">
        <v>61</v>
      </c>
      <c r="H92" s="16" t="s">
        <v>239</v>
      </c>
      <c r="I92" s="16" t="s">
        <v>303</v>
      </c>
      <c r="J92" s="16" t="s">
        <v>121</v>
      </c>
      <c r="K92" s="58" t="s">
        <v>61</v>
      </c>
      <c r="L92" s="58" t="s">
        <v>61</v>
      </c>
      <c r="M92" s="58" t="s">
        <v>61</v>
      </c>
      <c r="N92" s="16" t="s">
        <v>148</v>
      </c>
      <c r="O92" s="18" t="s">
        <v>61</v>
      </c>
      <c r="P92" s="18" t="s">
        <v>318</v>
      </c>
      <c r="Q92" s="19"/>
      <c r="R92" s="17" t="s">
        <v>98</v>
      </c>
      <c r="S92" s="16" t="s">
        <v>66</v>
      </c>
      <c r="T92" s="16"/>
      <c r="U92" s="16"/>
      <c r="V92" s="16">
        <v>59</v>
      </c>
      <c r="W92" s="16">
        <f>ROUND(IF(D92=Table!$C$3,Y92*Table!$C$4/8,Y92*Table!$D$4/8),3)</f>
        <v>67.5</v>
      </c>
      <c r="X92" s="16">
        <f t="shared" si="12"/>
        <v>67.5</v>
      </c>
      <c r="Y92" s="16">
        <v>1.2</v>
      </c>
      <c r="Z92" s="16">
        <v>1</v>
      </c>
      <c r="AA92" s="16" t="s">
        <v>21</v>
      </c>
      <c r="AB92" s="16"/>
      <c r="AC92" s="20">
        <v>43946</v>
      </c>
      <c r="AD92" s="20">
        <v>43958</v>
      </c>
      <c r="AE92" s="20">
        <v>43956</v>
      </c>
      <c r="AF92" s="20">
        <v>43956</v>
      </c>
      <c r="AG92" s="20" t="s">
        <v>336</v>
      </c>
      <c r="AH92" s="101">
        <v>1</v>
      </c>
      <c r="AI92" s="32">
        <v>0.96</v>
      </c>
      <c r="AJ92" s="32">
        <v>1</v>
      </c>
      <c r="AK92" s="20" t="s">
        <v>165</v>
      </c>
      <c r="AL92" s="102" t="s">
        <v>446</v>
      </c>
      <c r="AM92" s="16"/>
      <c r="AN92" s="16"/>
    </row>
    <row r="93" spans="2:40" x14ac:dyDescent="0.25">
      <c r="B93" s="46">
        <f t="shared" si="9"/>
        <v>46</v>
      </c>
      <c r="C93" s="17">
        <v>20200427</v>
      </c>
      <c r="D93" s="16" t="s">
        <v>3</v>
      </c>
      <c r="E93" s="16" t="s">
        <v>256</v>
      </c>
      <c r="F93" s="18" t="s">
        <v>260</v>
      </c>
      <c r="G93" s="58" t="s">
        <v>61</v>
      </c>
      <c r="H93" s="16" t="s">
        <v>240</v>
      </c>
      <c r="I93" s="16" t="s">
        <v>152</v>
      </c>
      <c r="J93" s="16" t="s">
        <v>121</v>
      </c>
      <c r="K93" s="58" t="s">
        <v>61</v>
      </c>
      <c r="L93" s="58" t="s">
        <v>61</v>
      </c>
      <c r="M93" s="58" t="s">
        <v>61</v>
      </c>
      <c r="N93" s="16" t="s">
        <v>148</v>
      </c>
      <c r="O93" s="18" t="s">
        <v>61</v>
      </c>
      <c r="P93" s="18" t="s">
        <v>318</v>
      </c>
      <c r="Q93" s="19"/>
      <c r="R93" s="17" t="s">
        <v>98</v>
      </c>
      <c r="S93" s="16" t="s">
        <v>66</v>
      </c>
      <c r="T93" s="16"/>
      <c r="U93" s="16"/>
      <c r="V93" s="16">
        <v>459</v>
      </c>
      <c r="W93" s="16">
        <f>ROUND(IF(D93=Table!$C$3,Y93*Table!$C$4/8,Y93*Table!$D$4/8),3)</f>
        <v>6.75</v>
      </c>
      <c r="X93" s="16">
        <f t="shared" si="12"/>
        <v>6.75</v>
      </c>
      <c r="Y93" s="16">
        <v>0.12</v>
      </c>
      <c r="Z93" s="16">
        <v>0.5</v>
      </c>
      <c r="AA93" s="16" t="s">
        <v>21</v>
      </c>
      <c r="AB93" s="16"/>
      <c r="AC93" s="20">
        <v>43946</v>
      </c>
      <c r="AD93" s="20">
        <v>43958</v>
      </c>
      <c r="AE93" s="20">
        <v>43956</v>
      </c>
      <c r="AF93" s="20">
        <v>43956</v>
      </c>
      <c r="AG93" s="20" t="s">
        <v>336</v>
      </c>
      <c r="AH93" s="101">
        <v>1</v>
      </c>
      <c r="AI93" s="32">
        <v>1</v>
      </c>
      <c r="AJ93" s="32">
        <v>1</v>
      </c>
      <c r="AK93" s="20" t="s">
        <v>165</v>
      </c>
      <c r="AL93" s="16"/>
      <c r="AM93" s="16"/>
      <c r="AN93" s="16"/>
    </row>
    <row r="94" spans="2:40" x14ac:dyDescent="0.25">
      <c r="B94" s="46">
        <f t="shared" si="9"/>
        <v>47</v>
      </c>
      <c r="C94" s="17">
        <v>20200427</v>
      </c>
      <c r="D94" s="16" t="s">
        <v>3</v>
      </c>
      <c r="E94" s="16" t="s">
        <v>256</v>
      </c>
      <c r="F94" s="18" t="s">
        <v>260</v>
      </c>
      <c r="G94" s="58" t="s">
        <v>61</v>
      </c>
      <c r="H94" s="16" t="s">
        <v>241</v>
      </c>
      <c r="I94" s="16" t="s">
        <v>304</v>
      </c>
      <c r="J94" s="16" t="s">
        <v>121</v>
      </c>
      <c r="K94" s="58" t="s">
        <v>61</v>
      </c>
      <c r="L94" s="58" t="s">
        <v>61</v>
      </c>
      <c r="M94" s="58" t="s">
        <v>61</v>
      </c>
      <c r="N94" s="16" t="s">
        <v>148</v>
      </c>
      <c r="O94" s="18" t="s">
        <v>61</v>
      </c>
      <c r="P94" s="18" t="s">
        <v>318</v>
      </c>
      <c r="Q94" s="19"/>
      <c r="R94" s="17" t="s">
        <v>98</v>
      </c>
      <c r="S94" s="16" t="s">
        <v>66</v>
      </c>
      <c r="T94" s="16"/>
      <c r="U94" s="16"/>
      <c r="V94" s="16">
        <v>72</v>
      </c>
      <c r="W94" s="16">
        <f>ROUND(IF(D94=Table!$C$3,Y94*Table!$C$4/8,Y94*Table!$D$4/8),3)</f>
        <v>84.15</v>
      </c>
      <c r="X94" s="16">
        <f t="shared" si="12"/>
        <v>84.15</v>
      </c>
      <c r="Y94" s="16">
        <v>1.496</v>
      </c>
      <c r="Z94" s="16">
        <v>1</v>
      </c>
      <c r="AA94" s="16" t="s">
        <v>21</v>
      </c>
      <c r="AB94" s="16"/>
      <c r="AC94" s="20">
        <v>43946</v>
      </c>
      <c r="AD94" s="20">
        <v>43958</v>
      </c>
      <c r="AE94" s="20">
        <v>43956</v>
      </c>
      <c r="AF94" s="20">
        <v>43956</v>
      </c>
      <c r="AG94" s="20" t="s">
        <v>336</v>
      </c>
      <c r="AH94" s="101">
        <v>1</v>
      </c>
      <c r="AI94" s="32">
        <v>1</v>
      </c>
      <c r="AJ94" s="32">
        <v>1</v>
      </c>
      <c r="AK94" s="20" t="s">
        <v>165</v>
      </c>
      <c r="AL94" s="16"/>
      <c r="AM94" s="16"/>
      <c r="AN94" s="16"/>
    </row>
    <row r="95" spans="2:40" x14ac:dyDescent="0.25">
      <c r="B95" s="46">
        <f t="shared" si="9"/>
        <v>48</v>
      </c>
      <c r="C95" s="17">
        <v>20200427</v>
      </c>
      <c r="D95" s="16" t="s">
        <v>3</v>
      </c>
      <c r="E95" s="16" t="s">
        <v>256</v>
      </c>
      <c r="F95" s="18" t="s">
        <v>260</v>
      </c>
      <c r="G95" s="58" t="s">
        <v>61</v>
      </c>
      <c r="H95" s="16" t="s">
        <v>242</v>
      </c>
      <c r="I95" s="16" t="s">
        <v>153</v>
      </c>
      <c r="J95" s="16" t="s">
        <v>121</v>
      </c>
      <c r="K95" s="58" t="s">
        <v>61</v>
      </c>
      <c r="L95" s="58" t="s">
        <v>61</v>
      </c>
      <c r="M95" s="58" t="s">
        <v>61</v>
      </c>
      <c r="N95" s="16" t="s">
        <v>148</v>
      </c>
      <c r="O95" s="18" t="s">
        <v>61</v>
      </c>
      <c r="P95" s="18" t="s">
        <v>318</v>
      </c>
      <c r="Q95" s="19"/>
      <c r="R95" s="17" t="s">
        <v>98</v>
      </c>
      <c r="S95" s="16" t="s">
        <v>66</v>
      </c>
      <c r="T95" s="16"/>
      <c r="U95" s="16"/>
      <c r="V95" s="16">
        <v>89</v>
      </c>
      <c r="W95" s="16">
        <f>ROUND(IF(D95=Table!$C$3,Y95*Table!$C$4/8,Y95*Table!$D$4/8),3)</f>
        <v>76.5</v>
      </c>
      <c r="X95" s="16">
        <f t="shared" si="12"/>
        <v>76.5</v>
      </c>
      <c r="Y95" s="16">
        <v>1.36</v>
      </c>
      <c r="Z95" s="16">
        <v>1</v>
      </c>
      <c r="AA95" s="16" t="s">
        <v>21</v>
      </c>
      <c r="AB95" s="16"/>
      <c r="AC95" s="20">
        <v>43946</v>
      </c>
      <c r="AD95" s="20">
        <v>43958</v>
      </c>
      <c r="AE95" s="20">
        <v>43956</v>
      </c>
      <c r="AF95" s="20">
        <v>43956</v>
      </c>
      <c r="AG95" s="20" t="s">
        <v>336</v>
      </c>
      <c r="AH95" s="101">
        <v>1</v>
      </c>
      <c r="AI95" s="32">
        <v>0.9</v>
      </c>
      <c r="AJ95" s="32">
        <v>0.5</v>
      </c>
      <c r="AK95" s="20" t="s">
        <v>165</v>
      </c>
      <c r="AL95" s="103" t="s">
        <v>447</v>
      </c>
      <c r="AM95" s="16"/>
      <c r="AN95" s="16"/>
    </row>
    <row r="96" spans="2:40" x14ac:dyDescent="0.25">
      <c r="B96" s="46">
        <f t="shared" si="9"/>
        <v>49</v>
      </c>
      <c r="C96" s="17">
        <v>20200427</v>
      </c>
      <c r="D96" s="16" t="s">
        <v>3</v>
      </c>
      <c r="E96" s="16" t="s">
        <v>256</v>
      </c>
      <c r="F96" s="18" t="s">
        <v>260</v>
      </c>
      <c r="G96" s="58" t="s">
        <v>61</v>
      </c>
      <c r="H96" s="16" t="s">
        <v>243</v>
      </c>
      <c r="I96" s="16" t="s">
        <v>305</v>
      </c>
      <c r="J96" s="16" t="s">
        <v>121</v>
      </c>
      <c r="K96" s="58" t="s">
        <v>61</v>
      </c>
      <c r="L96" s="58" t="s">
        <v>61</v>
      </c>
      <c r="M96" s="58" t="s">
        <v>61</v>
      </c>
      <c r="N96" s="16" t="s">
        <v>148</v>
      </c>
      <c r="O96" s="18" t="s">
        <v>61</v>
      </c>
      <c r="P96" s="18" t="s">
        <v>318</v>
      </c>
      <c r="Q96" s="19"/>
      <c r="R96" s="17" t="s">
        <v>98</v>
      </c>
      <c r="S96" s="16" t="s">
        <v>66</v>
      </c>
      <c r="T96" s="16"/>
      <c r="U96" s="16"/>
      <c r="V96" s="16">
        <v>171</v>
      </c>
      <c r="W96" s="16">
        <f>ROUND(IF(D96=Table!$C$3,Y96*Table!$C$4/8,Y96*Table!$D$4/8),3)</f>
        <v>114.75</v>
      </c>
      <c r="X96" s="16">
        <f t="shared" si="12"/>
        <v>114.75</v>
      </c>
      <c r="Y96" s="16">
        <v>2.04</v>
      </c>
      <c r="Z96" s="16">
        <v>1</v>
      </c>
      <c r="AA96" s="16" t="s">
        <v>21</v>
      </c>
      <c r="AB96" s="16"/>
      <c r="AC96" s="20">
        <v>43946</v>
      </c>
      <c r="AD96" s="20">
        <v>43958</v>
      </c>
      <c r="AE96" s="20">
        <v>43956</v>
      </c>
      <c r="AF96" s="20">
        <v>43956</v>
      </c>
      <c r="AG96" s="20" t="s">
        <v>336</v>
      </c>
      <c r="AH96" s="101">
        <v>1</v>
      </c>
      <c r="AI96" s="32">
        <v>1</v>
      </c>
      <c r="AJ96" s="32">
        <v>0.83</v>
      </c>
      <c r="AK96" s="20" t="s">
        <v>165</v>
      </c>
      <c r="AL96" s="16"/>
      <c r="AM96" s="16"/>
      <c r="AN96" s="16"/>
    </row>
    <row r="97" spans="2:40" x14ac:dyDescent="0.25">
      <c r="B97" s="46">
        <f t="shared" si="9"/>
        <v>50</v>
      </c>
      <c r="C97" s="17">
        <v>20200427</v>
      </c>
      <c r="D97" s="16" t="s">
        <v>3</v>
      </c>
      <c r="E97" s="16" t="s">
        <v>256</v>
      </c>
      <c r="F97" s="18" t="s">
        <v>260</v>
      </c>
      <c r="G97" s="58" t="s">
        <v>61</v>
      </c>
      <c r="H97" s="16" t="s">
        <v>244</v>
      </c>
      <c r="I97" s="16" t="s">
        <v>306</v>
      </c>
      <c r="J97" s="16" t="s">
        <v>121</v>
      </c>
      <c r="K97" s="58" t="s">
        <v>61</v>
      </c>
      <c r="L97" s="58" t="s">
        <v>61</v>
      </c>
      <c r="M97" s="58" t="s">
        <v>61</v>
      </c>
      <c r="N97" s="16" t="s">
        <v>148</v>
      </c>
      <c r="O97" s="18" t="s">
        <v>61</v>
      </c>
      <c r="P97" s="18" t="s">
        <v>318</v>
      </c>
      <c r="Q97" s="19"/>
      <c r="R97" s="17" t="s">
        <v>98</v>
      </c>
      <c r="S97" s="16" t="s">
        <v>66</v>
      </c>
      <c r="T97" s="16"/>
      <c r="U97" s="16"/>
      <c r="V97" s="16">
        <v>97</v>
      </c>
      <c r="W97" s="16">
        <f>ROUND(IF(D97=Table!$C$3,Y97*Table!$C$4/8,Y97*Table!$D$4/8),3)</f>
        <v>95.625</v>
      </c>
      <c r="X97" s="16">
        <f t="shared" si="12"/>
        <v>95.625</v>
      </c>
      <c r="Y97" s="16">
        <v>1.7</v>
      </c>
      <c r="Z97" s="16">
        <v>1</v>
      </c>
      <c r="AA97" s="16" t="s">
        <v>21</v>
      </c>
      <c r="AB97" s="16"/>
      <c r="AC97" s="20">
        <v>43946</v>
      </c>
      <c r="AD97" s="20">
        <v>43958</v>
      </c>
      <c r="AE97" s="20">
        <v>43956</v>
      </c>
      <c r="AF97" s="20">
        <v>43956</v>
      </c>
      <c r="AG97" s="20" t="s">
        <v>336</v>
      </c>
      <c r="AH97" s="101">
        <v>1</v>
      </c>
      <c r="AI97" s="32">
        <v>0.97</v>
      </c>
      <c r="AJ97" s="32">
        <v>1</v>
      </c>
      <c r="AK97" s="20" t="s">
        <v>165</v>
      </c>
      <c r="AL97" s="102" t="s">
        <v>448</v>
      </c>
      <c r="AM97" s="16"/>
      <c r="AN97" s="16"/>
    </row>
    <row r="98" spans="2:40" ht="30" x14ac:dyDescent="0.25">
      <c r="B98" s="46">
        <f t="shared" si="9"/>
        <v>51</v>
      </c>
      <c r="C98" s="17">
        <v>20200427</v>
      </c>
      <c r="D98" s="16" t="s">
        <v>3</v>
      </c>
      <c r="E98" s="16" t="s">
        <v>256</v>
      </c>
      <c r="F98" s="18" t="s">
        <v>260</v>
      </c>
      <c r="G98" s="58" t="s">
        <v>61</v>
      </c>
      <c r="H98" s="16" t="s">
        <v>245</v>
      </c>
      <c r="I98" s="16" t="s">
        <v>307</v>
      </c>
      <c r="J98" s="16" t="s">
        <v>121</v>
      </c>
      <c r="K98" s="58" t="s">
        <v>61</v>
      </c>
      <c r="L98" s="58" t="s">
        <v>61</v>
      </c>
      <c r="M98" s="58" t="s">
        <v>61</v>
      </c>
      <c r="N98" s="16" t="s">
        <v>148</v>
      </c>
      <c r="O98" s="18" t="s">
        <v>61</v>
      </c>
      <c r="P98" s="18" t="s">
        <v>318</v>
      </c>
      <c r="Q98" s="19"/>
      <c r="R98" s="17" t="s">
        <v>97</v>
      </c>
      <c r="S98" s="16" t="s">
        <v>156</v>
      </c>
      <c r="T98" s="16"/>
      <c r="U98" s="16"/>
      <c r="V98" s="16">
        <v>91</v>
      </c>
      <c r="W98" s="16">
        <f>ROUND(IF(D98=Table!$C$3,Y98*Table!$C$4/8,Y98*Table!$D$4/8),3)</f>
        <v>107.1</v>
      </c>
      <c r="X98" s="16">
        <f t="shared" si="12"/>
        <v>107.1</v>
      </c>
      <c r="Y98" s="16">
        <v>1.9040000000000001</v>
      </c>
      <c r="Z98" s="16">
        <v>2</v>
      </c>
      <c r="AA98" s="16" t="s">
        <v>21</v>
      </c>
      <c r="AB98" s="16"/>
      <c r="AC98" s="20">
        <v>43946</v>
      </c>
      <c r="AD98" s="20">
        <v>43958</v>
      </c>
      <c r="AE98" s="20">
        <v>43955</v>
      </c>
      <c r="AF98" s="20">
        <v>43955</v>
      </c>
      <c r="AG98" s="20" t="s">
        <v>336</v>
      </c>
      <c r="AH98" s="101">
        <v>1</v>
      </c>
      <c r="AI98" s="32">
        <v>1</v>
      </c>
      <c r="AJ98" s="32">
        <v>1</v>
      </c>
      <c r="AK98" s="20" t="s">
        <v>165</v>
      </c>
      <c r="AL98" s="117" t="s">
        <v>637</v>
      </c>
      <c r="AM98" s="16"/>
      <c r="AN98" s="16"/>
    </row>
    <row r="99" spans="2:40" x14ac:dyDescent="0.25">
      <c r="B99" s="46">
        <f t="shared" si="9"/>
        <v>52</v>
      </c>
      <c r="C99" s="17">
        <v>20200427</v>
      </c>
      <c r="D99" s="16" t="s">
        <v>3</v>
      </c>
      <c r="E99" s="16" t="s">
        <v>256</v>
      </c>
      <c r="F99" s="18" t="s">
        <v>260</v>
      </c>
      <c r="G99" s="58" t="s">
        <v>61</v>
      </c>
      <c r="H99" s="16" t="s">
        <v>246</v>
      </c>
      <c r="I99" s="16" t="s">
        <v>308</v>
      </c>
      <c r="J99" s="16" t="s">
        <v>121</v>
      </c>
      <c r="K99" s="58" t="s">
        <v>61</v>
      </c>
      <c r="L99" s="58" t="s">
        <v>61</v>
      </c>
      <c r="M99" s="58" t="s">
        <v>61</v>
      </c>
      <c r="N99" s="16" t="s">
        <v>148</v>
      </c>
      <c r="O99" s="18" t="s">
        <v>61</v>
      </c>
      <c r="P99" s="18" t="s">
        <v>318</v>
      </c>
      <c r="Q99" s="19"/>
      <c r="R99" s="17" t="s">
        <v>98</v>
      </c>
      <c r="S99" s="16" t="s">
        <v>66</v>
      </c>
      <c r="T99" s="16"/>
      <c r="U99" s="16"/>
      <c r="V99" s="16">
        <v>66</v>
      </c>
      <c r="W99" s="16">
        <f>ROUND(IF(D99=Table!$C$3,Y99*Table!$C$4/8,Y99*Table!$D$4/8),3)</f>
        <v>67.5</v>
      </c>
      <c r="X99" s="16">
        <f t="shared" si="12"/>
        <v>67.5</v>
      </c>
      <c r="Y99" s="16">
        <v>1.2</v>
      </c>
      <c r="Z99" s="16">
        <v>1</v>
      </c>
      <c r="AA99" s="16" t="s">
        <v>21</v>
      </c>
      <c r="AB99" s="16"/>
      <c r="AC99" s="20">
        <v>43946</v>
      </c>
      <c r="AD99" s="20">
        <v>43958</v>
      </c>
      <c r="AE99" s="20">
        <v>43950</v>
      </c>
      <c r="AF99" s="20">
        <v>43950</v>
      </c>
      <c r="AG99" s="20" t="s">
        <v>336</v>
      </c>
      <c r="AH99" s="101">
        <v>1</v>
      </c>
      <c r="AI99" s="32">
        <v>1</v>
      </c>
      <c r="AJ99" s="32">
        <v>1</v>
      </c>
      <c r="AK99" s="20" t="s">
        <v>165</v>
      </c>
      <c r="AL99" s="16"/>
      <c r="AM99" s="16"/>
      <c r="AN99" s="16"/>
    </row>
    <row r="100" spans="2:40" x14ac:dyDescent="0.25">
      <c r="B100" s="46">
        <f t="shared" si="9"/>
        <v>53</v>
      </c>
      <c r="C100" s="17">
        <v>20200427</v>
      </c>
      <c r="D100" s="16" t="s">
        <v>3</v>
      </c>
      <c r="E100" s="16" t="s">
        <v>256</v>
      </c>
      <c r="F100" s="18" t="s">
        <v>260</v>
      </c>
      <c r="G100" s="58" t="s">
        <v>61</v>
      </c>
      <c r="H100" s="16" t="s">
        <v>247</v>
      </c>
      <c r="I100" s="16" t="s">
        <v>309</v>
      </c>
      <c r="J100" s="16" t="s">
        <v>121</v>
      </c>
      <c r="K100" s="58" t="s">
        <v>61</v>
      </c>
      <c r="L100" s="58" t="s">
        <v>61</v>
      </c>
      <c r="M100" s="58" t="s">
        <v>61</v>
      </c>
      <c r="N100" s="16" t="s">
        <v>148</v>
      </c>
      <c r="O100" s="18" t="s">
        <v>61</v>
      </c>
      <c r="P100" s="18" t="s">
        <v>318</v>
      </c>
      <c r="Q100" s="19"/>
      <c r="R100" s="17" t="s">
        <v>97</v>
      </c>
      <c r="S100" s="16" t="s">
        <v>156</v>
      </c>
      <c r="T100" s="16"/>
      <c r="U100" s="16"/>
      <c r="V100" s="16">
        <v>118</v>
      </c>
      <c r="W100" s="16">
        <f>ROUND(IF(D100=Table!$C$3,Y100*Table!$C$4/8,Y100*Table!$D$4/8),3)</f>
        <v>114.75</v>
      </c>
      <c r="X100" s="16">
        <f t="shared" si="12"/>
        <v>114.75</v>
      </c>
      <c r="Y100" s="16">
        <v>2.04</v>
      </c>
      <c r="Z100" s="16">
        <v>5</v>
      </c>
      <c r="AA100" s="16" t="s">
        <v>21</v>
      </c>
      <c r="AB100" s="16"/>
      <c r="AC100" s="20">
        <v>43946</v>
      </c>
      <c r="AD100" s="20">
        <v>43958</v>
      </c>
      <c r="AE100" s="20">
        <v>43957</v>
      </c>
      <c r="AF100" s="20">
        <v>43957</v>
      </c>
      <c r="AG100" s="20" t="s">
        <v>336</v>
      </c>
      <c r="AH100" s="101">
        <v>1</v>
      </c>
      <c r="AI100" s="32">
        <v>1</v>
      </c>
      <c r="AJ100" s="32">
        <v>1</v>
      </c>
      <c r="AK100" s="20" t="s">
        <v>165</v>
      </c>
      <c r="AL100" s="16"/>
      <c r="AM100" s="16"/>
      <c r="AN100" s="16"/>
    </row>
    <row r="101" spans="2:40" x14ac:dyDescent="0.25">
      <c r="B101" s="46">
        <f t="shared" si="9"/>
        <v>54</v>
      </c>
      <c r="C101" s="17">
        <v>20200427</v>
      </c>
      <c r="D101" s="16" t="s">
        <v>3</v>
      </c>
      <c r="E101" s="16" t="s">
        <v>256</v>
      </c>
      <c r="F101" s="18" t="s">
        <v>260</v>
      </c>
      <c r="G101" s="58" t="s">
        <v>61</v>
      </c>
      <c r="H101" s="16" t="s">
        <v>248</v>
      </c>
      <c r="I101" s="16" t="s">
        <v>310</v>
      </c>
      <c r="J101" s="16" t="s">
        <v>121</v>
      </c>
      <c r="K101" s="58" t="s">
        <v>61</v>
      </c>
      <c r="L101" s="58" t="s">
        <v>61</v>
      </c>
      <c r="M101" s="58" t="s">
        <v>61</v>
      </c>
      <c r="N101" s="16" t="s">
        <v>148</v>
      </c>
      <c r="O101" s="18" t="s">
        <v>61</v>
      </c>
      <c r="P101" s="18" t="s">
        <v>318</v>
      </c>
      <c r="Q101" s="19"/>
      <c r="R101" s="17" t="s">
        <v>97</v>
      </c>
      <c r="S101" s="16" t="s">
        <v>156</v>
      </c>
      <c r="T101" s="16"/>
      <c r="U101" s="16"/>
      <c r="V101" s="16">
        <v>145</v>
      </c>
      <c r="W101" s="16">
        <f>ROUND(IF(D101=Table!$C$3,Y101*Table!$C$4/8,Y101*Table!$D$4/8),3)</f>
        <v>67.5</v>
      </c>
      <c r="X101" s="16">
        <f t="shared" si="12"/>
        <v>67.5</v>
      </c>
      <c r="Y101" s="16">
        <v>1.2</v>
      </c>
      <c r="Z101" s="16">
        <v>0.25</v>
      </c>
      <c r="AA101" s="16" t="s">
        <v>21</v>
      </c>
      <c r="AB101" s="16"/>
      <c r="AC101" s="20">
        <v>43946</v>
      </c>
      <c r="AD101" s="20">
        <v>43958</v>
      </c>
      <c r="AE101" s="20">
        <v>43955</v>
      </c>
      <c r="AF101" s="20">
        <v>43955</v>
      </c>
      <c r="AG101" s="20" t="s">
        <v>336</v>
      </c>
      <c r="AH101" s="101">
        <v>1</v>
      </c>
      <c r="AI101" s="32">
        <v>0.94</v>
      </c>
      <c r="AJ101" s="32">
        <v>1</v>
      </c>
      <c r="AK101" s="20" t="s">
        <v>165</v>
      </c>
      <c r="AL101" s="16" t="s">
        <v>436</v>
      </c>
      <c r="AM101" s="16"/>
      <c r="AN101" s="16"/>
    </row>
    <row r="102" spans="2:40" x14ac:dyDescent="0.25">
      <c r="B102" s="46">
        <f t="shared" si="9"/>
        <v>55</v>
      </c>
      <c r="C102" s="17">
        <v>20200427</v>
      </c>
      <c r="D102" s="16" t="s">
        <v>3</v>
      </c>
      <c r="E102" s="16" t="s">
        <v>256</v>
      </c>
      <c r="F102" s="18" t="s">
        <v>260</v>
      </c>
      <c r="G102" s="58" t="s">
        <v>61</v>
      </c>
      <c r="H102" s="16" t="s">
        <v>249</v>
      </c>
      <c r="I102" s="16" t="s">
        <v>311</v>
      </c>
      <c r="J102" s="16" t="s">
        <v>121</v>
      </c>
      <c r="K102" s="58" t="s">
        <v>61</v>
      </c>
      <c r="L102" s="58" t="s">
        <v>61</v>
      </c>
      <c r="M102" s="58" t="s">
        <v>61</v>
      </c>
      <c r="N102" s="16" t="s">
        <v>148</v>
      </c>
      <c r="O102" s="18" t="s">
        <v>61</v>
      </c>
      <c r="P102" s="18" t="s">
        <v>318</v>
      </c>
      <c r="Q102" s="19"/>
      <c r="R102" s="17" t="s">
        <v>98</v>
      </c>
      <c r="S102" s="16" t="s">
        <v>66</v>
      </c>
      <c r="T102" s="16"/>
      <c r="U102" s="16"/>
      <c r="V102" s="16">
        <v>26</v>
      </c>
      <c r="W102" s="16">
        <f>ROUND(IF(D102=Table!$C$3,Y102*Table!$C$4/8,Y102*Table!$D$4/8),3)</f>
        <v>67.5</v>
      </c>
      <c r="X102" s="16">
        <f t="shared" si="12"/>
        <v>67.5</v>
      </c>
      <c r="Y102" s="16">
        <v>1.2</v>
      </c>
      <c r="Z102" s="16">
        <v>1</v>
      </c>
      <c r="AA102" s="16" t="s">
        <v>21</v>
      </c>
      <c r="AB102" s="16"/>
      <c r="AC102" s="20">
        <v>43946</v>
      </c>
      <c r="AD102" s="20">
        <v>43958</v>
      </c>
      <c r="AE102" s="20">
        <v>43950</v>
      </c>
      <c r="AF102" s="20">
        <v>43950</v>
      </c>
      <c r="AG102" s="20" t="s">
        <v>336</v>
      </c>
      <c r="AH102" s="32">
        <v>1</v>
      </c>
      <c r="AI102" s="32">
        <v>1</v>
      </c>
      <c r="AJ102" s="32">
        <v>1</v>
      </c>
      <c r="AK102" s="20" t="s">
        <v>165</v>
      </c>
      <c r="AL102" s="16"/>
      <c r="AM102" s="16"/>
      <c r="AN102" s="16"/>
    </row>
    <row r="103" spans="2:40" x14ac:dyDescent="0.25">
      <c r="B103" s="46">
        <f t="shared" si="9"/>
        <v>56</v>
      </c>
      <c r="C103" s="17">
        <v>20200427</v>
      </c>
      <c r="D103" s="16" t="s">
        <v>3</v>
      </c>
      <c r="E103" s="16" t="s">
        <v>256</v>
      </c>
      <c r="F103" s="18" t="s">
        <v>260</v>
      </c>
      <c r="G103" s="58" t="s">
        <v>61</v>
      </c>
      <c r="H103" s="16" t="s">
        <v>250</v>
      </c>
      <c r="I103" s="16" t="s">
        <v>154</v>
      </c>
      <c r="J103" s="16" t="s">
        <v>121</v>
      </c>
      <c r="K103" s="58" t="s">
        <v>61</v>
      </c>
      <c r="L103" s="58" t="s">
        <v>61</v>
      </c>
      <c r="M103" s="58" t="s">
        <v>61</v>
      </c>
      <c r="N103" s="16" t="s">
        <v>148</v>
      </c>
      <c r="O103" s="18" t="s">
        <v>61</v>
      </c>
      <c r="P103" s="18" t="s">
        <v>318</v>
      </c>
      <c r="Q103" s="19"/>
      <c r="R103" s="17" t="s">
        <v>98</v>
      </c>
      <c r="S103" s="16" t="s">
        <v>66</v>
      </c>
      <c r="T103" s="16"/>
      <c r="U103" s="16"/>
      <c r="V103" s="16">
        <v>45</v>
      </c>
      <c r="W103" s="16">
        <f>ROUND(IF(D103=Table!$C$3,Y103*Table!$C$4/8,Y103*Table!$D$4/8),3)</f>
        <v>67.5</v>
      </c>
      <c r="X103" s="16">
        <f t="shared" si="12"/>
        <v>67.5</v>
      </c>
      <c r="Y103" s="16">
        <v>1.2</v>
      </c>
      <c r="Z103" s="16">
        <f t="shared" ref="Z103:Z104" si="13">Y103</f>
        <v>1.2</v>
      </c>
      <c r="AA103" s="16" t="s">
        <v>21</v>
      </c>
      <c r="AB103" s="16"/>
      <c r="AC103" s="20">
        <v>43946</v>
      </c>
      <c r="AD103" s="20">
        <v>43958</v>
      </c>
      <c r="AE103" s="20">
        <v>43950</v>
      </c>
      <c r="AF103" s="20">
        <v>43950</v>
      </c>
      <c r="AG103" s="20" t="s">
        <v>336</v>
      </c>
      <c r="AH103" s="32">
        <v>1</v>
      </c>
      <c r="AI103" s="32">
        <v>1</v>
      </c>
      <c r="AJ103" s="32">
        <v>1</v>
      </c>
      <c r="AK103" s="20" t="s">
        <v>165</v>
      </c>
      <c r="AL103" s="16"/>
      <c r="AM103" s="16"/>
      <c r="AN103" s="16"/>
    </row>
    <row r="104" spans="2:40" x14ac:dyDescent="0.25">
      <c r="B104" s="46">
        <f t="shared" si="9"/>
        <v>57</v>
      </c>
      <c r="C104" s="17">
        <v>20200427</v>
      </c>
      <c r="D104" s="16" t="s">
        <v>3</v>
      </c>
      <c r="E104" s="16" t="s">
        <v>256</v>
      </c>
      <c r="F104" s="18" t="s">
        <v>260</v>
      </c>
      <c r="G104" s="58" t="s">
        <v>61</v>
      </c>
      <c r="H104" s="16" t="s">
        <v>251</v>
      </c>
      <c r="I104" s="16" t="s">
        <v>312</v>
      </c>
      <c r="J104" s="16" t="s">
        <v>121</v>
      </c>
      <c r="K104" s="58" t="s">
        <v>61</v>
      </c>
      <c r="L104" s="58" t="s">
        <v>61</v>
      </c>
      <c r="M104" s="58" t="s">
        <v>61</v>
      </c>
      <c r="N104" s="16" t="s">
        <v>148</v>
      </c>
      <c r="O104" s="18" t="s">
        <v>61</v>
      </c>
      <c r="P104" s="18" t="s">
        <v>318</v>
      </c>
      <c r="Q104" s="19"/>
      <c r="R104" s="17" t="s">
        <v>98</v>
      </c>
      <c r="S104" s="16" t="s">
        <v>66</v>
      </c>
      <c r="T104" s="16"/>
      <c r="U104" s="16"/>
      <c r="V104" s="16">
        <v>8</v>
      </c>
      <c r="W104" s="16">
        <f>ROUND(IF(D104=Table!$C$3,Y104*Table!$C$4/8,Y104*Table!$D$4/8),3)</f>
        <v>6.75</v>
      </c>
      <c r="X104" s="16">
        <f t="shared" si="12"/>
        <v>6.75</v>
      </c>
      <c r="Y104" s="16">
        <v>0.12</v>
      </c>
      <c r="Z104" s="16">
        <f t="shared" si="13"/>
        <v>0.12</v>
      </c>
      <c r="AA104" s="16" t="s">
        <v>21</v>
      </c>
      <c r="AB104" s="16"/>
      <c r="AC104" s="20">
        <v>43946</v>
      </c>
      <c r="AD104" s="20">
        <v>43958</v>
      </c>
      <c r="AE104" s="20">
        <v>43950</v>
      </c>
      <c r="AF104" s="20">
        <v>43950</v>
      </c>
      <c r="AG104" s="20" t="s">
        <v>336</v>
      </c>
      <c r="AH104" s="32">
        <v>1</v>
      </c>
      <c r="AI104" s="32">
        <v>1</v>
      </c>
      <c r="AJ104" s="32">
        <v>1</v>
      </c>
      <c r="AK104" s="20" t="s">
        <v>165</v>
      </c>
      <c r="AL104" s="16"/>
      <c r="AM104" s="16"/>
      <c r="AN104" s="16"/>
    </row>
    <row r="105" spans="2:40" x14ac:dyDescent="0.25">
      <c r="B105" s="46">
        <f t="shared" si="9"/>
        <v>58</v>
      </c>
      <c r="C105" s="17">
        <v>20200427</v>
      </c>
      <c r="D105" s="16" t="s">
        <v>3</v>
      </c>
      <c r="E105" s="16" t="s">
        <v>256</v>
      </c>
      <c r="F105" s="18" t="s">
        <v>260</v>
      </c>
      <c r="G105" s="58" t="s">
        <v>61</v>
      </c>
      <c r="H105" s="16" t="s">
        <v>252</v>
      </c>
      <c r="I105" s="16" t="s">
        <v>313</v>
      </c>
      <c r="J105" s="16" t="s">
        <v>121</v>
      </c>
      <c r="K105" s="58" t="s">
        <v>61</v>
      </c>
      <c r="L105" s="58" t="s">
        <v>61</v>
      </c>
      <c r="M105" s="58" t="s">
        <v>61</v>
      </c>
      <c r="N105" s="16" t="s">
        <v>148</v>
      </c>
      <c r="O105" s="18" t="s">
        <v>61</v>
      </c>
      <c r="P105" s="18" t="s">
        <v>318</v>
      </c>
      <c r="Q105" s="19"/>
      <c r="R105" s="17" t="s">
        <v>97</v>
      </c>
      <c r="S105" s="16" t="s">
        <v>156</v>
      </c>
      <c r="T105" s="16"/>
      <c r="U105" s="16"/>
      <c r="V105" s="16">
        <v>113</v>
      </c>
      <c r="W105" s="16">
        <f>ROUND(IF(D105=Table!$C$3,Y105*Table!$C$4/8,Y105*Table!$D$4/8),3)</f>
        <v>114.75</v>
      </c>
      <c r="X105" s="16">
        <f t="shared" si="12"/>
        <v>114.75</v>
      </c>
      <c r="Y105" s="16">
        <v>2.04</v>
      </c>
      <c r="Z105" s="16">
        <v>5</v>
      </c>
      <c r="AA105" s="16" t="s">
        <v>21</v>
      </c>
      <c r="AB105" s="16"/>
      <c r="AC105" s="20">
        <v>43946</v>
      </c>
      <c r="AD105" s="20">
        <v>43958</v>
      </c>
      <c r="AE105" s="20">
        <v>43957</v>
      </c>
      <c r="AF105" s="20">
        <v>43957</v>
      </c>
      <c r="AG105" s="20" t="s">
        <v>336</v>
      </c>
      <c r="AH105" s="32">
        <v>0.57999999999999996</v>
      </c>
      <c r="AI105" s="32">
        <v>0.44</v>
      </c>
      <c r="AJ105" s="32">
        <v>0.75</v>
      </c>
      <c r="AK105" s="20" t="s">
        <v>165</v>
      </c>
      <c r="AL105" s="16" t="s">
        <v>489</v>
      </c>
      <c r="AM105" s="16"/>
      <c r="AN105" s="16"/>
    </row>
    <row r="106" spans="2:40" x14ac:dyDescent="0.25">
      <c r="B106" s="46">
        <f t="shared" si="9"/>
        <v>59</v>
      </c>
      <c r="C106" s="17">
        <v>20200427</v>
      </c>
      <c r="D106" s="16" t="s">
        <v>3</v>
      </c>
      <c r="E106" s="16" t="s">
        <v>256</v>
      </c>
      <c r="F106" s="18" t="s">
        <v>260</v>
      </c>
      <c r="G106" s="58" t="s">
        <v>61</v>
      </c>
      <c r="H106" s="16" t="s">
        <v>253</v>
      </c>
      <c r="I106" s="16" t="s">
        <v>314</v>
      </c>
      <c r="J106" s="16" t="s">
        <v>121</v>
      </c>
      <c r="K106" s="58" t="s">
        <v>61</v>
      </c>
      <c r="L106" s="58" t="s">
        <v>61</v>
      </c>
      <c r="M106" s="58" t="s">
        <v>61</v>
      </c>
      <c r="N106" s="16" t="s">
        <v>148</v>
      </c>
      <c r="O106" s="18" t="s">
        <v>61</v>
      </c>
      <c r="P106" s="18" t="s">
        <v>318</v>
      </c>
      <c r="Q106" s="19"/>
      <c r="R106" s="17" t="s">
        <v>98</v>
      </c>
      <c r="S106" s="16" t="s">
        <v>66</v>
      </c>
      <c r="T106" s="16"/>
      <c r="U106" s="16"/>
      <c r="V106" s="16">
        <v>19</v>
      </c>
      <c r="W106" s="16">
        <f>ROUND(IF(D106=Table!$C$3,Y106*Table!$C$4/8,Y106*Table!$D$4/8),3)</f>
        <v>6.75</v>
      </c>
      <c r="X106" s="16">
        <f t="shared" si="12"/>
        <v>6.75</v>
      </c>
      <c r="Y106" s="16">
        <v>0.12</v>
      </c>
      <c r="Z106" s="16">
        <f t="shared" ref="Z106:Z107" si="14">Y106</f>
        <v>0.12</v>
      </c>
      <c r="AA106" s="16" t="s">
        <v>21</v>
      </c>
      <c r="AB106" s="16"/>
      <c r="AC106" s="20">
        <v>43946</v>
      </c>
      <c r="AD106" s="20">
        <v>43958</v>
      </c>
      <c r="AE106" s="20">
        <v>43950</v>
      </c>
      <c r="AF106" s="20">
        <v>43950</v>
      </c>
      <c r="AG106" s="20" t="s">
        <v>336</v>
      </c>
      <c r="AH106" s="32">
        <v>1</v>
      </c>
      <c r="AI106" s="32">
        <v>1</v>
      </c>
      <c r="AJ106" s="32">
        <v>1</v>
      </c>
      <c r="AK106" s="20" t="s">
        <v>165</v>
      </c>
      <c r="AL106" s="16"/>
      <c r="AM106" s="16"/>
      <c r="AN106" s="16"/>
    </row>
    <row r="107" spans="2:40" x14ac:dyDescent="0.25">
      <c r="B107" s="46">
        <f t="shared" si="9"/>
        <v>60</v>
      </c>
      <c r="C107" s="17">
        <v>20200427</v>
      </c>
      <c r="D107" s="16" t="s">
        <v>3</v>
      </c>
      <c r="E107" s="16" t="s">
        <v>256</v>
      </c>
      <c r="F107" s="18" t="s">
        <v>260</v>
      </c>
      <c r="G107" s="58" t="s">
        <v>61</v>
      </c>
      <c r="H107" s="16" t="s">
        <v>254</v>
      </c>
      <c r="I107" s="16" t="s">
        <v>315</v>
      </c>
      <c r="J107" s="16" t="s">
        <v>121</v>
      </c>
      <c r="K107" s="58" t="s">
        <v>61</v>
      </c>
      <c r="L107" s="58" t="s">
        <v>61</v>
      </c>
      <c r="M107" s="58" t="s">
        <v>61</v>
      </c>
      <c r="N107" s="16" t="s">
        <v>148</v>
      </c>
      <c r="O107" s="18" t="s">
        <v>61</v>
      </c>
      <c r="P107" s="18" t="s">
        <v>318</v>
      </c>
      <c r="Q107" s="19"/>
      <c r="R107" s="17" t="s">
        <v>98</v>
      </c>
      <c r="S107" s="16" t="s">
        <v>66</v>
      </c>
      <c r="T107" s="16"/>
      <c r="U107" s="16"/>
      <c r="V107" s="16">
        <v>53</v>
      </c>
      <c r="W107" s="16">
        <f>ROUND(IF(D107=Table!$C$3,Y107*Table!$C$4/8,Y107*Table!$D$4/8),3)</f>
        <v>67.5</v>
      </c>
      <c r="X107" s="16">
        <f t="shared" si="12"/>
        <v>67.5</v>
      </c>
      <c r="Y107" s="16">
        <v>1.2</v>
      </c>
      <c r="Z107" s="16">
        <f t="shared" si="14"/>
        <v>1.2</v>
      </c>
      <c r="AA107" s="16" t="s">
        <v>21</v>
      </c>
      <c r="AB107" s="16"/>
      <c r="AC107" s="20">
        <v>43946</v>
      </c>
      <c r="AD107" s="20">
        <v>43958</v>
      </c>
      <c r="AE107" s="20">
        <v>43950</v>
      </c>
      <c r="AF107" s="20">
        <v>43950</v>
      </c>
      <c r="AG107" s="20" t="s">
        <v>336</v>
      </c>
      <c r="AH107" s="32">
        <v>1</v>
      </c>
      <c r="AI107" s="32">
        <v>1</v>
      </c>
      <c r="AJ107" s="32">
        <v>1</v>
      </c>
      <c r="AK107" s="20" t="s">
        <v>165</v>
      </c>
      <c r="AL107" s="16"/>
      <c r="AM107" s="16"/>
      <c r="AN107" s="16"/>
    </row>
    <row r="108" spans="2:40" x14ac:dyDescent="0.25">
      <c r="B108" s="46">
        <f t="shared" si="9"/>
        <v>61</v>
      </c>
      <c r="C108" s="17">
        <v>20200427</v>
      </c>
      <c r="D108" s="16" t="s">
        <v>3</v>
      </c>
      <c r="E108" s="16" t="s">
        <v>256</v>
      </c>
      <c r="F108" s="18" t="s">
        <v>260</v>
      </c>
      <c r="G108" s="58" t="s">
        <v>61</v>
      </c>
      <c r="H108" s="16" t="s">
        <v>255</v>
      </c>
      <c r="I108" s="16" t="s">
        <v>316</v>
      </c>
      <c r="J108" s="16" t="s">
        <v>121</v>
      </c>
      <c r="K108" s="58" t="s">
        <v>61</v>
      </c>
      <c r="L108" s="58" t="s">
        <v>61</v>
      </c>
      <c r="M108" s="58" t="s">
        <v>61</v>
      </c>
      <c r="N108" s="16" t="s">
        <v>148</v>
      </c>
      <c r="O108" s="18" t="s">
        <v>61</v>
      </c>
      <c r="P108" s="18" t="s">
        <v>318</v>
      </c>
      <c r="Q108" s="19"/>
      <c r="R108" s="17" t="s">
        <v>97</v>
      </c>
      <c r="S108" s="16" t="s">
        <v>156</v>
      </c>
      <c r="T108" s="16"/>
      <c r="U108" s="16"/>
      <c r="V108" s="16">
        <v>54</v>
      </c>
      <c r="W108" s="16">
        <f>ROUND(IF(D108=Table!$C$3,Y108*Table!$C$4/8,Y108*Table!$D$4/8),3)</f>
        <v>72</v>
      </c>
      <c r="X108" s="16">
        <f t="shared" si="12"/>
        <v>72</v>
      </c>
      <c r="Y108" s="16">
        <v>1.28</v>
      </c>
      <c r="Z108" s="16">
        <v>0.5</v>
      </c>
      <c r="AA108" s="16" t="s">
        <v>21</v>
      </c>
      <c r="AB108" s="16"/>
      <c r="AC108" s="20">
        <v>43946</v>
      </c>
      <c r="AD108" s="20">
        <v>43958</v>
      </c>
      <c r="AE108" s="20">
        <v>43955</v>
      </c>
      <c r="AF108" s="20">
        <v>43955</v>
      </c>
      <c r="AG108" s="20" t="s">
        <v>336</v>
      </c>
      <c r="AH108" s="92">
        <v>0.68</v>
      </c>
      <c r="AI108" s="92">
        <v>0.6</v>
      </c>
      <c r="AJ108" s="92">
        <v>1</v>
      </c>
      <c r="AK108" s="20" t="s">
        <v>165</v>
      </c>
      <c r="AL108" s="16" t="s">
        <v>617</v>
      </c>
      <c r="AM108" s="16"/>
      <c r="AN108" s="16"/>
    </row>
    <row r="109" spans="2:40" x14ac:dyDescent="0.25">
      <c r="B109" s="112">
        <f t="shared" ref="B109:B145" si="15">B108+1</f>
        <v>62</v>
      </c>
      <c r="C109" s="17">
        <v>20200506</v>
      </c>
      <c r="D109" s="16" t="s">
        <v>3</v>
      </c>
      <c r="E109" s="16" t="s">
        <v>529</v>
      </c>
      <c r="F109" s="18" t="s">
        <v>530</v>
      </c>
      <c r="G109" s="58" t="s">
        <v>61</v>
      </c>
      <c r="H109" s="16" t="s">
        <v>534</v>
      </c>
      <c r="I109" s="16" t="s">
        <v>521</v>
      </c>
      <c r="J109" s="16" t="s">
        <v>121</v>
      </c>
      <c r="K109" s="58" t="s">
        <v>61</v>
      </c>
      <c r="L109" s="58" t="s">
        <v>61</v>
      </c>
      <c r="M109" s="58" t="s">
        <v>61</v>
      </c>
      <c r="N109" s="16" t="s">
        <v>540</v>
      </c>
      <c r="O109" s="18" t="s">
        <v>61</v>
      </c>
      <c r="P109" s="18" t="s">
        <v>542</v>
      </c>
      <c r="Q109" s="19"/>
      <c r="R109" s="17" t="s">
        <v>595</v>
      </c>
      <c r="S109" s="16" t="s">
        <v>156</v>
      </c>
      <c r="T109" s="16"/>
      <c r="U109" s="16"/>
      <c r="V109" s="16">
        <v>403</v>
      </c>
      <c r="W109" s="16">
        <f>ROUND(IF(D109=Table!$C$3,Y109*Table!$C$4/8,Y109*Table!$D$4/8),3)</f>
        <v>765</v>
      </c>
      <c r="X109" s="16">
        <f t="shared" si="12"/>
        <v>765</v>
      </c>
      <c r="Y109" s="16">
        <v>13.6</v>
      </c>
      <c r="Z109" s="16">
        <v>5</v>
      </c>
      <c r="AA109" s="16" t="s">
        <v>18</v>
      </c>
      <c r="AB109" s="16"/>
      <c r="AC109" s="20">
        <v>43957</v>
      </c>
      <c r="AD109" s="20">
        <v>43959</v>
      </c>
      <c r="AE109" s="20">
        <v>43958</v>
      </c>
      <c r="AF109" s="20">
        <v>43958</v>
      </c>
      <c r="AG109" s="20" t="s">
        <v>336</v>
      </c>
      <c r="AH109" s="32">
        <v>0.99</v>
      </c>
      <c r="AI109" s="32">
        <v>0.98</v>
      </c>
      <c r="AJ109" s="32">
        <v>0.86</v>
      </c>
      <c r="AK109" s="20" t="s">
        <v>165</v>
      </c>
      <c r="AL109" s="16" t="s">
        <v>638</v>
      </c>
      <c r="AM109" s="16"/>
      <c r="AN109" s="16"/>
    </row>
    <row r="110" spans="2:40" x14ac:dyDescent="0.25">
      <c r="B110" s="112">
        <f t="shared" si="15"/>
        <v>63</v>
      </c>
      <c r="C110" s="17">
        <v>20200506</v>
      </c>
      <c r="D110" s="16" t="s">
        <v>3</v>
      </c>
      <c r="E110" s="16" t="s">
        <v>529</v>
      </c>
      <c r="F110" s="18" t="s">
        <v>531</v>
      </c>
      <c r="G110" s="58" t="s">
        <v>61</v>
      </c>
      <c r="H110" s="16" t="s">
        <v>535</v>
      </c>
      <c r="I110" s="16" t="s">
        <v>522</v>
      </c>
      <c r="J110" s="16" t="s">
        <v>121</v>
      </c>
      <c r="K110" s="58" t="s">
        <v>61</v>
      </c>
      <c r="L110" s="58" t="s">
        <v>61</v>
      </c>
      <c r="M110" s="58" t="s">
        <v>61</v>
      </c>
      <c r="N110" s="16" t="s">
        <v>540</v>
      </c>
      <c r="O110" s="18" t="s">
        <v>61</v>
      </c>
      <c r="P110" s="18" t="s">
        <v>542</v>
      </c>
      <c r="Q110" s="19"/>
      <c r="R110" s="17" t="s">
        <v>595</v>
      </c>
      <c r="S110" s="16" t="s">
        <v>156</v>
      </c>
      <c r="T110" s="16"/>
      <c r="U110" s="16"/>
      <c r="V110" s="16">
        <v>159</v>
      </c>
      <c r="W110" s="16">
        <f>ROUND(IF(D110=Table!$C$3,Y110*Table!$C$4/8,Y110*Table!$D$4/8),3)</f>
        <v>315</v>
      </c>
      <c r="X110" s="16">
        <f t="shared" si="12"/>
        <v>315</v>
      </c>
      <c r="Y110" s="16">
        <v>5.6</v>
      </c>
      <c r="Z110" s="16">
        <v>3</v>
      </c>
      <c r="AA110" s="16" t="s">
        <v>18</v>
      </c>
      <c r="AB110" s="16"/>
      <c r="AC110" s="20">
        <v>43957</v>
      </c>
      <c r="AD110" s="20">
        <v>43959</v>
      </c>
      <c r="AE110" s="20">
        <v>43958</v>
      </c>
      <c r="AF110" s="20">
        <v>43958</v>
      </c>
      <c r="AG110" s="20" t="s">
        <v>336</v>
      </c>
      <c r="AH110" s="32">
        <v>1</v>
      </c>
      <c r="AI110" s="32">
        <v>1</v>
      </c>
      <c r="AJ110" s="32">
        <v>0.53</v>
      </c>
      <c r="AK110" s="20" t="s">
        <v>165</v>
      </c>
      <c r="AL110" s="16"/>
      <c r="AM110" s="16"/>
      <c r="AN110" s="16"/>
    </row>
    <row r="111" spans="2:40" x14ac:dyDescent="0.25">
      <c r="B111" s="112">
        <f t="shared" si="15"/>
        <v>64</v>
      </c>
      <c r="C111" s="17">
        <v>20200506</v>
      </c>
      <c r="D111" s="16" t="s">
        <v>2</v>
      </c>
      <c r="E111" s="16" t="s">
        <v>529</v>
      </c>
      <c r="F111" s="18" t="s">
        <v>532</v>
      </c>
      <c r="G111" s="58" t="s">
        <v>61</v>
      </c>
      <c r="H111" s="16" t="s">
        <v>207</v>
      </c>
      <c r="I111" s="16" t="s">
        <v>523</v>
      </c>
      <c r="J111" s="16" t="s">
        <v>121</v>
      </c>
      <c r="K111" s="58" t="s">
        <v>61</v>
      </c>
      <c r="L111" s="58" t="s">
        <v>61</v>
      </c>
      <c r="M111" s="58" t="s">
        <v>61</v>
      </c>
      <c r="N111" s="16" t="s">
        <v>541</v>
      </c>
      <c r="O111" s="18" t="s">
        <v>543</v>
      </c>
      <c r="P111" s="18" t="s">
        <v>542</v>
      </c>
      <c r="Q111" s="19"/>
      <c r="R111" s="17" t="s">
        <v>594</v>
      </c>
      <c r="S111" s="16" t="s">
        <v>66</v>
      </c>
      <c r="T111" s="16"/>
      <c r="U111" s="16"/>
      <c r="V111" s="16">
        <v>62</v>
      </c>
      <c r="W111" s="16">
        <f>ROUND(IF(D111=Table!$C$3,Y111*Table!$C$4/8,Y111*Table!$D$4/8),3)</f>
        <v>65</v>
      </c>
      <c r="X111" s="16">
        <f t="shared" si="12"/>
        <v>65</v>
      </c>
      <c r="Y111" s="16">
        <v>4</v>
      </c>
      <c r="Z111" s="16">
        <v>1</v>
      </c>
      <c r="AA111" s="16" t="s">
        <v>18</v>
      </c>
      <c r="AB111" s="16"/>
      <c r="AC111" s="20">
        <v>43957</v>
      </c>
      <c r="AD111" s="20">
        <v>43959</v>
      </c>
      <c r="AE111" s="20">
        <v>43959</v>
      </c>
      <c r="AF111" s="20">
        <v>43959</v>
      </c>
      <c r="AG111" s="20" t="s">
        <v>336</v>
      </c>
      <c r="AH111" s="105">
        <v>1</v>
      </c>
      <c r="AI111" s="105">
        <v>1</v>
      </c>
      <c r="AJ111" s="105">
        <v>0.75</v>
      </c>
      <c r="AK111" s="20" t="s">
        <v>165</v>
      </c>
      <c r="AL111" s="16"/>
      <c r="AM111" s="16"/>
      <c r="AN111" s="16"/>
    </row>
    <row r="112" spans="2:40" x14ac:dyDescent="0.25">
      <c r="B112" s="112">
        <f t="shared" si="15"/>
        <v>65</v>
      </c>
      <c r="C112" s="17">
        <v>20200506</v>
      </c>
      <c r="D112" s="16" t="s">
        <v>2</v>
      </c>
      <c r="E112" s="16" t="s">
        <v>529</v>
      </c>
      <c r="F112" s="18" t="s">
        <v>532</v>
      </c>
      <c r="G112" s="58" t="s">
        <v>61</v>
      </c>
      <c r="H112" s="16" t="s">
        <v>536</v>
      </c>
      <c r="I112" s="16" t="s">
        <v>524</v>
      </c>
      <c r="J112" s="16" t="s">
        <v>121</v>
      </c>
      <c r="K112" s="58" t="s">
        <v>61</v>
      </c>
      <c r="L112" s="58" t="s">
        <v>61</v>
      </c>
      <c r="M112" s="58" t="s">
        <v>61</v>
      </c>
      <c r="N112" s="16" t="s">
        <v>541</v>
      </c>
      <c r="O112" s="18" t="s">
        <v>544</v>
      </c>
      <c r="P112" s="18" t="s">
        <v>542</v>
      </c>
      <c r="Q112" s="19"/>
      <c r="R112" s="17" t="s">
        <v>594</v>
      </c>
      <c r="S112" s="16" t="s">
        <v>66</v>
      </c>
      <c r="T112" s="16"/>
      <c r="U112" s="16"/>
      <c r="V112" s="16">
        <v>114</v>
      </c>
      <c r="W112" s="16">
        <f>ROUND(IF(D112=Table!$C$3,Y112*Table!$C$4/8,Y112*Table!$D$4/8),3)</f>
        <v>117</v>
      </c>
      <c r="X112" s="16">
        <f t="shared" ref="X112:X116" si="16">W112</f>
        <v>117</v>
      </c>
      <c r="Y112" s="16">
        <v>7.2</v>
      </c>
      <c r="Z112" s="16">
        <v>1</v>
      </c>
      <c r="AA112" s="16" t="s">
        <v>18</v>
      </c>
      <c r="AB112" s="16"/>
      <c r="AC112" s="20">
        <v>43957</v>
      </c>
      <c r="AD112" s="20">
        <v>43959</v>
      </c>
      <c r="AE112" s="20">
        <v>43959</v>
      </c>
      <c r="AF112" s="20">
        <v>43959</v>
      </c>
      <c r="AG112" s="20" t="s">
        <v>336</v>
      </c>
      <c r="AH112" s="32" t="s">
        <v>413</v>
      </c>
      <c r="AI112" s="32" t="s">
        <v>413</v>
      </c>
      <c r="AJ112" s="32" t="s">
        <v>413</v>
      </c>
      <c r="AK112" s="20" t="s">
        <v>165</v>
      </c>
      <c r="AL112" s="16" t="s">
        <v>636</v>
      </c>
      <c r="AM112" s="16"/>
      <c r="AN112" s="16"/>
    </row>
    <row r="113" spans="2:40" x14ac:dyDescent="0.25">
      <c r="B113" s="112">
        <f t="shared" si="15"/>
        <v>66</v>
      </c>
      <c r="C113" s="17">
        <v>20200506</v>
      </c>
      <c r="D113" s="16" t="s">
        <v>2</v>
      </c>
      <c r="E113" s="16" t="s">
        <v>529</v>
      </c>
      <c r="F113" s="18" t="s">
        <v>532</v>
      </c>
      <c r="G113" s="58" t="s">
        <v>61</v>
      </c>
      <c r="H113" s="16" t="s">
        <v>537</v>
      </c>
      <c r="I113" s="16" t="s">
        <v>525</v>
      </c>
      <c r="J113" s="16" t="s">
        <v>121</v>
      </c>
      <c r="K113" s="58" t="s">
        <v>61</v>
      </c>
      <c r="L113" s="58" t="s">
        <v>61</v>
      </c>
      <c r="M113" s="58" t="s">
        <v>61</v>
      </c>
      <c r="N113" s="16" t="s">
        <v>541</v>
      </c>
      <c r="O113" s="18" t="s">
        <v>366</v>
      </c>
      <c r="P113" s="18" t="s">
        <v>542</v>
      </c>
      <c r="Q113" s="19"/>
      <c r="R113" s="17" t="s">
        <v>594</v>
      </c>
      <c r="S113" s="16" t="s">
        <v>66</v>
      </c>
      <c r="T113" s="16"/>
      <c r="U113" s="16"/>
      <c r="V113" s="16">
        <v>59</v>
      </c>
      <c r="W113" s="16">
        <f>ROUND(IF(D113=Table!$C$3,Y113*Table!$C$4/8,Y113*Table!$D$4/8),3)</f>
        <v>65</v>
      </c>
      <c r="X113" s="16">
        <f t="shared" si="16"/>
        <v>65</v>
      </c>
      <c r="Y113" s="16">
        <v>4</v>
      </c>
      <c r="Z113" s="16">
        <v>1</v>
      </c>
      <c r="AA113" s="16" t="s">
        <v>18</v>
      </c>
      <c r="AB113" s="16"/>
      <c r="AC113" s="20">
        <v>43957</v>
      </c>
      <c r="AD113" s="20">
        <v>43959</v>
      </c>
      <c r="AE113" s="20">
        <v>43959</v>
      </c>
      <c r="AF113" s="20">
        <v>43959</v>
      </c>
      <c r="AG113" s="20" t="s">
        <v>336</v>
      </c>
      <c r="AH113" s="32">
        <v>1</v>
      </c>
      <c r="AI113" s="32">
        <v>1</v>
      </c>
      <c r="AJ113" s="32" t="s">
        <v>413</v>
      </c>
      <c r="AK113" s="20" t="s">
        <v>165</v>
      </c>
      <c r="AL113" s="16"/>
      <c r="AM113" s="16"/>
      <c r="AN113" s="16"/>
    </row>
    <row r="114" spans="2:40" x14ac:dyDescent="0.25">
      <c r="B114" s="112">
        <f t="shared" si="15"/>
        <v>67</v>
      </c>
      <c r="C114" s="17">
        <v>20200506</v>
      </c>
      <c r="D114" s="16" t="s">
        <v>2</v>
      </c>
      <c r="E114" s="16" t="s">
        <v>529</v>
      </c>
      <c r="F114" s="18" t="s">
        <v>532</v>
      </c>
      <c r="G114" s="58" t="s">
        <v>61</v>
      </c>
      <c r="H114" s="16" t="s">
        <v>538</v>
      </c>
      <c r="I114" s="16" t="s">
        <v>526</v>
      </c>
      <c r="J114" s="16" t="s">
        <v>121</v>
      </c>
      <c r="K114" s="58" t="s">
        <v>61</v>
      </c>
      <c r="L114" s="58" t="s">
        <v>61</v>
      </c>
      <c r="M114" s="58" t="s">
        <v>61</v>
      </c>
      <c r="N114" s="16" t="s">
        <v>541</v>
      </c>
      <c r="O114" s="18" t="s">
        <v>366</v>
      </c>
      <c r="P114" s="18" t="s">
        <v>542</v>
      </c>
      <c r="Q114" s="19"/>
      <c r="R114" s="17" t="s">
        <v>594</v>
      </c>
      <c r="S114" s="16" t="s">
        <v>66</v>
      </c>
      <c r="T114" s="16"/>
      <c r="U114" s="16"/>
      <c r="V114" s="16">
        <v>42</v>
      </c>
      <c r="W114" s="16">
        <f>ROUND(IF(D114=Table!$C$3,Y114*Table!$C$4/8,Y114*Table!$D$4/8),3)</f>
        <v>39</v>
      </c>
      <c r="X114" s="16">
        <f t="shared" si="16"/>
        <v>39</v>
      </c>
      <c r="Y114" s="16">
        <v>2.4</v>
      </c>
      <c r="Z114" s="16">
        <v>1</v>
      </c>
      <c r="AA114" s="16" t="s">
        <v>18</v>
      </c>
      <c r="AB114" s="16"/>
      <c r="AC114" s="20">
        <v>43957</v>
      </c>
      <c r="AD114" s="20">
        <v>43959</v>
      </c>
      <c r="AE114" s="20">
        <v>43959</v>
      </c>
      <c r="AF114" s="20">
        <v>43959</v>
      </c>
      <c r="AG114" s="20" t="s">
        <v>336</v>
      </c>
      <c r="AH114" s="32">
        <v>1</v>
      </c>
      <c r="AI114" s="32">
        <v>1</v>
      </c>
      <c r="AJ114" s="32" t="s">
        <v>413</v>
      </c>
      <c r="AK114" s="20" t="s">
        <v>165</v>
      </c>
      <c r="AL114" s="16"/>
      <c r="AM114" s="16"/>
      <c r="AN114" s="16"/>
    </row>
    <row r="115" spans="2:40" x14ac:dyDescent="0.25">
      <c r="B115" s="112">
        <f t="shared" si="15"/>
        <v>68</v>
      </c>
      <c r="C115" s="17">
        <v>20200506</v>
      </c>
      <c r="D115" s="16" t="s">
        <v>2</v>
      </c>
      <c r="E115" s="16" t="s">
        <v>529</v>
      </c>
      <c r="F115" s="18" t="s">
        <v>532</v>
      </c>
      <c r="G115" s="58" t="s">
        <v>61</v>
      </c>
      <c r="H115" s="16" t="s">
        <v>539</v>
      </c>
      <c r="I115" s="16" t="s">
        <v>527</v>
      </c>
      <c r="J115" s="16" t="s">
        <v>121</v>
      </c>
      <c r="K115" s="58" t="s">
        <v>61</v>
      </c>
      <c r="L115" s="58" t="s">
        <v>61</v>
      </c>
      <c r="M115" s="58" t="s">
        <v>61</v>
      </c>
      <c r="N115" s="16" t="s">
        <v>541</v>
      </c>
      <c r="O115" s="18" t="s">
        <v>366</v>
      </c>
      <c r="P115" s="18" t="s">
        <v>542</v>
      </c>
      <c r="Q115" s="19"/>
      <c r="R115" s="17" t="s">
        <v>594</v>
      </c>
      <c r="S115" s="16" t="s">
        <v>66</v>
      </c>
      <c r="T115" s="16"/>
      <c r="U115" s="16"/>
      <c r="V115" s="16">
        <v>41</v>
      </c>
      <c r="W115" s="16">
        <f>ROUND(IF(D115=Table!$C$3,Y115*Table!$C$4/8,Y115*Table!$D$4/8),3)</f>
        <v>52</v>
      </c>
      <c r="X115" s="16">
        <f t="shared" si="16"/>
        <v>52</v>
      </c>
      <c r="Y115" s="16">
        <v>3.2</v>
      </c>
      <c r="Z115" s="16">
        <v>1</v>
      </c>
      <c r="AA115" s="16" t="s">
        <v>18</v>
      </c>
      <c r="AB115" s="16"/>
      <c r="AC115" s="20">
        <v>43957</v>
      </c>
      <c r="AD115" s="20">
        <v>43959</v>
      </c>
      <c r="AE115" s="20">
        <v>43959</v>
      </c>
      <c r="AF115" s="20">
        <v>43959</v>
      </c>
      <c r="AG115" s="20" t="s">
        <v>336</v>
      </c>
      <c r="AH115" s="32">
        <v>1</v>
      </c>
      <c r="AI115" s="32">
        <v>1</v>
      </c>
      <c r="AJ115" s="32">
        <v>0.5</v>
      </c>
      <c r="AK115" s="20" t="s">
        <v>165</v>
      </c>
      <c r="AL115" s="16"/>
      <c r="AM115" s="16"/>
      <c r="AN115" s="16"/>
    </row>
    <row r="116" spans="2:40" x14ac:dyDescent="0.25">
      <c r="B116" s="112">
        <f t="shared" si="15"/>
        <v>69</v>
      </c>
      <c r="C116" s="17">
        <v>20200506</v>
      </c>
      <c r="D116" s="16" t="s">
        <v>2</v>
      </c>
      <c r="E116" s="16" t="s">
        <v>529</v>
      </c>
      <c r="F116" s="18" t="s">
        <v>533</v>
      </c>
      <c r="G116" s="58" t="s">
        <v>61</v>
      </c>
      <c r="H116" s="16" t="s">
        <v>96</v>
      </c>
      <c r="I116" s="16" t="s">
        <v>528</v>
      </c>
      <c r="J116" s="16" t="s">
        <v>121</v>
      </c>
      <c r="K116" s="58" t="s">
        <v>61</v>
      </c>
      <c r="L116" s="58" t="s">
        <v>61</v>
      </c>
      <c r="M116" s="58" t="s">
        <v>61</v>
      </c>
      <c r="N116" s="16" t="s">
        <v>540</v>
      </c>
      <c r="O116" s="18" t="s">
        <v>61</v>
      </c>
      <c r="P116" s="18" t="s">
        <v>542</v>
      </c>
      <c r="Q116" s="19"/>
      <c r="R116" s="17" t="s">
        <v>595</v>
      </c>
      <c r="S116" s="16" t="s">
        <v>156</v>
      </c>
      <c r="T116" s="16"/>
      <c r="U116" s="16"/>
      <c r="V116" s="16">
        <v>279</v>
      </c>
      <c r="W116" s="16">
        <f>ROUND(IF(D116=Table!$C$3,Y116*Table!$C$4/8,Y116*Table!$D$4/8),3)</f>
        <v>156</v>
      </c>
      <c r="X116" s="16">
        <f t="shared" si="16"/>
        <v>156</v>
      </c>
      <c r="Y116" s="16">
        <v>9.6</v>
      </c>
      <c r="Z116" s="16">
        <v>5</v>
      </c>
      <c r="AA116" s="16" t="s">
        <v>18</v>
      </c>
      <c r="AB116" s="16"/>
      <c r="AC116" s="20">
        <v>43957</v>
      </c>
      <c r="AD116" s="20">
        <v>43959</v>
      </c>
      <c r="AE116" s="20">
        <v>43959</v>
      </c>
      <c r="AF116" s="20">
        <v>43959</v>
      </c>
      <c r="AG116" s="20" t="s">
        <v>336</v>
      </c>
      <c r="AH116" s="32">
        <v>1</v>
      </c>
      <c r="AI116" s="32">
        <v>1</v>
      </c>
      <c r="AJ116" s="32">
        <v>0.33</v>
      </c>
      <c r="AK116" s="20" t="s">
        <v>165</v>
      </c>
      <c r="AL116" s="16"/>
      <c r="AM116" s="16"/>
      <c r="AN116" s="16"/>
    </row>
    <row r="117" spans="2:40" x14ac:dyDescent="0.25">
      <c r="B117" s="134">
        <f t="shared" si="15"/>
        <v>70</v>
      </c>
      <c r="C117" s="17">
        <v>20200511</v>
      </c>
      <c r="D117" s="16" t="s">
        <v>2</v>
      </c>
      <c r="E117" s="16" t="s">
        <v>684</v>
      </c>
      <c r="F117" s="18" t="s">
        <v>685</v>
      </c>
      <c r="G117" s="58" t="s">
        <v>61</v>
      </c>
      <c r="H117" s="16" t="s">
        <v>691</v>
      </c>
      <c r="I117" s="16" t="s">
        <v>653</v>
      </c>
      <c r="J117" s="16" t="s">
        <v>121</v>
      </c>
      <c r="K117" s="58" t="s">
        <v>61</v>
      </c>
      <c r="L117" s="58" t="s">
        <v>61</v>
      </c>
      <c r="M117" s="58" t="s">
        <v>61</v>
      </c>
      <c r="N117" s="135" t="s">
        <v>708</v>
      </c>
      <c r="O117" s="18" t="s">
        <v>682</v>
      </c>
      <c r="P117" s="18" t="s">
        <v>705</v>
      </c>
      <c r="Q117" s="19"/>
      <c r="R117" s="17" t="s">
        <v>706</v>
      </c>
      <c r="S117" s="16" t="s">
        <v>156</v>
      </c>
      <c r="T117" s="16"/>
      <c r="U117" s="16"/>
      <c r="V117" s="16"/>
      <c r="W117" s="16">
        <f>ROUND(IF(D117=Table!$C$3,Y117*Table!$C$4/8,Y117*Table!$D$4/8),3)</f>
        <v>76.7</v>
      </c>
      <c r="X117" s="16"/>
      <c r="Y117" s="16">
        <v>4.72</v>
      </c>
      <c r="Z117" s="16"/>
      <c r="AA117" s="16"/>
      <c r="AB117" s="16"/>
      <c r="AC117" s="20">
        <v>43962</v>
      </c>
      <c r="AD117" s="20">
        <v>43971</v>
      </c>
      <c r="AE117" s="20"/>
      <c r="AF117" s="20"/>
      <c r="AG117" s="20"/>
      <c r="AH117" s="32"/>
      <c r="AI117" s="32"/>
      <c r="AJ117" s="32"/>
      <c r="AK117" s="20"/>
      <c r="AL117" s="16"/>
      <c r="AM117" s="16"/>
      <c r="AN117" s="16"/>
    </row>
    <row r="118" spans="2:40" x14ac:dyDescent="0.25">
      <c r="B118" s="134">
        <f t="shared" si="15"/>
        <v>71</v>
      </c>
      <c r="C118" s="17">
        <v>20200511</v>
      </c>
      <c r="D118" s="16" t="s">
        <v>2</v>
      </c>
      <c r="E118" s="16" t="s">
        <v>684</v>
      </c>
      <c r="F118" s="18" t="s">
        <v>257</v>
      </c>
      <c r="G118" s="58" t="s">
        <v>61</v>
      </c>
      <c r="H118" s="16" t="s">
        <v>692</v>
      </c>
      <c r="I118" s="16" t="s">
        <v>654</v>
      </c>
      <c r="J118" s="16" t="s">
        <v>121</v>
      </c>
      <c r="K118" s="58" t="s">
        <v>61</v>
      </c>
      <c r="L118" s="58" t="s">
        <v>61</v>
      </c>
      <c r="M118" s="58" t="s">
        <v>61</v>
      </c>
      <c r="N118" s="135" t="s">
        <v>708</v>
      </c>
      <c r="O118" s="18" t="s">
        <v>143</v>
      </c>
      <c r="P118" s="18" t="s">
        <v>705</v>
      </c>
      <c r="Q118" s="19"/>
      <c r="R118" s="17" t="s">
        <v>706</v>
      </c>
      <c r="S118" s="16" t="s">
        <v>156</v>
      </c>
      <c r="T118" s="16"/>
      <c r="U118" s="16"/>
      <c r="V118" s="16"/>
      <c r="W118" s="16">
        <f>ROUND(IF(D118=Table!$C$3,Y118*Table!$C$4/8,Y118*Table!$D$4/8),3)</f>
        <v>22.1</v>
      </c>
      <c r="X118" s="16"/>
      <c r="Y118" s="16">
        <v>1.36</v>
      </c>
      <c r="Z118" s="16"/>
      <c r="AA118" s="16"/>
      <c r="AB118" s="16"/>
      <c r="AC118" s="20">
        <v>43962</v>
      </c>
      <c r="AD118" s="20">
        <v>43971</v>
      </c>
      <c r="AE118" s="20"/>
      <c r="AF118" s="20"/>
      <c r="AG118" s="20"/>
      <c r="AH118" s="32"/>
      <c r="AI118" s="32"/>
      <c r="AJ118" s="32"/>
      <c r="AK118" s="20"/>
      <c r="AL118" s="16"/>
      <c r="AM118" s="16"/>
      <c r="AN118" s="16"/>
    </row>
    <row r="119" spans="2:40" x14ac:dyDescent="0.25">
      <c r="B119" s="134">
        <f t="shared" si="15"/>
        <v>72</v>
      </c>
      <c r="C119" s="17">
        <v>20200511</v>
      </c>
      <c r="D119" s="16" t="s">
        <v>2</v>
      </c>
      <c r="E119" s="16" t="s">
        <v>684</v>
      </c>
      <c r="F119" s="18" t="s">
        <v>257</v>
      </c>
      <c r="G119" s="58" t="s">
        <v>61</v>
      </c>
      <c r="H119" s="16" t="s">
        <v>693</v>
      </c>
      <c r="I119" s="16" t="s">
        <v>655</v>
      </c>
      <c r="J119" s="16" t="s">
        <v>121</v>
      </c>
      <c r="K119" s="58" t="s">
        <v>61</v>
      </c>
      <c r="L119" s="58" t="s">
        <v>61</v>
      </c>
      <c r="M119" s="58" t="s">
        <v>61</v>
      </c>
      <c r="N119" s="135" t="s">
        <v>708</v>
      </c>
      <c r="O119" s="18" t="s">
        <v>366</v>
      </c>
      <c r="P119" s="18" t="s">
        <v>705</v>
      </c>
      <c r="Q119" s="19"/>
      <c r="R119" s="17" t="s">
        <v>706</v>
      </c>
      <c r="S119" s="16" t="s">
        <v>156</v>
      </c>
      <c r="T119" s="16"/>
      <c r="U119" s="16"/>
      <c r="V119" s="16"/>
      <c r="W119" s="16">
        <f>ROUND(IF(D119=Table!$C$3,Y119*Table!$C$4/8,Y119*Table!$D$4/8),3)</f>
        <v>29.9</v>
      </c>
      <c r="X119" s="16"/>
      <c r="Y119" s="16">
        <v>1.84</v>
      </c>
      <c r="Z119" s="16"/>
      <c r="AA119" s="16"/>
      <c r="AB119" s="16"/>
      <c r="AC119" s="20">
        <v>43962</v>
      </c>
      <c r="AD119" s="20">
        <v>43971</v>
      </c>
      <c r="AE119" s="20"/>
      <c r="AF119" s="20"/>
      <c r="AG119" s="20"/>
      <c r="AH119" s="32"/>
      <c r="AI119" s="32"/>
      <c r="AJ119" s="32"/>
      <c r="AK119" s="20"/>
      <c r="AL119" s="16"/>
      <c r="AM119" s="16"/>
      <c r="AN119" s="16"/>
    </row>
    <row r="120" spans="2:40" x14ac:dyDescent="0.25">
      <c r="B120" s="134">
        <f t="shared" si="15"/>
        <v>73</v>
      </c>
      <c r="C120" s="17">
        <v>20200511</v>
      </c>
      <c r="D120" s="16" t="s">
        <v>2</v>
      </c>
      <c r="E120" s="16" t="s">
        <v>684</v>
      </c>
      <c r="F120" s="18" t="s">
        <v>257</v>
      </c>
      <c r="G120" s="58" t="s">
        <v>61</v>
      </c>
      <c r="H120" s="16" t="s">
        <v>694</v>
      </c>
      <c r="I120" s="16" t="s">
        <v>656</v>
      </c>
      <c r="J120" s="16" t="s">
        <v>121</v>
      </c>
      <c r="K120" s="58" t="s">
        <v>61</v>
      </c>
      <c r="L120" s="58" t="s">
        <v>61</v>
      </c>
      <c r="M120" s="58" t="s">
        <v>61</v>
      </c>
      <c r="N120" s="135" t="s">
        <v>708</v>
      </c>
      <c r="O120" s="18" t="s">
        <v>366</v>
      </c>
      <c r="P120" s="18" t="s">
        <v>705</v>
      </c>
      <c r="Q120" s="19"/>
      <c r="R120" s="17" t="s">
        <v>706</v>
      </c>
      <c r="S120" s="16" t="s">
        <v>156</v>
      </c>
      <c r="T120" s="16"/>
      <c r="U120" s="16"/>
      <c r="V120" s="16"/>
      <c r="W120" s="16">
        <f>ROUND(IF(D120=Table!$C$3,Y120*Table!$C$4/8,Y120*Table!$D$4/8),3)</f>
        <v>78</v>
      </c>
      <c r="X120" s="16"/>
      <c r="Y120" s="16">
        <v>4.8</v>
      </c>
      <c r="Z120" s="16"/>
      <c r="AA120" s="16"/>
      <c r="AB120" s="16"/>
      <c r="AC120" s="20">
        <v>43962</v>
      </c>
      <c r="AD120" s="20">
        <v>43971</v>
      </c>
      <c r="AE120" s="20"/>
      <c r="AF120" s="20"/>
      <c r="AG120" s="20"/>
      <c r="AH120" s="32"/>
      <c r="AI120" s="32"/>
      <c r="AJ120" s="32"/>
      <c r="AK120" s="20"/>
      <c r="AL120" s="16"/>
      <c r="AM120" s="16"/>
      <c r="AN120" s="16"/>
    </row>
    <row r="121" spans="2:40" x14ac:dyDescent="0.25">
      <c r="B121" s="134">
        <f t="shared" si="15"/>
        <v>74</v>
      </c>
      <c r="C121" s="17">
        <v>20200511</v>
      </c>
      <c r="D121" s="16" t="s">
        <v>2</v>
      </c>
      <c r="E121" s="16" t="s">
        <v>684</v>
      </c>
      <c r="F121" s="18" t="s">
        <v>257</v>
      </c>
      <c r="G121" s="58" t="s">
        <v>61</v>
      </c>
      <c r="H121" s="16" t="s">
        <v>695</v>
      </c>
      <c r="I121" s="16" t="s">
        <v>657</v>
      </c>
      <c r="J121" s="16" t="s">
        <v>121</v>
      </c>
      <c r="K121" s="58" t="s">
        <v>61</v>
      </c>
      <c r="L121" s="58" t="s">
        <v>61</v>
      </c>
      <c r="M121" s="58" t="s">
        <v>61</v>
      </c>
      <c r="N121" s="135" t="s">
        <v>708</v>
      </c>
      <c r="O121" s="18" t="s">
        <v>366</v>
      </c>
      <c r="P121" s="18" t="s">
        <v>705</v>
      </c>
      <c r="Q121" s="19"/>
      <c r="R121" s="17" t="s">
        <v>706</v>
      </c>
      <c r="S121" s="16" t="s">
        <v>156</v>
      </c>
      <c r="T121" s="16"/>
      <c r="U121" s="16"/>
      <c r="V121" s="16"/>
      <c r="W121" s="16">
        <f>ROUND(IF(D121=Table!$C$3,Y121*Table!$C$4/8,Y121*Table!$D$4/8),3)</f>
        <v>22.1</v>
      </c>
      <c r="X121" s="16"/>
      <c r="Y121" s="16">
        <v>1.36</v>
      </c>
      <c r="Z121" s="16"/>
      <c r="AA121" s="16"/>
      <c r="AB121" s="16"/>
      <c r="AC121" s="20">
        <v>43962</v>
      </c>
      <c r="AD121" s="20">
        <v>43971</v>
      </c>
      <c r="AE121" s="20"/>
      <c r="AF121" s="20"/>
      <c r="AG121" s="20"/>
      <c r="AH121" s="32"/>
      <c r="AI121" s="32"/>
      <c r="AJ121" s="32"/>
      <c r="AK121" s="20"/>
      <c r="AL121" s="16"/>
      <c r="AM121" s="16"/>
      <c r="AN121" s="16"/>
    </row>
    <row r="122" spans="2:40" x14ac:dyDescent="0.25">
      <c r="B122" s="134">
        <f t="shared" si="15"/>
        <v>75</v>
      </c>
      <c r="C122" s="17">
        <v>20200511</v>
      </c>
      <c r="D122" s="16" t="s">
        <v>2</v>
      </c>
      <c r="E122" s="16" t="s">
        <v>684</v>
      </c>
      <c r="F122" s="18" t="s">
        <v>257</v>
      </c>
      <c r="G122" s="58" t="s">
        <v>61</v>
      </c>
      <c r="H122" s="16" t="s">
        <v>696</v>
      </c>
      <c r="I122" s="16" t="s">
        <v>658</v>
      </c>
      <c r="J122" s="16" t="s">
        <v>121</v>
      </c>
      <c r="K122" s="58" t="s">
        <v>61</v>
      </c>
      <c r="L122" s="58" t="s">
        <v>61</v>
      </c>
      <c r="M122" s="58" t="s">
        <v>61</v>
      </c>
      <c r="N122" s="135" t="s">
        <v>708</v>
      </c>
      <c r="O122" s="18" t="s">
        <v>683</v>
      </c>
      <c r="P122" s="18" t="s">
        <v>705</v>
      </c>
      <c r="Q122" s="19"/>
      <c r="R122" s="17" t="s">
        <v>706</v>
      </c>
      <c r="S122" s="16" t="s">
        <v>66</v>
      </c>
      <c r="T122" s="16"/>
      <c r="U122" s="16"/>
      <c r="V122" s="16"/>
      <c r="W122" s="16">
        <f>ROUND(IF(D122=Table!$C$3,Y122*Table!$C$4/8,Y122*Table!$D$4/8),3)</f>
        <v>344.5</v>
      </c>
      <c r="X122" s="16"/>
      <c r="Y122" s="16">
        <v>21.2</v>
      </c>
      <c r="Z122" s="16"/>
      <c r="AA122" s="16"/>
      <c r="AB122" s="16"/>
      <c r="AC122" s="20">
        <v>43962</v>
      </c>
      <c r="AD122" s="20">
        <v>43971</v>
      </c>
      <c r="AE122" s="20"/>
      <c r="AF122" s="20"/>
      <c r="AG122" s="20"/>
      <c r="AH122" s="32"/>
      <c r="AI122" s="32"/>
      <c r="AJ122" s="32"/>
      <c r="AK122" s="20"/>
      <c r="AL122" s="16"/>
      <c r="AM122" s="16"/>
      <c r="AN122" s="16"/>
    </row>
    <row r="123" spans="2:40" x14ac:dyDescent="0.25">
      <c r="B123" s="134">
        <f t="shared" si="15"/>
        <v>76</v>
      </c>
      <c r="C123" s="17">
        <v>20200511</v>
      </c>
      <c r="D123" s="16" t="s">
        <v>2</v>
      </c>
      <c r="E123" s="16" t="s">
        <v>684</v>
      </c>
      <c r="F123" s="18" t="s">
        <v>257</v>
      </c>
      <c r="G123" s="58" t="s">
        <v>61</v>
      </c>
      <c r="H123" s="16" t="s">
        <v>697</v>
      </c>
      <c r="I123" s="16" t="s">
        <v>659</v>
      </c>
      <c r="J123" s="16" t="s">
        <v>121</v>
      </c>
      <c r="K123" s="58" t="s">
        <v>61</v>
      </c>
      <c r="L123" s="58" t="s">
        <v>61</v>
      </c>
      <c r="M123" s="58" t="s">
        <v>61</v>
      </c>
      <c r="N123" s="135" t="s">
        <v>708</v>
      </c>
      <c r="O123" s="18" t="s">
        <v>366</v>
      </c>
      <c r="P123" s="18" t="s">
        <v>705</v>
      </c>
      <c r="Q123" s="19"/>
      <c r="R123" s="17" t="s">
        <v>706</v>
      </c>
      <c r="S123" s="16" t="s">
        <v>66</v>
      </c>
      <c r="T123" s="16"/>
      <c r="U123" s="16"/>
      <c r="V123" s="16"/>
      <c r="W123" s="16">
        <f>ROUND(IF(D123=Table!$C$3,Y123*Table!$C$4/8,Y123*Table!$D$4/8),3)</f>
        <v>22.1</v>
      </c>
      <c r="X123" s="16"/>
      <c r="Y123" s="16">
        <v>1.36</v>
      </c>
      <c r="Z123" s="16"/>
      <c r="AA123" s="16"/>
      <c r="AB123" s="16"/>
      <c r="AC123" s="20">
        <v>43962</v>
      </c>
      <c r="AD123" s="20">
        <v>43971</v>
      </c>
      <c r="AE123" s="20"/>
      <c r="AF123" s="20"/>
      <c r="AG123" s="20"/>
      <c r="AH123" s="32"/>
      <c r="AI123" s="32"/>
      <c r="AJ123" s="32"/>
      <c r="AK123" s="20"/>
      <c r="AL123" s="16"/>
      <c r="AM123" s="16"/>
      <c r="AN123" s="16"/>
    </row>
    <row r="124" spans="2:40" x14ac:dyDescent="0.25">
      <c r="B124" s="134">
        <f t="shared" si="15"/>
        <v>77</v>
      </c>
      <c r="C124" s="17">
        <v>20200511</v>
      </c>
      <c r="D124" s="16" t="s">
        <v>2</v>
      </c>
      <c r="E124" s="16" t="s">
        <v>684</v>
      </c>
      <c r="F124" s="18" t="s">
        <v>257</v>
      </c>
      <c r="G124" s="58" t="s">
        <v>61</v>
      </c>
      <c r="H124" s="16" t="s">
        <v>698</v>
      </c>
      <c r="I124" s="16" t="s">
        <v>660</v>
      </c>
      <c r="J124" s="16" t="s">
        <v>121</v>
      </c>
      <c r="K124" s="58" t="s">
        <v>61</v>
      </c>
      <c r="L124" s="58" t="s">
        <v>61</v>
      </c>
      <c r="M124" s="58" t="s">
        <v>61</v>
      </c>
      <c r="N124" s="135" t="s">
        <v>708</v>
      </c>
      <c r="O124" s="18" t="s">
        <v>366</v>
      </c>
      <c r="P124" s="18" t="s">
        <v>705</v>
      </c>
      <c r="Q124" s="19"/>
      <c r="R124" s="17" t="s">
        <v>706</v>
      </c>
      <c r="S124" s="16" t="s">
        <v>66</v>
      </c>
      <c r="T124" s="16"/>
      <c r="U124" s="16"/>
      <c r="V124" s="16"/>
      <c r="W124" s="16">
        <f>ROUND(IF(D124=Table!$C$3,Y124*Table!$C$4/8,Y124*Table!$D$4/8),3)</f>
        <v>22.1</v>
      </c>
      <c r="X124" s="16"/>
      <c r="Y124" s="16">
        <v>1.36</v>
      </c>
      <c r="Z124" s="16"/>
      <c r="AA124" s="16"/>
      <c r="AB124" s="16"/>
      <c r="AC124" s="20">
        <v>43962</v>
      </c>
      <c r="AD124" s="20">
        <v>43971</v>
      </c>
      <c r="AE124" s="20"/>
      <c r="AF124" s="20"/>
      <c r="AG124" s="20"/>
      <c r="AH124" s="32"/>
      <c r="AI124" s="32"/>
      <c r="AJ124" s="32"/>
      <c r="AK124" s="20"/>
      <c r="AL124" s="16"/>
      <c r="AM124" s="16"/>
      <c r="AN124" s="16"/>
    </row>
    <row r="125" spans="2:40" x14ac:dyDescent="0.25">
      <c r="B125" s="134">
        <f t="shared" si="15"/>
        <v>78</v>
      </c>
      <c r="C125" s="17">
        <v>20200511</v>
      </c>
      <c r="D125" s="16" t="s">
        <v>2</v>
      </c>
      <c r="E125" s="16" t="s">
        <v>684</v>
      </c>
      <c r="F125" s="18" t="s">
        <v>257</v>
      </c>
      <c r="G125" s="58" t="s">
        <v>61</v>
      </c>
      <c r="H125" s="16" t="s">
        <v>699</v>
      </c>
      <c r="I125" s="16" t="s">
        <v>661</v>
      </c>
      <c r="J125" s="16" t="s">
        <v>121</v>
      </c>
      <c r="K125" s="58" t="s">
        <v>61</v>
      </c>
      <c r="L125" s="58" t="s">
        <v>61</v>
      </c>
      <c r="M125" s="58" t="s">
        <v>61</v>
      </c>
      <c r="N125" s="135" t="s">
        <v>708</v>
      </c>
      <c r="O125" s="18" t="s">
        <v>366</v>
      </c>
      <c r="P125" s="18" t="s">
        <v>705</v>
      </c>
      <c r="Q125" s="19"/>
      <c r="R125" s="17" t="s">
        <v>706</v>
      </c>
      <c r="S125" s="16" t="s">
        <v>66</v>
      </c>
      <c r="T125" s="16"/>
      <c r="U125" s="16"/>
      <c r="V125" s="16"/>
      <c r="W125" s="16">
        <f>ROUND(IF(D125=Table!$C$3,Y125*Table!$C$4/8,Y125*Table!$D$4/8),3)</f>
        <v>45.5</v>
      </c>
      <c r="X125" s="16"/>
      <c r="Y125" s="16">
        <v>2.8</v>
      </c>
      <c r="Z125" s="16"/>
      <c r="AA125" s="16"/>
      <c r="AB125" s="16"/>
      <c r="AC125" s="20">
        <v>43962</v>
      </c>
      <c r="AD125" s="20">
        <v>43971</v>
      </c>
      <c r="AE125" s="20"/>
      <c r="AF125" s="20"/>
      <c r="AG125" s="20"/>
      <c r="AH125" s="32"/>
      <c r="AI125" s="32"/>
      <c r="AJ125" s="32"/>
      <c r="AK125" s="20"/>
      <c r="AL125" s="16"/>
      <c r="AM125" s="16"/>
      <c r="AN125" s="16"/>
    </row>
    <row r="126" spans="2:40" x14ac:dyDescent="0.25">
      <c r="B126" s="134">
        <f t="shared" si="15"/>
        <v>79</v>
      </c>
      <c r="C126" s="17">
        <v>20200511</v>
      </c>
      <c r="D126" s="16" t="s">
        <v>2</v>
      </c>
      <c r="E126" s="16" t="s">
        <v>684</v>
      </c>
      <c r="F126" s="18" t="s">
        <v>257</v>
      </c>
      <c r="G126" s="58" t="s">
        <v>61</v>
      </c>
      <c r="H126" s="16" t="s">
        <v>700</v>
      </c>
      <c r="I126" s="16" t="s">
        <v>662</v>
      </c>
      <c r="J126" s="16" t="s">
        <v>121</v>
      </c>
      <c r="K126" s="58" t="s">
        <v>61</v>
      </c>
      <c r="L126" s="58" t="s">
        <v>61</v>
      </c>
      <c r="M126" s="58" t="s">
        <v>61</v>
      </c>
      <c r="N126" s="135" t="s">
        <v>708</v>
      </c>
      <c r="O126" s="18" t="s">
        <v>683</v>
      </c>
      <c r="P126" s="18" t="s">
        <v>705</v>
      </c>
      <c r="Q126" s="19"/>
      <c r="R126" s="17" t="s">
        <v>706</v>
      </c>
      <c r="S126" s="16" t="s">
        <v>66</v>
      </c>
      <c r="T126" s="16"/>
      <c r="U126" s="16"/>
      <c r="V126" s="16"/>
      <c r="W126" s="16">
        <f>ROUND(IF(D126=Table!$C$3,Y126*Table!$C$4/8,Y126*Table!$D$4/8),3)</f>
        <v>130</v>
      </c>
      <c r="X126" s="16"/>
      <c r="Y126" s="16">
        <v>8</v>
      </c>
      <c r="Z126" s="16"/>
      <c r="AA126" s="16"/>
      <c r="AB126" s="16"/>
      <c r="AC126" s="20">
        <v>43962</v>
      </c>
      <c r="AD126" s="20">
        <v>43971</v>
      </c>
      <c r="AE126" s="20"/>
      <c r="AF126" s="20"/>
      <c r="AG126" s="20"/>
      <c r="AH126" s="32"/>
      <c r="AI126" s="32"/>
      <c r="AJ126" s="32"/>
      <c r="AK126" s="20"/>
      <c r="AL126" s="16"/>
      <c r="AM126" s="16"/>
      <c r="AN126" s="16"/>
    </row>
    <row r="127" spans="2:40" x14ac:dyDescent="0.25">
      <c r="B127" s="134">
        <f t="shared" si="15"/>
        <v>80</v>
      </c>
      <c r="C127" s="17">
        <v>20200511</v>
      </c>
      <c r="D127" s="16" t="s">
        <v>3</v>
      </c>
      <c r="E127" s="16" t="s">
        <v>684</v>
      </c>
      <c r="F127" s="18" t="s">
        <v>686</v>
      </c>
      <c r="G127" s="58" t="s">
        <v>61</v>
      </c>
      <c r="H127" s="16" t="s">
        <v>534</v>
      </c>
      <c r="I127" s="16" t="s">
        <v>663</v>
      </c>
      <c r="J127" s="16" t="s">
        <v>121</v>
      </c>
      <c r="K127" s="58" t="s">
        <v>61</v>
      </c>
      <c r="L127" s="58" t="s">
        <v>61</v>
      </c>
      <c r="M127" s="58" t="s">
        <v>61</v>
      </c>
      <c r="N127" s="16" t="s">
        <v>707</v>
      </c>
      <c r="O127" s="18" t="s">
        <v>61</v>
      </c>
      <c r="P127" s="18" t="s">
        <v>705</v>
      </c>
      <c r="Q127" s="19"/>
      <c r="R127" s="17" t="s">
        <v>706</v>
      </c>
      <c r="S127" s="16" t="s">
        <v>66</v>
      </c>
      <c r="T127" s="16"/>
      <c r="U127" s="16"/>
      <c r="V127" s="16"/>
      <c r="W127" s="16">
        <f>ROUND(IF(D127=Table!$C$3,Y127*Table!$C$4/8,Y127*Table!$D$4/8),3)</f>
        <v>225</v>
      </c>
      <c r="X127" s="16">
        <f t="shared" ref="X127:X132" si="17">W127</f>
        <v>225</v>
      </c>
      <c r="Y127" s="16">
        <v>4</v>
      </c>
      <c r="Z127" s="16">
        <v>1</v>
      </c>
      <c r="AA127" s="16" t="s">
        <v>18</v>
      </c>
      <c r="AB127" s="16"/>
      <c r="AC127" s="20">
        <v>43962</v>
      </c>
      <c r="AD127" s="20">
        <v>43971</v>
      </c>
      <c r="AE127" s="20">
        <v>43962</v>
      </c>
      <c r="AF127" s="20">
        <v>43962</v>
      </c>
      <c r="AG127" s="20" t="s">
        <v>336</v>
      </c>
      <c r="AH127" s="32">
        <v>1</v>
      </c>
      <c r="AI127" s="32">
        <v>1</v>
      </c>
      <c r="AJ127" s="32">
        <v>1</v>
      </c>
      <c r="AK127" s="20" t="s">
        <v>165</v>
      </c>
      <c r="AL127" s="16"/>
      <c r="AM127" s="16"/>
      <c r="AN127" s="16"/>
    </row>
    <row r="128" spans="2:40" x14ac:dyDescent="0.25">
      <c r="B128" s="134">
        <f t="shared" si="15"/>
        <v>81</v>
      </c>
      <c r="C128" s="17">
        <v>20200511</v>
      </c>
      <c r="D128" s="16" t="s">
        <v>3</v>
      </c>
      <c r="E128" s="16" t="s">
        <v>684</v>
      </c>
      <c r="F128" s="18" t="s">
        <v>687</v>
      </c>
      <c r="G128" s="58" t="s">
        <v>61</v>
      </c>
      <c r="H128" s="16" t="s">
        <v>701</v>
      </c>
      <c r="I128" s="16" t="s">
        <v>664</v>
      </c>
      <c r="J128" s="16" t="s">
        <v>121</v>
      </c>
      <c r="K128" s="58" t="s">
        <v>61</v>
      </c>
      <c r="L128" s="58" t="s">
        <v>61</v>
      </c>
      <c r="M128" s="58" t="s">
        <v>61</v>
      </c>
      <c r="N128" s="16" t="s">
        <v>707</v>
      </c>
      <c r="O128" s="18" t="s">
        <v>61</v>
      </c>
      <c r="P128" s="18" t="s">
        <v>705</v>
      </c>
      <c r="Q128" s="19"/>
      <c r="R128" s="17" t="s">
        <v>706</v>
      </c>
      <c r="S128" s="16" t="s">
        <v>66</v>
      </c>
      <c r="T128" s="16"/>
      <c r="U128" s="16"/>
      <c r="V128" s="16"/>
      <c r="W128" s="16">
        <f>ROUND(IF(D128=Table!$C$3,Y128*Table!$C$4/8,Y128*Table!$D$4/8),3)</f>
        <v>135</v>
      </c>
      <c r="X128" s="16">
        <f t="shared" si="17"/>
        <v>135</v>
      </c>
      <c r="Y128" s="16">
        <v>2.4</v>
      </c>
      <c r="Z128" s="16">
        <v>1</v>
      </c>
      <c r="AA128" s="16" t="s">
        <v>18</v>
      </c>
      <c r="AB128" s="16"/>
      <c r="AC128" s="20">
        <v>43962</v>
      </c>
      <c r="AD128" s="20">
        <v>43971</v>
      </c>
      <c r="AE128" s="20">
        <v>43962</v>
      </c>
      <c r="AF128" s="20">
        <v>43962</v>
      </c>
      <c r="AG128" s="20" t="s">
        <v>336</v>
      </c>
      <c r="AH128" s="32">
        <v>1</v>
      </c>
      <c r="AI128" s="32">
        <v>1</v>
      </c>
      <c r="AJ128" s="32">
        <v>1</v>
      </c>
      <c r="AK128" s="20" t="s">
        <v>165</v>
      </c>
      <c r="AL128" s="16"/>
      <c r="AM128" s="16"/>
      <c r="AN128" s="16"/>
    </row>
    <row r="129" spans="2:40" x14ac:dyDescent="0.25">
      <c r="B129" s="134">
        <f t="shared" si="15"/>
        <v>82</v>
      </c>
      <c r="C129" s="17">
        <v>20200511</v>
      </c>
      <c r="D129" s="16" t="s">
        <v>3</v>
      </c>
      <c r="E129" s="16" t="s">
        <v>684</v>
      </c>
      <c r="F129" s="18" t="s">
        <v>687</v>
      </c>
      <c r="G129" s="58" t="s">
        <v>61</v>
      </c>
      <c r="H129" s="16" t="s">
        <v>702</v>
      </c>
      <c r="I129" s="16" t="s">
        <v>665</v>
      </c>
      <c r="J129" s="16" t="s">
        <v>121</v>
      </c>
      <c r="K129" s="58" t="s">
        <v>61</v>
      </c>
      <c r="L129" s="58" t="s">
        <v>61</v>
      </c>
      <c r="M129" s="58" t="s">
        <v>61</v>
      </c>
      <c r="N129" s="16" t="s">
        <v>707</v>
      </c>
      <c r="O129" s="18" t="s">
        <v>61</v>
      </c>
      <c r="P129" s="18" t="s">
        <v>705</v>
      </c>
      <c r="Q129" s="19"/>
      <c r="R129" s="17" t="s">
        <v>706</v>
      </c>
      <c r="S129" s="16" t="s">
        <v>66</v>
      </c>
      <c r="T129" s="16"/>
      <c r="U129" s="16"/>
      <c r="V129" s="16"/>
      <c r="W129" s="16">
        <f>ROUND(IF(D129=Table!$C$3,Y129*Table!$C$4/8,Y129*Table!$D$4/8),3)</f>
        <v>67.5</v>
      </c>
      <c r="X129" s="16">
        <f t="shared" si="17"/>
        <v>67.5</v>
      </c>
      <c r="Y129" s="16">
        <v>1.2</v>
      </c>
      <c r="Z129" s="16">
        <v>1</v>
      </c>
      <c r="AA129" s="16" t="s">
        <v>18</v>
      </c>
      <c r="AB129" s="16"/>
      <c r="AC129" s="20">
        <v>43962</v>
      </c>
      <c r="AD129" s="20">
        <v>43971</v>
      </c>
      <c r="AE129" s="20">
        <v>43962</v>
      </c>
      <c r="AF129" s="20">
        <v>43962</v>
      </c>
      <c r="AG129" s="20" t="s">
        <v>336</v>
      </c>
      <c r="AH129" s="32">
        <v>1</v>
      </c>
      <c r="AI129" s="32">
        <v>1</v>
      </c>
      <c r="AJ129" s="32">
        <v>1</v>
      </c>
      <c r="AK129" s="20" t="s">
        <v>165</v>
      </c>
      <c r="AL129" s="16"/>
      <c r="AM129" s="16"/>
      <c r="AN129" s="16"/>
    </row>
    <row r="130" spans="2:40" x14ac:dyDescent="0.25">
      <c r="B130" s="134">
        <f t="shared" si="15"/>
        <v>83</v>
      </c>
      <c r="C130" s="17">
        <v>20200511</v>
      </c>
      <c r="D130" s="16" t="s">
        <v>3</v>
      </c>
      <c r="E130" s="16" t="s">
        <v>684</v>
      </c>
      <c r="F130" s="18" t="s">
        <v>688</v>
      </c>
      <c r="G130" s="58" t="s">
        <v>61</v>
      </c>
      <c r="H130" s="16" t="s">
        <v>703</v>
      </c>
      <c r="I130" s="16" t="s">
        <v>666</v>
      </c>
      <c r="J130" s="16" t="s">
        <v>121</v>
      </c>
      <c r="K130" s="58" t="s">
        <v>61</v>
      </c>
      <c r="L130" s="58" t="s">
        <v>61</v>
      </c>
      <c r="M130" s="58" t="s">
        <v>61</v>
      </c>
      <c r="N130" s="16" t="s">
        <v>707</v>
      </c>
      <c r="O130" s="18" t="s">
        <v>61</v>
      </c>
      <c r="P130" s="18" t="s">
        <v>705</v>
      </c>
      <c r="Q130" s="19"/>
      <c r="R130" s="17" t="s">
        <v>706</v>
      </c>
      <c r="S130" s="16" t="s">
        <v>66</v>
      </c>
      <c r="T130" s="16"/>
      <c r="U130" s="16"/>
      <c r="V130" s="16"/>
      <c r="W130" s="16">
        <f>ROUND(IF(D130=Table!$C$3,Y130*Table!$C$4/8,Y130*Table!$D$4/8),3)</f>
        <v>67.5</v>
      </c>
      <c r="X130" s="16">
        <f t="shared" si="17"/>
        <v>67.5</v>
      </c>
      <c r="Y130" s="16">
        <v>1.2</v>
      </c>
      <c r="Z130" s="16">
        <v>1</v>
      </c>
      <c r="AA130" s="16" t="s">
        <v>18</v>
      </c>
      <c r="AB130" s="16"/>
      <c r="AC130" s="20">
        <v>43962</v>
      </c>
      <c r="AD130" s="20">
        <v>43971</v>
      </c>
      <c r="AE130" s="20">
        <v>43962</v>
      </c>
      <c r="AF130" s="20">
        <v>43962</v>
      </c>
      <c r="AG130" s="20" t="s">
        <v>336</v>
      </c>
      <c r="AH130" s="32">
        <v>1</v>
      </c>
      <c r="AI130" s="32">
        <v>1</v>
      </c>
      <c r="AJ130" s="32">
        <v>0.25</v>
      </c>
      <c r="AK130" s="20"/>
      <c r="AL130" t="s">
        <v>711</v>
      </c>
      <c r="AM130" s="16"/>
      <c r="AN130" s="16"/>
    </row>
    <row r="131" spans="2:40" x14ac:dyDescent="0.25">
      <c r="B131" s="134">
        <f t="shared" si="15"/>
        <v>84</v>
      </c>
      <c r="C131" s="17">
        <v>20200511</v>
      </c>
      <c r="D131" s="16" t="s">
        <v>3</v>
      </c>
      <c r="E131" s="16" t="s">
        <v>684</v>
      </c>
      <c r="F131" s="18" t="s">
        <v>689</v>
      </c>
      <c r="G131" s="58" t="s">
        <v>61</v>
      </c>
      <c r="H131" s="16" t="s">
        <v>538</v>
      </c>
      <c r="I131" s="16" t="s">
        <v>667</v>
      </c>
      <c r="J131" s="16" t="s">
        <v>121</v>
      </c>
      <c r="K131" s="58" t="s">
        <v>61</v>
      </c>
      <c r="L131" s="58" t="s">
        <v>61</v>
      </c>
      <c r="M131" s="58" t="s">
        <v>61</v>
      </c>
      <c r="N131" s="16" t="s">
        <v>707</v>
      </c>
      <c r="O131" s="18" t="s">
        <v>61</v>
      </c>
      <c r="P131" s="18" t="s">
        <v>705</v>
      </c>
      <c r="Q131" s="19"/>
      <c r="R131" s="17" t="s">
        <v>706</v>
      </c>
      <c r="S131" s="16" t="s">
        <v>66</v>
      </c>
      <c r="T131" s="16"/>
      <c r="U131" s="16"/>
      <c r="V131" s="16"/>
      <c r="W131" s="16">
        <f>ROUND(IF(D131=Table!$C$3,Y131*Table!$C$4/8,Y131*Table!$D$4/8),3)</f>
        <v>607.5</v>
      </c>
      <c r="X131" s="16">
        <f t="shared" si="17"/>
        <v>607.5</v>
      </c>
      <c r="Y131" s="16">
        <v>10.8</v>
      </c>
      <c r="Z131" s="16">
        <v>2</v>
      </c>
      <c r="AA131" s="16" t="s">
        <v>18</v>
      </c>
      <c r="AB131" s="16"/>
      <c r="AC131" s="20">
        <v>43962</v>
      </c>
      <c r="AD131" s="20">
        <v>43971</v>
      </c>
      <c r="AE131" s="20">
        <v>43962</v>
      </c>
      <c r="AF131" s="20">
        <v>43962</v>
      </c>
      <c r="AG131" s="20" t="s">
        <v>336</v>
      </c>
      <c r="AH131" s="32">
        <v>1</v>
      </c>
      <c r="AI131" s="32">
        <v>1</v>
      </c>
      <c r="AJ131" s="32">
        <v>1</v>
      </c>
      <c r="AK131" s="20" t="s">
        <v>165</v>
      </c>
      <c r="AL131" s="16"/>
      <c r="AM131" s="16"/>
      <c r="AN131" s="16"/>
    </row>
    <row r="132" spans="2:40" x14ac:dyDescent="0.25">
      <c r="B132" s="134">
        <f t="shared" si="15"/>
        <v>85</v>
      </c>
      <c r="C132" s="17">
        <v>20200511</v>
      </c>
      <c r="D132" s="16" t="s">
        <v>3</v>
      </c>
      <c r="E132" s="16" t="s">
        <v>684</v>
      </c>
      <c r="F132" s="18" t="s">
        <v>690</v>
      </c>
      <c r="G132" s="58" t="s">
        <v>61</v>
      </c>
      <c r="H132" s="16" t="s">
        <v>217</v>
      </c>
      <c r="I132" s="16" t="s">
        <v>668</v>
      </c>
      <c r="J132" s="16" t="s">
        <v>704</v>
      </c>
      <c r="K132" s="58" t="s">
        <v>61</v>
      </c>
      <c r="L132" s="58" t="s">
        <v>61</v>
      </c>
      <c r="M132" s="58" t="s">
        <v>61</v>
      </c>
      <c r="N132" s="16" t="s">
        <v>707</v>
      </c>
      <c r="O132" s="18" t="s">
        <v>61</v>
      </c>
      <c r="P132" s="18" t="s">
        <v>705</v>
      </c>
      <c r="Q132" s="19"/>
      <c r="R132" s="17" t="s">
        <v>706</v>
      </c>
      <c r="S132" s="16" t="s">
        <v>66</v>
      </c>
      <c r="T132" s="16"/>
      <c r="U132" s="16"/>
      <c r="V132" s="16"/>
      <c r="W132" s="16">
        <f>ROUND(IF(D132=Table!$C$3,Y132*Table!$C$4/8,Y132*Table!$D$4/8),3)</f>
        <v>720</v>
      </c>
      <c r="X132" s="16">
        <f t="shared" si="17"/>
        <v>720</v>
      </c>
      <c r="Y132" s="16">
        <v>12.8</v>
      </c>
      <c r="Z132" s="16">
        <v>2</v>
      </c>
      <c r="AA132" s="16" t="s">
        <v>18</v>
      </c>
      <c r="AB132" s="16"/>
      <c r="AC132" s="20">
        <v>43962</v>
      </c>
      <c r="AD132" s="20">
        <v>43971</v>
      </c>
      <c r="AE132" s="20">
        <v>43962</v>
      </c>
      <c r="AF132" s="20">
        <v>43962</v>
      </c>
      <c r="AG132" s="20" t="s">
        <v>336</v>
      </c>
      <c r="AH132" s="32">
        <v>1</v>
      </c>
      <c r="AI132" s="32">
        <v>1</v>
      </c>
      <c r="AJ132" s="32">
        <v>1</v>
      </c>
      <c r="AK132" s="20" t="s">
        <v>165</v>
      </c>
      <c r="AL132" s="16"/>
      <c r="AM132" s="16"/>
      <c r="AN132" s="16"/>
    </row>
    <row r="133" spans="2:40" x14ac:dyDescent="0.25">
      <c r="B133" s="134">
        <f t="shared" si="15"/>
        <v>86</v>
      </c>
      <c r="C133" s="17">
        <v>20200511</v>
      </c>
      <c r="D133" s="16" t="s">
        <v>3</v>
      </c>
      <c r="E133" s="16" t="s">
        <v>684</v>
      </c>
      <c r="F133" s="18" t="s">
        <v>690</v>
      </c>
      <c r="G133" s="58" t="s">
        <v>61</v>
      </c>
      <c r="H133" s="16" t="s">
        <v>219</v>
      </c>
      <c r="I133" s="16" t="s">
        <v>669</v>
      </c>
      <c r="J133" s="16" t="s">
        <v>704</v>
      </c>
      <c r="K133" s="58" t="s">
        <v>61</v>
      </c>
      <c r="L133" s="58" t="s">
        <v>61</v>
      </c>
      <c r="M133" s="58" t="s">
        <v>61</v>
      </c>
      <c r="N133" s="16" t="s">
        <v>707</v>
      </c>
      <c r="O133" s="18" t="s">
        <v>61</v>
      </c>
      <c r="P133" s="18" t="s">
        <v>705</v>
      </c>
      <c r="Q133" s="19"/>
      <c r="R133" s="17" t="s">
        <v>706</v>
      </c>
      <c r="S133" s="16" t="s">
        <v>66</v>
      </c>
      <c r="T133" s="16"/>
      <c r="U133" s="16"/>
      <c r="V133" s="16"/>
      <c r="W133" s="16">
        <f>ROUND(IF(D133=Table!$C$3,Y133*Table!$C$4/8,Y133*Table!$D$4/8),3)</f>
        <v>360</v>
      </c>
      <c r="X133" s="16">
        <v>360</v>
      </c>
      <c r="Y133" s="16">
        <v>6.4</v>
      </c>
      <c r="Z133" s="16">
        <v>4</v>
      </c>
      <c r="AA133" s="16" t="s">
        <v>18</v>
      </c>
      <c r="AB133" s="16"/>
      <c r="AC133" s="20">
        <v>43962</v>
      </c>
      <c r="AD133" s="20">
        <v>43971</v>
      </c>
      <c r="AE133" s="20">
        <v>43963</v>
      </c>
      <c r="AF133" s="20">
        <v>43963</v>
      </c>
      <c r="AG133" s="20" t="s">
        <v>336</v>
      </c>
      <c r="AH133" s="32">
        <v>1</v>
      </c>
      <c r="AI133" s="32">
        <v>1</v>
      </c>
      <c r="AJ133" s="32">
        <v>1</v>
      </c>
      <c r="AK133" s="20" t="s">
        <v>165</v>
      </c>
      <c r="AL133" s="16"/>
      <c r="AM133" s="16"/>
      <c r="AN133" s="16"/>
    </row>
    <row r="134" spans="2:40" x14ac:dyDescent="0.25">
      <c r="B134" s="134">
        <f t="shared" si="15"/>
        <v>87</v>
      </c>
      <c r="C134" s="17">
        <v>20200511</v>
      </c>
      <c r="D134" s="16" t="s">
        <v>3</v>
      </c>
      <c r="E134" s="16" t="s">
        <v>684</v>
      </c>
      <c r="F134" s="18" t="s">
        <v>690</v>
      </c>
      <c r="G134" s="58" t="s">
        <v>61</v>
      </c>
      <c r="H134" s="16" t="s">
        <v>221</v>
      </c>
      <c r="I134" s="16" t="s">
        <v>670</v>
      </c>
      <c r="J134" s="16" t="s">
        <v>704</v>
      </c>
      <c r="K134" s="58" t="s">
        <v>61</v>
      </c>
      <c r="L134" s="58" t="s">
        <v>61</v>
      </c>
      <c r="M134" s="58" t="s">
        <v>61</v>
      </c>
      <c r="N134" s="16" t="s">
        <v>707</v>
      </c>
      <c r="O134" s="18" t="s">
        <v>61</v>
      </c>
      <c r="P134" s="18" t="s">
        <v>705</v>
      </c>
      <c r="Q134" s="19"/>
      <c r="R134" s="17" t="s">
        <v>706</v>
      </c>
      <c r="S134" s="16" t="s">
        <v>66</v>
      </c>
      <c r="T134" s="16"/>
      <c r="U134" s="16"/>
      <c r="V134" s="16"/>
      <c r="W134" s="16">
        <f>ROUND(IF(D134=Table!$C$3,Y134*Table!$C$4/8,Y134*Table!$D$4/8),3)</f>
        <v>360</v>
      </c>
      <c r="X134" s="16">
        <v>360</v>
      </c>
      <c r="Y134" s="16">
        <v>6.4</v>
      </c>
      <c r="Z134" s="16">
        <v>4</v>
      </c>
      <c r="AA134" s="16" t="s">
        <v>18</v>
      </c>
      <c r="AB134" s="16"/>
      <c r="AC134" s="20">
        <v>43962</v>
      </c>
      <c r="AD134" s="20">
        <v>43971</v>
      </c>
      <c r="AE134" s="20">
        <v>43963</v>
      </c>
      <c r="AF134" s="20">
        <v>43963</v>
      </c>
      <c r="AG134" s="20" t="s">
        <v>336</v>
      </c>
      <c r="AH134" s="32">
        <v>1</v>
      </c>
      <c r="AI134" s="32">
        <v>1</v>
      </c>
      <c r="AJ134" s="32">
        <v>0.9</v>
      </c>
      <c r="AK134" s="20"/>
      <c r="AL134" s="16" t="s">
        <v>742</v>
      </c>
      <c r="AM134" s="16"/>
      <c r="AN134" s="16"/>
    </row>
    <row r="135" spans="2:40" x14ac:dyDescent="0.25">
      <c r="B135" s="134">
        <f t="shared" si="15"/>
        <v>88</v>
      </c>
      <c r="C135" s="17">
        <v>20200511</v>
      </c>
      <c r="D135" s="16" t="s">
        <v>3</v>
      </c>
      <c r="E135" s="16" t="s">
        <v>684</v>
      </c>
      <c r="F135" s="18" t="s">
        <v>690</v>
      </c>
      <c r="G135" s="58" t="s">
        <v>61</v>
      </c>
      <c r="H135" s="16" t="s">
        <v>222</v>
      </c>
      <c r="I135" s="16" t="s">
        <v>671</v>
      </c>
      <c r="J135" s="16" t="s">
        <v>121</v>
      </c>
      <c r="K135" s="58" t="s">
        <v>61</v>
      </c>
      <c r="L135" s="58" t="s">
        <v>61</v>
      </c>
      <c r="M135" s="58" t="s">
        <v>61</v>
      </c>
      <c r="N135" s="16" t="s">
        <v>707</v>
      </c>
      <c r="O135" s="18" t="s">
        <v>61</v>
      </c>
      <c r="P135" s="18" t="s">
        <v>705</v>
      </c>
      <c r="Q135" s="19"/>
      <c r="R135" s="17" t="s">
        <v>706</v>
      </c>
      <c r="S135" s="16" t="s">
        <v>156</v>
      </c>
      <c r="T135" s="16"/>
      <c r="U135" s="16"/>
      <c r="V135" s="16"/>
      <c r="W135" s="16">
        <f>ROUND(IF(D135=Table!$C$3,Y135*Table!$C$4/8,Y135*Table!$D$4/8),3)</f>
        <v>112.5</v>
      </c>
      <c r="X135" s="16"/>
      <c r="Y135" s="16">
        <v>2</v>
      </c>
      <c r="Z135" s="16"/>
      <c r="AA135" s="16"/>
      <c r="AB135" s="16"/>
      <c r="AC135" s="20">
        <v>43962</v>
      </c>
      <c r="AD135" s="20">
        <v>43971</v>
      </c>
      <c r="AE135" s="20"/>
      <c r="AF135" s="20"/>
      <c r="AG135" s="20"/>
      <c r="AH135" s="32"/>
      <c r="AI135" s="32"/>
      <c r="AJ135" s="32"/>
      <c r="AK135" s="20"/>
      <c r="AL135" s="16"/>
      <c r="AM135" s="16"/>
      <c r="AN135" s="16"/>
    </row>
    <row r="136" spans="2:40" x14ac:dyDescent="0.25">
      <c r="B136" s="134">
        <f t="shared" si="15"/>
        <v>89</v>
      </c>
      <c r="C136" s="17">
        <v>20200511</v>
      </c>
      <c r="D136" s="16" t="s">
        <v>3</v>
      </c>
      <c r="E136" s="16" t="s">
        <v>684</v>
      </c>
      <c r="F136" s="18" t="s">
        <v>690</v>
      </c>
      <c r="G136" s="58" t="s">
        <v>61</v>
      </c>
      <c r="H136" s="16" t="s">
        <v>223</v>
      </c>
      <c r="I136" s="16" t="s">
        <v>672</v>
      </c>
      <c r="J136" s="16" t="s">
        <v>121</v>
      </c>
      <c r="K136" s="58" t="s">
        <v>61</v>
      </c>
      <c r="L136" s="58" t="s">
        <v>61</v>
      </c>
      <c r="M136" s="58" t="s">
        <v>61</v>
      </c>
      <c r="N136" s="16" t="s">
        <v>707</v>
      </c>
      <c r="O136" s="18" t="s">
        <v>61</v>
      </c>
      <c r="P136" s="18" t="s">
        <v>705</v>
      </c>
      <c r="Q136" s="19"/>
      <c r="R136" s="17" t="s">
        <v>706</v>
      </c>
      <c r="S136" s="16" t="s">
        <v>156</v>
      </c>
      <c r="T136" s="16"/>
      <c r="U136" s="16"/>
      <c r="V136" s="16"/>
      <c r="W136" s="16">
        <f>ROUND(IF(D136=Table!$C$3,Y136*Table!$C$4/8,Y136*Table!$D$4/8),3)</f>
        <v>216</v>
      </c>
      <c r="X136" s="16"/>
      <c r="Y136" s="16">
        <v>3.84</v>
      </c>
      <c r="Z136" s="16"/>
      <c r="AA136" s="16"/>
      <c r="AB136" s="16"/>
      <c r="AC136" s="20">
        <v>43962</v>
      </c>
      <c r="AD136" s="20">
        <v>43971</v>
      </c>
      <c r="AE136" s="20"/>
      <c r="AF136" s="20"/>
      <c r="AG136" s="20"/>
      <c r="AH136" s="32"/>
      <c r="AI136" s="32"/>
      <c r="AJ136" s="32"/>
      <c r="AK136" s="20"/>
      <c r="AL136" s="16"/>
      <c r="AM136" s="16"/>
      <c r="AN136" s="16"/>
    </row>
    <row r="137" spans="2:40" x14ac:dyDescent="0.25">
      <c r="B137" s="134">
        <f t="shared" si="15"/>
        <v>90</v>
      </c>
      <c r="C137" s="17">
        <v>20200511</v>
      </c>
      <c r="D137" s="16" t="s">
        <v>3</v>
      </c>
      <c r="E137" s="16" t="s">
        <v>684</v>
      </c>
      <c r="F137" s="18" t="s">
        <v>690</v>
      </c>
      <c r="G137" s="58" t="s">
        <v>61</v>
      </c>
      <c r="H137" s="16" t="s">
        <v>224</v>
      </c>
      <c r="I137" s="16" t="s">
        <v>673</v>
      </c>
      <c r="J137" s="16" t="s">
        <v>121</v>
      </c>
      <c r="K137" s="58" t="s">
        <v>61</v>
      </c>
      <c r="L137" s="58" t="s">
        <v>61</v>
      </c>
      <c r="M137" s="58" t="s">
        <v>61</v>
      </c>
      <c r="N137" s="16" t="s">
        <v>707</v>
      </c>
      <c r="O137" s="18" t="s">
        <v>61</v>
      </c>
      <c r="P137" s="18" t="s">
        <v>705</v>
      </c>
      <c r="Q137" s="19"/>
      <c r="R137" s="17" t="s">
        <v>706</v>
      </c>
      <c r="S137" s="16" t="s">
        <v>156</v>
      </c>
      <c r="T137" s="16"/>
      <c r="U137" s="16"/>
      <c r="V137" s="16"/>
      <c r="W137" s="16">
        <f>ROUND(IF(D137=Table!$C$3,Y137*Table!$C$4/8,Y137*Table!$D$4/8),3)</f>
        <v>90</v>
      </c>
      <c r="X137" s="16"/>
      <c r="Y137" s="16">
        <v>1.6</v>
      </c>
      <c r="Z137" s="16"/>
      <c r="AA137" s="16"/>
      <c r="AB137" s="16"/>
      <c r="AC137" s="20">
        <v>43962</v>
      </c>
      <c r="AD137" s="20">
        <v>43971</v>
      </c>
      <c r="AE137" s="20"/>
      <c r="AF137" s="20"/>
      <c r="AG137" s="20"/>
      <c r="AH137" s="32"/>
      <c r="AI137" s="32"/>
      <c r="AJ137" s="32"/>
      <c r="AK137" s="20"/>
      <c r="AL137" s="16"/>
      <c r="AM137" s="16"/>
      <c r="AN137" s="16"/>
    </row>
    <row r="138" spans="2:40" x14ac:dyDescent="0.25">
      <c r="B138" s="134">
        <f t="shared" si="15"/>
        <v>91</v>
      </c>
      <c r="C138" s="17">
        <v>20200511</v>
      </c>
      <c r="D138" s="16" t="s">
        <v>3</v>
      </c>
      <c r="E138" s="16" t="s">
        <v>684</v>
      </c>
      <c r="F138" s="18" t="s">
        <v>690</v>
      </c>
      <c r="G138" s="58" t="s">
        <v>61</v>
      </c>
      <c r="H138" s="16" t="s">
        <v>226</v>
      </c>
      <c r="I138" s="16" t="s">
        <v>674</v>
      </c>
      <c r="J138" s="16" t="s">
        <v>121</v>
      </c>
      <c r="K138" s="58" t="s">
        <v>61</v>
      </c>
      <c r="L138" s="58" t="s">
        <v>61</v>
      </c>
      <c r="M138" s="58" t="s">
        <v>61</v>
      </c>
      <c r="N138" s="16" t="s">
        <v>707</v>
      </c>
      <c r="O138" s="18" t="s">
        <v>61</v>
      </c>
      <c r="P138" s="18" t="s">
        <v>705</v>
      </c>
      <c r="Q138" s="19"/>
      <c r="R138" s="17" t="s">
        <v>706</v>
      </c>
      <c r="S138" s="16" t="s">
        <v>156</v>
      </c>
      <c r="T138" s="16"/>
      <c r="U138" s="16"/>
      <c r="V138" s="16"/>
      <c r="W138" s="16">
        <f>ROUND(IF(D138=Table!$C$3,Y138*Table!$C$4/8,Y138*Table!$D$4/8),3)</f>
        <v>67.5</v>
      </c>
      <c r="X138" s="16"/>
      <c r="Y138" s="16">
        <v>1.2</v>
      </c>
      <c r="Z138" s="16"/>
      <c r="AA138" s="16"/>
      <c r="AB138" s="16"/>
      <c r="AC138" s="20">
        <v>43962</v>
      </c>
      <c r="AD138" s="20">
        <v>43971</v>
      </c>
      <c r="AE138" s="20"/>
      <c r="AF138" s="20"/>
      <c r="AG138" s="20"/>
      <c r="AH138" s="32"/>
      <c r="AI138" s="32"/>
      <c r="AJ138" s="32"/>
      <c r="AK138" s="20"/>
      <c r="AL138" s="16"/>
      <c r="AM138" s="16"/>
      <c r="AN138" s="16"/>
    </row>
    <row r="139" spans="2:40" x14ac:dyDescent="0.25">
      <c r="B139" s="134">
        <f t="shared" si="15"/>
        <v>92</v>
      </c>
      <c r="C139" s="17">
        <v>20200511</v>
      </c>
      <c r="D139" s="16" t="s">
        <v>3</v>
      </c>
      <c r="E139" s="16" t="s">
        <v>684</v>
      </c>
      <c r="F139" s="18" t="s">
        <v>690</v>
      </c>
      <c r="G139" s="58" t="s">
        <v>61</v>
      </c>
      <c r="H139" s="16" t="s">
        <v>231</v>
      </c>
      <c r="I139" s="16" t="s">
        <v>675</v>
      </c>
      <c r="J139" s="16" t="s">
        <v>121</v>
      </c>
      <c r="K139" s="58" t="s">
        <v>61</v>
      </c>
      <c r="L139" s="58" t="s">
        <v>61</v>
      </c>
      <c r="M139" s="58" t="s">
        <v>61</v>
      </c>
      <c r="N139" s="16" t="s">
        <v>707</v>
      </c>
      <c r="O139" s="18" t="s">
        <v>61</v>
      </c>
      <c r="P139" s="18" t="s">
        <v>705</v>
      </c>
      <c r="Q139" s="19"/>
      <c r="R139" s="17" t="s">
        <v>706</v>
      </c>
      <c r="S139" s="16" t="s">
        <v>156</v>
      </c>
      <c r="T139" s="16"/>
      <c r="U139" s="16"/>
      <c r="V139" s="16"/>
      <c r="W139" s="16">
        <f>ROUND(IF(D139=Table!$C$3,Y139*Table!$C$4/8,Y139*Table!$D$4/8),3)</f>
        <v>261</v>
      </c>
      <c r="X139" s="16"/>
      <c r="Y139" s="16">
        <v>4.6399999999999997</v>
      </c>
      <c r="Z139" s="16"/>
      <c r="AA139" s="16"/>
      <c r="AB139" s="16"/>
      <c r="AC139" s="20">
        <v>43962</v>
      </c>
      <c r="AD139" s="20">
        <v>43971</v>
      </c>
      <c r="AE139" s="20"/>
      <c r="AF139" s="20"/>
      <c r="AG139" s="20"/>
      <c r="AH139" s="32"/>
      <c r="AI139" s="32"/>
      <c r="AJ139" s="32"/>
      <c r="AK139" s="20"/>
      <c r="AL139" s="16"/>
      <c r="AM139" s="16"/>
      <c r="AN139" s="16"/>
    </row>
    <row r="140" spans="2:40" x14ac:dyDescent="0.25">
      <c r="B140" s="134">
        <f t="shared" si="15"/>
        <v>93</v>
      </c>
      <c r="C140" s="17">
        <v>20200511</v>
      </c>
      <c r="D140" s="16" t="s">
        <v>3</v>
      </c>
      <c r="E140" s="16" t="s">
        <v>684</v>
      </c>
      <c r="F140" s="18" t="s">
        <v>690</v>
      </c>
      <c r="G140" s="58" t="s">
        <v>61</v>
      </c>
      <c r="H140" s="16" t="s">
        <v>232</v>
      </c>
      <c r="I140" s="16" t="s">
        <v>676</v>
      </c>
      <c r="J140" s="16" t="s">
        <v>121</v>
      </c>
      <c r="K140" s="58" t="s">
        <v>61</v>
      </c>
      <c r="L140" s="58" t="s">
        <v>61</v>
      </c>
      <c r="M140" s="58" t="s">
        <v>61</v>
      </c>
      <c r="N140" s="16" t="s">
        <v>707</v>
      </c>
      <c r="O140" s="18" t="s">
        <v>61</v>
      </c>
      <c r="P140" s="18" t="s">
        <v>705</v>
      </c>
      <c r="Q140" s="19"/>
      <c r="R140" s="17" t="s">
        <v>706</v>
      </c>
      <c r="S140" s="16" t="s">
        <v>156</v>
      </c>
      <c r="T140" s="16"/>
      <c r="U140" s="16"/>
      <c r="V140" s="16"/>
      <c r="W140" s="16">
        <f>ROUND(IF(D140=Table!$C$3,Y140*Table!$C$4/8,Y140*Table!$D$4/8),3)</f>
        <v>112.5</v>
      </c>
      <c r="X140" s="16"/>
      <c r="Y140" s="16">
        <v>2</v>
      </c>
      <c r="Z140" s="16"/>
      <c r="AA140" s="16"/>
      <c r="AB140" s="16"/>
      <c r="AC140" s="20">
        <v>43962</v>
      </c>
      <c r="AD140" s="20">
        <v>43971</v>
      </c>
      <c r="AE140" s="20"/>
      <c r="AF140" s="20"/>
      <c r="AG140" s="20"/>
      <c r="AH140" s="32"/>
      <c r="AI140" s="32"/>
      <c r="AJ140" s="32"/>
      <c r="AK140" s="20"/>
      <c r="AL140" s="16"/>
      <c r="AM140" s="16"/>
      <c r="AN140" s="16"/>
    </row>
    <row r="141" spans="2:40" x14ac:dyDescent="0.25">
      <c r="B141" s="134">
        <f t="shared" si="15"/>
        <v>94</v>
      </c>
      <c r="C141" s="17">
        <v>20200511</v>
      </c>
      <c r="D141" s="16" t="s">
        <v>3</v>
      </c>
      <c r="E141" s="16" t="s">
        <v>684</v>
      </c>
      <c r="F141" s="18" t="s">
        <v>690</v>
      </c>
      <c r="G141" s="58" t="s">
        <v>61</v>
      </c>
      <c r="H141" s="16" t="s">
        <v>233</v>
      </c>
      <c r="I141" s="16" t="s">
        <v>677</v>
      </c>
      <c r="J141" s="16" t="s">
        <v>121</v>
      </c>
      <c r="K141" s="58" t="s">
        <v>61</v>
      </c>
      <c r="L141" s="58" t="s">
        <v>61</v>
      </c>
      <c r="M141" s="58" t="s">
        <v>61</v>
      </c>
      <c r="N141" s="16" t="s">
        <v>707</v>
      </c>
      <c r="O141" s="18" t="s">
        <v>61</v>
      </c>
      <c r="P141" s="18" t="s">
        <v>705</v>
      </c>
      <c r="Q141" s="19"/>
      <c r="R141" s="17" t="s">
        <v>706</v>
      </c>
      <c r="S141" s="16" t="s">
        <v>156</v>
      </c>
      <c r="T141" s="16"/>
      <c r="U141" s="16"/>
      <c r="V141" s="16"/>
      <c r="W141" s="16">
        <f>ROUND(IF(D141=Table!$C$3,Y141*Table!$C$4/8,Y141*Table!$D$4/8),3)</f>
        <v>67.5</v>
      </c>
      <c r="X141" s="16"/>
      <c r="Y141" s="16">
        <v>1.2</v>
      </c>
      <c r="Z141" s="16"/>
      <c r="AA141" s="16"/>
      <c r="AB141" s="16"/>
      <c r="AC141" s="20">
        <v>43962</v>
      </c>
      <c r="AD141" s="20">
        <v>43971</v>
      </c>
      <c r="AE141" s="20"/>
      <c r="AF141" s="20"/>
      <c r="AG141" s="20"/>
      <c r="AH141" s="32"/>
      <c r="AI141" s="32"/>
      <c r="AJ141" s="32"/>
      <c r="AK141" s="20"/>
      <c r="AL141" s="16"/>
      <c r="AM141" s="16"/>
      <c r="AN141" s="16"/>
    </row>
    <row r="142" spans="2:40" x14ac:dyDescent="0.25">
      <c r="B142" s="134">
        <f t="shared" si="15"/>
        <v>95</v>
      </c>
      <c r="C142" s="17">
        <v>20200511</v>
      </c>
      <c r="D142" s="16" t="s">
        <v>3</v>
      </c>
      <c r="E142" s="16" t="s">
        <v>684</v>
      </c>
      <c r="F142" s="18" t="s">
        <v>690</v>
      </c>
      <c r="G142" s="58" t="s">
        <v>61</v>
      </c>
      <c r="H142" s="16" t="s">
        <v>235</v>
      </c>
      <c r="I142" s="16" t="s">
        <v>678</v>
      </c>
      <c r="J142" s="16" t="s">
        <v>121</v>
      </c>
      <c r="K142" s="58" t="s">
        <v>61</v>
      </c>
      <c r="L142" s="58" t="s">
        <v>61</v>
      </c>
      <c r="M142" s="58" t="s">
        <v>61</v>
      </c>
      <c r="N142" s="16" t="s">
        <v>707</v>
      </c>
      <c r="O142" s="18" t="s">
        <v>61</v>
      </c>
      <c r="P142" s="18" t="s">
        <v>705</v>
      </c>
      <c r="Q142" s="19"/>
      <c r="R142" s="17" t="s">
        <v>706</v>
      </c>
      <c r="S142" s="16" t="s">
        <v>156</v>
      </c>
      <c r="T142" s="16"/>
      <c r="U142" s="16"/>
      <c r="V142" s="16"/>
      <c r="W142" s="16">
        <f>ROUND(IF(D142=Table!$C$3,Y142*Table!$C$4/8,Y142*Table!$D$4/8),3)</f>
        <v>72</v>
      </c>
      <c r="X142" s="16"/>
      <c r="Y142" s="16">
        <v>1.28</v>
      </c>
      <c r="Z142" s="16"/>
      <c r="AA142" s="16"/>
      <c r="AB142" s="16"/>
      <c r="AC142" s="20">
        <v>43962</v>
      </c>
      <c r="AD142" s="20">
        <v>43971</v>
      </c>
      <c r="AE142" s="20"/>
      <c r="AF142" s="20"/>
      <c r="AG142" s="20"/>
      <c r="AH142" s="32"/>
      <c r="AI142" s="32"/>
      <c r="AJ142" s="32"/>
      <c r="AK142" s="20"/>
      <c r="AL142" s="16"/>
      <c r="AM142" s="16"/>
      <c r="AN142" s="16"/>
    </row>
    <row r="143" spans="2:40" x14ac:dyDescent="0.25">
      <c r="B143" s="134">
        <f t="shared" si="15"/>
        <v>96</v>
      </c>
      <c r="C143" s="17">
        <v>20200511</v>
      </c>
      <c r="D143" s="16" t="s">
        <v>3</v>
      </c>
      <c r="E143" s="16" t="s">
        <v>684</v>
      </c>
      <c r="F143" s="18" t="s">
        <v>690</v>
      </c>
      <c r="G143" s="58" t="s">
        <v>61</v>
      </c>
      <c r="H143" s="16" t="s">
        <v>243</v>
      </c>
      <c r="I143" s="16" t="s">
        <v>679</v>
      </c>
      <c r="J143" s="16" t="s">
        <v>704</v>
      </c>
      <c r="K143" s="58" t="s">
        <v>61</v>
      </c>
      <c r="L143" s="58" t="s">
        <v>61</v>
      </c>
      <c r="M143" s="58" t="s">
        <v>61</v>
      </c>
      <c r="N143" s="16" t="s">
        <v>707</v>
      </c>
      <c r="O143" s="18" t="s">
        <v>61</v>
      </c>
      <c r="P143" s="18" t="s">
        <v>705</v>
      </c>
      <c r="Q143" s="19"/>
      <c r="R143" s="17" t="s">
        <v>706</v>
      </c>
      <c r="S143" s="16" t="s">
        <v>156</v>
      </c>
      <c r="T143" s="16"/>
      <c r="U143" s="16"/>
      <c r="V143" s="16"/>
      <c r="W143" s="16">
        <f>ROUND(IF(D143=Table!$C$3,Y143*Table!$C$4/8,Y143*Table!$D$4/8),3)</f>
        <v>607.5</v>
      </c>
      <c r="X143" s="16"/>
      <c r="Y143" s="16">
        <v>10.8</v>
      </c>
      <c r="Z143" s="16"/>
      <c r="AA143" s="16"/>
      <c r="AB143" s="16"/>
      <c r="AC143" s="20">
        <v>43962</v>
      </c>
      <c r="AD143" s="20">
        <v>43971</v>
      </c>
      <c r="AE143" s="20"/>
      <c r="AF143" s="20"/>
      <c r="AG143" s="20"/>
      <c r="AH143" s="32"/>
      <c r="AI143" s="32"/>
      <c r="AJ143" s="32"/>
      <c r="AK143" s="20"/>
      <c r="AL143" s="16"/>
      <c r="AM143" s="16"/>
      <c r="AN143" s="16"/>
    </row>
    <row r="144" spans="2:40" x14ac:dyDescent="0.25">
      <c r="B144" s="134">
        <f t="shared" si="15"/>
        <v>97</v>
      </c>
      <c r="C144" s="17">
        <v>20200511</v>
      </c>
      <c r="D144" s="16" t="s">
        <v>3</v>
      </c>
      <c r="E144" s="16" t="s">
        <v>684</v>
      </c>
      <c r="F144" s="18" t="s">
        <v>690</v>
      </c>
      <c r="G144" s="58" t="s">
        <v>61</v>
      </c>
      <c r="H144" s="16" t="s">
        <v>247</v>
      </c>
      <c r="I144" s="16" t="s">
        <v>680</v>
      </c>
      <c r="J144" s="16" t="s">
        <v>121</v>
      </c>
      <c r="K144" s="58" t="s">
        <v>61</v>
      </c>
      <c r="L144" s="58" t="s">
        <v>61</v>
      </c>
      <c r="M144" s="58" t="s">
        <v>61</v>
      </c>
      <c r="N144" s="16" t="s">
        <v>707</v>
      </c>
      <c r="O144" s="18" t="s">
        <v>61</v>
      </c>
      <c r="P144" s="18" t="s">
        <v>705</v>
      </c>
      <c r="Q144" s="19"/>
      <c r="R144" s="17" t="s">
        <v>706</v>
      </c>
      <c r="S144" s="16" t="s">
        <v>156</v>
      </c>
      <c r="T144" s="16"/>
      <c r="U144" s="16"/>
      <c r="V144" s="16"/>
      <c r="W144" s="16">
        <f>ROUND(IF(D144=Table!$C$3,Y144*Table!$C$4/8,Y144*Table!$D$4/8),3)</f>
        <v>247.5</v>
      </c>
      <c r="X144" s="16"/>
      <c r="Y144" s="16">
        <v>4.4000000000000004</v>
      </c>
      <c r="Z144" s="16"/>
      <c r="AA144" s="16"/>
      <c r="AB144" s="16"/>
      <c r="AC144" s="20">
        <v>43962</v>
      </c>
      <c r="AD144" s="20">
        <v>43971</v>
      </c>
      <c r="AE144" s="20"/>
      <c r="AF144" s="20"/>
      <c r="AG144" s="20"/>
      <c r="AH144" s="32"/>
      <c r="AI144" s="32"/>
      <c r="AJ144" s="32"/>
      <c r="AK144" s="20"/>
      <c r="AL144" s="16"/>
      <c r="AM144" s="16"/>
      <c r="AN144" s="16"/>
    </row>
    <row r="145" spans="2:40" x14ac:dyDescent="0.25">
      <c r="B145" s="134">
        <f t="shared" si="15"/>
        <v>98</v>
      </c>
      <c r="C145" s="17">
        <v>20200511</v>
      </c>
      <c r="D145" s="16" t="s">
        <v>3</v>
      </c>
      <c r="E145" s="16" t="s">
        <v>684</v>
      </c>
      <c r="F145" s="18" t="s">
        <v>531</v>
      </c>
      <c r="G145" s="58" t="s">
        <v>61</v>
      </c>
      <c r="H145" s="16" t="s">
        <v>202</v>
      </c>
      <c r="I145" s="16" t="s">
        <v>681</v>
      </c>
      <c r="J145" s="16" t="s">
        <v>198</v>
      </c>
      <c r="K145" s="58" t="s">
        <v>61</v>
      </c>
      <c r="L145" s="58" t="s">
        <v>61</v>
      </c>
      <c r="M145" s="58" t="s">
        <v>61</v>
      </c>
      <c r="N145" s="16" t="s">
        <v>707</v>
      </c>
      <c r="O145" s="18" t="s">
        <v>61</v>
      </c>
      <c r="P145" s="18" t="s">
        <v>705</v>
      </c>
      <c r="Q145" s="19"/>
      <c r="R145" s="17" t="s">
        <v>706</v>
      </c>
      <c r="S145" s="16" t="s">
        <v>156</v>
      </c>
      <c r="T145" s="16"/>
      <c r="U145" s="16"/>
      <c r="V145" s="16"/>
      <c r="W145" s="16">
        <f>ROUND(IF(D145=Table!$C$3,Y145*Table!$C$4/8,Y145*Table!$D$4/8),3)</f>
        <v>67.5</v>
      </c>
      <c r="X145" s="16"/>
      <c r="Y145" s="16">
        <v>1.2</v>
      </c>
      <c r="Z145" s="16"/>
      <c r="AA145" s="16"/>
      <c r="AB145" s="16"/>
      <c r="AC145" s="20">
        <v>43962</v>
      </c>
      <c r="AD145" s="20">
        <v>43971</v>
      </c>
      <c r="AE145" s="20"/>
      <c r="AF145" s="20"/>
      <c r="AG145" s="20"/>
      <c r="AH145" s="32"/>
      <c r="AI145" s="32"/>
      <c r="AJ145" s="32"/>
      <c r="AK145" s="20"/>
      <c r="AL145" s="16"/>
      <c r="AM145" s="16"/>
      <c r="AN145" s="16"/>
    </row>
    <row r="146" spans="2:40" x14ac:dyDescent="0.25">
      <c r="B146" s="21"/>
      <c r="C146" s="17"/>
      <c r="D146" s="16"/>
      <c r="E146" s="16"/>
      <c r="F146" s="18"/>
      <c r="G146" s="18"/>
      <c r="H146" s="16"/>
      <c r="I146" s="16"/>
      <c r="J146" s="16"/>
      <c r="K146" s="16"/>
      <c r="L146" s="16"/>
      <c r="M146" s="16"/>
      <c r="N146" s="16"/>
      <c r="O146" s="18"/>
      <c r="P146" s="18"/>
      <c r="Q146" s="19"/>
      <c r="R146" s="17"/>
      <c r="S146" s="16"/>
      <c r="T146" s="16"/>
      <c r="U146" s="16"/>
      <c r="V146" s="16"/>
      <c r="W146" s="16"/>
      <c r="X146" s="16"/>
      <c r="Y146" s="16"/>
      <c r="Z146" s="16"/>
      <c r="AA146" s="16"/>
      <c r="AB146" s="16"/>
      <c r="AC146" s="20"/>
      <c r="AD146" s="20"/>
      <c r="AE146" s="20"/>
      <c r="AF146" s="20"/>
      <c r="AG146" s="20"/>
      <c r="AH146" s="32"/>
      <c r="AI146" s="32"/>
      <c r="AJ146" s="32"/>
      <c r="AK146" s="20"/>
      <c r="AL146" s="16"/>
      <c r="AM146" s="16"/>
      <c r="AN146" s="16"/>
    </row>
    <row r="147" spans="2:40" x14ac:dyDescent="0.25">
      <c r="B147" s="21"/>
      <c r="C147" s="17"/>
      <c r="D147" s="16"/>
      <c r="E147" s="16"/>
      <c r="F147" s="18"/>
      <c r="G147" s="18"/>
      <c r="H147" s="16"/>
      <c r="I147" s="16"/>
      <c r="J147" s="16"/>
      <c r="K147" s="16"/>
      <c r="L147" s="16"/>
      <c r="M147" s="16"/>
      <c r="N147" s="16"/>
      <c r="O147" s="18"/>
      <c r="P147" s="18"/>
      <c r="Q147" s="19"/>
      <c r="R147" s="17"/>
      <c r="S147" s="16"/>
      <c r="T147" s="16"/>
      <c r="U147" s="16"/>
      <c r="V147" s="16"/>
      <c r="W147" s="16"/>
      <c r="X147" s="16"/>
      <c r="Y147" s="16"/>
      <c r="Z147" s="16"/>
      <c r="AA147" s="16"/>
      <c r="AB147" s="16"/>
      <c r="AC147" s="20"/>
      <c r="AD147" s="20"/>
      <c r="AE147" s="20"/>
      <c r="AF147" s="20"/>
      <c r="AG147" s="20"/>
      <c r="AH147" s="32"/>
      <c r="AI147" s="32"/>
      <c r="AJ147" s="32"/>
      <c r="AK147" s="20"/>
      <c r="AL147" s="16"/>
      <c r="AM147" s="16"/>
      <c r="AN147" s="16"/>
    </row>
    <row r="148" spans="2:40" x14ac:dyDescent="0.25">
      <c r="B148" s="21"/>
      <c r="C148" s="17"/>
      <c r="D148" s="16"/>
      <c r="E148" s="16"/>
      <c r="F148" s="18"/>
      <c r="G148" s="18"/>
      <c r="H148" s="16"/>
      <c r="I148" s="16"/>
      <c r="J148" s="16"/>
      <c r="K148" s="16"/>
      <c r="L148" s="16"/>
      <c r="M148" s="16"/>
      <c r="N148" s="16"/>
      <c r="O148" s="18"/>
      <c r="P148" s="18"/>
      <c r="Q148" s="19"/>
      <c r="R148" s="17"/>
      <c r="S148" s="16"/>
      <c r="T148" s="16"/>
      <c r="U148" s="16"/>
      <c r="V148" s="16"/>
      <c r="W148" s="16"/>
      <c r="X148" s="16"/>
      <c r="Y148" s="16"/>
      <c r="Z148" s="16"/>
      <c r="AA148" s="16"/>
      <c r="AB148" s="16"/>
      <c r="AC148" s="20"/>
      <c r="AD148" s="20"/>
      <c r="AE148" s="20"/>
      <c r="AF148" s="20"/>
      <c r="AG148" s="20"/>
      <c r="AH148" s="32"/>
      <c r="AI148" s="32"/>
      <c r="AJ148" s="32"/>
      <c r="AK148" s="20"/>
      <c r="AL148" s="16"/>
      <c r="AM148" s="16"/>
      <c r="AN148" s="16"/>
    </row>
    <row r="149" spans="2:40" x14ac:dyDescent="0.25">
      <c r="B149" s="21"/>
      <c r="C149" s="17"/>
      <c r="D149" s="16"/>
      <c r="E149" s="16"/>
      <c r="F149" s="18"/>
      <c r="G149" s="18"/>
      <c r="H149" s="16"/>
      <c r="I149" s="16"/>
      <c r="J149" s="16"/>
      <c r="K149" s="16"/>
      <c r="L149" s="16"/>
      <c r="M149" s="16"/>
      <c r="N149" s="16"/>
      <c r="O149" s="18"/>
      <c r="P149" s="18"/>
      <c r="Q149" s="19"/>
      <c r="R149" s="17"/>
      <c r="S149" s="16"/>
      <c r="T149" s="16"/>
      <c r="U149" s="16"/>
      <c r="V149" s="16"/>
      <c r="W149" s="16"/>
      <c r="X149" s="16"/>
      <c r="Y149" s="16"/>
      <c r="Z149" s="16"/>
      <c r="AA149" s="16"/>
      <c r="AB149" s="16"/>
      <c r="AC149" s="20"/>
      <c r="AD149" s="20"/>
      <c r="AE149" s="20"/>
      <c r="AF149" s="20"/>
      <c r="AG149" s="20"/>
      <c r="AH149" s="32"/>
      <c r="AI149" s="32"/>
      <c r="AJ149" s="32"/>
      <c r="AK149" s="20"/>
      <c r="AL149" s="16"/>
      <c r="AM149" s="16"/>
      <c r="AN149" s="16"/>
    </row>
    <row r="150" spans="2:40" x14ac:dyDescent="0.25">
      <c r="B150" s="21"/>
      <c r="C150" s="17"/>
      <c r="D150" s="16"/>
      <c r="E150" s="16"/>
      <c r="F150" s="18"/>
      <c r="G150" s="18"/>
      <c r="H150" s="16"/>
      <c r="I150" s="16"/>
      <c r="J150" s="16"/>
      <c r="K150" s="16"/>
      <c r="L150" s="16"/>
      <c r="M150" s="16"/>
      <c r="N150" s="16"/>
      <c r="O150" s="18"/>
      <c r="P150" s="18"/>
      <c r="Q150" s="19"/>
      <c r="R150" s="17"/>
      <c r="S150" s="16"/>
      <c r="T150" s="16"/>
      <c r="U150" s="16"/>
      <c r="V150" s="16"/>
      <c r="W150" s="16"/>
      <c r="X150" s="16"/>
      <c r="Y150" s="16"/>
      <c r="Z150" s="16"/>
      <c r="AA150" s="16"/>
      <c r="AB150" s="16"/>
      <c r="AC150" s="20"/>
      <c r="AD150" s="20"/>
      <c r="AE150" s="20"/>
      <c r="AF150" s="20"/>
      <c r="AG150" s="20"/>
      <c r="AH150" s="32"/>
      <c r="AI150" s="32"/>
      <c r="AJ150" s="32"/>
      <c r="AK150" s="20"/>
      <c r="AL150" s="16"/>
      <c r="AM150" s="16"/>
      <c r="AN150" s="16"/>
    </row>
    <row r="151" spans="2:40" x14ac:dyDescent="0.25">
      <c r="B151" s="21"/>
      <c r="C151" s="17"/>
      <c r="D151" s="16"/>
      <c r="E151" s="16"/>
      <c r="F151" s="18"/>
      <c r="G151" s="18"/>
      <c r="H151" s="16"/>
      <c r="I151" s="16"/>
      <c r="J151" s="16"/>
      <c r="K151" s="16"/>
      <c r="L151" s="16"/>
      <c r="M151" s="16"/>
      <c r="N151" s="16"/>
      <c r="O151" s="18"/>
      <c r="P151" s="18"/>
      <c r="Q151" s="19"/>
      <c r="R151" s="17"/>
      <c r="S151" s="16"/>
      <c r="T151" s="16"/>
      <c r="U151" s="16"/>
      <c r="V151" s="16"/>
      <c r="W151" s="16"/>
      <c r="X151" s="16"/>
      <c r="Y151" s="16"/>
      <c r="Z151" s="16"/>
      <c r="AA151" s="16"/>
      <c r="AB151" s="16"/>
      <c r="AC151" s="20"/>
      <c r="AD151" s="20"/>
      <c r="AE151" s="20"/>
      <c r="AF151" s="20"/>
      <c r="AG151" s="20"/>
      <c r="AH151" s="32"/>
      <c r="AI151" s="32"/>
      <c r="AJ151" s="32"/>
      <c r="AK151" s="20"/>
      <c r="AL151" s="16"/>
      <c r="AM151" s="16"/>
      <c r="AN151" s="16"/>
    </row>
    <row r="152" spans="2:40" x14ac:dyDescent="0.25">
      <c r="B152" s="21"/>
      <c r="C152" s="17"/>
      <c r="D152" s="16"/>
      <c r="E152" s="16"/>
      <c r="F152" s="18"/>
      <c r="G152" s="18"/>
      <c r="H152" s="16"/>
      <c r="I152" s="16"/>
      <c r="J152" s="16"/>
      <c r="K152" s="16"/>
      <c r="L152" s="16"/>
      <c r="M152" s="16"/>
      <c r="N152" s="16"/>
      <c r="O152" s="18"/>
      <c r="P152" s="18"/>
      <c r="Q152" s="19"/>
      <c r="R152" s="17"/>
      <c r="S152" s="16"/>
      <c r="T152" s="16"/>
      <c r="U152" s="16"/>
      <c r="V152" s="16"/>
      <c r="W152" s="16"/>
      <c r="X152" s="16"/>
      <c r="Y152" s="16"/>
      <c r="Z152" s="16"/>
      <c r="AA152" s="16"/>
      <c r="AB152" s="16"/>
      <c r="AC152" s="20"/>
      <c r="AD152" s="20"/>
      <c r="AE152" s="20"/>
      <c r="AF152" s="20"/>
      <c r="AG152" s="20"/>
      <c r="AH152" s="32"/>
      <c r="AI152" s="32"/>
      <c r="AJ152" s="32"/>
      <c r="AK152" s="20"/>
      <c r="AL152" s="16"/>
      <c r="AM152" s="16"/>
      <c r="AN152" s="16"/>
    </row>
    <row r="153" spans="2:40" x14ac:dyDescent="0.25">
      <c r="B153" s="21"/>
      <c r="C153" s="17"/>
      <c r="D153" s="16"/>
      <c r="E153" s="16"/>
      <c r="F153" s="18"/>
      <c r="G153" s="18"/>
      <c r="H153" s="16"/>
      <c r="I153" s="16"/>
      <c r="J153" s="16"/>
      <c r="K153" s="16"/>
      <c r="L153" s="16"/>
      <c r="M153" s="16"/>
      <c r="N153" s="16"/>
      <c r="O153" s="18"/>
      <c r="P153" s="18"/>
      <c r="Q153" s="19"/>
      <c r="R153" s="17"/>
      <c r="S153" s="16"/>
      <c r="T153" s="16"/>
      <c r="U153" s="16"/>
      <c r="V153" s="16"/>
      <c r="W153" s="16"/>
      <c r="X153" s="16"/>
      <c r="Y153" s="16"/>
      <c r="Z153" s="16"/>
      <c r="AA153" s="16"/>
      <c r="AB153" s="16"/>
      <c r="AC153" s="20"/>
      <c r="AD153" s="20"/>
      <c r="AE153" s="20"/>
      <c r="AF153" s="20"/>
      <c r="AG153" s="20"/>
      <c r="AH153" s="32"/>
      <c r="AI153" s="32"/>
      <c r="AJ153" s="32"/>
      <c r="AK153" s="20"/>
      <c r="AL153" s="16"/>
      <c r="AM153" s="16"/>
      <c r="AN153" s="16"/>
    </row>
    <row r="154" spans="2:40" x14ac:dyDescent="0.25">
      <c r="B154" s="21"/>
      <c r="C154" s="17"/>
      <c r="D154" s="16"/>
      <c r="E154" s="16"/>
      <c r="F154" s="18"/>
      <c r="G154" s="18"/>
      <c r="H154" s="16"/>
      <c r="I154" s="16"/>
      <c r="J154" s="16"/>
      <c r="K154" s="16"/>
      <c r="L154" s="16"/>
      <c r="M154" s="16"/>
      <c r="N154" s="16"/>
      <c r="O154" s="18"/>
      <c r="P154" s="18"/>
      <c r="Q154" s="19"/>
      <c r="R154" s="17"/>
      <c r="S154" s="16"/>
      <c r="T154" s="16"/>
      <c r="U154" s="16"/>
      <c r="V154" s="16"/>
      <c r="W154" s="16"/>
      <c r="X154" s="16"/>
      <c r="Y154" s="16"/>
      <c r="Z154" s="16"/>
      <c r="AA154" s="16"/>
      <c r="AB154" s="16"/>
      <c r="AC154" s="20"/>
      <c r="AD154" s="20"/>
      <c r="AE154" s="20"/>
      <c r="AF154" s="20"/>
      <c r="AG154" s="20"/>
      <c r="AH154" s="32"/>
      <c r="AI154" s="32"/>
      <c r="AJ154" s="32"/>
      <c r="AK154" s="20"/>
      <c r="AL154" s="16"/>
      <c r="AM154" s="16"/>
      <c r="AN154" s="16"/>
    </row>
    <row r="155" spans="2:40" x14ac:dyDescent="0.25">
      <c r="B155" s="21"/>
      <c r="C155" s="17"/>
      <c r="D155" s="16"/>
      <c r="E155" s="16"/>
      <c r="F155" s="18"/>
      <c r="G155" s="18"/>
      <c r="H155" s="16"/>
      <c r="I155" s="16"/>
      <c r="J155" s="16"/>
      <c r="K155" s="16"/>
      <c r="L155" s="16"/>
      <c r="M155" s="16"/>
      <c r="N155" s="16"/>
      <c r="O155" s="18"/>
      <c r="P155" s="18"/>
      <c r="Q155" s="19"/>
      <c r="R155" s="17"/>
      <c r="S155" s="16"/>
      <c r="T155" s="16"/>
      <c r="U155" s="16"/>
      <c r="V155" s="16"/>
      <c r="W155" s="16"/>
      <c r="X155" s="16"/>
      <c r="Y155" s="16"/>
      <c r="Z155" s="16"/>
      <c r="AA155" s="16"/>
      <c r="AB155" s="16"/>
      <c r="AC155" s="20"/>
      <c r="AD155" s="20"/>
      <c r="AE155" s="20"/>
      <c r="AF155" s="20"/>
      <c r="AG155" s="20"/>
      <c r="AH155" s="32"/>
      <c r="AI155" s="32"/>
      <c r="AJ155" s="32"/>
      <c r="AK155" s="20"/>
      <c r="AL155" s="16"/>
      <c r="AM155" s="16"/>
      <c r="AN155" s="16"/>
    </row>
    <row r="156" spans="2:40" x14ac:dyDescent="0.25">
      <c r="B156" s="21"/>
      <c r="C156" s="17"/>
      <c r="D156" s="16"/>
      <c r="E156" s="16"/>
      <c r="F156" s="18"/>
      <c r="G156" s="18"/>
      <c r="H156" s="16"/>
      <c r="I156" s="16"/>
      <c r="J156" s="16"/>
      <c r="K156" s="16"/>
      <c r="L156" s="16"/>
      <c r="M156" s="16"/>
      <c r="N156" s="16"/>
      <c r="O156" s="18"/>
      <c r="P156" s="18"/>
      <c r="Q156" s="19"/>
      <c r="R156" s="17"/>
      <c r="S156" s="16"/>
      <c r="T156" s="16"/>
      <c r="U156" s="16"/>
      <c r="V156" s="16"/>
      <c r="W156" s="16"/>
      <c r="X156" s="16"/>
      <c r="Y156" s="16"/>
      <c r="Z156" s="16"/>
      <c r="AA156" s="16"/>
      <c r="AB156" s="16"/>
      <c r="AC156" s="20"/>
      <c r="AD156" s="20"/>
      <c r="AE156" s="20"/>
      <c r="AF156" s="20"/>
      <c r="AG156" s="20"/>
      <c r="AH156" s="32"/>
      <c r="AI156" s="32"/>
      <c r="AJ156" s="32"/>
      <c r="AK156" s="20"/>
      <c r="AL156" s="16"/>
      <c r="AM156" s="16"/>
      <c r="AN156" s="16"/>
    </row>
    <row r="157" spans="2:40" x14ac:dyDescent="0.25">
      <c r="B157" s="21"/>
      <c r="C157" s="17"/>
      <c r="D157" s="16"/>
      <c r="E157" s="16"/>
      <c r="F157" s="18"/>
      <c r="G157" s="18"/>
      <c r="H157" s="16"/>
      <c r="I157" s="16"/>
      <c r="J157" s="16"/>
      <c r="K157" s="16"/>
      <c r="L157" s="16"/>
      <c r="M157" s="16"/>
      <c r="N157" s="16"/>
      <c r="O157" s="18"/>
      <c r="P157" s="18"/>
      <c r="Q157" s="19"/>
      <c r="R157" s="17"/>
      <c r="S157" s="16"/>
      <c r="T157" s="16"/>
      <c r="U157" s="16"/>
      <c r="V157" s="16"/>
      <c r="W157" s="16"/>
      <c r="X157" s="16"/>
      <c r="Y157" s="16"/>
      <c r="Z157" s="16"/>
      <c r="AA157" s="16"/>
      <c r="AB157" s="16"/>
      <c r="AC157" s="20"/>
      <c r="AD157" s="20"/>
      <c r="AE157" s="20"/>
      <c r="AF157" s="20"/>
      <c r="AG157" s="20"/>
      <c r="AH157" s="32"/>
      <c r="AI157" s="32"/>
      <c r="AJ157" s="32"/>
      <c r="AK157" s="20"/>
      <c r="AL157" s="16"/>
      <c r="AM157" s="16"/>
      <c r="AN157" s="16"/>
    </row>
    <row r="158" spans="2:40" x14ac:dyDescent="0.25">
      <c r="B158" s="21"/>
      <c r="C158" s="17"/>
      <c r="D158" s="16"/>
      <c r="E158" s="16"/>
      <c r="F158" s="18"/>
      <c r="G158" s="18"/>
      <c r="H158" s="16"/>
      <c r="I158" s="16"/>
      <c r="J158" s="16"/>
      <c r="K158" s="16"/>
      <c r="L158" s="16"/>
      <c r="M158" s="16"/>
      <c r="N158" s="16"/>
      <c r="O158" s="18"/>
      <c r="P158" s="18"/>
      <c r="Q158" s="19"/>
      <c r="R158" s="17"/>
      <c r="S158" s="16"/>
      <c r="T158" s="16"/>
      <c r="U158" s="16"/>
      <c r="V158" s="16"/>
      <c r="W158" s="16"/>
      <c r="X158" s="16"/>
      <c r="Y158" s="16"/>
      <c r="Z158" s="16"/>
      <c r="AA158" s="16"/>
      <c r="AB158" s="16"/>
      <c r="AC158" s="20"/>
      <c r="AD158" s="20"/>
      <c r="AE158" s="20"/>
      <c r="AF158" s="20"/>
      <c r="AG158" s="20"/>
      <c r="AH158" s="32"/>
      <c r="AI158" s="32"/>
      <c r="AJ158" s="32"/>
      <c r="AK158" s="20"/>
      <c r="AL158" s="16"/>
      <c r="AM158" s="16"/>
      <c r="AN158" s="16"/>
    </row>
  </sheetData>
  <customSheetViews>
    <customSheetView guid="{7ECC2B8E-6A82-42F5-8AB0-4A51C54EA5EC}" topLeftCell="A16">
      <selection activeCell="Y52" sqref="Y52"/>
      <pageMargins left="0.7" right="0.7" top="0.75" bottom="0.75" header="0.3" footer="0.3"/>
    </customSheetView>
    <customSheetView guid="{3B3E6719-EACB-4D2C-89C1-05FFAB6020FD}" scale="70" topLeftCell="G19">
      <selection activeCell="H18" sqref="H18"/>
      <pageMargins left="0.7" right="0.7" top="0.75" bottom="0.75" header="0.3" footer="0.3"/>
    </customSheetView>
    <customSheetView guid="{336B6883-2145-4B58-921E-CEC7185A847E}" filter="1" showAutoFilter="1" topLeftCell="A82">
      <selection activeCell="E146" sqref="E146"/>
      <pageMargins left="0.7" right="0.7" top="0.75" bottom="0.75" header="0.3" footer="0.3"/>
      <autoFilter ref="B47:AN145">
        <filterColumn colId="17">
          <filters>
            <filter val="dac.luu-cong"/>
          </filters>
        </filterColumn>
      </autoFilter>
    </customSheetView>
    <customSheetView guid="{A2C66332-A809-458E-971B-FDB6D62C74C3}" scale="70" showAutoFilter="1">
      <selection activeCell="Q51" sqref="Q51:AH55"/>
      <pageMargins left="0.7" right="0.7" top="0.75" bottom="0.75" header="0.3" footer="0.3"/>
      <autoFilter ref="B47:AN116"/>
    </customSheetView>
    <customSheetView guid="{72A6EB0A-84D5-4B8A-AC51-54CCD061630B}" scale="85">
      <selection activeCell="I21" sqref="I21"/>
      <pageMargins left="0.7" right="0.7" top="0.75" bottom="0.75" header="0.3" footer="0.3"/>
    </customSheetView>
    <customSheetView guid="{4E06BDBF-2CED-473B-850B-2A6C7311FF41}">
      <selection activeCell="C8" sqref="C8"/>
      <pageMargins left="0.7" right="0.7" top="0.75" bottom="0.75" header="0.3" footer="0.3"/>
    </customSheetView>
    <customSheetView guid="{D33AC7AF-C8AB-4CE9-94C7-9237011A5FC3}" scale="70" showAutoFilter="1" topLeftCell="A80">
      <selection activeCell="E112" sqref="E112"/>
      <pageMargins left="0.7" right="0.7" top="0.75" bottom="0.75" header="0.3" footer="0.3"/>
      <autoFilter ref="B47:AN116"/>
    </customSheetView>
    <customSheetView guid="{7E0EA425-A420-4443-B9E0-CDF0AA9E5D09}" topLeftCell="A19">
      <selection activeCell="I38" sqref="I38"/>
      <pageMargins left="0.7" right="0.7" top="0.75" bottom="0.75" header="0.3" footer="0.3"/>
    </customSheetView>
    <customSheetView guid="{60D2C030-4E31-4E07-8E1C-44D2EE84B177}" topLeftCell="A79">
      <selection activeCell="M20" sqref="M20"/>
      <pageMargins left="0.7" right="0.7" top="0.75" bottom="0.75" header="0.3" footer="0.3"/>
    </customSheetView>
    <customSheetView guid="{250915DF-0B97-45D7-B29D-7EED4C89C1C1}" scale="70" topLeftCell="A112">
      <selection activeCell="A132" sqref="A132"/>
      <pageMargins left="0.7" right="0.7" top="0.75" bottom="0.75" header="0.3" footer="0.3"/>
    </customSheetView>
  </customSheetViews>
  <conditionalFormatting sqref="H4:H13 H19:H29">
    <cfRule type="cellIs" dxfId="58" priority="37" operator="equal">
      <formula>1</formula>
    </cfRule>
    <cfRule type="cellIs" dxfId="57" priority="38" operator="lessThan">
      <formula>1</formula>
    </cfRule>
  </conditionalFormatting>
  <conditionalFormatting sqref="AK109:AK158 AG103:AG158">
    <cfRule type="cellIs" dxfId="56" priority="35" operator="equal">
      <formula>"OK"</formula>
    </cfRule>
    <cfRule type="cellIs" dxfId="55" priority="36" operator="equal">
      <formula>"NG"</formula>
    </cfRule>
  </conditionalFormatting>
  <conditionalFormatting sqref="O109:P158">
    <cfRule type="cellIs" dxfId="54" priority="34" operator="equal">
      <formula>"PUT_VERSION"</formula>
    </cfRule>
  </conditionalFormatting>
  <conditionalFormatting sqref="D14">
    <cfRule type="expression" dxfId="53" priority="33">
      <formula>$D$14=SUM($D$4:$D$13)</formula>
    </cfRule>
  </conditionalFormatting>
  <conditionalFormatting sqref="E14">
    <cfRule type="expression" dxfId="52" priority="32">
      <formula>$E$14=SUM($E$4:$E$13)</formula>
    </cfRule>
  </conditionalFormatting>
  <conditionalFormatting sqref="F14">
    <cfRule type="expression" dxfId="51" priority="31">
      <formula>$F$14=SUM($F$4:$F$13)</formula>
    </cfRule>
  </conditionalFormatting>
  <conditionalFormatting sqref="D29">
    <cfRule type="expression" dxfId="50" priority="30">
      <formula>$D$29=SUM($D$19:$D$28)</formula>
    </cfRule>
  </conditionalFormatting>
  <conditionalFormatting sqref="E29">
    <cfRule type="expression" dxfId="49" priority="29">
      <formula>$E$29=SUM($E$19:$E$28)</formula>
    </cfRule>
  </conditionalFormatting>
  <conditionalFormatting sqref="H34">
    <cfRule type="cellIs" dxfId="48" priority="19" operator="equal">
      <formula>1</formula>
    </cfRule>
    <cfRule type="cellIs" dxfId="47" priority="20" operator="lessThan">
      <formula>1</formula>
    </cfRule>
  </conditionalFormatting>
  <conditionalFormatting sqref="H35:H43">
    <cfRule type="cellIs" dxfId="46" priority="17" operator="equal">
      <formula>1</formula>
    </cfRule>
    <cfRule type="cellIs" dxfId="45" priority="18" operator="lessThan">
      <formula>1</formula>
    </cfRule>
  </conditionalFormatting>
  <conditionalFormatting sqref="H44">
    <cfRule type="cellIs" dxfId="44" priority="15" operator="equal">
      <formula>1</formula>
    </cfRule>
    <cfRule type="cellIs" dxfId="43" priority="16" operator="lessThan">
      <formula>1</formula>
    </cfRule>
  </conditionalFormatting>
  <conditionalFormatting sqref="F29">
    <cfRule type="expression" dxfId="42" priority="43">
      <formula>$F$29=SUM($F$19:$F$28)</formula>
    </cfRule>
  </conditionalFormatting>
  <conditionalFormatting sqref="AG48:AG158">
    <cfRule type="cellIs" dxfId="41" priority="13" operator="equal">
      <formula>"OK"</formula>
    </cfRule>
    <cfRule type="cellIs" dxfId="40" priority="14" operator="equal">
      <formula>"NG"</formula>
    </cfRule>
  </conditionalFormatting>
  <conditionalFormatting sqref="AG49">
    <cfRule type="cellIs" dxfId="39" priority="10" operator="equal">
      <formula>"OK"</formula>
    </cfRule>
    <cfRule type="cellIs" dxfId="38" priority="11" operator="equal">
      <formula>"NG"</formula>
    </cfRule>
  </conditionalFormatting>
  <conditionalFormatting sqref="AG50">
    <cfRule type="cellIs" dxfId="37" priority="7" operator="equal">
      <formula>"OK"</formula>
    </cfRule>
    <cfRule type="cellIs" dxfId="36" priority="8" operator="equal">
      <formula>"NG"</formula>
    </cfRule>
  </conditionalFormatting>
  <conditionalFormatting sqref="AG51">
    <cfRule type="cellIs" dxfId="35" priority="4" operator="equal">
      <formula>"OK"</formula>
    </cfRule>
    <cfRule type="cellIs" dxfId="34" priority="5" operator="equal">
      <formula>"NG"</formula>
    </cfRule>
  </conditionalFormatting>
  <conditionalFormatting sqref="AG102">
    <cfRule type="cellIs" dxfId="33" priority="1" operator="equal">
      <formula>"OK"</formula>
    </cfRule>
    <cfRule type="cellIs" dxfId="32" priority="2"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58">
      <formula1>"Yes,No"</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39" operator="greaterThanOrEqual" id="{0E75E3B3-EDB5-45F5-833F-9302836CD5B4}">
            <xm:f>Table!$C$4</xm:f>
            <x14:dxf>
              <font>
                <color rgb="FF006100"/>
              </font>
              <fill>
                <patternFill>
                  <bgColor rgb="FFC6EFCE"/>
                </patternFill>
              </fill>
            </x14:dxf>
          </x14:cfRule>
          <x14:cfRule type="cellIs" priority="40"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41" operator="greaterThanOrEqual" id="{A9231A75-2EB5-402E-97C4-323D56C068D8}">
            <xm:f>Table!$D$4</xm:f>
            <x14:dxf>
              <font>
                <color rgb="FF006100"/>
              </font>
              <fill>
                <patternFill>
                  <bgColor rgb="FFC6EFCE"/>
                </patternFill>
              </fill>
            </x14:dxf>
          </x14:cfRule>
          <x14:cfRule type="cellIs" priority="42"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27" operator="greaterThanOrEqual" id="{8F20301B-8681-44B2-92CC-21C4975A5416}">
            <xm:f>Table!$D$4</xm:f>
            <x14:dxf>
              <font>
                <color rgb="FF006100"/>
              </font>
              <fill>
                <patternFill>
                  <bgColor rgb="FFC6EFCE"/>
                </patternFill>
              </fill>
            </x14:dxf>
          </x14:cfRule>
          <x14:cfRule type="cellIs" priority="28"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25" operator="greaterThanOrEqual" id="{204839CC-E17E-4053-9244-2AE05B7C201E}">
            <xm:f>Table!$D$4</xm:f>
            <x14:dxf>
              <font>
                <color rgb="FF006100"/>
              </font>
              <fill>
                <patternFill>
                  <bgColor rgb="FFC6EFCE"/>
                </patternFill>
              </fill>
            </x14:dxf>
          </x14:cfRule>
          <x14:cfRule type="cellIs" priority="26"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23" operator="greaterThanOrEqual" id="{5955973F-691E-4017-996D-C9584C4AAF3E}">
            <xm:f>Table!$D$4</xm:f>
            <x14:dxf>
              <font>
                <color rgb="FF006100"/>
              </font>
              <fill>
                <patternFill>
                  <bgColor rgb="FFC6EFCE"/>
                </patternFill>
              </fill>
            </x14:dxf>
          </x14:cfRule>
          <x14:cfRule type="cellIs" priority="24"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21" operator="greaterThanOrEqual" id="{9428B70D-F52A-41BF-B3CE-DB3CFC9C4AB0}">
            <xm:f>Table!$D$4</xm:f>
            <x14:dxf>
              <font>
                <color rgb="FF006100"/>
              </font>
              <fill>
                <patternFill>
                  <bgColor rgb="FFC6EFCE"/>
                </patternFill>
              </fill>
            </x14:dxf>
          </x14:cfRule>
          <x14:cfRule type="cellIs" priority="22"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12" id="{8014DC86-9045-4B22-9DB2-C6E76B610B95}">
            <xm:f>OR(AK48=Table!$C$36,AK48=Table!$C$37)</xm:f>
            <x14:dxf>
              <font>
                <color rgb="FF9C0006"/>
              </font>
              <fill>
                <patternFill>
                  <bgColor rgb="FFFFC7CE"/>
                </patternFill>
              </fill>
            </x14:dxf>
          </x14:cfRule>
          <xm:sqref>AK48:AK62 AL63 AK64:AK66 AL67 AK68:AK71 AL72 AK73:AK76 AK78:AK158 AL77</xm:sqref>
        </x14:conditionalFormatting>
        <x14:conditionalFormatting xmlns:xm="http://schemas.microsoft.com/office/excel/2006/main">
          <x14:cfRule type="expression" priority="9"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6"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3" id="{65785BBE-F975-4ED2-B541-13D1D62F0F36}">
            <xm:f>OR(AK51=Table!$C$36,AK51=Table!$C$37)</xm:f>
            <x14:dxf>
              <font>
                <color rgb="FF9C0006"/>
              </font>
              <fill>
                <patternFill>
                  <bgColor rgb="FFFFC7CE"/>
                </patternFill>
              </fill>
            </x14:dxf>
          </x14:cfRule>
          <xm:sqref>AK51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Table!$C$26:$C$32</xm:f>
          </x14:formula1>
          <xm:sqref>AB109:AB158 AA48:AA158</xm:sqref>
        </x14:dataValidation>
        <x14:dataValidation type="list" allowBlank="1" showInputMessage="1" showErrorMessage="1">
          <x14:formula1>
            <xm:f>Table!$C$13:$C$22</xm:f>
          </x14:formula1>
          <xm:sqref>S48:S108 S109:T158</xm:sqref>
        </x14:dataValidation>
        <x14:dataValidation type="list" allowBlank="1" showInputMessage="1" showErrorMessage="1">
          <x14:formula1>
            <xm:f>Table!$C$8:$C$9</xm:f>
          </x14:formula1>
          <xm:sqref>D48:D158</xm:sqref>
        </x14:dataValidation>
        <x14:dataValidation type="list" allowBlank="1" showInputMessage="1" showErrorMessage="1">
          <x14:formula1>
            <xm:f>Table!$C$42:$C$43</xm:f>
          </x14:formula1>
          <xm:sqref>AG48:AG158</xm:sqref>
        </x14:dataValidation>
        <x14:dataValidation type="list" allowBlank="1" showInputMessage="1" showErrorMessage="1">
          <x14:formula1>
            <xm:f>Table!$C$36:$C$38</xm:f>
          </x14:formula1>
          <xm:sqref>AK48:AK62 AL63 AL67 AK64:AK66 AL72 AK68:AK71 AL77 AK73:AK76 AK78:AK158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7ECC2B8E-6A82-42F5-8AB0-4A51C54EA5EC}">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A2C66332-A809-458E-971B-FDB6D62C74C3}">
      <selection activeCell="J38" sqref="J38"/>
      <pageMargins left="0.7" right="0.7" top="0.75" bottom="0.75" header="0.3" footer="0.3"/>
    </customSheetView>
    <customSheetView guid="{72A6EB0A-84D5-4B8A-AC51-54CCD061630B}">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7E0EA425-A420-4443-B9E0-CDF0AA9E5D09}">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250915DF-0B97-45D7-B29D-7EED4C89C1C1}">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V65"/>
  <sheetViews>
    <sheetView topLeftCell="A19" zoomScale="85" zoomScaleNormal="85" workbookViewId="0">
      <selection activeCell="M30" sqref="M30"/>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2" x14ac:dyDescent="0.25">
      <c r="A2" s="48">
        <v>1</v>
      </c>
      <c r="B2" s="48" t="s">
        <v>56</v>
      </c>
      <c r="C2" s="48">
        <v>20200428</v>
      </c>
      <c r="N2" s="48"/>
      <c r="O2" s="48" t="s">
        <v>56</v>
      </c>
      <c r="P2" s="1" t="s">
        <v>320</v>
      </c>
    </row>
    <row r="3" spans="1:22" x14ac:dyDescent="0.25">
      <c r="B3" s="48" t="s">
        <v>123</v>
      </c>
      <c r="C3">
        <f>SUM(G9:G10)</f>
        <v>9.1087499999999988</v>
      </c>
      <c r="D3" t="s">
        <v>124</v>
      </c>
      <c r="O3" s="48" t="s">
        <v>123</v>
      </c>
      <c r="P3">
        <f>SUM(T9:T10)</f>
        <v>2.0574999999999997</v>
      </c>
      <c r="Q3" t="s">
        <v>124</v>
      </c>
    </row>
    <row r="4" spans="1:22" x14ac:dyDescent="0.25">
      <c r="B4" s="48" t="s">
        <v>133</v>
      </c>
      <c r="C4">
        <f>SUM(INT((WEEKDAY(F4-{2,3,4,5,6})+H4-F4)/7))-2</f>
        <v>4</v>
      </c>
      <c r="D4" t="s">
        <v>124</v>
      </c>
      <c r="E4" t="s">
        <v>166</v>
      </c>
      <c r="F4" s="6">
        <v>43949</v>
      </c>
      <c r="G4" s="6" t="s">
        <v>122</v>
      </c>
      <c r="H4" s="6">
        <v>43956</v>
      </c>
      <c r="O4" s="48" t="s">
        <v>133</v>
      </c>
      <c r="P4">
        <f>SUM(INT((WEEKDAY(S4-{2,3,4,5,6})+U4-S4)/7))</f>
        <v>4</v>
      </c>
      <c r="Q4" t="s">
        <v>124</v>
      </c>
      <c r="R4" t="s">
        <v>166</v>
      </c>
      <c r="S4" s="6">
        <v>43935</v>
      </c>
      <c r="T4" s="6" t="s">
        <v>122</v>
      </c>
      <c r="U4" s="6">
        <v>43938</v>
      </c>
    </row>
    <row r="5" spans="1:22" x14ac:dyDescent="0.25">
      <c r="B5" s="48" t="s">
        <v>134</v>
      </c>
      <c r="C5">
        <f>SUM(INT((WEEKDAY(F5-{2,3,4,5,6})+H5-F5)/7))-2</f>
        <v>4</v>
      </c>
      <c r="D5" t="s">
        <v>124</v>
      </c>
      <c r="E5" t="s">
        <v>144</v>
      </c>
      <c r="F5" s="6">
        <v>43949</v>
      </c>
      <c r="G5" s="6" t="s">
        <v>122</v>
      </c>
      <c r="H5" s="6">
        <v>43956</v>
      </c>
      <c r="O5" s="48" t="s">
        <v>134</v>
      </c>
      <c r="P5">
        <f>SUM(INT((WEEKDAY(S5-{2,3,4,5,6})+U5-S5)/7))</f>
        <v>4</v>
      </c>
      <c r="Q5" t="s">
        <v>124</v>
      </c>
      <c r="R5" t="s">
        <v>132</v>
      </c>
      <c r="S5" s="6">
        <v>43935</v>
      </c>
      <c r="T5" s="6" t="s">
        <v>122</v>
      </c>
      <c r="U5" s="6">
        <v>43938</v>
      </c>
    </row>
    <row r="6" spans="1:22" x14ac:dyDescent="0.25">
      <c r="B6" s="48" t="s">
        <v>17</v>
      </c>
      <c r="C6" t="str">
        <f>IF(SUM(H9:H10)&gt;SUM(G9:G10),"Delayed",IF(SUM(H9:H10)&lt;SUM(G9:G10),"InAdvanced","Ontime"))</f>
        <v>InAdvanced</v>
      </c>
      <c r="F6" s="6"/>
      <c r="G6" s="6"/>
      <c r="H6" s="6"/>
      <c r="O6" s="48" t="s">
        <v>17</v>
      </c>
      <c r="S6" s="6"/>
      <c r="T6" s="6"/>
      <c r="U6" s="6"/>
    </row>
    <row r="8" spans="1:22" ht="75" x14ac:dyDescent="0.25">
      <c r="C8" s="49" t="s">
        <v>25</v>
      </c>
      <c r="D8" s="49" t="s">
        <v>26</v>
      </c>
      <c r="E8" s="50" t="s">
        <v>125</v>
      </c>
      <c r="F8" s="50" t="s">
        <v>126</v>
      </c>
      <c r="G8" s="50" t="s">
        <v>127</v>
      </c>
      <c r="H8" s="50" t="s">
        <v>128</v>
      </c>
      <c r="I8" s="50" t="s">
        <v>29</v>
      </c>
      <c r="P8" s="49" t="s">
        <v>25</v>
      </c>
      <c r="Q8" s="49" t="s">
        <v>26</v>
      </c>
      <c r="R8" s="50" t="s">
        <v>125</v>
      </c>
      <c r="S8" s="50" t="s">
        <v>126</v>
      </c>
      <c r="T8" s="50" t="s">
        <v>127</v>
      </c>
      <c r="U8" s="50" t="s">
        <v>128</v>
      </c>
      <c r="V8" s="50" t="s">
        <v>29</v>
      </c>
    </row>
    <row r="9" spans="1:22" x14ac:dyDescent="0.25">
      <c r="C9" s="51">
        <v>1</v>
      </c>
      <c r="D9" s="41" t="s">
        <v>3</v>
      </c>
      <c r="E9" s="41">
        <f>SUMIFS(Merged_COEM!$W$48:$W$193,Merged_COEM!$D$48:$D$193,Table!$D$3, Merged_COEM!$C$48:$C$193,C2)</f>
        <v>4103</v>
      </c>
      <c r="F9" s="41">
        <f>SUMIFS(Merged_COEM!$X$48:$X$193,Merged_COEM!$D$48:$D$193,Table!$D$3, Merged_COEM!$C$48:$C$193,C2)-SUM(SUMIFS(Merged_COEM!$X$48:$X$193,Merged_COEM!$D$48:$D$193,Table!$D$3,Merged_COEM!$AA$48:$AA$193,{"Ongoing","N/A",""},Merged_COEM!$C$48:$C$193,C2))</f>
        <v>4103</v>
      </c>
      <c r="G9" s="41">
        <f>1/8*(SUMIFS(Merged_COEM!$Y$48:$Y$193,Merged_COEM!$D$48:$D$193,Table!$D$3, Merged_COEM!$C$48:$C$193,C2))</f>
        <v>9.1087499999999988</v>
      </c>
      <c r="H9" s="65">
        <f>1/8*(SUMIFS(Merged_COEM!$Z$48:$Z$193,Merged_COEM!$D$48:$D$193,Table!$D$3, Merged_COEM!$C$48:$C$193,C2)-SUM(SUMIFS(Merged_COEM!$Z$48:$Z$193,Merged_COEM!$D$48:$D$193,Table!$D$3,Merged_COEM!$AA$48:$AA$193,{"Ongoing","N/A",""},Merged_COEM!$C$48:$C$193,C2)))</f>
        <v>2.96875</v>
      </c>
      <c r="I9" s="42">
        <f>IFERROR(F9/E9,"N/A")</f>
        <v>1</v>
      </c>
      <c r="P9" s="51">
        <v>1</v>
      </c>
      <c r="Q9" s="41" t="s">
        <v>3</v>
      </c>
      <c r="R9" s="41">
        <f>SUMIFS(Merged_COEM!$W$48:$W$193,Merged_COEM!$D$48:$D$193,Table!$D$3, Merged_COEM!$E$48:$E$193,Report_For_Each_Project_COEM!P2)</f>
        <v>928</v>
      </c>
      <c r="S9" s="41">
        <f>SUMIFS(Merged_COEM!$X$48:$X$193,Merged_COEM!$D$48:$D$193,Table!$D$3, Merged_COEM!$E$48:$E$193,Report_For_Each_Project_COEM!P2)</f>
        <v>928</v>
      </c>
      <c r="T9" s="41">
        <f>1/8*(SUMIFS(Merged_COEM!$Y$48:$Y$193,Merged_COEM!$D$48:$D$193,Table!$D$3, Merged_COEM!$E$48:$E$193,Report_For_Each_Project_COEM!P2))</f>
        <v>2.0574999999999997</v>
      </c>
      <c r="U9" s="65">
        <f>1/8*(SUMIFS(Merged_COEM!$Z$48:$Z$193,Merged_COEM!$D$48:$D$193,Table!$D$3, Merged_COEM!$E$48:$E$193,Report_For_Each_Project_COEM!P2)-SUM(SUMIFS(Merged_COEM!$Z$48:$Z$193,Merged_COEM!$D$48:$D$193,Table!$D$3,Merged_COEM!$AA$48:$AA$193,{"Ongoing","N/A",""},Merged_COEM!$E$48:$E$193,Report_For_Each_Project_COEM!P2)))</f>
        <v>1.5</v>
      </c>
      <c r="V9" s="42">
        <f>IFERROR(S9/R9,"N/A")</f>
        <v>1</v>
      </c>
    </row>
    <row r="10" spans="1:22" x14ac:dyDescent="0.25">
      <c r="C10" s="51">
        <v>2</v>
      </c>
      <c r="D10" s="41" t="s">
        <v>2</v>
      </c>
      <c r="E10" s="41">
        <f>SUMIFS(Merged_COEM!$W$48:$W$193,Merged_COEM!$D$48:$D$193,Table!$C$3, Merged_COEM!$C$48:$C$193,C2)</f>
        <v>0</v>
      </c>
      <c r="F10" s="41">
        <f>SUMIFS(Merged_COEM!$X$48:$X$193,Merged_COEM!$D$48:$D$193,Table!$C$3, Merged_COEM!$C$48:$C$193,C2)-SUM(SUMIFS(Merged_COEM!$X$48:$X$193,Merged_COEM!$D$48:$D$193,Table!$C$3,Merged_COEM!$AA$48:$AA$193,{"Ongoing","N/A",""},Merged_COEM!$C$48:$C$193,C2))</f>
        <v>0</v>
      </c>
      <c r="G10" s="41">
        <f>1/8*(SUMIFS(Merged_COEM!$Y$48:$Y$193,Merged_COEM!$D$48:$D$193,Table!$C$3, Merged_COEM!$C$48:$C$193,C2))</f>
        <v>0</v>
      </c>
      <c r="H10" s="65">
        <f>1/8*(SUMIFS(Merged_COEM!$Z$48:$Z$193,Merged_COEM!$D$48:$D$193,Table!$C$3, Merged_COEM!$C$48:$C$193,C2)-SUM(SUMIFS(Merged_COEM!$Z$48:$Z$193,Merged_COEM!$D$48:$D$193,Table!$C$3,Merged_COEM!$AA$48:$AA$193,{"Ongoing","N/A",""},Merged_COEM!$C$48:$C$193,C2)))</f>
        <v>0</v>
      </c>
      <c r="I10" s="42" t="str">
        <f>IFERROR(F10/E10,"N/A")</f>
        <v>N/A</v>
      </c>
      <c r="P10" s="51">
        <v>2</v>
      </c>
      <c r="Q10" s="41" t="s">
        <v>2</v>
      </c>
      <c r="R10" s="41">
        <f>SUMIFS(Merged_COEM!$W$48:$W$193,Merged_COEM!$D$48:$D$193,Table!$C$3, Merged_COEM!$E$48:$E$193,Report_For_Each_Project_COEM!P2)</f>
        <v>0</v>
      </c>
      <c r="S10" s="41">
        <f>SUMIFS(Merged_COEM!$X$48:$X$193,Merged_COEM!$D$48:$D$193,Table!$C$3, Merged_COEM!$E$48:$E$193,Report_For_Each_Project_COEM!P2)-SUM(SUMIFS(Merged_COEM!$X$48:$X$193,Merged_COEM!$D$48:$D$193,Table!$C$3,Merged_COEM!$AA$48:$AA$193,{"Ongoing","N/A",""},Merged_COEM!$E$48:$E$193,Report_For_Each_Project_COEM!P2))</f>
        <v>0</v>
      </c>
      <c r="T10" s="41">
        <f>1/8*(SUMIFS(Merged_COEM!$Y$48:$Y$193,Merged_COEM!$D$48:$D$193,Table!$C$3, Merged_COEM!$E$48:$E$193,Report_For_Each_Project_COEM!P2))</f>
        <v>0</v>
      </c>
      <c r="U10" s="65">
        <f>1/8*(SUMIFS(Merged_COEM!$Z$48:$Z$193,Merged_COEM!$D$48:$D$193,Table!$C$3, Merged_COEM!$E$48:$E$193,Report_For_Each_Project_COEM!P2)-SUM(SUMIFS(Merged_COEM!$Z$48:$Z$193,Merged_COEM!$D$48:$D$193,Table!$C$3,Merged_COEM!$AA$48:$AA$193,{"Ongoing","N/A",""},Merged_COEM!$E$48:$E$193,Report_For_Each_Project_COEM!P2)))</f>
        <v>0</v>
      </c>
      <c r="V10" s="42" t="str">
        <f>IFERROR(S10/R10,"N/A")</f>
        <v>N/A</v>
      </c>
    </row>
    <row r="12" spans="1:22" x14ac:dyDescent="0.25">
      <c r="C12" t="s">
        <v>130</v>
      </c>
      <c r="P12" t="s">
        <v>130</v>
      </c>
    </row>
    <row r="13" spans="1:22" x14ac:dyDescent="0.25">
      <c r="D13" s="37" t="s">
        <v>135</v>
      </c>
    </row>
    <row r="15" spans="1:22" x14ac:dyDescent="0.25">
      <c r="A15" s="48">
        <v>2</v>
      </c>
      <c r="B15" s="48" t="s">
        <v>56</v>
      </c>
      <c r="C15" s="48">
        <v>20200429</v>
      </c>
    </row>
    <row r="16" spans="1:22" x14ac:dyDescent="0.25">
      <c r="B16" s="48" t="s">
        <v>123</v>
      </c>
      <c r="C16">
        <f>SUM(G22:G23)</f>
        <v>21.532500000000006</v>
      </c>
      <c r="D16" t="s">
        <v>124</v>
      </c>
    </row>
    <row r="17" spans="1:9" x14ac:dyDescent="0.25">
      <c r="B17" s="48" t="s">
        <v>133</v>
      </c>
      <c r="C17">
        <f>SUM(INT((WEEKDAY(F17-{2,3,4,5,6})+H17-F17)/7))-2</f>
        <v>11</v>
      </c>
      <c r="D17" t="s">
        <v>124</v>
      </c>
      <c r="E17" t="s">
        <v>166</v>
      </c>
      <c r="F17" s="6">
        <v>43950</v>
      </c>
      <c r="G17" s="6" t="s">
        <v>122</v>
      </c>
      <c r="H17" s="6">
        <v>43966</v>
      </c>
    </row>
    <row r="18" spans="1:9" x14ac:dyDescent="0.25">
      <c r="B18" s="48" t="s">
        <v>134</v>
      </c>
      <c r="C18">
        <f>SUM(INT((WEEKDAY(F18-{2,3,4,5,6})+H18-F18)/7))-2</f>
        <v>3</v>
      </c>
      <c r="D18" t="s">
        <v>124</v>
      </c>
      <c r="E18" t="s">
        <v>144</v>
      </c>
      <c r="F18" s="6">
        <v>43955</v>
      </c>
      <c r="G18" s="6" t="s">
        <v>122</v>
      </c>
      <c r="H18" s="6">
        <v>43959</v>
      </c>
    </row>
    <row r="19" spans="1:9" x14ac:dyDescent="0.25">
      <c r="B19" s="48" t="s">
        <v>17</v>
      </c>
      <c r="C19" t="str">
        <f>IF(SUM(H22:H23)&gt;SUM(G22:G23),"Delayed",IF(SUM(H22:H23)&lt;SUM(G22:G23),"InAdvanced","Ontime"))</f>
        <v>InAdvanced</v>
      </c>
      <c r="F19" s="6"/>
      <c r="G19" s="6"/>
      <c r="H19" s="6"/>
    </row>
    <row r="21" spans="1:9" ht="45" x14ac:dyDescent="0.25">
      <c r="C21" s="49" t="s">
        <v>25</v>
      </c>
      <c r="D21" s="49" t="s">
        <v>26</v>
      </c>
      <c r="E21" s="50" t="s">
        <v>125</v>
      </c>
      <c r="F21" s="50" t="s">
        <v>126</v>
      </c>
      <c r="G21" s="50" t="s">
        <v>127</v>
      </c>
      <c r="H21" s="50" t="s">
        <v>128</v>
      </c>
      <c r="I21" s="50" t="s">
        <v>29</v>
      </c>
    </row>
    <row r="22" spans="1:9" x14ac:dyDescent="0.25">
      <c r="C22" s="51">
        <v>1</v>
      </c>
      <c r="D22" s="41" t="s">
        <v>3</v>
      </c>
      <c r="E22" s="41">
        <f>SUMIFS(Merged_COEM!$W$48:$W$193,Merged_COEM!$D$48:$D$193,Table!$D$3, Merged_COEM!$C$48:$C$193,C15)</f>
        <v>8573</v>
      </c>
      <c r="F22" s="41">
        <f>SUMIFS(Merged_COEM!$X$48:$X$193,Merged_COEM!$D$48:$D$193,Table!$D$3, Merged_COEM!$C$48:$C$193,C15)-SUM(SUMIFS(Merged_COEM!$X$48:$X$193,Merged_COEM!$D$48:$D$193,Table!$D$3,Merged_COEM!$AA$48:$AA$193,{"Ongoing","N/A",""},Merged_COEM!$C$48:$C$193,C15))</f>
        <v>8573</v>
      </c>
      <c r="G22" s="41">
        <f>1/8*(SUMIFS(Merged_COEM!$Y$48:$Y$193,Merged_COEM!$D$48:$D$193,Table!$D$3, Merged_COEM!$C$48:$C$193,C15))</f>
        <v>19.028750000000006</v>
      </c>
      <c r="H22" s="65">
        <f>1/8*(SUMIFS(Merged_COEM!$Z$48:$Z$193,Merged_COEM!$D$48:$D$193,Table!$D$3, Merged_COEM!$C$48:$C$193,C15)-SUM(SUMIFS(Merged_COEM!$Z$48:$Z$193,Merged_COEM!$D$48:$D$193,Table!$D$3,Merged_COEM!$AA$48:$AA$193,{"Ongoing","N/A",""},Merged_COEM!$C$48:$C$193,C15)))</f>
        <v>10.112500000000001</v>
      </c>
      <c r="I22" s="42">
        <f>IFERROR(F22/E22,"N/A")</f>
        <v>1</v>
      </c>
    </row>
    <row r="23" spans="1:9" x14ac:dyDescent="0.25">
      <c r="C23" s="51">
        <v>2</v>
      </c>
      <c r="D23" s="41" t="s">
        <v>2</v>
      </c>
      <c r="E23" s="41">
        <f>SUMIFS(Merged_COEM!$W$48:$W$193,Merged_COEM!$D$48:$D$193,Table!$C$3, Merged_COEM!$C$48:$C$193,C15)</f>
        <v>326</v>
      </c>
      <c r="F23" s="41">
        <f>SUMIFS(Merged_COEM!$X$48:$X$193,Merged_COEM!$D$48:$D$193,Table!$C$3, Merged_COEM!$C$48:$C$193,C15)-SUM(SUMIFS(Merged_COEM!$X$48:$X$193,Merged_COEM!$D$48:$D$193,Table!$C$3,Merged_COEM!$AA$48:$AA$193,{"Ongoing","N/A",""},Merged_COEM!$C$48:$C$193,C15))</f>
        <v>326</v>
      </c>
      <c r="G23" s="41">
        <f>1/8*(SUMIFS(Merged_COEM!$Y$48:$Y$193,Merged_COEM!$D$48:$D$193,Table!$C$3, Merged_COEM!$C$48:$C$193,C15))</f>
        <v>2.5037499999999997</v>
      </c>
      <c r="H23" s="65">
        <f>1/8*(SUMIFS(Merged_COEM!$Z$48:$Z$193,Merged_COEM!$D$48:$D$193,Table!$C$3, Merged_COEM!$C$48:$C$193,C15)-SUM(SUMIFS(Merged_COEM!$Z$48:$Z$193,Merged_COEM!$D$48:$D$193,Table!$C$3,Merged_COEM!$AA$48:$AA$193,{"Ongoing","N/A",""},Merged_COEM!$C$48:$C$193,C15)))</f>
        <v>2.1875</v>
      </c>
      <c r="I23" s="42">
        <f>IFERROR(F23/E23,"N/A")</f>
        <v>1</v>
      </c>
    </row>
    <row r="25" spans="1:9" x14ac:dyDescent="0.25">
      <c r="C25" t="s">
        <v>130</v>
      </c>
    </row>
    <row r="26" spans="1:9" x14ac:dyDescent="0.25">
      <c r="D26" s="37" t="s">
        <v>135</v>
      </c>
    </row>
    <row r="28" spans="1:9" x14ac:dyDescent="0.25">
      <c r="A28" s="48">
        <v>3</v>
      </c>
      <c r="B28" s="48" t="s">
        <v>56</v>
      </c>
      <c r="C28" s="48">
        <v>20200504</v>
      </c>
    </row>
    <row r="29" spans="1:9" x14ac:dyDescent="0.25">
      <c r="B29" s="48" t="s">
        <v>123</v>
      </c>
      <c r="C29">
        <f>SUM(G35:G36)</f>
        <v>0.52625</v>
      </c>
      <c r="D29" t="s">
        <v>124</v>
      </c>
    </row>
    <row r="30" spans="1:9" x14ac:dyDescent="0.25">
      <c r="B30" s="48" t="s">
        <v>133</v>
      </c>
      <c r="C30">
        <f>SUM(INT((WEEKDAY(F30-{2,3,4,5,6})+H30-F30)/7))-2</f>
        <v>1</v>
      </c>
      <c r="D30" t="s">
        <v>124</v>
      </c>
      <c r="E30" t="s">
        <v>166</v>
      </c>
      <c r="F30" s="6">
        <v>43955</v>
      </c>
      <c r="G30" s="6" t="s">
        <v>122</v>
      </c>
      <c r="H30" s="6">
        <v>43957</v>
      </c>
    </row>
    <row r="31" spans="1:9" x14ac:dyDescent="0.25">
      <c r="B31" s="48" t="s">
        <v>134</v>
      </c>
      <c r="C31">
        <f>SUM(INT((WEEKDAY(F31-{2,3,4,5,6})+H31-F31)/7))-2</f>
        <v>1</v>
      </c>
      <c r="D31" t="s">
        <v>124</v>
      </c>
      <c r="E31" t="s">
        <v>144</v>
      </c>
      <c r="F31" s="6">
        <v>43955</v>
      </c>
      <c r="G31" s="6" t="s">
        <v>122</v>
      </c>
      <c r="H31" s="6">
        <v>43957</v>
      </c>
    </row>
    <row r="32" spans="1:9" x14ac:dyDescent="0.25">
      <c r="B32" s="48" t="s">
        <v>17</v>
      </c>
      <c r="C32" t="str">
        <f>IF(SUM(H35:H36)&gt;SUM(G35:G36),"Delayed",IF(SUM(H35:H36)&lt;SUM(G35:G36),"InAdvanced","Ontime"))</f>
        <v>InAdvanced</v>
      </c>
      <c r="F32" s="6"/>
      <c r="G32" s="6"/>
      <c r="H32" s="6"/>
    </row>
    <row r="34" spans="1:9" ht="45" x14ac:dyDescent="0.25">
      <c r="C34" s="49" t="s">
        <v>25</v>
      </c>
      <c r="D34" s="49" t="s">
        <v>26</v>
      </c>
      <c r="E34" s="50" t="s">
        <v>125</v>
      </c>
      <c r="F34" s="50" t="s">
        <v>126</v>
      </c>
      <c r="G34" s="50" t="s">
        <v>127</v>
      </c>
      <c r="H34" s="50" t="s">
        <v>128</v>
      </c>
      <c r="I34" s="50" t="s">
        <v>29</v>
      </c>
    </row>
    <row r="35" spans="1:9" x14ac:dyDescent="0.25">
      <c r="C35" s="51">
        <v>1</v>
      </c>
      <c r="D35" s="41" t="s">
        <v>3</v>
      </c>
      <c r="E35" s="41">
        <f>SUMIFS(Merged_COEM!$W$48:$W$193,Merged_COEM!$D$48:$D$193,Table!$D$3, Merged_COEM!$C$48:$C$193,C28)</f>
        <v>82</v>
      </c>
      <c r="F35" s="41">
        <f>SUMIFS(Merged_COEM!$X$48:$X$193,Merged_COEM!$D$48:$D$193,Table!$D$3, Merged_COEM!$C$48:$C$193,C28)-SUM(SUMIFS(Merged_COEM!$X$48:$X$193,Merged_COEM!$D$48:$D$193,Table!$D$3,Merged_COEM!$AA$48:$AA$193,{"Ongoing","N/A",""},Merged_COEM!$C$48:$C$193,C28))</f>
        <v>82</v>
      </c>
      <c r="G35" s="41">
        <f>1/8*(SUMIFS(Merged_COEM!$Y$48:$Y$193,Merged_COEM!$D$48:$D$193,Table!$D$3, Merged_COEM!$C$48:$C$193,C28))</f>
        <v>0.18124999999999999</v>
      </c>
      <c r="H35" s="65">
        <f>1/8*(SUMIFS(Merged_COEM!$Z$48:$Z$193,Merged_COEM!$D$48:$D$193,Table!$D$3, Merged_COEM!$C$48:$C$193,C28)-SUM(SUMIFS(Merged_COEM!$Z$48:$Z$193,Merged_COEM!$D$48:$D$193,Table!$D$3,Merged_COEM!$AA$48:$AA$193,{"Ongoing","N/A",""},Merged_COEM!$C$48:$C$193,C28)))</f>
        <v>0.125</v>
      </c>
      <c r="I35" s="42">
        <f>IFERROR(F35/E35,"N/A")</f>
        <v>1</v>
      </c>
    </row>
    <row r="36" spans="1:9" x14ac:dyDescent="0.25">
      <c r="C36" s="51">
        <v>2</v>
      </c>
      <c r="D36" s="41" t="s">
        <v>2</v>
      </c>
      <c r="E36" s="41">
        <f>SUMIFS(Merged_COEM!$W$48:$W$193,Merged_COEM!$D$48:$D$193,Table!$C$3, Merged_COEM!$C$48:$C$193,C28)</f>
        <v>45</v>
      </c>
      <c r="F36" s="41">
        <f>SUMIFS(Merged_COEM!$X$48:$X$193,Merged_COEM!$D$48:$D$193,Table!$C$3, Merged_COEM!$C$48:$C$193,C28)-SUM(SUMIFS(Merged_COEM!$X$48:$X$193,Merged_COEM!$D$48:$D$193,Table!$C$3,Merged_COEM!$AA$48:$AA$193,{"Ongoing","N/A",""},Merged_COEM!$C$48:$C$193,C28))</f>
        <v>45</v>
      </c>
      <c r="G36" s="41">
        <f>1/8*(SUMIFS(Merged_COEM!$Y$48:$Y$193,Merged_COEM!$D$48:$D$193,Table!$C$3, Merged_COEM!$C$48:$C$193,C28))</f>
        <v>0.34499999999999997</v>
      </c>
      <c r="H36" s="65">
        <f>1/8*(SUMIFS(Merged_COEM!$Z$48:$Z$193,Merged_COEM!$D$48:$D$193,Table!$C$3, Merged_COEM!$C$48:$C$193,C28)-SUM(SUMIFS(Merged_COEM!$Z$48:$Z$193,Merged_COEM!$D$48:$D$193,Table!$C$3,Merged_COEM!$AA$48:$AA$193,{"Ongoing","N/A",""},Merged_COEM!$C$48:$C$193,C28)))</f>
        <v>0.375</v>
      </c>
      <c r="I36" s="42">
        <f>IFERROR(F36/E36,"N/A")</f>
        <v>1</v>
      </c>
    </row>
    <row r="38" spans="1:9" x14ac:dyDescent="0.25">
      <c r="C38" t="s">
        <v>130</v>
      </c>
    </row>
    <row r="39" spans="1:9" x14ac:dyDescent="0.25">
      <c r="D39" s="37" t="s">
        <v>135</v>
      </c>
    </row>
    <row r="41" spans="1:9" x14ac:dyDescent="0.25">
      <c r="A41" s="48">
        <v>4</v>
      </c>
      <c r="B41" s="48" t="s">
        <v>56</v>
      </c>
      <c r="C41" s="48">
        <v>20200506</v>
      </c>
    </row>
    <row r="42" spans="1:9" x14ac:dyDescent="0.25">
      <c r="B42" s="48" t="s">
        <v>123</v>
      </c>
      <c r="C42">
        <f>SUM(G48:G49)</f>
        <v>23.123749999999998</v>
      </c>
      <c r="D42" t="s">
        <v>124</v>
      </c>
    </row>
    <row r="43" spans="1:9" x14ac:dyDescent="0.25">
      <c r="B43" s="48" t="s">
        <v>133</v>
      </c>
      <c r="C43">
        <f>SUM(INT((WEEKDAY(F43-{2,3,4,5,6})+H43-F43)/7))-2</f>
        <v>4</v>
      </c>
      <c r="D43" t="s">
        <v>124</v>
      </c>
      <c r="E43" t="s">
        <v>166</v>
      </c>
      <c r="F43" s="6">
        <v>43957</v>
      </c>
      <c r="G43" s="6" t="s">
        <v>122</v>
      </c>
      <c r="H43" s="6">
        <v>43964</v>
      </c>
    </row>
    <row r="44" spans="1:9" x14ac:dyDescent="0.25">
      <c r="B44" s="48" t="s">
        <v>134</v>
      </c>
      <c r="C44">
        <f>SUM(INT((WEEKDAY(F44-{2,3,4,5,6})+H44-F44)/7))-2</f>
        <v>4</v>
      </c>
      <c r="D44" t="s">
        <v>124</v>
      </c>
      <c r="E44" t="s">
        <v>166</v>
      </c>
      <c r="F44" s="6">
        <v>43957</v>
      </c>
      <c r="G44" s="6" t="s">
        <v>122</v>
      </c>
      <c r="H44" s="6">
        <v>43964</v>
      </c>
    </row>
    <row r="45" spans="1:9" x14ac:dyDescent="0.25">
      <c r="B45" s="48" t="s">
        <v>17</v>
      </c>
      <c r="C45" t="str">
        <f>IF(SUM(H48:H49)&gt;SUM(G48:G49),"Delayed",IF(SUM(H48:H49)&lt;SUM(G48:G49),"InAdvanced","Ontime"))</f>
        <v>InAdvanced</v>
      </c>
      <c r="F45" s="6"/>
      <c r="G45" s="6"/>
      <c r="H45" s="6"/>
    </row>
    <row r="47" spans="1:9" ht="45" x14ac:dyDescent="0.25">
      <c r="C47" s="49" t="s">
        <v>25</v>
      </c>
      <c r="D47" s="49" t="s">
        <v>26</v>
      </c>
      <c r="E47" s="50" t="s">
        <v>125</v>
      </c>
      <c r="F47" s="50" t="s">
        <v>126</v>
      </c>
      <c r="G47" s="50" t="s">
        <v>127</v>
      </c>
      <c r="H47" s="50" t="s">
        <v>128</v>
      </c>
      <c r="I47" s="50" t="s">
        <v>29</v>
      </c>
    </row>
    <row r="48" spans="1:9" x14ac:dyDescent="0.25">
      <c r="C48" s="51">
        <v>1</v>
      </c>
      <c r="D48" s="41" t="s">
        <v>3</v>
      </c>
      <c r="E48" s="41">
        <f>SUMIFS(Merged_COEM!$W$48:$W$193,Merged_COEM!$D$48:$D$193,Table!$D$3, Merged_COEM!$C$48:$C$193,C41)</f>
        <v>10414</v>
      </c>
      <c r="F48" s="41">
        <f>SUMIFS(Merged_COEM!$X$48:$X$193,Merged_COEM!$D$48:$D$193,Table!$D$3, Merged_COEM!$C$48:$C$193,C41)-SUM(SUMIFS(Merged_COEM!$X$48:$X$193,Merged_COEM!$D$48:$D$193,Table!$D$3,Merged_COEM!$AA$48:$AA$193,{"Ongoing","N/A",""},Merged_COEM!$C$48:$C$193,C41))</f>
        <v>10414</v>
      </c>
      <c r="G48" s="41">
        <f>1/8*(SUMIFS(Merged_COEM!$Y$48:$Y$193,Merged_COEM!$D$48:$D$193,Table!$D$3, Merged_COEM!$C$48:$C$193,C41))</f>
        <v>23.123749999999998</v>
      </c>
      <c r="H48" s="65">
        <f>1/8*(SUMIFS(Merged_COEM!$Z$48:$Z$193,Merged_COEM!$D$48:$D$193,Table!$D$3, Merged_COEM!$C$48:$C$193,C41)-SUM(SUMIFS(Merged_COEM!$Z$48:$Z$193,Merged_COEM!$D$48:$D$193,Table!$D$3,Merged_COEM!$AA$48:$AA$193,{"Ongoing","N/A",""},Merged_COEM!$C$48:$C$193,C41)))</f>
        <v>11.0625</v>
      </c>
      <c r="I48" s="42">
        <f>IFERROR(F48/E48,"N/A")</f>
        <v>1</v>
      </c>
    </row>
    <row r="49" spans="1:9" x14ac:dyDescent="0.25">
      <c r="C49" s="51">
        <v>2</v>
      </c>
      <c r="D49" s="41" t="s">
        <v>2</v>
      </c>
      <c r="E49" s="41">
        <f>SUMIFS(Merged_COEM!$W$48:$W$193,Merged_COEM!$D$48:$D$193,Table!$C$3, Merged_COEM!$C$48:$C$193,C41)</f>
        <v>0</v>
      </c>
      <c r="F49" s="41">
        <f>SUMIFS(Merged_COEM!$X$48:$X$193,Merged_COEM!$D$48:$D$193,Table!$C$3, Merged_COEM!$C$48:$C$193,C41)-SUM(SUMIFS(Merged_COEM!$X$48:$X$193,Merged_COEM!$D$48:$D$193,Table!$C$3,Merged_COEM!$AA$48:$AA$193,{"Ongoing","N/A",""},Merged_COEM!$C$48:$C$193,C41))</f>
        <v>0</v>
      </c>
      <c r="G49" s="41">
        <f>1/8*(SUMIFS(Merged_COEM!$Y$48:$Y$193,Merged_COEM!$D$48:$D$193,Table!$C$3, Merged_COEM!$C$48:$C$193,C41))</f>
        <v>0</v>
      </c>
      <c r="H49" s="65">
        <f>1/8*(SUMIFS(Merged_COEM!$Z$48:$Z$193,Merged_COEM!$D$48:$D$193,Table!$C$3, Merged_COEM!$C$48:$C$193,C41)-SUM(SUMIFS(Merged_COEM!$Z$48:$Z$193,Merged_COEM!$D$48:$D$193,Table!$C$3,Merged_COEM!$AA$48:$AA$193,{"Ongoing","N/A",""},Merged_COEM!$C$48:$C$193,C41)))</f>
        <v>0</v>
      </c>
      <c r="I49" s="42" t="str">
        <f>IFERROR(F49/E49,"N/A")</f>
        <v>N/A</v>
      </c>
    </row>
    <row r="51" spans="1:9" x14ac:dyDescent="0.25">
      <c r="C51" t="s">
        <v>130</v>
      </c>
    </row>
    <row r="52" spans="1:9" x14ac:dyDescent="0.25">
      <c r="D52" s="37" t="s">
        <v>135</v>
      </c>
    </row>
    <row r="54" spans="1:9" x14ac:dyDescent="0.25">
      <c r="A54" s="48">
        <v>5</v>
      </c>
      <c r="B54" s="48" t="s">
        <v>56</v>
      </c>
      <c r="C54" s="48">
        <v>20200507</v>
      </c>
    </row>
    <row r="55" spans="1:9" x14ac:dyDescent="0.25">
      <c r="B55" s="48" t="s">
        <v>123</v>
      </c>
      <c r="C55">
        <f>SUM(G61:G62)</f>
        <v>9.0487500000000001</v>
      </c>
      <c r="D55" t="s">
        <v>124</v>
      </c>
    </row>
    <row r="56" spans="1:9" x14ac:dyDescent="0.25">
      <c r="B56" s="48" t="s">
        <v>133</v>
      </c>
      <c r="C56">
        <f>SUM(INT((WEEKDAY(F56-{2,3,4,5,6})+H56-F56)/7))-2</f>
        <v>4</v>
      </c>
      <c r="D56" t="s">
        <v>124</v>
      </c>
      <c r="E56" t="s">
        <v>166</v>
      </c>
      <c r="F56" s="6">
        <v>43958</v>
      </c>
      <c r="G56" s="6" t="s">
        <v>122</v>
      </c>
      <c r="H56" s="6">
        <v>43965</v>
      </c>
    </row>
    <row r="57" spans="1:9" x14ac:dyDescent="0.25">
      <c r="B57" s="48" t="s">
        <v>134</v>
      </c>
      <c r="C57">
        <f>SUM(INT((WEEKDAY(F57-{2,3,4,5,6})+H57-F57)/7))-2</f>
        <v>4</v>
      </c>
      <c r="D57" t="s">
        <v>124</v>
      </c>
      <c r="E57" t="s">
        <v>166</v>
      </c>
      <c r="F57" s="6">
        <v>43958</v>
      </c>
      <c r="G57" s="6" t="s">
        <v>122</v>
      </c>
      <c r="H57" s="6">
        <v>43965</v>
      </c>
    </row>
    <row r="58" spans="1:9" x14ac:dyDescent="0.25">
      <c r="B58" s="48" t="s">
        <v>17</v>
      </c>
      <c r="C58" t="str">
        <f>IF(SUM(H61:H62)&gt;SUM(G61:G62),"Delayed",IF(SUM(H61:H62)&lt;SUM(G61:G62),"InAdvanced","Ontime"))</f>
        <v>InAdvanced</v>
      </c>
      <c r="F58" s="6"/>
      <c r="G58" s="6"/>
      <c r="H58" s="6"/>
    </row>
    <row r="60" spans="1:9" ht="45" x14ac:dyDescent="0.25">
      <c r="C60" s="49" t="s">
        <v>25</v>
      </c>
      <c r="D60" s="49" t="s">
        <v>26</v>
      </c>
      <c r="E60" s="50" t="s">
        <v>125</v>
      </c>
      <c r="F60" s="50" t="s">
        <v>126</v>
      </c>
      <c r="G60" s="50" t="s">
        <v>127</v>
      </c>
      <c r="H60" s="50" t="s">
        <v>128</v>
      </c>
      <c r="I60" s="50" t="s">
        <v>29</v>
      </c>
    </row>
    <row r="61" spans="1:9" x14ac:dyDescent="0.25">
      <c r="C61" s="51">
        <v>1</v>
      </c>
      <c r="D61" s="41" t="s">
        <v>3</v>
      </c>
      <c r="E61" s="41">
        <f>SUMIFS(Merged_COEM!$W$48:$W$193,Merged_COEM!$D$48:$D$193,Table!$D$3, Merged_COEM!$C$48:$C$193,C54)</f>
        <v>4075</v>
      </c>
      <c r="F61" s="41">
        <f>SUMIFS(Merged_COEM!$X$48:$X$193,Merged_COEM!$D$48:$D$193,Table!$D$3, Merged_COEM!$C$48:$C$193,C54)-SUM(SUMIFS(Merged_COEM!$X$48:$X$193,Merged_COEM!$D$48:$D$193,Table!$D$3,Merged_COEM!$AA$48:$AA$193,{"Ongoing","N/A",""},Merged_COEM!$C$48:$C$193,C54))</f>
        <v>4075</v>
      </c>
      <c r="G61" s="41">
        <f>1/8*(SUMIFS(Merged_COEM!$Y$48:$Y$193,Merged_COEM!$D$48:$D$193,Table!$D$3, Merged_COEM!$C$48:$C$193,C54))</f>
        <v>9.0487500000000001</v>
      </c>
      <c r="H61" s="65">
        <f>1/8*(SUMIFS(Merged_COEM!$Z$48:$Z$193,Merged_COEM!$D$48:$D$193,Table!$D$3, Merged_COEM!$C$48:$C$193,C54)-SUM(SUMIFS(Merged_COEM!$Z$48:$Z$193,Merged_COEM!$D$48:$D$193,Table!$D$3,Merged_COEM!$AA$48:$AA$193,{"Ongoing","N/A",""},Merged_COEM!$C$48:$C$193,C54)))</f>
        <v>3.0775000000000001</v>
      </c>
      <c r="I61" s="42">
        <f>IFERROR(F61/E61,"N/A")</f>
        <v>1</v>
      </c>
    </row>
    <row r="62" spans="1:9" x14ac:dyDescent="0.25">
      <c r="C62" s="51">
        <v>2</v>
      </c>
      <c r="D62" s="41" t="s">
        <v>2</v>
      </c>
      <c r="E62" s="41">
        <f>SUMIFS(Merged_COEM!$W$48:$W$193,Merged_COEM!$D$48:$D$193,Table!$C$3, Merged_COEM!$C$48:$C$193,C54)</f>
        <v>0</v>
      </c>
      <c r="F62" s="41">
        <f>SUMIFS(Merged_COEM!$X$48:$X$193,Merged_COEM!$D$48:$D$193,Table!$C$3, Merged_COEM!$C$48:$C$193,C54)-SUM(SUMIFS(Merged_COEM!$X$48:$X$193,Merged_COEM!$D$48:$D$193,Table!$C$3,Merged_COEM!$AA$48:$AA$193,{"Ongoing","N/A",""},Merged_COEM!$C$48:$C$193,C54))</f>
        <v>0</v>
      </c>
      <c r="G62" s="41">
        <f>1/8*(SUMIFS(Merged_COEM!$Y$48:$Y$193,Merged_COEM!$D$48:$D$193,Table!$C$3, Merged_COEM!$C$48:$C$193,C54))</f>
        <v>0</v>
      </c>
      <c r="H62" s="65">
        <f>1/8*(SUMIFS(Merged_COEM!$Z$48:$Z$193,Merged_COEM!$D$48:$D$193,Table!$C$3, Merged_COEM!$C$48:$C$193,C54)-SUM(SUMIFS(Merged_COEM!$Z$48:$Z$193,Merged_COEM!$D$48:$D$193,Table!$C$3,Merged_COEM!$AA$48:$AA$193,{"Ongoing","N/A",""},Merged_COEM!$C$48:$C$193,C54)))</f>
        <v>0</v>
      </c>
      <c r="I62" s="42" t="str">
        <f>IFERROR(F62/E62,"N/A")</f>
        <v>N/A</v>
      </c>
    </row>
    <row r="64" spans="1:9" x14ac:dyDescent="0.25">
      <c r="C64" t="s">
        <v>130</v>
      </c>
    </row>
    <row r="65" spans="4:4" x14ac:dyDescent="0.25">
      <c r="D65" s="37" t="s">
        <v>135</v>
      </c>
    </row>
  </sheetData>
  <customSheetViews>
    <customSheetView guid="{7ECC2B8E-6A82-42F5-8AB0-4A51C54EA5EC}" scale="85" topLeftCell="A19">
      <selection activeCell="M30" sqref="M30"/>
      <pageMargins left="0.7" right="0.7" top="0.75" bottom="0.75" header="0.3" footer="0.3"/>
      <pageSetup orientation="portrait" r:id="rId1"/>
    </customSheetView>
    <customSheetView guid="{3B3E6719-EACB-4D2C-89C1-05FFAB6020FD}" scale="85" topLeftCell="A151">
      <selection activeCell="A178" sqref="A178:XFD178"/>
      <pageMargins left="0.7" right="0.7" top="0.75" bottom="0.75" header="0.3" footer="0.3"/>
      <pageSetup orientation="portrait" r:id="rId2"/>
    </customSheetView>
    <customSheetView guid="{336B6883-2145-4B58-921E-CEC7185A847E}" topLeftCell="A10">
      <selection activeCell="L50" sqref="L50"/>
      <pageMargins left="0.7" right="0.7" top="0.75" bottom="0.75" header="0.3" footer="0.3"/>
    </customSheetView>
    <customSheetView guid="{A2C66332-A809-458E-971B-FDB6D62C74C3}" scale="85">
      <selection activeCell="G160" sqref="G160"/>
      <pageMargins left="0.7" right="0.7" top="0.75" bottom="0.75" header="0.3" footer="0.3"/>
      <pageSetup orientation="portrait" r:id="rId3"/>
    </customSheetView>
    <customSheetView guid="{72A6EB0A-84D5-4B8A-AC51-54CCD061630B}" scale="85">
      <selection activeCell="E9" sqref="E9"/>
      <pageMargins left="0.7" right="0.7" top="0.75" bottom="0.75" header="0.3" footer="0.3"/>
      <pageSetup orientation="portrait" r:id="rId4"/>
    </customSheetView>
    <customSheetView guid="{4E06BDBF-2CED-473B-850B-2A6C7311FF41}" scale="85">
      <selection activeCell="R10" sqref="R10"/>
      <pageMargins left="0.7" right="0.7" top="0.75" bottom="0.75" header="0.3" footer="0.3"/>
      <pageSetup orientation="portrait" r:id="rId5"/>
    </customSheetView>
    <customSheetView guid="{D33AC7AF-C8AB-4CE9-94C7-9237011A5FC3}" scale="85" topLeftCell="A151">
      <selection activeCell="A177" sqref="A177:I187"/>
      <pageMargins left="0.7" right="0.7" top="0.75" bottom="0.75" header="0.3" footer="0.3"/>
      <pageSetup orientation="portrait" r:id="rId6"/>
    </customSheetView>
    <customSheetView guid="{7E0EA425-A420-4443-B9E0-CDF0AA9E5D09}" scale="85">
      <selection activeCell="C54" sqref="C54"/>
      <pageMargins left="0.7" right="0.7" top="0.75" bottom="0.75" header="0.3" footer="0.3"/>
      <pageSetup orientation="portrait" r:id="rId7"/>
    </customSheetView>
    <customSheetView guid="{60D2C030-4E31-4E07-8E1C-44D2EE84B177}" scale="85">
      <selection activeCell="R10" sqref="R10"/>
      <pageMargins left="0.7" right="0.7" top="0.75" bottom="0.75" header="0.3" footer="0.3"/>
      <pageSetup orientation="portrait" r:id="rId8"/>
    </customSheetView>
    <customSheetView guid="{250915DF-0B97-45D7-B29D-7EED4C89C1C1}" scale="85">
      <selection activeCell="F55" sqref="F55"/>
      <pageMargins left="0.7" right="0.7" top="0.75" bottom="0.75" header="0.3" footer="0.3"/>
      <pageSetup orientation="portrait" r:id="rId9"/>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39"/>
  <sheetViews>
    <sheetView workbookViewId="0">
      <selection activeCell="I24" sqref="I24"/>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9" x14ac:dyDescent="0.25">
      <c r="A2" s="1">
        <f>1</f>
        <v>1</v>
      </c>
      <c r="B2" s="1" t="s">
        <v>56</v>
      </c>
      <c r="C2" s="1" t="s">
        <v>256</v>
      </c>
    </row>
    <row r="3" spans="1:9" x14ac:dyDescent="0.25">
      <c r="B3" s="1" t="s">
        <v>123</v>
      </c>
      <c r="C3" s="35">
        <f>SUM(G9:G10)</f>
        <v>10.860500000000005</v>
      </c>
      <c r="D3" t="s">
        <v>124</v>
      </c>
    </row>
    <row r="4" spans="1:9" x14ac:dyDescent="0.25">
      <c r="B4" s="1" t="s">
        <v>133</v>
      </c>
      <c r="C4">
        <f>SUM(INT((WEEKDAY(F4-{2,3,4,5,6})+H4-F4)/7))-2</f>
        <v>7</v>
      </c>
      <c r="D4" t="s">
        <v>124</v>
      </c>
      <c r="E4" t="s">
        <v>131</v>
      </c>
      <c r="F4" s="6">
        <v>43948</v>
      </c>
      <c r="G4" s="6" t="s">
        <v>122</v>
      </c>
      <c r="H4" s="6">
        <v>43958</v>
      </c>
    </row>
    <row r="5" spans="1:9" x14ac:dyDescent="0.25">
      <c r="B5" s="1" t="s">
        <v>134</v>
      </c>
      <c r="C5">
        <f>SUM(INT((WEEKDAY(F5-{2,3,4,5,6})+H5-F5)/7))-2</f>
        <v>7</v>
      </c>
      <c r="D5" t="s">
        <v>124</v>
      </c>
      <c r="E5" t="s">
        <v>131</v>
      </c>
      <c r="F5" s="6">
        <v>43948</v>
      </c>
      <c r="G5" s="6" t="s">
        <v>122</v>
      </c>
      <c r="H5" s="6">
        <v>43958</v>
      </c>
    </row>
    <row r="6" spans="1:9" x14ac:dyDescent="0.25">
      <c r="B6" s="1" t="s">
        <v>17</v>
      </c>
      <c r="C6" t="str">
        <f>IF(SUM(H9:H10)&gt;SUM(G9:G10),"Delayed",IF(SUM(H9:H10)&lt;SUM(G9:G10),"InAdvanced","Ontime"))</f>
        <v>InAdvanced</v>
      </c>
      <c r="F6" s="6"/>
      <c r="G6" s="6"/>
      <c r="H6" s="6"/>
    </row>
    <row r="8" spans="1:9" ht="30" x14ac:dyDescent="0.25">
      <c r="C8" s="43" t="s">
        <v>25</v>
      </c>
      <c r="D8" s="43" t="s">
        <v>26</v>
      </c>
      <c r="E8" s="9" t="s">
        <v>125</v>
      </c>
      <c r="F8" s="9" t="s">
        <v>126</v>
      </c>
      <c r="G8" s="9" t="s">
        <v>127</v>
      </c>
      <c r="H8" s="9" t="s">
        <v>128</v>
      </c>
      <c r="I8" s="9" t="s">
        <v>29</v>
      </c>
    </row>
    <row r="9" spans="1:9" x14ac:dyDescent="0.25">
      <c r="C9" s="8">
        <v>1</v>
      </c>
      <c r="D9" s="44" t="s">
        <v>3</v>
      </c>
      <c r="E9" s="45">
        <f>SUMIFS(Merged_JOEM!$W$48:$W$158,Merged_JOEM!$D$48:$D$158,Table!$D$3, Merged_JOEM!$E$48:$E$158,Report_For_Each_Project_JOEM!C2)</f>
        <v>3852.2249999999999</v>
      </c>
      <c r="F9" s="65">
        <f>SUMIFS(Merged_JOEM!$X$48:$X$158,Merged_JOEM!$D$48:$D$158,Table!$D$3, Merged_JOEM!$E$48:$E$158,Report_For_Each_Project_JOEM!C2)-SUM(SUMIFS(Merged_JOEM!$X$48:$X$158,Merged_JOEM!$D$48:$D$158,Table!$D$3,Merged_JOEM!$AA$48:$AA$158,{"Ongoing","N/A",""},Merged_JOEM!$E$48:$E$158,Report_For_Each_Project_JOEM!C2))</f>
        <v>3852.2249999999999</v>
      </c>
      <c r="G9" s="45">
        <f>1/8*(SUMIFS(Merged_JOEM!$Y$48:$Y$158,Merged_JOEM!$D$48:$D$158,Table!$D$3, Merged_JOEM!$E$48:$E$158,Report_For_Each_Project_JOEM!C2))</f>
        <v>8.5605000000000047</v>
      </c>
      <c r="H9" s="45">
        <f>1/8*(SUMIFS(Merged_JOEM!$Z$48:$Z$158,Merged_JOEM!$D$48:$D$158,Table!$D$3, Merged_JOEM!$E$48:$E$158,Report_For_Each_Project_JOEM!C2)-SUM(SUMIFS(Merged_JOEM!$Z$48:$Z$158,Merged_JOEM!$D$48:$D$158,Table!$D$3,Merged_JOEM!$AA$48:$AA$158,{"Ongoing","N/A",""},Merged_JOEM!$E$48:$E$158,Report_For_Each_Project_JOEM!C2)))</f>
        <v>7.3150000000000013</v>
      </c>
      <c r="I9" s="42">
        <f>IFERROR(F9/E9,"N/A")</f>
        <v>1</v>
      </c>
    </row>
    <row r="10" spans="1:9" x14ac:dyDescent="0.25">
      <c r="C10" s="8">
        <v>2</v>
      </c>
      <c r="D10" s="44" t="s">
        <v>2</v>
      </c>
      <c r="E10" s="65">
        <f>SUMIFS(Merged_JOEM!$W$48:$W$158,Merged_JOEM!$D$48:$D$158,Table!$C$3, Merged_JOEM!$E$48:$E$158,Report_For_Each_Project_JOEM!C2)</f>
        <v>299</v>
      </c>
      <c r="F10" s="47">
        <f>SUMIFS(Merged_JOEM!$X$48:$X$158,Merged_JOEM!$D$48:$D$158,Table!$C$3, Merged_JOEM!$E$48:$E$158,Report_For_Each_Project_JOEM!C2)-SUM(SUMIFS(Merged_JOEM!$X$48:$X$158,Merged_JOEM!$D$48:$D$158,Table!$C$3,Merged_JOEM!$AA$48:$AA$158,{"Ongoing","N/A",""},Merged_JOEM!$E$48:$E$158,Report_For_Each_Project_JOEM!C2))</f>
        <v>299</v>
      </c>
      <c r="G10" s="65">
        <f>1/8*(SUMIFS(Merged_JOEM!$Y$48:$Y$158,Merged_JOEM!$D$48:$D$158,Table!$C$3, Merged_JOEM!$E$48:$E$158,Report_For_Each_Project_JOEM!C2))</f>
        <v>2.2999999999999998</v>
      </c>
      <c r="H10" s="45">
        <f>1/8*(SUMIFS(Merged_JOEM!$Z$48:$Z$158,Merged_JOEM!$D$48:$D$158,Table!$C$3, Merged_JOEM!$E$48:$E$158,Report_For_Each_Project_JOEM!C2)-SUM(SUMIFS(Merged_JOEM!$Z$48:$Z$158,Merged_JOEM!$D$48:$D$158,Table!$C$3,Merged_JOEM!$AA$48:$AA$158,{"Ongoing","N/A",""},Merged_JOEM!$E$48:$E$158,Report_For_Each_Project_JOEM!C2)))</f>
        <v>1</v>
      </c>
      <c r="I10" s="42">
        <f>IFERROR(F10/E10,"N/A")</f>
        <v>1</v>
      </c>
    </row>
    <row r="12" spans="1:9" x14ac:dyDescent="0.25">
      <c r="C12" t="s">
        <v>130</v>
      </c>
    </row>
    <row r="13" spans="1:9" x14ac:dyDescent="0.25">
      <c r="D13" t="s">
        <v>135</v>
      </c>
    </row>
    <row r="15" spans="1:9" x14ac:dyDescent="0.25">
      <c r="A15" s="1">
        <v>2</v>
      </c>
      <c r="B15" s="1" t="s">
        <v>56</v>
      </c>
      <c r="C15" s="1" t="s">
        <v>529</v>
      </c>
    </row>
    <row r="16" spans="1:9" x14ac:dyDescent="0.25">
      <c r="B16" s="1" t="s">
        <v>123</v>
      </c>
      <c r="C16" s="124">
        <f>SUM(G22:G23)</f>
        <v>6.1999999999999993</v>
      </c>
      <c r="D16" t="s">
        <v>124</v>
      </c>
    </row>
    <row r="17" spans="1:9" x14ac:dyDescent="0.25">
      <c r="B17" s="1" t="s">
        <v>133</v>
      </c>
      <c r="C17">
        <f>SUM(INT((WEEKDAY(F17-{2,3,4,5,6})+H17-F17)/7))</f>
        <v>3</v>
      </c>
      <c r="D17" t="s">
        <v>124</v>
      </c>
      <c r="E17" t="s">
        <v>545</v>
      </c>
      <c r="F17" s="6">
        <v>43957</v>
      </c>
      <c r="G17" s="6" t="s">
        <v>122</v>
      </c>
      <c r="H17" s="6">
        <v>43959</v>
      </c>
    </row>
    <row r="18" spans="1:9" x14ac:dyDescent="0.25">
      <c r="B18" s="1" t="s">
        <v>134</v>
      </c>
      <c r="C18">
        <f>SUM(INT((WEEKDAY(F18-{2,3,4,5,6})+H18-F18)/7))</f>
        <v>3</v>
      </c>
      <c r="D18" t="s">
        <v>124</v>
      </c>
      <c r="E18" t="s">
        <v>545</v>
      </c>
      <c r="F18" s="6">
        <v>43957</v>
      </c>
      <c r="G18" s="6" t="s">
        <v>122</v>
      </c>
      <c r="H18" s="6">
        <v>43959</v>
      </c>
    </row>
    <row r="19" spans="1:9" x14ac:dyDescent="0.25">
      <c r="B19" s="1" t="s">
        <v>17</v>
      </c>
      <c r="C19" t="str">
        <f>IF(SUM(H22:H23)&gt;SUM(G22:G23),"Delayed",IF(SUM(H22:H23)&lt;SUM(G22:G23),"InAdvanced","Ontime"))</f>
        <v>InAdvanced</v>
      </c>
      <c r="F19" s="6"/>
      <c r="G19" s="6"/>
      <c r="H19" s="6"/>
    </row>
    <row r="21" spans="1:9" ht="30" x14ac:dyDescent="0.25">
      <c r="C21" s="60" t="s">
        <v>25</v>
      </c>
      <c r="D21" s="60" t="s">
        <v>26</v>
      </c>
      <c r="E21" s="9" t="s">
        <v>125</v>
      </c>
      <c r="F21" s="9" t="s">
        <v>126</v>
      </c>
      <c r="G21" s="9" t="s">
        <v>127</v>
      </c>
      <c r="H21" s="9" t="s">
        <v>128</v>
      </c>
      <c r="I21" s="9" t="s">
        <v>29</v>
      </c>
    </row>
    <row r="22" spans="1:9" x14ac:dyDescent="0.25">
      <c r="C22" s="51">
        <v>1</v>
      </c>
      <c r="D22" s="41" t="s">
        <v>3</v>
      </c>
      <c r="E22" s="41">
        <f>SUMIFS(Merged_JOEM!$W$48:$W$158,Merged_JOEM!$D$48:$D$158,Table!$D$3, Merged_JOEM!$E$48:$E$158,Report_For_Each_Project_JOEM!C15)</f>
        <v>1080</v>
      </c>
      <c r="F22" s="41">
        <f>SUMIFS(Merged_JOEM!$X$48:$X$158,Merged_JOEM!$D$48:$D$158,Table!$D$3, Merged_JOEM!$E$48:$E$158,Report_For_Each_Project_JOEM!C15)-SUM(SUMIFS(Merged_JOEM!$X$48:$X$158,Merged_JOEM!$D$48:$D$158,Table!$D$3,Merged_JOEM!$AA$48:$AA$158,{"Ongoing","N/A",""},Merged_JOEM!$E$48:$E$158,Report_For_Each_Project_JOEM!C15))</f>
        <v>1080</v>
      </c>
      <c r="G22" s="41">
        <f>1/8*(SUMIFS(Merged_JOEM!$Y$48:$Y$158,Merged_JOEM!$D$48:$D$158,Table!$D$3, Merged_JOEM!$E$48:$E$158,Report_For_Each_Project_JOEM!C15))</f>
        <v>2.4</v>
      </c>
      <c r="H22" s="41">
        <f>1/8*(SUMIFS(Merged_JOEM!$Z$48:$Z$158,Merged_JOEM!$D$48:$D$158,Table!$D$3, Merged_JOEM!$E$48:$E$158,Report_For_Each_Project_JOEM!C15)-SUM(SUMIFS(Merged_JOEM!$Z$48:$Z$158,Merged_JOEM!$D$48:$D$158,Table!$D$3,Merged_JOEM!$AA$48:$AA$158,{"Ongoing","N/A",""},Merged_JOEM!$E$48:$E$158,Report_For_Each_Project_JOEM!C15)))</f>
        <v>1</v>
      </c>
      <c r="I22" s="42">
        <f>IFERROR(F22/E22,"N/A")</f>
        <v>1</v>
      </c>
    </row>
    <row r="23" spans="1:9" x14ac:dyDescent="0.25">
      <c r="C23" s="51">
        <v>2</v>
      </c>
      <c r="D23" s="41" t="s">
        <v>2</v>
      </c>
      <c r="E23" s="41">
        <f>SUMIFS(Merged_JOEM!$W$48:$W$158,Merged_JOEM!$D$48:$D$158,Table!$C$3, Merged_JOEM!$E$48:$E$158,Report_For_Each_Project_JOEM!C15)</f>
        <v>494</v>
      </c>
      <c r="F23" s="41">
        <f>SUMIFS(Merged_JOEM!$X$48:$X$158,Merged_JOEM!$D$48:$D$158,Table!$C$3, Merged_JOEM!$E$48:$E$158,Report_For_Each_Project_JOEM!C15)-SUM(SUMIFS(Merged_JOEM!$X$48:$X$158,Merged_JOEM!$D$48:$D$158,Table!$C$3,Merged_JOEM!$AA$48:$AA$158,{"Ongoing","N/A",""},Merged_JOEM!$E$48:$E$158,Report_For_Each_Project_JOEM!C15))</f>
        <v>494</v>
      </c>
      <c r="G23" s="41">
        <f>1/8*(SUMIFS(Merged_JOEM!$Y$48:$Y$158,Merged_JOEM!$D$48:$D$158,Table!$C$3, Merged_JOEM!$E$48:$E$158,Report_For_Each_Project_JOEM!C15))</f>
        <v>3.8</v>
      </c>
      <c r="H23" s="41">
        <f>1/8*(SUMIFS(Merged_JOEM!$Z$48:$Z$158,Merged_JOEM!$D$48:$D$158,Table!$C$3, Merged_JOEM!$E$48:$E$158,Report_For_Each_Project_JOEM!C15)-SUM(SUMIFS(Merged_JOEM!$Z$48:$Z$158,Merged_JOEM!$D$48:$D$158,Table!$C$3,Merged_JOEM!$AA$48:$AA$158,{"Ongoing","N/A",""},Merged_JOEM!$E$48:$E$158,Report_For_Each_Project_JOEM!C15)))</f>
        <v>1.25</v>
      </c>
      <c r="I23" s="42">
        <f>IFERROR(F23/E23,"N/A")</f>
        <v>1</v>
      </c>
    </row>
    <row r="25" spans="1:9" x14ac:dyDescent="0.25">
      <c r="C25" t="s">
        <v>130</v>
      </c>
    </row>
    <row r="26" spans="1:9" x14ac:dyDescent="0.25">
      <c r="D26" s="136" t="s">
        <v>640</v>
      </c>
    </row>
    <row r="28" spans="1:9" x14ac:dyDescent="0.25">
      <c r="A28" s="1">
        <v>3</v>
      </c>
      <c r="B28" s="1" t="s">
        <v>56</v>
      </c>
      <c r="C28" s="1" t="s">
        <v>684</v>
      </c>
    </row>
    <row r="29" spans="1:9" x14ac:dyDescent="0.25">
      <c r="B29" s="1" t="s">
        <v>123</v>
      </c>
      <c r="C29">
        <f>SUM(G35:G36)</f>
        <v>16.020000000000003</v>
      </c>
      <c r="D29" t="s">
        <v>124</v>
      </c>
    </row>
    <row r="30" spans="1:9" x14ac:dyDescent="0.25">
      <c r="B30" s="1" t="s">
        <v>133</v>
      </c>
      <c r="C30">
        <f>SUM(INT((WEEKDAY(F30-{2,3,4,5,6})+H30-F30)/7))</f>
        <v>8</v>
      </c>
      <c r="D30" t="s">
        <v>124</v>
      </c>
      <c r="E30" t="s">
        <v>166</v>
      </c>
      <c r="F30" s="6">
        <v>43962</v>
      </c>
      <c r="G30" s="6" t="s">
        <v>122</v>
      </c>
      <c r="H30" s="6">
        <v>43971</v>
      </c>
    </row>
    <row r="31" spans="1:9" x14ac:dyDescent="0.25">
      <c r="B31" s="1" t="s">
        <v>134</v>
      </c>
      <c r="C31">
        <f>SUM(INT((WEEKDAY(F31-{2,3,4,5,6})+H31-F31)/7))</f>
        <v>8</v>
      </c>
      <c r="D31" t="s">
        <v>124</v>
      </c>
      <c r="E31" t="s">
        <v>709</v>
      </c>
      <c r="F31" s="6">
        <v>43962</v>
      </c>
      <c r="G31" s="6" t="s">
        <v>122</v>
      </c>
      <c r="H31" s="6">
        <v>43971</v>
      </c>
    </row>
    <row r="32" spans="1:9" x14ac:dyDescent="0.25">
      <c r="B32" s="1" t="s">
        <v>17</v>
      </c>
      <c r="C32" t="str">
        <f>IF(SUM(H35:H36)&gt;SUM(G35:G36),"Delayed",IF(SUM(H35:H36)&lt;SUM(G35:G36),"InAdvanced","Ontime"))</f>
        <v>InAdvanced</v>
      </c>
      <c r="F32" s="6"/>
      <c r="G32" s="6"/>
      <c r="H32" s="6"/>
    </row>
    <row r="34" spans="3:9" ht="30" x14ac:dyDescent="0.25">
      <c r="C34" s="60" t="s">
        <v>25</v>
      </c>
      <c r="D34" s="60" t="s">
        <v>26</v>
      </c>
      <c r="E34" s="9" t="s">
        <v>125</v>
      </c>
      <c r="F34" s="9" t="s">
        <v>126</v>
      </c>
      <c r="G34" s="9" t="s">
        <v>127</v>
      </c>
      <c r="H34" s="9" t="s">
        <v>128</v>
      </c>
      <c r="I34" s="9" t="s">
        <v>29</v>
      </c>
    </row>
    <row r="35" spans="3:9" x14ac:dyDescent="0.25">
      <c r="C35" s="51">
        <v>1</v>
      </c>
      <c r="D35" s="41" t="s">
        <v>3</v>
      </c>
      <c r="E35" s="41">
        <f>SUMIFS(Merged_JOEM!$W$48:$W$158,Merged_JOEM!$D$48:$D$158,Table!$D$3, Merged_JOEM!$E$48:$E$158,Report_For_Each_Project_JOEM!C28)</f>
        <v>4464</v>
      </c>
      <c r="F35" s="41">
        <f>SUMIFS(Merged_JOEM!$X$48:$X$158,Merged_JOEM!$D$48:$D$158,Table!$D$3, Merged_JOEM!$E$48:$E$158,Report_For_Each_Project_JOEM!C28)-SUM(SUMIFS(Merged_JOEM!$X$48:$X$158,Merged_JOEM!$D$48:$D$158,Table!$D$3,Merged_JOEM!$AA$48:$AA$158,{"Ongoing","N/A",""},Merged_JOEM!$E$48:$E$158,Report_For_Each_Project_JOEM!C28))</f>
        <v>2542.5</v>
      </c>
      <c r="G35" s="41">
        <f>1/8*(SUMIFS(Merged_JOEM!$Y$48:$Y$158,Merged_JOEM!$D$48:$D$158,Table!$D$3, Merged_JOEM!$E$48:$E$158,Report_For_Each_Project_JOEM!C28))</f>
        <v>9.9200000000000035</v>
      </c>
      <c r="H35" s="41">
        <f>1/8*(SUMIFS(Merged_JOEM!$Z$48:$Z$158,Merged_JOEM!$D$48:$D$158,Table!$D$3, Merged_JOEM!$E$48:$E$158,Report_For_Each_Project_JOEM!C28)-SUM(SUMIFS(Merged_JOEM!$Z$48:$Z$158,Merged_JOEM!$D$48:$D$158,Table!$D$3,Merged_JOEM!$AA$48:$AA$158,{"Ongoing","N/A",""},Merged_JOEM!$E$48:$E$158,Report_For_Each_Project_JOEM!C28)))</f>
        <v>2</v>
      </c>
      <c r="I35" s="42">
        <f>IFERROR(F35/E35,"N/A")</f>
        <v>0.56955645161290325</v>
      </c>
    </row>
    <row r="36" spans="3:9" x14ac:dyDescent="0.25">
      <c r="C36" s="51">
        <v>2</v>
      </c>
      <c r="D36" s="41" t="s">
        <v>2</v>
      </c>
      <c r="E36" s="41">
        <f>SUMIFS(Merged_JOEM!$W$48:$W$158,Merged_JOEM!$D$48:$D$158,Table!$C$3, Merged_JOEM!$E$48:$E$158,Report_For_Each_Project_JOEM!C28)</f>
        <v>793</v>
      </c>
      <c r="F36" s="41">
        <f>SUMIFS(Merged_JOEM!$X$48:$X$158,Merged_JOEM!$D$48:$D$158,Table!$C$3, Merged_JOEM!$E$48:$E$158,Report_For_Each_Project_JOEM!C28)-SUM(SUMIFS(Merged_JOEM!$X$48:$X$158,Merged_JOEM!$D$48:$D$158,Table!$C$3,Merged_JOEM!$AA$48:$AA$158,{"Ongoing","N/A",""},Merged_JOEM!$E$48:$E$158,Report_For_Each_Project_JOEM!C28))</f>
        <v>0</v>
      </c>
      <c r="G36" s="41">
        <f>1/8*(SUMIFS(Merged_JOEM!$Y$48:$Y$158,Merged_JOEM!$D$48:$D$158,Table!$C$3, Merged_JOEM!$E$48:$E$158,Report_For_Each_Project_JOEM!C28))</f>
        <v>6.1</v>
      </c>
      <c r="H36" s="41">
        <f>1/8*(SUMIFS(Merged_JOEM!$Z$48:$Z$158,Merged_JOEM!$D$48:$D$158,Table!$C$3, Merged_JOEM!$E$48:$E$158,Report_For_Each_Project_JOEM!C28)-SUM(SUMIFS(Merged_JOEM!$Z$48:$Z$158,Merged_JOEM!$D$48:$D$158,Table!$C$3,Merged_JOEM!$AA$48:$AA$158,{"Ongoing","N/A",""},Merged_JOEM!$E$48:$E$158,Report_For_Each_Project_JOEM!C28)))</f>
        <v>0</v>
      </c>
      <c r="I36" s="42">
        <f>IFERROR(F36/E36,"N/A")</f>
        <v>0</v>
      </c>
    </row>
    <row r="38" spans="3:9" x14ac:dyDescent="0.25">
      <c r="C38" t="s">
        <v>130</v>
      </c>
    </row>
    <row r="39" spans="3:9" x14ac:dyDescent="0.25">
      <c r="D39" s="37" t="s">
        <v>135</v>
      </c>
    </row>
  </sheetData>
  <customSheetViews>
    <customSheetView guid="{7ECC2B8E-6A82-42F5-8AB0-4A51C54EA5EC}">
      <selection activeCell="I24" sqref="I24"/>
      <pageMargins left="0.7" right="0.7" top="0.75" bottom="0.75" header="0.3" footer="0.3"/>
    </customSheetView>
    <customSheetView guid="{3B3E6719-EACB-4D2C-89C1-05FFAB6020FD}">
      <selection activeCell="K38" sqref="K38"/>
      <pageMargins left="0.7" right="0.7" top="0.75" bottom="0.75" header="0.3" footer="0.3"/>
    </customSheetView>
    <customSheetView guid="{336B6883-2145-4B58-921E-CEC7185A847E}">
      <selection activeCell="K38" sqref="K38"/>
      <pageMargins left="0.7" right="0.7" top="0.75" bottom="0.75" header="0.3" footer="0.3"/>
    </customSheetView>
    <customSheetView guid="{A2C66332-A809-458E-971B-FDB6D62C74C3}">
      <selection activeCell="F10" sqref="F10"/>
      <pageMargins left="0.7" right="0.7" top="0.75" bottom="0.75" header="0.3" footer="0.3"/>
    </customSheetView>
    <customSheetView guid="{72A6EB0A-84D5-4B8A-AC51-54CCD061630B}">
      <selection activeCell="G8" sqref="G8"/>
      <pageMargins left="0.7" right="0.7" top="0.75" bottom="0.75" header="0.3" footer="0.3"/>
    </customSheetView>
    <customSheetView guid="{4E06BDBF-2CED-473B-850B-2A6C7311FF41}">
      <selection activeCell="E9" sqref="E9"/>
      <pageMargins left="0.7" right="0.7" top="0.75" bottom="0.75" header="0.3" footer="0.3"/>
    </customSheetView>
    <customSheetView guid="{D33AC7AF-C8AB-4CE9-94C7-9237011A5FC3}">
      <selection activeCell="K38" sqref="K38"/>
      <pageMargins left="0.7" right="0.7" top="0.75" bottom="0.75" header="0.3" footer="0.3"/>
    </customSheetView>
    <customSheetView guid="{7E0EA425-A420-4443-B9E0-CDF0AA9E5D09}">
      <selection activeCell="E9" sqref="E9"/>
      <pageMargins left="0.7" right="0.7" top="0.75" bottom="0.75" header="0.3" footer="0.3"/>
    </customSheetView>
    <customSheetView guid="{60D2C030-4E31-4E07-8E1C-44D2EE84B177}">
      <selection activeCell="E9" sqref="E9"/>
      <pageMargins left="0.7" right="0.7" top="0.75" bottom="0.75" header="0.3" footer="0.3"/>
    </customSheetView>
    <customSheetView guid="{250915DF-0B97-45D7-B29D-7EED4C89C1C1}" topLeftCell="A19">
      <selection activeCell="H40" sqref="H40"/>
      <pageMargins left="0.7" right="0.7" top="0.75" bottom="0.75" header="0.3" footer="0.3"/>
      <pageSetup paperSize="9"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zoomScale="85" zoomScaleNormal="85" workbookViewId="0">
      <selection activeCell="G11" sqref="G11"/>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1" x14ac:dyDescent="0.25">
      <c r="B2" s="74" t="s">
        <v>110</v>
      </c>
    </row>
    <row r="3" spans="2:11" x14ac:dyDescent="0.25">
      <c r="B3" s="67" t="s">
        <v>0</v>
      </c>
      <c r="C3" s="67" t="s">
        <v>8</v>
      </c>
      <c r="D3" s="67" t="s">
        <v>129</v>
      </c>
      <c r="E3" s="67" t="s">
        <v>53</v>
      </c>
      <c r="F3" s="67" t="s">
        <v>102</v>
      </c>
      <c r="G3" s="67" t="s">
        <v>22</v>
      </c>
      <c r="H3" s="68" t="s">
        <v>24</v>
      </c>
      <c r="I3" s="68" t="s">
        <v>149</v>
      </c>
      <c r="J3" s="68" t="s">
        <v>164</v>
      </c>
    </row>
    <row r="4" spans="2:11" x14ac:dyDescent="0.25">
      <c r="B4" s="69">
        <v>1</v>
      </c>
      <c r="C4" s="84" t="s">
        <v>6</v>
      </c>
      <c r="D4" s="71">
        <f>SUM(Merged_COEM!D34,Merged_JOEM!D34)</f>
        <v>4499.1000000000004</v>
      </c>
      <c r="E4" s="71">
        <f>SUM(Merged_COEM!E34,Merged_JOEM!E34)</f>
        <v>3156.1</v>
      </c>
      <c r="F4" s="71">
        <f ca="1">$B$22-SUM(VALUE(SUBSTITUTE(E64,"-",0)),VALUE(SUBSTITUTE(O64,"-",0)))</f>
        <v>7</v>
      </c>
      <c r="G4" s="71">
        <f t="shared" ref="G4" ca="1" si="0">IF(ISERROR(E4/(F4)),"N/A",E4/F4)</f>
        <v>450.87142857142857</v>
      </c>
      <c r="H4" s="72">
        <f t="shared" ref="H4:H14" si="1">IF(ISERROR(E4/D4),"N/A",E4/D4)</f>
        <v>0.70149585472650078</v>
      </c>
      <c r="I4" s="3">
        <f>SUM(Merged_COEM!I34,Merged_JOEM!I34)</f>
        <v>0</v>
      </c>
      <c r="J4" s="3">
        <f>SUM(Merged_COEM!J34,Merged_JOEM!J34)</f>
        <v>0</v>
      </c>
      <c r="K4">
        <f ca="1">RANK(G4,$G$4:$G$13)</f>
        <v>8</v>
      </c>
    </row>
    <row r="5" spans="2:11" x14ac:dyDescent="0.25">
      <c r="B5" s="69">
        <v>2</v>
      </c>
      <c r="C5" s="84" t="s">
        <v>64</v>
      </c>
      <c r="D5" s="71">
        <f>SUM(Merged_COEM!D35,Merged_JOEM!D35)</f>
        <v>4827</v>
      </c>
      <c r="E5" s="71">
        <f>SUM(Merged_COEM!E35,Merged_JOEM!E35)</f>
        <v>4588</v>
      </c>
      <c r="F5" s="71">
        <f t="shared" ref="F5:F13" ca="1" si="2">$B$22-SUM(VALUE(SUBSTITUTE(E65,"-",0)),VALUE(SUBSTITUTE(O65,"-",0)))</f>
        <v>7</v>
      </c>
      <c r="G5" s="71">
        <f ca="1">IF(ISERROR(E5/(F5)),"N/A",E5/F5)</f>
        <v>655.42857142857144</v>
      </c>
      <c r="H5" s="72">
        <f t="shared" si="1"/>
        <v>0.95048684483115808</v>
      </c>
      <c r="I5" s="3">
        <f>SUM(Merged_COEM!I35,Merged_JOEM!I35)</f>
        <v>1</v>
      </c>
      <c r="J5" s="3">
        <f>SUM(Merged_COEM!J35,Merged_JOEM!J35)</f>
        <v>0</v>
      </c>
      <c r="K5">
        <f t="shared" ref="K5:K13" ca="1" si="3">RANK(G5,$G$4:$G$13)</f>
        <v>2</v>
      </c>
    </row>
    <row r="6" spans="2:11" x14ac:dyDescent="0.25">
      <c r="B6" s="69">
        <v>3</v>
      </c>
      <c r="C6" s="84" t="s">
        <v>65</v>
      </c>
      <c r="D6" s="71">
        <f>SUM(Merged_COEM!D36,Merged_JOEM!D36)</f>
        <v>3660</v>
      </c>
      <c r="E6" s="71">
        <f>SUM(Merged_COEM!E36,Merged_JOEM!E36)</f>
        <v>2575</v>
      </c>
      <c r="F6" s="71">
        <f t="shared" ca="1" si="2"/>
        <v>7</v>
      </c>
      <c r="G6" s="71">
        <f t="shared" ref="G6:G13" ca="1" si="4">IF(ISERROR(E6/(F6)),"N/A",E6/F6)</f>
        <v>367.85714285714283</v>
      </c>
      <c r="H6" s="72">
        <f t="shared" si="1"/>
        <v>0.70355191256830596</v>
      </c>
      <c r="I6" s="3">
        <f>SUM(Merged_COEM!I36,Merged_JOEM!I36)</f>
        <v>1</v>
      </c>
      <c r="J6" s="3">
        <f>SUM(Merged_COEM!J36,Merged_JOEM!J36)</f>
        <v>0</v>
      </c>
      <c r="K6">
        <f t="shared" ca="1" si="3"/>
        <v>10</v>
      </c>
    </row>
    <row r="7" spans="2:11" x14ac:dyDescent="0.25">
      <c r="B7" s="69">
        <v>4</v>
      </c>
      <c r="C7" s="84" t="s">
        <v>66</v>
      </c>
      <c r="D7" s="71">
        <f>SUM(Merged_COEM!D37,Merged_JOEM!D37)</f>
        <v>8869.2749999999996</v>
      </c>
      <c r="E7" s="71">
        <f>SUM(Merged_COEM!E37,Merged_JOEM!E37)</f>
        <v>6916.2749999999996</v>
      </c>
      <c r="F7" s="71">
        <f t="shared" ca="1" si="2"/>
        <v>7</v>
      </c>
      <c r="G7" s="71">
        <f t="shared" ca="1" si="4"/>
        <v>988.03928571428571</v>
      </c>
      <c r="H7" s="72">
        <f t="shared" si="1"/>
        <v>0.77980161850884089</v>
      </c>
      <c r="I7" s="3">
        <f>SUM(Merged_COEM!I37,Merged_JOEM!I37)</f>
        <v>0</v>
      </c>
      <c r="J7" s="3">
        <f>SUM(Merged_COEM!J37,Merged_JOEM!J37)</f>
        <v>0</v>
      </c>
      <c r="K7">
        <f t="shared" ca="1" si="3"/>
        <v>1</v>
      </c>
    </row>
    <row r="8" spans="2:11" x14ac:dyDescent="0.25">
      <c r="B8" s="69">
        <v>5</v>
      </c>
      <c r="C8" s="84" t="s">
        <v>67</v>
      </c>
      <c r="D8" s="71">
        <f>SUM(Merged_COEM!D38,Merged_JOEM!D38)</f>
        <v>4196.4615384615381</v>
      </c>
      <c r="E8" s="71">
        <f>SUM(Merged_COEM!E38,Merged_JOEM!E38)</f>
        <v>4196.4615384615381</v>
      </c>
      <c r="F8" s="71">
        <f t="shared" ca="1" si="2"/>
        <v>7</v>
      </c>
      <c r="G8" s="71">
        <f t="shared" ca="1" si="4"/>
        <v>599.49450549450546</v>
      </c>
      <c r="H8" s="72">
        <f t="shared" si="1"/>
        <v>1</v>
      </c>
      <c r="I8" s="3">
        <f>SUM(Merged_COEM!I38,Merged_JOEM!I38)</f>
        <v>3</v>
      </c>
      <c r="J8" s="3">
        <f>SUM(Merged_COEM!J38,Merged_JOEM!J38)</f>
        <v>0</v>
      </c>
      <c r="K8">
        <f t="shared" ca="1" si="3"/>
        <v>4</v>
      </c>
    </row>
    <row r="9" spans="2:11" x14ac:dyDescent="0.25">
      <c r="B9" s="69">
        <v>6</v>
      </c>
      <c r="C9" s="84" t="s">
        <v>68</v>
      </c>
      <c r="D9" s="71">
        <f>SUM(Merged_COEM!D39,Merged_JOEM!D39)</f>
        <v>4256.6153846153848</v>
      </c>
      <c r="E9" s="71">
        <f>SUM(Merged_COEM!E39,Merged_JOEM!E39)</f>
        <v>4256.6153846153848</v>
      </c>
      <c r="F9" s="71">
        <f t="shared" ca="1" si="2"/>
        <v>7</v>
      </c>
      <c r="G9" s="71">
        <f t="shared" ca="1" si="4"/>
        <v>608.08791208791206</v>
      </c>
      <c r="H9" s="72">
        <f t="shared" si="1"/>
        <v>1</v>
      </c>
      <c r="I9" s="3">
        <f>SUM(Merged_COEM!I39,Merged_JOEM!I39)</f>
        <v>2</v>
      </c>
      <c r="J9" s="3">
        <f>SUM(Merged_COEM!J39,Merged_JOEM!J39)</f>
        <v>0</v>
      </c>
      <c r="K9">
        <f t="shared" ca="1" si="3"/>
        <v>3</v>
      </c>
    </row>
    <row r="10" spans="2:11" x14ac:dyDescent="0.25">
      <c r="B10" s="69">
        <v>7</v>
      </c>
      <c r="C10" s="84" t="s">
        <v>69</v>
      </c>
      <c r="D10" s="71">
        <f>SUM(Merged_COEM!D40,Merged_JOEM!D40)</f>
        <v>3672.1538461538462</v>
      </c>
      <c r="E10" s="71">
        <f>SUM(Merged_COEM!E40,Merged_JOEM!E40)</f>
        <v>3672.1538461538462</v>
      </c>
      <c r="F10" s="71">
        <f t="shared" ca="1" si="2"/>
        <v>7</v>
      </c>
      <c r="G10" s="71">
        <f t="shared" ca="1" si="4"/>
        <v>524.5934065934066</v>
      </c>
      <c r="H10" s="72">
        <f t="shared" si="1"/>
        <v>1</v>
      </c>
      <c r="I10" s="3">
        <f>SUM(Merged_COEM!I40,Merged_JOEM!I40)</f>
        <v>6</v>
      </c>
      <c r="J10" s="3">
        <f>SUM(Merged_COEM!J40,Merged_JOEM!J40)</f>
        <v>0</v>
      </c>
      <c r="K10">
        <f t="shared" ca="1" si="3"/>
        <v>6</v>
      </c>
    </row>
    <row r="11" spans="2:11" x14ac:dyDescent="0.25">
      <c r="B11" s="69">
        <v>8</v>
      </c>
      <c r="C11" s="84" t="s">
        <v>70</v>
      </c>
      <c r="D11" s="71">
        <f>SUM(Merged_COEM!D41,Merged_JOEM!D41)</f>
        <v>4002</v>
      </c>
      <c r="E11" s="71">
        <f>SUM(Merged_COEM!E41,Merged_JOEM!E41)</f>
        <v>4002</v>
      </c>
      <c r="F11" s="71">
        <f t="shared" ca="1" si="2"/>
        <v>7</v>
      </c>
      <c r="G11" s="71">
        <f t="shared" ca="1" si="4"/>
        <v>571.71428571428567</v>
      </c>
      <c r="H11" s="72">
        <f t="shared" si="1"/>
        <v>1</v>
      </c>
      <c r="I11" s="3">
        <f>SUM(Merged_COEM!I41,Merged_JOEM!I41)</f>
        <v>4</v>
      </c>
      <c r="J11" s="3">
        <f>SUM(Merged_COEM!J41,Merged_JOEM!J41)</f>
        <v>0</v>
      </c>
      <c r="K11">
        <f t="shared" ca="1" si="3"/>
        <v>5</v>
      </c>
    </row>
    <row r="12" spans="2:11" x14ac:dyDescent="0.25">
      <c r="B12" s="69">
        <v>9</v>
      </c>
      <c r="C12" s="84" t="s">
        <v>156</v>
      </c>
      <c r="D12" s="71">
        <f>SUM(Merged_COEM!D42,Merged_JOEM!D42)</f>
        <v>5675.85</v>
      </c>
      <c r="E12" s="71">
        <f>SUM(Merged_COEM!E42,Merged_JOEM!E42)</f>
        <v>2962.3500000000004</v>
      </c>
      <c r="F12" s="71">
        <f t="shared" ca="1" si="2"/>
        <v>7</v>
      </c>
      <c r="G12" s="71">
        <f t="shared" ca="1" si="4"/>
        <v>423.19285714285718</v>
      </c>
      <c r="H12" s="72">
        <f t="shared" si="1"/>
        <v>0.5219218266867518</v>
      </c>
      <c r="I12" s="3">
        <f>SUM(Merged_COEM!I42,Merged_JOEM!I42)</f>
        <v>0</v>
      </c>
      <c r="J12" s="3">
        <f>SUM(Merged_COEM!J42,Merged_JOEM!J42)</f>
        <v>0</v>
      </c>
      <c r="K12">
        <f t="shared" ca="1" si="3"/>
        <v>9</v>
      </c>
    </row>
    <row r="13" spans="2:11" x14ac:dyDescent="0.25">
      <c r="B13" s="69">
        <v>10</v>
      </c>
      <c r="C13" s="84" t="s">
        <v>157</v>
      </c>
      <c r="D13" s="71">
        <f>SUM(Merged_COEM!D43,Merged_JOEM!D43)</f>
        <v>3222</v>
      </c>
      <c r="E13" s="71">
        <f>SUM(Merged_COEM!E43,Merged_JOEM!E43)</f>
        <v>3222</v>
      </c>
      <c r="F13" s="71">
        <f t="shared" ca="1" si="2"/>
        <v>7</v>
      </c>
      <c r="G13" s="71">
        <f t="shared" ca="1" si="4"/>
        <v>460.28571428571428</v>
      </c>
      <c r="H13" s="72">
        <f t="shared" si="1"/>
        <v>1</v>
      </c>
      <c r="I13" s="3">
        <f>SUM(Merged_COEM!I43,Merged_JOEM!I43)</f>
        <v>0</v>
      </c>
      <c r="J13" s="3">
        <f>SUM(Merged_COEM!J43,Merged_JOEM!J43)</f>
        <v>0</v>
      </c>
      <c r="K13">
        <f t="shared" ca="1" si="3"/>
        <v>7</v>
      </c>
    </row>
    <row r="14" spans="2:11" x14ac:dyDescent="0.25">
      <c r="B14" s="67" t="s">
        <v>109</v>
      </c>
      <c r="C14" s="73"/>
      <c r="D14" s="71">
        <f>SUM(D4:D13)</f>
        <v>46880.455769230764</v>
      </c>
      <c r="E14" s="71">
        <f>SUM(E4:E13)</f>
        <v>39546.955769230764</v>
      </c>
      <c r="F14" s="71">
        <f ca="1">$B$22*COUNTA($C$4:$C$13)</f>
        <v>70</v>
      </c>
      <c r="G14" s="71">
        <f ca="1">IF(ISERROR(E14/(F14)),"N/A",E14/F14)</f>
        <v>564.95651098901089</v>
      </c>
      <c r="H14" s="72">
        <f t="shared" si="1"/>
        <v>0.84357020682351758</v>
      </c>
      <c r="I14" s="3">
        <f>SUM(I4:I13)</f>
        <v>17</v>
      </c>
      <c r="J14" s="3">
        <f>SUM(J4:J13)</f>
        <v>0</v>
      </c>
      <c r="K14">
        <f ca="1">F14*450</f>
        <v>31500</v>
      </c>
    </row>
    <row r="17" spans="1:18" x14ac:dyDescent="0.25">
      <c r="A17" s="82" t="s">
        <v>338</v>
      </c>
      <c r="B17" s="82" t="s">
        <v>186</v>
      </c>
      <c r="J17" s="83"/>
      <c r="K17" s="82" t="s">
        <v>338</v>
      </c>
      <c r="L17" s="82" t="s">
        <v>185</v>
      </c>
    </row>
    <row r="18" spans="1:18" x14ac:dyDescent="0.25">
      <c r="J18" s="83"/>
    </row>
    <row r="19" spans="1:18" x14ac:dyDescent="0.25">
      <c r="A19" s="1" t="s">
        <v>38</v>
      </c>
      <c r="B19" s="36">
        <v>43952</v>
      </c>
      <c r="D19" s="36">
        <f ca="1">TODAY()</f>
        <v>43963</v>
      </c>
      <c r="F19" s="6"/>
      <c r="J19" s="83"/>
      <c r="K19" s="1" t="s">
        <v>38</v>
      </c>
      <c r="L19" s="36">
        <f>B19</f>
        <v>43952</v>
      </c>
      <c r="N19" s="36">
        <f ca="1">D19</f>
        <v>43963</v>
      </c>
      <c r="P19" s="6"/>
    </row>
    <row r="20" spans="1:18" x14ac:dyDescent="0.25">
      <c r="A20" s="1" t="s">
        <v>30</v>
      </c>
      <c r="B20" s="7">
        <f ca="1">SUM(INT((WEEKDAY(B19-{2,3,4,5,6}) +D19-B19)/7))</f>
        <v>8</v>
      </c>
      <c r="J20" s="83"/>
      <c r="K20" s="1" t="s">
        <v>30</v>
      </c>
      <c r="L20" s="7">
        <f ca="1">B20</f>
        <v>8</v>
      </c>
    </row>
    <row r="21" spans="1:18" x14ac:dyDescent="0.25">
      <c r="A21" s="1" t="s">
        <v>145</v>
      </c>
      <c r="B21" s="7">
        <v>1</v>
      </c>
      <c r="C21" t="s">
        <v>319</v>
      </c>
      <c r="J21" s="83"/>
      <c r="K21" s="1" t="s">
        <v>145</v>
      </c>
      <c r="L21" s="7">
        <f>B21</f>
        <v>1</v>
      </c>
      <c r="M21" t="s">
        <v>319</v>
      </c>
    </row>
    <row r="22" spans="1:18" x14ac:dyDescent="0.25">
      <c r="A22" s="1" t="s">
        <v>111</v>
      </c>
      <c r="B22">
        <f ca="1">IF(TODAY()&lt;D19,SUM(INT((WEEKDAY(B19-{2,3,4,5,6})+TODAY()-B19)/7)),SUM(INT((WEEKDAY(B19-{2,3,4,5,6})+D19-B19)/7)))-B21</f>
        <v>7</v>
      </c>
      <c r="J22" s="83"/>
      <c r="K22" s="1" t="s">
        <v>111</v>
      </c>
      <c r="L22">
        <f ca="1">B22</f>
        <v>7</v>
      </c>
    </row>
    <row r="23" spans="1:18" x14ac:dyDescent="0.25">
      <c r="A23" s="1"/>
      <c r="J23" s="83"/>
      <c r="K23" s="1"/>
    </row>
    <row r="24" spans="1:18" x14ac:dyDescent="0.25">
      <c r="B24" s="1" t="s">
        <v>405</v>
      </c>
      <c r="J24" s="83"/>
      <c r="L24" s="1" t="s">
        <v>405</v>
      </c>
    </row>
    <row r="25" spans="1:18" ht="45" x14ac:dyDescent="0.25">
      <c r="C25" s="52" t="s">
        <v>25</v>
      </c>
      <c r="D25" s="52" t="s">
        <v>26</v>
      </c>
      <c r="E25" s="52" t="s">
        <v>27</v>
      </c>
      <c r="F25" s="52" t="s">
        <v>28</v>
      </c>
      <c r="G25" s="9" t="s">
        <v>102</v>
      </c>
      <c r="H25" s="9" t="s">
        <v>29</v>
      </c>
      <c r="J25" s="83"/>
      <c r="M25" s="60" t="s">
        <v>25</v>
      </c>
      <c r="N25" s="60" t="s">
        <v>26</v>
      </c>
      <c r="O25" s="60" t="s">
        <v>27</v>
      </c>
      <c r="P25" s="60" t="s">
        <v>28</v>
      </c>
      <c r="Q25" s="9" t="s">
        <v>102</v>
      </c>
      <c r="R25" s="9" t="s">
        <v>29</v>
      </c>
    </row>
    <row r="26" spans="1:18" x14ac:dyDescent="0.25">
      <c r="C26" s="54">
        <v>1</v>
      </c>
      <c r="D26" s="54" t="s">
        <v>3</v>
      </c>
      <c r="E26" s="54">
        <f>SUM(Merged_COEM!D14)</f>
        <v>30710</v>
      </c>
      <c r="F26" s="54">
        <f>SUM(Merged_COEM!E14)</f>
        <v>28043</v>
      </c>
      <c r="G26" s="54">
        <f>E26/Table!$D$4</f>
        <v>68.24444444444444</v>
      </c>
      <c r="H26" s="42">
        <f>IFERROR(F26/E26,"N/A")</f>
        <v>0.91315532399869748</v>
      </c>
      <c r="J26" s="83"/>
      <c r="M26" s="65">
        <v>1</v>
      </c>
      <c r="N26" s="65" t="s">
        <v>3</v>
      </c>
      <c r="O26" s="65">
        <f>SUM(Merged_JOEM!D14)</f>
        <v>9396.2250000000004</v>
      </c>
      <c r="P26" s="65">
        <f>SUM(Merged_JOEM!E14)</f>
        <v>7474.7250000000004</v>
      </c>
      <c r="Q26" s="65">
        <f>O26/Table!$D$4</f>
        <v>20.880500000000001</v>
      </c>
      <c r="R26" s="42">
        <f>IFERROR(P26/O26,"N/A")</f>
        <v>0.79550298125044894</v>
      </c>
    </row>
    <row r="27" spans="1:18" x14ac:dyDescent="0.25">
      <c r="C27" s="54">
        <v>2</v>
      </c>
      <c r="D27" s="54" t="s">
        <v>2</v>
      </c>
      <c r="E27" s="61">
        <f>SUM(Merged_COEM!D29)</f>
        <v>371</v>
      </c>
      <c r="F27" s="65">
        <f>SUM(Merged_COEM!E29)</f>
        <v>371</v>
      </c>
      <c r="G27" s="54">
        <f>E27/Table!$C$4</f>
        <v>2.8538461538461539</v>
      </c>
      <c r="H27" s="42">
        <f>IFERROR(F27/E27,"N/A")</f>
        <v>1</v>
      </c>
      <c r="J27" s="83"/>
      <c r="M27" s="65">
        <v>2</v>
      </c>
      <c r="N27" s="65" t="s">
        <v>2</v>
      </c>
      <c r="O27" s="65">
        <f>SUM(Merged_JOEM!D29)</f>
        <v>1586</v>
      </c>
      <c r="P27" s="65">
        <f>SUM(Merged_JOEM!E29)</f>
        <v>793</v>
      </c>
      <c r="Q27" s="65">
        <f>O27/Table!$C$4</f>
        <v>12.2</v>
      </c>
      <c r="R27" s="42">
        <f>IFERROR(P27/O27,"N/A")</f>
        <v>0.5</v>
      </c>
    </row>
    <row r="28" spans="1:18" x14ac:dyDescent="0.25">
      <c r="C28" s="33"/>
      <c r="D28" s="31"/>
      <c r="E28" s="31"/>
      <c r="F28" s="31"/>
      <c r="G28" s="34"/>
      <c r="J28" s="83"/>
      <c r="M28" s="33"/>
      <c r="N28" s="31"/>
      <c r="O28" s="31"/>
      <c r="P28" s="31"/>
      <c r="Q28" s="34"/>
    </row>
    <row r="29" spans="1:18" x14ac:dyDescent="0.25">
      <c r="B29" s="1" t="s">
        <v>406</v>
      </c>
      <c r="J29" s="83"/>
      <c r="L29" s="1" t="s">
        <v>406</v>
      </c>
    </row>
    <row r="30" spans="1:18" ht="30" x14ac:dyDescent="0.25">
      <c r="C30" s="52" t="s">
        <v>25</v>
      </c>
      <c r="D30" s="52" t="s">
        <v>31</v>
      </c>
      <c r="E30" s="9" t="s">
        <v>32</v>
      </c>
      <c r="F30" s="9" t="s">
        <v>33</v>
      </c>
      <c r="G30" s="9" t="s">
        <v>139</v>
      </c>
      <c r="H30" s="9" t="s">
        <v>140</v>
      </c>
      <c r="J30" s="83"/>
      <c r="M30" s="60" t="s">
        <v>25</v>
      </c>
      <c r="N30" s="60" t="s">
        <v>31</v>
      </c>
      <c r="O30" s="9" t="s">
        <v>32</v>
      </c>
      <c r="P30" s="9" t="s">
        <v>33</v>
      </c>
      <c r="Q30" s="9" t="s">
        <v>139</v>
      </c>
      <c r="R30" s="9" t="s">
        <v>140</v>
      </c>
    </row>
    <row r="31" spans="1:18" x14ac:dyDescent="0.25">
      <c r="C31" s="54">
        <v>1</v>
      </c>
      <c r="D31" s="29" t="s">
        <v>117</v>
      </c>
      <c r="E31" s="54">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2815</v>
      </c>
      <c r="F31" s="61">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4">
        <f>E31/Table!$D$4</f>
        <v>6.2555555555555555</v>
      </c>
      <c r="H31" s="54">
        <f>F31/Table!$C$4</f>
        <v>0</v>
      </c>
      <c r="J31" s="83"/>
      <c r="M31" s="65">
        <v>1</v>
      </c>
      <c r="N31" s="29" t="s">
        <v>117</v>
      </c>
      <c r="O31" s="65">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5">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5">
        <f>O31/Table!$D$4</f>
        <v>0.75800000000000001</v>
      </c>
      <c r="R31" s="65">
        <f>P31/Table!$C$4</f>
        <v>0</v>
      </c>
    </row>
    <row r="32" spans="1:18" x14ac:dyDescent="0.25">
      <c r="C32" s="54">
        <v>2</v>
      </c>
      <c r="D32" s="29" t="s">
        <v>118</v>
      </c>
      <c r="E32" s="65">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4588</v>
      </c>
      <c r="F32" s="65">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2" s="65">
        <f>E32/Table!$D$4</f>
        <v>10.195555555555556</v>
      </c>
      <c r="H32" s="65">
        <f>F32/Table!$C$4</f>
        <v>0</v>
      </c>
      <c r="J32" s="83"/>
      <c r="M32" s="65">
        <v>2</v>
      </c>
      <c r="N32" s="29" t="s">
        <v>118</v>
      </c>
      <c r="O32" s="65">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5">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5">
        <f>O32/Table!$D$4</f>
        <v>0</v>
      </c>
      <c r="R32" s="65">
        <f>P32/Table!$C$4</f>
        <v>0</v>
      </c>
    </row>
    <row r="33" spans="2:18" x14ac:dyDescent="0.25">
      <c r="C33" s="54">
        <v>3</v>
      </c>
      <c r="D33" s="29" t="s">
        <v>119</v>
      </c>
      <c r="E33" s="65">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2575</v>
      </c>
      <c r="F33" s="65">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5">
        <f>E33/Table!$D$4</f>
        <v>5.7222222222222223</v>
      </c>
      <c r="H33" s="65">
        <f>F33/Table!$C$4</f>
        <v>0</v>
      </c>
      <c r="J33" s="83"/>
      <c r="M33" s="65">
        <v>3</v>
      </c>
      <c r="N33" s="29" t="s">
        <v>119</v>
      </c>
      <c r="O33" s="65">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5">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5">
        <f>O33/Table!$D$4</f>
        <v>0</v>
      </c>
      <c r="R33" s="65">
        <f>P33/Table!$C$4</f>
        <v>0</v>
      </c>
    </row>
    <row r="34" spans="2:18" x14ac:dyDescent="0.25">
      <c r="C34" s="65">
        <v>4</v>
      </c>
      <c r="D34" s="29" t="s">
        <v>120</v>
      </c>
      <c r="E34" s="65">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5">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5">
        <f>E34/Table!$D$4</f>
        <v>0</v>
      </c>
      <c r="H34" s="65">
        <f>F34/Table!$C$4</f>
        <v>0</v>
      </c>
      <c r="J34" s="83"/>
      <c r="M34" s="65">
        <v>4</v>
      </c>
      <c r="N34" s="29" t="s">
        <v>120</v>
      </c>
      <c r="O34" s="65">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4711.2749999999996</v>
      </c>
      <c r="P34" s="65">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637</v>
      </c>
      <c r="Q34" s="65">
        <f>O34/Table!$D$4</f>
        <v>10.4695</v>
      </c>
      <c r="R34" s="65">
        <f>P34/Table!$C$4</f>
        <v>4.9000000000000004</v>
      </c>
    </row>
    <row r="35" spans="2:18" x14ac:dyDescent="0.25">
      <c r="C35" s="65">
        <v>5</v>
      </c>
      <c r="D35" s="29" t="s">
        <v>190</v>
      </c>
      <c r="E35" s="65">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4013</v>
      </c>
      <c r="F35" s="65">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53</v>
      </c>
      <c r="G35" s="65">
        <f>E35/Table!$D$4</f>
        <v>8.9177777777777774</v>
      </c>
      <c r="H35" s="65">
        <f>F35/Table!$C$4</f>
        <v>0.40769230769230769</v>
      </c>
      <c r="J35" s="83"/>
      <c r="M35" s="65">
        <v>5</v>
      </c>
      <c r="N35" s="29" t="s">
        <v>190</v>
      </c>
      <c r="O35" s="65">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5">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5">
        <f>O35/Table!$D$4</f>
        <v>0</v>
      </c>
      <c r="R35" s="65">
        <f>P35/Table!$C$4</f>
        <v>0</v>
      </c>
    </row>
    <row r="36" spans="2:18" x14ac:dyDescent="0.25">
      <c r="C36" s="65">
        <v>6</v>
      </c>
      <c r="D36" s="29" t="s">
        <v>191</v>
      </c>
      <c r="E36" s="65">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3682</v>
      </c>
      <c r="F36" s="65">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5">
        <f>E36/Table!$D$4</f>
        <v>8.1822222222222223</v>
      </c>
      <c r="H36" s="65">
        <f>F36/Table!$C$4</f>
        <v>1.2769230769230768</v>
      </c>
      <c r="J36" s="83"/>
      <c r="M36" s="65">
        <v>6</v>
      </c>
      <c r="N36" s="29" t="s">
        <v>191</v>
      </c>
      <c r="O36" s="65">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5">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5">
        <f>O36/Table!$D$4</f>
        <v>0</v>
      </c>
      <c r="R36" s="65">
        <f>P36/Table!$C$4</f>
        <v>0</v>
      </c>
    </row>
    <row r="37" spans="2:18" x14ac:dyDescent="0.25">
      <c r="C37" s="65">
        <v>7</v>
      </c>
      <c r="D37" s="29" t="s">
        <v>192</v>
      </c>
      <c r="E37" s="65">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3146</v>
      </c>
      <c r="F37" s="65">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152</v>
      </c>
      <c r="G37" s="65">
        <f>E37/Table!$D$4</f>
        <v>6.9911111111111115</v>
      </c>
      <c r="H37" s="65">
        <f>F37/Table!$C$4</f>
        <v>1.1692307692307693</v>
      </c>
      <c r="J37" s="83"/>
      <c r="M37" s="65">
        <v>7</v>
      </c>
      <c r="N37" s="29" t="s">
        <v>192</v>
      </c>
      <c r="O37" s="65">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5">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5">
        <f>O37/Table!$D$4</f>
        <v>0</v>
      </c>
      <c r="R37" s="65">
        <f>P37/Table!$C$4</f>
        <v>0</v>
      </c>
    </row>
    <row r="38" spans="2:18" x14ac:dyDescent="0.25">
      <c r="C38" s="65">
        <v>8</v>
      </c>
      <c r="D38" s="29" t="s">
        <v>193</v>
      </c>
      <c r="E38" s="65">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4002</v>
      </c>
      <c r="F38" s="65">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8" s="65">
        <f>E38/Table!$D$4</f>
        <v>8.8933333333333326</v>
      </c>
      <c r="H38" s="65">
        <f>F38/Table!$C$4</f>
        <v>0</v>
      </c>
      <c r="J38" s="83"/>
      <c r="M38" s="65">
        <v>8</v>
      </c>
      <c r="N38" s="29" t="s">
        <v>193</v>
      </c>
      <c r="O38" s="65">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5">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5">
        <f>O38/Table!$D$4</f>
        <v>0</v>
      </c>
      <c r="R38" s="65">
        <f>P38/Table!$C$4</f>
        <v>0</v>
      </c>
    </row>
    <row r="39" spans="2:18" x14ac:dyDescent="0.25">
      <c r="C39" s="65">
        <v>9</v>
      </c>
      <c r="D39" s="29" t="s">
        <v>180</v>
      </c>
      <c r="E39" s="65">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5">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5">
        <f>E39/Table!$D$4</f>
        <v>0</v>
      </c>
      <c r="H39" s="65">
        <f>F39/Table!$C$4</f>
        <v>0</v>
      </c>
      <c r="J39" s="83"/>
      <c r="M39" s="65">
        <v>9</v>
      </c>
      <c r="N39" s="29" t="s">
        <v>180</v>
      </c>
      <c r="O39" s="65">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2422.3500000000004</v>
      </c>
      <c r="P39" s="65">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156</v>
      </c>
      <c r="Q39" s="65">
        <f>O39/Table!$D$4</f>
        <v>5.3830000000000009</v>
      </c>
      <c r="R39" s="65">
        <f>P39/Table!$C$4</f>
        <v>1.2</v>
      </c>
    </row>
    <row r="40" spans="2:18" x14ac:dyDescent="0.25">
      <c r="C40" s="65">
        <v>10</v>
      </c>
      <c r="D40" s="29" t="s">
        <v>179</v>
      </c>
      <c r="E40" s="65">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3222</v>
      </c>
      <c r="F40" s="65">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40" s="65">
        <f>E40/Table!$D$4</f>
        <v>7.16</v>
      </c>
      <c r="H40" s="65">
        <f>F40/Table!$C$4</f>
        <v>0</v>
      </c>
      <c r="J40" s="83"/>
      <c r="M40" s="65">
        <v>10</v>
      </c>
      <c r="N40" s="29" t="s">
        <v>179</v>
      </c>
      <c r="O40" s="65">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5">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5">
        <f>O40/Table!$D$4</f>
        <v>0</v>
      </c>
      <c r="R40" s="65">
        <f>P40/Table!$C$4</f>
        <v>0</v>
      </c>
    </row>
    <row r="41" spans="2:18" x14ac:dyDescent="0.25">
      <c r="C41" s="30"/>
      <c r="D41" s="30"/>
      <c r="E41" s="31"/>
      <c r="F41" s="31"/>
      <c r="J41" s="83"/>
      <c r="M41" s="30"/>
      <c r="N41" s="30"/>
      <c r="O41" s="31"/>
      <c r="P41" s="31"/>
    </row>
    <row r="42" spans="2:18" x14ac:dyDescent="0.25">
      <c r="B42" s="1" t="s">
        <v>34</v>
      </c>
      <c r="J42" s="83"/>
      <c r="L42" s="1" t="s">
        <v>34</v>
      </c>
    </row>
    <row r="43" spans="2:18" x14ac:dyDescent="0.25">
      <c r="C43" s="60" t="s">
        <v>25</v>
      </c>
      <c r="D43" s="55" t="s">
        <v>35</v>
      </c>
      <c r="E43" s="56"/>
      <c r="F43" s="57"/>
      <c r="J43" s="83"/>
      <c r="M43" s="60" t="s">
        <v>25</v>
      </c>
      <c r="N43" s="55" t="s">
        <v>35</v>
      </c>
      <c r="O43" s="56"/>
      <c r="P43" s="57"/>
    </row>
    <row r="44" spans="2:18" x14ac:dyDescent="0.25">
      <c r="C44" s="65">
        <v>1</v>
      </c>
      <c r="D44" s="38" t="s">
        <v>61</v>
      </c>
      <c r="E44" s="39"/>
      <c r="F44" s="40"/>
      <c r="J44" s="83"/>
      <c r="M44" s="65">
        <v>1</v>
      </c>
      <c r="N44" s="38" t="s">
        <v>61</v>
      </c>
      <c r="O44" s="39"/>
      <c r="P44" s="40"/>
    </row>
    <row r="45" spans="2:18" x14ac:dyDescent="0.25">
      <c r="C45" s="65">
        <v>2</v>
      </c>
      <c r="D45" s="38" t="s">
        <v>61</v>
      </c>
      <c r="E45" s="39"/>
      <c r="F45" s="40"/>
      <c r="J45" s="83"/>
      <c r="M45" s="65">
        <v>2</v>
      </c>
      <c r="N45" s="38" t="s">
        <v>61</v>
      </c>
      <c r="O45" s="39"/>
      <c r="P45" s="40"/>
    </row>
    <row r="46" spans="2:18" x14ac:dyDescent="0.25">
      <c r="C46" s="65">
        <v>3</v>
      </c>
      <c r="D46" s="38" t="s">
        <v>61</v>
      </c>
      <c r="E46" s="39"/>
      <c r="F46" s="40"/>
      <c r="J46" s="83"/>
      <c r="M46" s="65">
        <v>3</v>
      </c>
      <c r="N46" s="38" t="s">
        <v>61</v>
      </c>
      <c r="O46" s="39"/>
      <c r="P46" s="40"/>
    </row>
    <row r="47" spans="2:18" x14ac:dyDescent="0.25">
      <c r="C47" s="65">
        <v>4</v>
      </c>
      <c r="D47" s="38" t="s">
        <v>61</v>
      </c>
      <c r="E47" s="39"/>
      <c r="F47" s="40"/>
      <c r="J47" s="83"/>
      <c r="M47" s="65">
        <v>4</v>
      </c>
      <c r="N47" s="38" t="s">
        <v>61</v>
      </c>
      <c r="O47" s="39"/>
      <c r="P47" s="40"/>
    </row>
    <row r="48" spans="2:18" x14ac:dyDescent="0.25">
      <c r="J48" s="83"/>
    </row>
    <row r="49" spans="2:16" x14ac:dyDescent="0.25">
      <c r="B49" s="1" t="s">
        <v>407</v>
      </c>
      <c r="J49" s="83"/>
      <c r="L49" s="1" t="s">
        <v>407</v>
      </c>
    </row>
    <row r="50" spans="2:16" x14ac:dyDescent="0.25">
      <c r="C50" s="52" t="s">
        <v>25</v>
      </c>
      <c r="D50" s="52" t="s">
        <v>31</v>
      </c>
      <c r="E50" s="9" t="s">
        <v>137</v>
      </c>
      <c r="F50" s="9" t="s">
        <v>138</v>
      </c>
      <c r="J50" s="83"/>
      <c r="M50" s="60" t="s">
        <v>25</v>
      </c>
      <c r="N50" s="60" t="s">
        <v>31</v>
      </c>
      <c r="O50" s="9" t="s">
        <v>137</v>
      </c>
      <c r="P50" s="9" t="s">
        <v>138</v>
      </c>
    </row>
    <row r="51" spans="2:16" x14ac:dyDescent="0.25">
      <c r="C51" s="65">
        <v>1</v>
      </c>
      <c r="D51" s="29" t="s">
        <v>117</v>
      </c>
      <c r="E51" s="53">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1" s="61">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3"/>
      <c r="M51" s="65">
        <v>1</v>
      </c>
      <c r="N51" s="29" t="s">
        <v>117</v>
      </c>
      <c r="O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5">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x14ac:dyDescent="0.25">
      <c r="C52" s="65">
        <v>2</v>
      </c>
      <c r="D52" s="29" t="s">
        <v>118</v>
      </c>
      <c r="E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2" s="65">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3"/>
      <c r="M52" s="65">
        <v>2</v>
      </c>
      <c r="N52" s="29" t="s">
        <v>118</v>
      </c>
      <c r="O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5">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x14ac:dyDescent="0.25">
      <c r="C53" s="65">
        <v>3</v>
      </c>
      <c r="D53" s="29" t="s">
        <v>119</v>
      </c>
      <c r="E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3" s="65">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3"/>
      <c r="M53" s="65">
        <v>3</v>
      </c>
      <c r="N53" s="29" t="s">
        <v>119</v>
      </c>
      <c r="O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5">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x14ac:dyDescent="0.25">
      <c r="C54" s="65">
        <v>4</v>
      </c>
      <c r="D54" s="29" t="s">
        <v>120</v>
      </c>
      <c r="E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5">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3"/>
      <c r="M54" s="65">
        <v>4</v>
      </c>
      <c r="N54" s="29" t="s">
        <v>120</v>
      </c>
      <c r="O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5">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x14ac:dyDescent="0.25">
      <c r="C55" s="65">
        <v>5</v>
      </c>
      <c r="D55" s="29" t="s">
        <v>190</v>
      </c>
      <c r="E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3</v>
      </c>
      <c r="F55" s="65">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3"/>
      <c r="M55" s="65">
        <v>5</v>
      </c>
      <c r="N55" s="29" t="s">
        <v>190</v>
      </c>
      <c r="O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5">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x14ac:dyDescent="0.25">
      <c r="C56" s="65">
        <v>6</v>
      </c>
      <c r="D56" s="29" t="s">
        <v>191</v>
      </c>
      <c r="E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2</v>
      </c>
      <c r="F56" s="65">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3"/>
      <c r="M56" s="65">
        <v>6</v>
      </c>
      <c r="N56" s="29" t="s">
        <v>191</v>
      </c>
      <c r="O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5">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x14ac:dyDescent="0.25">
      <c r="C57" s="65">
        <v>7</v>
      </c>
      <c r="D57" s="29" t="s">
        <v>192</v>
      </c>
      <c r="E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6</v>
      </c>
      <c r="F57" s="65">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3"/>
      <c r="M57" s="65">
        <v>7</v>
      </c>
      <c r="N57" s="29" t="s">
        <v>192</v>
      </c>
      <c r="O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5">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x14ac:dyDescent="0.25">
      <c r="C58" s="65">
        <v>8</v>
      </c>
      <c r="D58" s="29" t="s">
        <v>193</v>
      </c>
      <c r="E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8" s="65">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8" s="83"/>
      <c r="M58" s="65">
        <v>8</v>
      </c>
      <c r="N58" s="29" t="s">
        <v>193</v>
      </c>
      <c r="O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5">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x14ac:dyDescent="0.25">
      <c r="C59" s="65">
        <v>9</v>
      </c>
      <c r="D59" s="29" t="s">
        <v>180</v>
      </c>
      <c r="E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5">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3"/>
      <c r="M59" s="65">
        <v>9</v>
      </c>
      <c r="N59" s="29" t="s">
        <v>180</v>
      </c>
      <c r="O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5">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0" spans="2:16" x14ac:dyDescent="0.25">
      <c r="C60" s="65">
        <v>10</v>
      </c>
      <c r="D60" s="29" t="s">
        <v>179</v>
      </c>
      <c r="E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60" s="65">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60" s="83"/>
      <c r="M60" s="65">
        <v>10</v>
      </c>
      <c r="N60" s="29" t="s">
        <v>179</v>
      </c>
      <c r="O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5">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x14ac:dyDescent="0.25">
      <c r="C61" s="31"/>
      <c r="D61" s="30"/>
      <c r="E61" s="66"/>
      <c r="F61" s="31"/>
      <c r="J61" s="83"/>
      <c r="M61" s="31"/>
      <c r="N61" s="30"/>
      <c r="O61" s="66"/>
      <c r="P61" s="31"/>
    </row>
    <row r="62" spans="2:16" x14ac:dyDescent="0.25">
      <c r="B62" s="1" t="s">
        <v>408</v>
      </c>
      <c r="J62" s="83"/>
      <c r="L62" s="1" t="s">
        <v>408</v>
      </c>
    </row>
    <row r="63" spans="2:16" x14ac:dyDescent="0.25">
      <c r="C63" s="52" t="s">
        <v>25</v>
      </c>
      <c r="D63" s="52" t="s">
        <v>31</v>
      </c>
      <c r="E63" s="9" t="s">
        <v>36</v>
      </c>
      <c r="F63" s="9" t="s">
        <v>37</v>
      </c>
      <c r="J63" s="83"/>
      <c r="M63" s="60" t="s">
        <v>25</v>
      </c>
      <c r="N63" s="60" t="s">
        <v>31</v>
      </c>
      <c r="O63" s="9" t="s">
        <v>36</v>
      </c>
      <c r="P63" s="9" t="s">
        <v>37</v>
      </c>
    </row>
    <row r="64" spans="2:16" x14ac:dyDescent="0.25">
      <c r="C64" s="65">
        <v>1</v>
      </c>
      <c r="D64" s="29" t="s">
        <v>117</v>
      </c>
      <c r="E64" s="53" t="s">
        <v>61</v>
      </c>
      <c r="F64" s="53" t="s">
        <v>61</v>
      </c>
      <c r="J64" s="83"/>
      <c r="M64" s="65">
        <v>1</v>
      </c>
      <c r="N64" s="29" t="s">
        <v>117</v>
      </c>
      <c r="O64" s="64" t="s">
        <v>61</v>
      </c>
      <c r="P64" s="64" t="s">
        <v>61</v>
      </c>
    </row>
    <row r="65" spans="2:16" x14ac:dyDescent="0.25">
      <c r="C65" s="65">
        <v>2</v>
      </c>
      <c r="D65" s="29" t="s">
        <v>118</v>
      </c>
      <c r="E65" s="53" t="s">
        <v>61</v>
      </c>
      <c r="F65" s="53" t="s">
        <v>61</v>
      </c>
      <c r="J65" s="83"/>
      <c r="M65" s="65">
        <v>2</v>
      </c>
      <c r="N65" s="29" t="s">
        <v>118</v>
      </c>
      <c r="O65" s="64" t="s">
        <v>61</v>
      </c>
      <c r="P65" s="64" t="s">
        <v>61</v>
      </c>
    </row>
    <row r="66" spans="2:16" x14ac:dyDescent="0.25">
      <c r="C66" s="65">
        <v>3</v>
      </c>
      <c r="D66" s="29" t="s">
        <v>119</v>
      </c>
      <c r="E66" s="53" t="s">
        <v>61</v>
      </c>
      <c r="F66" s="64" t="s">
        <v>61</v>
      </c>
      <c r="J66" s="83"/>
      <c r="M66" s="65">
        <v>3</v>
      </c>
      <c r="N66" s="29" t="s">
        <v>119</v>
      </c>
      <c r="O66" s="64" t="s">
        <v>61</v>
      </c>
      <c r="P66" s="64" t="s">
        <v>61</v>
      </c>
    </row>
    <row r="67" spans="2:16" x14ac:dyDescent="0.25">
      <c r="C67" s="65">
        <v>4</v>
      </c>
      <c r="D67" s="29" t="s">
        <v>120</v>
      </c>
      <c r="E67" s="53" t="s">
        <v>61</v>
      </c>
      <c r="F67" s="53" t="s">
        <v>61</v>
      </c>
      <c r="J67" s="83"/>
      <c r="M67" s="65">
        <v>4</v>
      </c>
      <c r="N67" s="29" t="s">
        <v>120</v>
      </c>
      <c r="O67" s="64" t="s">
        <v>61</v>
      </c>
      <c r="P67" s="64" t="s">
        <v>61</v>
      </c>
    </row>
    <row r="68" spans="2:16" x14ac:dyDescent="0.25">
      <c r="C68" s="65">
        <v>5</v>
      </c>
      <c r="D68" s="29" t="s">
        <v>190</v>
      </c>
      <c r="E68" s="64" t="s">
        <v>61</v>
      </c>
      <c r="F68" s="64" t="s">
        <v>61</v>
      </c>
      <c r="J68" s="83"/>
      <c r="M68" s="65">
        <v>5</v>
      </c>
      <c r="N68" s="29" t="s">
        <v>190</v>
      </c>
      <c r="O68" s="64" t="s">
        <v>61</v>
      </c>
      <c r="P68" s="64" t="s">
        <v>61</v>
      </c>
    </row>
    <row r="69" spans="2:16" x14ac:dyDescent="0.25">
      <c r="C69" s="65">
        <v>6</v>
      </c>
      <c r="D69" s="29" t="s">
        <v>191</v>
      </c>
      <c r="E69" s="64" t="s">
        <v>61</v>
      </c>
      <c r="F69" s="64" t="s">
        <v>61</v>
      </c>
      <c r="J69" s="83"/>
      <c r="M69" s="65">
        <v>6</v>
      </c>
      <c r="N69" s="29" t="s">
        <v>191</v>
      </c>
      <c r="O69" s="64" t="s">
        <v>61</v>
      </c>
      <c r="P69" s="64" t="s">
        <v>61</v>
      </c>
    </row>
    <row r="70" spans="2:16" x14ac:dyDescent="0.25">
      <c r="C70" s="65">
        <v>7</v>
      </c>
      <c r="D70" s="29" t="s">
        <v>192</v>
      </c>
      <c r="E70" s="64" t="s">
        <v>61</v>
      </c>
      <c r="F70" s="64" t="s">
        <v>61</v>
      </c>
      <c r="J70" s="83"/>
      <c r="M70" s="65">
        <v>7</v>
      </c>
      <c r="N70" s="29" t="s">
        <v>192</v>
      </c>
      <c r="O70" s="64" t="s">
        <v>61</v>
      </c>
      <c r="P70" s="64" t="s">
        <v>61</v>
      </c>
    </row>
    <row r="71" spans="2:16" x14ac:dyDescent="0.25">
      <c r="C71" s="65">
        <v>8</v>
      </c>
      <c r="D71" s="29" t="s">
        <v>193</v>
      </c>
      <c r="E71" s="64" t="s">
        <v>61</v>
      </c>
      <c r="F71" s="64" t="s">
        <v>61</v>
      </c>
      <c r="J71" s="83"/>
      <c r="M71" s="65">
        <v>8</v>
      </c>
      <c r="N71" s="29" t="s">
        <v>193</v>
      </c>
      <c r="O71" s="64" t="s">
        <v>61</v>
      </c>
      <c r="P71" s="64" t="s">
        <v>61</v>
      </c>
    </row>
    <row r="72" spans="2:16" x14ac:dyDescent="0.25">
      <c r="C72" s="65">
        <v>9</v>
      </c>
      <c r="D72" s="29" t="s">
        <v>180</v>
      </c>
      <c r="E72" s="64" t="s">
        <v>61</v>
      </c>
      <c r="F72" s="64" t="s">
        <v>61</v>
      </c>
      <c r="J72" s="83"/>
      <c r="M72" s="65">
        <v>9</v>
      </c>
      <c r="N72" s="29" t="s">
        <v>180</v>
      </c>
      <c r="O72" s="64" t="s">
        <v>61</v>
      </c>
      <c r="P72" s="64" t="s">
        <v>61</v>
      </c>
    </row>
    <row r="73" spans="2:16" x14ac:dyDescent="0.25">
      <c r="C73" s="65">
        <v>10</v>
      </c>
      <c r="D73" s="29" t="s">
        <v>179</v>
      </c>
      <c r="E73" s="64" t="s">
        <v>61</v>
      </c>
      <c r="F73" s="64" t="s">
        <v>61</v>
      </c>
      <c r="J73" s="83"/>
      <c r="M73" s="65">
        <v>10</v>
      </c>
      <c r="N73" s="29" t="s">
        <v>179</v>
      </c>
      <c r="O73" s="64" t="s">
        <v>61</v>
      </c>
      <c r="P73" s="64" t="s">
        <v>61</v>
      </c>
    </row>
    <row r="74" spans="2:16" x14ac:dyDescent="0.25">
      <c r="C74" s="31"/>
      <c r="D74" s="30"/>
      <c r="E74" s="66"/>
      <c r="F74" s="66"/>
      <c r="J74" s="83"/>
      <c r="M74" s="31"/>
      <c r="N74" s="30"/>
      <c r="O74" s="66"/>
      <c r="P74" s="66"/>
    </row>
    <row r="75" spans="2:16" x14ac:dyDescent="0.25">
      <c r="C75" s="31"/>
      <c r="D75" s="30"/>
      <c r="E75" s="66"/>
      <c r="F75" s="66"/>
      <c r="J75" s="83"/>
      <c r="M75" s="31"/>
      <c r="N75" s="30"/>
      <c r="O75" s="66"/>
      <c r="P75" s="66"/>
    </row>
    <row r="76" spans="2:16" x14ac:dyDescent="0.25">
      <c r="B76" s="1" t="s">
        <v>39</v>
      </c>
      <c r="J76" s="83"/>
      <c r="L76" s="1" t="s">
        <v>39</v>
      </c>
    </row>
    <row r="77" spans="2:16" x14ac:dyDescent="0.25">
      <c r="C77" s="1" t="s">
        <v>41</v>
      </c>
      <c r="J77" s="83"/>
      <c r="M77" s="1" t="s">
        <v>41</v>
      </c>
    </row>
    <row r="78" spans="2:16" x14ac:dyDescent="0.25">
      <c r="D78" t="s">
        <v>40</v>
      </c>
      <c r="J78" s="83"/>
      <c r="N78" t="s">
        <v>40</v>
      </c>
    </row>
    <row r="79" spans="2:16" x14ac:dyDescent="0.25">
      <c r="D79" t="s">
        <v>100</v>
      </c>
      <c r="J79" s="83"/>
      <c r="N79" t="s">
        <v>100</v>
      </c>
    </row>
    <row r="80" spans="2:16" x14ac:dyDescent="0.25">
      <c r="C80" s="1" t="s">
        <v>42</v>
      </c>
      <c r="J80" s="83"/>
      <c r="M80" s="1" t="s">
        <v>42</v>
      </c>
    </row>
    <row r="81" spans="2:14" x14ac:dyDescent="0.25">
      <c r="D81" t="s">
        <v>43</v>
      </c>
      <c r="J81" s="83"/>
      <c r="N81" t="s">
        <v>43</v>
      </c>
    </row>
    <row r="82" spans="2:14" x14ac:dyDescent="0.25">
      <c r="D82" t="s">
        <v>44</v>
      </c>
      <c r="J82" s="83"/>
      <c r="N82" t="s">
        <v>44</v>
      </c>
    </row>
    <row r="83" spans="2:14" x14ac:dyDescent="0.25">
      <c r="C83" s="1" t="s">
        <v>187</v>
      </c>
      <c r="J83" s="83"/>
      <c r="M83" s="1" t="s">
        <v>187</v>
      </c>
    </row>
    <row r="84" spans="2:14" x14ac:dyDescent="0.25">
      <c r="D84" t="s">
        <v>188</v>
      </c>
      <c r="J84" s="83"/>
      <c r="N84" t="s">
        <v>188</v>
      </c>
    </row>
    <row r="85" spans="2:14" x14ac:dyDescent="0.25">
      <c r="D85" t="s">
        <v>189</v>
      </c>
      <c r="J85" s="83"/>
      <c r="N85" t="s">
        <v>189</v>
      </c>
    </row>
    <row r="86" spans="2:14" x14ac:dyDescent="0.25">
      <c r="J86" s="83"/>
    </row>
    <row r="87" spans="2:14" x14ac:dyDescent="0.25">
      <c r="J87" s="83"/>
    </row>
    <row r="88" spans="2:14" x14ac:dyDescent="0.25">
      <c r="B88" t="s">
        <v>333</v>
      </c>
      <c r="C88" t="s">
        <v>186</v>
      </c>
      <c r="J88" s="83"/>
      <c r="K88" t="s">
        <v>185</v>
      </c>
    </row>
    <row r="89" spans="2:14" x14ac:dyDescent="0.25">
      <c r="D89" s="29" t="s">
        <v>117</v>
      </c>
      <c r="J89" s="83"/>
      <c r="L89" s="29" t="s">
        <v>120</v>
      </c>
    </row>
    <row r="90" spans="2:14" x14ac:dyDescent="0.25">
      <c r="D90" s="29" t="s">
        <v>118</v>
      </c>
      <c r="J90" s="83"/>
      <c r="L90" s="29" t="s">
        <v>180</v>
      </c>
    </row>
    <row r="91" spans="2:14" x14ac:dyDescent="0.25">
      <c r="D91" s="29" t="s">
        <v>119</v>
      </c>
      <c r="J91" s="83"/>
    </row>
    <row r="92" spans="2:14" x14ac:dyDescent="0.25">
      <c r="D92" s="29" t="s">
        <v>190</v>
      </c>
      <c r="J92" s="83"/>
    </row>
    <row r="93" spans="2:14" x14ac:dyDescent="0.25">
      <c r="D93" s="29" t="s">
        <v>191</v>
      </c>
      <c r="J93" s="83"/>
    </row>
    <row r="94" spans="2:14" x14ac:dyDescent="0.25">
      <c r="D94" s="29" t="s">
        <v>192</v>
      </c>
      <c r="J94" s="83"/>
    </row>
    <row r="95" spans="2:14" x14ac:dyDescent="0.25">
      <c r="D95" s="29" t="s">
        <v>193</v>
      </c>
      <c r="J95" s="83"/>
    </row>
    <row r="96" spans="2:14" x14ac:dyDescent="0.25">
      <c r="D96" s="29" t="s">
        <v>179</v>
      </c>
      <c r="J96" s="83"/>
    </row>
  </sheetData>
  <customSheetViews>
    <customSheetView guid="{7ECC2B8E-6A82-42F5-8AB0-4A51C54EA5EC}" scale="85">
      <selection activeCell="G11" sqref="G11"/>
      <pageMargins left="0.7" right="0.7" top="0.75" bottom="0.75" header="0.3" footer="0.3"/>
      <pageSetup orientation="portrait" horizontalDpi="300" verticalDpi="0" r:id="rId1"/>
    </customSheetView>
    <customSheetView guid="{3B3E6719-EACB-4D2C-89C1-05FFAB6020FD}" scale="85">
      <selection activeCell="Q1" sqref="Q1:Q1048576"/>
      <pageMargins left="0.7" right="0.7" top="0.75" bottom="0.75" header="0.3" footer="0.3"/>
      <pageSetup orientation="portrait" horizontalDpi="300" verticalDpi="0" r:id="rId2"/>
    </customSheetView>
    <customSheetView guid="{336B6883-2145-4B58-921E-CEC7185A847E}" scale="85">
      <selection activeCell="K21" sqref="K21"/>
      <pageMargins left="0.7" right="0.7" top="0.75" bottom="0.75" header="0.3" footer="0.3"/>
      <pageSetup orientation="portrait" horizontalDpi="300" verticalDpi="0" r:id="rId3"/>
    </customSheetView>
    <customSheetView guid="{A2C66332-A809-458E-971B-FDB6D62C74C3}" scale="85">
      <selection activeCell="C7" sqref="C7:F7"/>
      <pageMargins left="0.7" right="0.7" top="0.75" bottom="0.75" header="0.3" footer="0.3"/>
      <pageSetup orientation="portrait" horizontalDpi="300" verticalDpi="0" r:id="rId4"/>
    </customSheetView>
    <customSheetView guid="{72A6EB0A-84D5-4B8A-AC51-54CCD061630B}" scale="85">
      <selection activeCell="D13" sqref="D13"/>
      <pageMargins left="0.7" right="0.7" top="0.75" bottom="0.75" header="0.3" footer="0.3"/>
      <pageSetup orientation="portrait" horizontalDpi="300" verticalDpi="0" r:id="rId5"/>
    </customSheetView>
    <customSheetView guid="{4E06BDBF-2CED-473B-850B-2A6C7311FF41}" scale="85" topLeftCell="A34">
      <selection activeCell="H89" sqref="H89"/>
      <pageMargins left="0.7" right="0.7" top="0.75" bottom="0.75" header="0.3" footer="0.3"/>
      <pageSetup orientation="portrait" horizontalDpi="300" verticalDpi="0" r:id="rId6"/>
    </customSheetView>
    <customSheetView guid="{D33AC7AF-C8AB-4CE9-94C7-9237011A5FC3}" scale="85">
      <selection activeCell="K21" sqref="K21"/>
      <pageMargins left="0.7" right="0.7" top="0.75" bottom="0.75" header="0.3" footer="0.3"/>
      <pageSetup orientation="portrait" horizontalDpi="300" verticalDpi="0" r:id="rId7"/>
    </customSheetView>
    <customSheetView guid="{7E0EA425-A420-4443-B9E0-CDF0AA9E5D09}" scale="85">
      <selection activeCell="G26" sqref="G26"/>
      <pageMargins left="0.7" right="0.7" top="0.75" bottom="0.75" header="0.3" footer="0.3"/>
      <pageSetup orientation="portrait" horizontalDpi="300" verticalDpi="0" r:id="rId8"/>
    </customSheetView>
    <customSheetView guid="{60D2C030-4E31-4E07-8E1C-44D2EE84B177}" scale="85" topLeftCell="A58">
      <selection activeCell="G38" sqref="G38"/>
      <pageMargins left="0.7" right="0.7" top="0.75" bottom="0.75" header="0.3" footer="0.3"/>
      <pageSetup orientation="portrait" horizontalDpi="300" verticalDpi="0" r:id="rId9"/>
    </customSheetView>
    <customSheetView guid="{250915DF-0B97-45D7-B29D-7EED4C89C1C1}" scale="85">
      <selection activeCell="O25" sqref="O25"/>
      <pageMargins left="0.7" right="0.7" top="0.75" bottom="0.75" header="0.3" footer="0.3"/>
      <pageSetup orientation="portrait" horizontalDpi="300" verticalDpi="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verticalDpi="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topLeftCell="A7" workbookViewId="0">
      <selection activeCell="C39" sqref="C39"/>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45</v>
      </c>
    </row>
    <row r="7" spans="2:5" x14ac:dyDescent="0.25">
      <c r="B7" s="2" t="s">
        <v>0</v>
      </c>
      <c r="C7" s="2" t="s">
        <v>1</v>
      </c>
      <c r="D7" s="2" t="s">
        <v>50</v>
      </c>
      <c r="E7" s="4" t="s">
        <v>47</v>
      </c>
    </row>
    <row r="8" spans="2:5" ht="60" x14ac:dyDescent="0.25">
      <c r="B8" s="13">
        <v>1</v>
      </c>
      <c r="C8" s="13" t="s">
        <v>2</v>
      </c>
      <c r="D8" s="13" t="s">
        <v>48</v>
      </c>
      <c r="E8" s="14" t="s">
        <v>9</v>
      </c>
    </row>
    <row r="9" spans="2:5" ht="75" x14ac:dyDescent="0.25">
      <c r="B9" s="13">
        <v>2</v>
      </c>
      <c r="C9" s="13" t="s">
        <v>3</v>
      </c>
      <c r="D9" s="13" t="s">
        <v>49</v>
      </c>
      <c r="E9" s="14"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156</v>
      </c>
    </row>
    <row r="22" spans="2:5" x14ac:dyDescent="0.25">
      <c r="B22" s="3">
        <v>10</v>
      </c>
      <c r="C22" s="3" t="s">
        <v>157</v>
      </c>
    </row>
    <row r="24" spans="2:5" x14ac:dyDescent="0.25">
      <c r="B24" s="10" t="s">
        <v>19</v>
      </c>
    </row>
    <row r="25" spans="2:5" x14ac:dyDescent="0.25">
      <c r="B25" s="2" t="s">
        <v>0</v>
      </c>
      <c r="C25" s="2" t="s">
        <v>17</v>
      </c>
    </row>
    <row r="26" spans="2:5" x14ac:dyDescent="0.25">
      <c r="B26" s="2">
        <v>1</v>
      </c>
      <c r="C26" s="3" t="s">
        <v>20</v>
      </c>
      <c r="E26" s="24"/>
    </row>
    <row r="27" spans="2:5" x14ac:dyDescent="0.25">
      <c r="B27" s="2">
        <v>2</v>
      </c>
      <c r="C27" s="3" t="s">
        <v>23</v>
      </c>
    </row>
    <row r="28" spans="2:5" x14ac:dyDescent="0.25">
      <c r="B28" s="2">
        <v>3</v>
      </c>
      <c r="C28" s="3" t="s">
        <v>18</v>
      </c>
    </row>
    <row r="29" spans="2:5" x14ac:dyDescent="0.25">
      <c r="B29" s="2">
        <v>4</v>
      </c>
      <c r="C29" s="3" t="s">
        <v>73</v>
      </c>
    </row>
    <row r="30" spans="2:5" x14ac:dyDescent="0.25">
      <c r="B30" s="2">
        <v>5</v>
      </c>
      <c r="C30" s="3" t="s">
        <v>21</v>
      </c>
    </row>
    <row r="31" spans="2:5" x14ac:dyDescent="0.25">
      <c r="B31" s="2">
        <v>6</v>
      </c>
      <c r="C31" s="3" t="s">
        <v>93</v>
      </c>
    </row>
    <row r="32" spans="2:5" x14ac:dyDescent="0.25">
      <c r="B32" s="2">
        <v>7</v>
      </c>
      <c r="C32" s="3" t="s">
        <v>74</v>
      </c>
    </row>
    <row r="34" spans="2:3" x14ac:dyDescent="0.25">
      <c r="B34" s="10" t="s">
        <v>163</v>
      </c>
    </row>
    <row r="35" spans="2:3" x14ac:dyDescent="0.25">
      <c r="B35" s="2" t="s">
        <v>0</v>
      </c>
      <c r="C35" s="2" t="s">
        <v>17</v>
      </c>
    </row>
    <row r="36" spans="2:3" x14ac:dyDescent="0.25">
      <c r="B36" s="2">
        <v>1</v>
      </c>
      <c r="C36" s="3" t="s">
        <v>149</v>
      </c>
    </row>
    <row r="37" spans="2:3" x14ac:dyDescent="0.25">
      <c r="B37" s="2">
        <v>2</v>
      </c>
      <c r="C37" s="3" t="s">
        <v>164</v>
      </c>
    </row>
    <row r="38" spans="2:3" x14ac:dyDescent="0.25">
      <c r="B38" s="2">
        <v>3</v>
      </c>
      <c r="C38" s="3" t="s">
        <v>165</v>
      </c>
    </row>
    <row r="40" spans="2:3" x14ac:dyDescent="0.25">
      <c r="B40" s="1" t="s">
        <v>77</v>
      </c>
    </row>
    <row r="41" spans="2:3" x14ac:dyDescent="0.25">
      <c r="B41" s="2" t="s">
        <v>0</v>
      </c>
      <c r="C41" s="2" t="s">
        <v>17</v>
      </c>
    </row>
    <row r="42" spans="2:3" x14ac:dyDescent="0.25">
      <c r="B42" s="2">
        <v>1</v>
      </c>
      <c r="C42" s="3" t="s">
        <v>336</v>
      </c>
    </row>
    <row r="43" spans="2:3" x14ac:dyDescent="0.25">
      <c r="B43" s="2">
        <v>2</v>
      </c>
      <c r="C43" s="3" t="s">
        <v>337</v>
      </c>
    </row>
    <row r="45" spans="2:3" x14ac:dyDescent="0.25">
      <c r="B45" s="1" t="s">
        <v>159</v>
      </c>
    </row>
    <row r="46" spans="2:3" x14ac:dyDescent="0.25">
      <c r="B46" s="2" t="s">
        <v>0</v>
      </c>
      <c r="C46" s="2" t="s">
        <v>17</v>
      </c>
    </row>
    <row r="47" spans="2:3" x14ac:dyDescent="0.25">
      <c r="B47" s="2">
        <v>1</v>
      </c>
      <c r="C47" s="3" t="s">
        <v>161</v>
      </c>
    </row>
    <row r="48" spans="2:3" x14ac:dyDescent="0.25">
      <c r="B48" s="2">
        <v>2</v>
      </c>
      <c r="C48" s="3" t="s">
        <v>354</v>
      </c>
    </row>
  </sheetData>
  <customSheetViews>
    <customSheetView guid="{7ECC2B8E-6A82-42F5-8AB0-4A51C54EA5EC}" topLeftCell="A7">
      <selection activeCell="C39" sqref="C39"/>
      <pageMargins left="0.7" right="0.7" top="0.75" bottom="0.75" header="0.3" footer="0.3"/>
    </customSheetView>
    <customSheetView guid="{3B3E6719-EACB-4D2C-89C1-05FFAB6020FD}">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A2C66332-A809-458E-971B-FDB6D62C74C3}" topLeftCell="A16">
      <selection activeCell="C37" sqref="C37"/>
      <pageMargins left="0.7" right="0.7" top="0.75" bottom="0.75" header="0.3" footer="0.3"/>
    </customSheetView>
    <customSheetView guid="{72A6EB0A-84D5-4B8A-AC51-54CCD061630B}" topLeftCell="A16">
      <selection activeCell="C49" sqref="C49"/>
      <pageMargins left="0.7" right="0.7" top="0.75" bottom="0.75" header="0.3" footer="0.3"/>
      <pageSetup orientation="portrait" horizontalDpi="300" verticalDpi="0" r:id="rId1"/>
    </customSheetView>
    <customSheetView guid="{4E06BDBF-2CED-473B-850B-2A6C7311FF41}" topLeftCell="A13">
      <selection activeCell="B24" sqref="B24:C29"/>
      <pageMargins left="0.7" right="0.7" top="0.75" bottom="0.75" header="0.3" footer="0.3"/>
    </customSheetView>
    <customSheetView guid="{D33AC7AF-C8AB-4CE9-94C7-9237011A5FC3}">
      <selection activeCell="C12" sqref="C12"/>
      <pageMargins left="0.7" right="0.7" top="0.75" bottom="0.75" header="0.3" footer="0.3"/>
    </customSheetView>
    <customSheetView guid="{7E0EA425-A420-4443-B9E0-CDF0AA9E5D09}">
      <selection activeCell="D4" sqref="D4"/>
      <pageMargins left="0.7" right="0.7" top="0.75" bottom="0.75" header="0.3" footer="0.3"/>
      <pageSetup orientation="portrait" horizontalDpi="300" verticalDpi="0" r:id="rId2"/>
    </customSheetView>
    <customSheetView guid="{60D2C030-4E31-4E07-8E1C-44D2EE84B177}">
      <selection activeCell="E40" sqref="E40"/>
      <pageMargins left="0.7" right="0.7" top="0.75" bottom="0.75" header="0.3" footer="0.3"/>
    </customSheetView>
    <customSheetView guid="{250915DF-0B97-45D7-B29D-7EED4C89C1C1}" topLeftCell="A16">
      <selection activeCell="C49" sqref="C49"/>
      <pageMargins left="0.7" right="0.7" top="0.75" bottom="0.75" header="0.3" footer="0.3"/>
      <pageSetup orientation="portrait" horizontalDpi="300" verticalDpi="0" r:id="rId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C12" sqref="C12"/>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3" t="s">
        <v>86</v>
      </c>
      <c r="C2" t="s">
        <v>87</v>
      </c>
    </row>
    <row r="3" spans="1:9" x14ac:dyDescent="0.25">
      <c r="B3" s="23" t="s">
        <v>89</v>
      </c>
      <c r="C3" t="s">
        <v>88</v>
      </c>
    </row>
    <row r="4" spans="1:9" x14ac:dyDescent="0.25">
      <c r="B4" s="23"/>
    </row>
    <row r="5" spans="1:9" x14ac:dyDescent="0.25">
      <c r="B5" s="22" t="s">
        <v>82</v>
      </c>
    </row>
    <row r="6" spans="1:9" x14ac:dyDescent="0.25">
      <c r="B6" s="23" t="s">
        <v>90</v>
      </c>
      <c r="C6" t="s">
        <v>91</v>
      </c>
    </row>
    <row r="7" spans="1:9" x14ac:dyDescent="0.25">
      <c r="B7" s="23"/>
    </row>
    <row r="8" spans="1:9" x14ac:dyDescent="0.25">
      <c r="B8" s="22" t="s">
        <v>83</v>
      </c>
      <c r="C8" t="s">
        <v>85</v>
      </c>
    </row>
    <row r="11" spans="1:9" x14ac:dyDescent="0.25">
      <c r="B11" s="25" t="s">
        <v>56</v>
      </c>
      <c r="C11" s="25" t="s">
        <v>8</v>
      </c>
      <c r="D11" s="25" t="s">
        <v>101</v>
      </c>
      <c r="E11" s="25" t="s">
        <v>102</v>
      </c>
      <c r="F11" s="25" t="s">
        <v>103</v>
      </c>
    </row>
    <row r="12" spans="1:9" x14ac:dyDescent="0.25">
      <c r="B12" s="26" t="s">
        <v>518</v>
      </c>
      <c r="C12" s="3" t="s">
        <v>108</v>
      </c>
      <c r="D12" s="3" t="s">
        <v>98</v>
      </c>
      <c r="E12" s="3">
        <v>0.65</v>
      </c>
      <c r="F12" s="3" t="s">
        <v>105</v>
      </c>
      <c r="I12" t="s">
        <v>104</v>
      </c>
    </row>
    <row r="13" spans="1:9" x14ac:dyDescent="0.25">
      <c r="B13" s="27"/>
      <c r="C13" s="3" t="s">
        <v>519</v>
      </c>
      <c r="D13" s="15" t="s">
        <v>99</v>
      </c>
      <c r="E13" s="3">
        <v>1.6</v>
      </c>
      <c r="F13" s="3" t="s">
        <v>105</v>
      </c>
      <c r="I13" t="s">
        <v>106</v>
      </c>
    </row>
    <row r="14" spans="1:9" x14ac:dyDescent="0.25">
      <c r="B14" s="27"/>
      <c r="C14" s="3" t="s">
        <v>107</v>
      </c>
      <c r="D14" s="15" t="s">
        <v>97</v>
      </c>
      <c r="E14" s="3">
        <v>0.75</v>
      </c>
      <c r="F14" s="3" t="s">
        <v>105</v>
      </c>
      <c r="I14" t="s">
        <v>107</v>
      </c>
    </row>
    <row r="15" spans="1:9" x14ac:dyDescent="0.25">
      <c r="B15" s="28"/>
      <c r="C15" s="3" t="s">
        <v>108</v>
      </c>
      <c r="D15" s="15" t="s">
        <v>141</v>
      </c>
      <c r="E15" s="3">
        <v>1.2</v>
      </c>
      <c r="F15" s="3" t="s">
        <v>105</v>
      </c>
      <c r="I15" t="s">
        <v>108</v>
      </c>
    </row>
    <row r="16" spans="1:9" x14ac:dyDescent="0.25">
      <c r="I16" t="s">
        <v>519</v>
      </c>
    </row>
    <row r="18" spans="1:1" x14ac:dyDescent="0.25">
      <c r="A18" s="1" t="s">
        <v>114</v>
      </c>
    </row>
    <row r="38" spans="2:2" x14ac:dyDescent="0.25">
      <c r="B38" t="s">
        <v>115</v>
      </c>
    </row>
    <row r="39" spans="2:2" x14ac:dyDescent="0.25">
      <c r="B39" t="s">
        <v>116</v>
      </c>
    </row>
  </sheetData>
  <customSheetViews>
    <customSheetView guid="{7ECC2B8E-6A82-42F5-8AB0-4A51C54EA5EC}">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A2C66332-A809-458E-971B-FDB6D62C74C3}">
      <selection activeCell="D14" sqref="D14"/>
      <pageMargins left="0.7" right="0.7" top="0.75" bottom="0.75" header="0.3" footer="0.3"/>
    </customSheetView>
    <customSheetView guid="{72A6EB0A-84D5-4B8A-AC51-54CCD061630B}">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D33AC7AF-C8AB-4CE9-94C7-9237011A5FC3}">
      <selection activeCell="D14" sqref="D14"/>
      <pageMargins left="0.7" right="0.7" top="0.75" bottom="0.75" header="0.3" footer="0.3"/>
    </customSheetView>
    <customSheetView guid="{7E0EA425-A420-4443-B9E0-CDF0AA9E5D09}">
      <selection activeCell="C12" sqref="C12"/>
      <pageMargins left="0.7" right="0.7" top="0.75" bottom="0.75" header="0.3" footer="0.3"/>
    </customSheetView>
    <customSheetView guid="{60D2C030-4E31-4E07-8E1C-44D2EE84B177}">
      <selection activeCell="I27" sqref="I27"/>
      <pageMargins left="0.7" right="0.7" top="0.75" bottom="0.75" header="0.3" footer="0.3"/>
    </customSheetView>
    <customSheetView guid="{250915DF-0B97-45D7-B29D-7EED4C89C1C1}">
      <selection activeCell="D16" sqref="D16"/>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7ECC2B8E-6A82-42F5-8AB0-4A51C54EA5EC}">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250915DF-0B97-45D7-B29D-7EED4C89C1C1}">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4" workbookViewId="0">
      <selection activeCell="O10" sqref="O10"/>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82" t="s">
        <v>338</v>
      </c>
      <c r="B1" s="82" t="s">
        <v>186</v>
      </c>
      <c r="J1" s="83"/>
      <c r="K1" s="82" t="s">
        <v>338</v>
      </c>
      <c r="L1" s="82" t="s">
        <v>185</v>
      </c>
    </row>
    <row r="2" spans="1:18" x14ac:dyDescent="0.25">
      <c r="J2" s="83"/>
    </row>
    <row r="3" spans="1:18" x14ac:dyDescent="0.25">
      <c r="A3" s="1" t="s">
        <v>38</v>
      </c>
      <c r="B3" s="36">
        <v>43952</v>
      </c>
      <c r="D3" s="36">
        <v>43955</v>
      </c>
      <c r="F3" s="6"/>
      <c r="J3" s="83"/>
      <c r="K3" s="1" t="s">
        <v>38</v>
      </c>
      <c r="L3" s="36">
        <v>43952</v>
      </c>
      <c r="N3" s="36">
        <v>43955</v>
      </c>
      <c r="P3" s="6"/>
    </row>
    <row r="4" spans="1:18" x14ac:dyDescent="0.25">
      <c r="A4" s="1" t="s">
        <v>30</v>
      </c>
      <c r="B4" s="7">
        <v>2</v>
      </c>
      <c r="J4" s="83"/>
      <c r="K4" s="1" t="s">
        <v>30</v>
      </c>
      <c r="L4" s="7">
        <v>2</v>
      </c>
    </row>
    <row r="5" spans="1:18" x14ac:dyDescent="0.25">
      <c r="A5" s="1" t="s">
        <v>145</v>
      </c>
      <c r="B5" s="7">
        <v>1</v>
      </c>
      <c r="C5" t="s">
        <v>319</v>
      </c>
      <c r="J5" s="83"/>
      <c r="K5" s="1" t="s">
        <v>145</v>
      </c>
      <c r="L5" s="7">
        <v>1</v>
      </c>
      <c r="M5" t="s">
        <v>319</v>
      </c>
    </row>
    <row r="6" spans="1:18" x14ac:dyDescent="0.25">
      <c r="A6" s="1" t="s">
        <v>111</v>
      </c>
      <c r="B6">
        <v>1</v>
      </c>
      <c r="J6" s="83"/>
      <c r="K6" s="1" t="s">
        <v>111</v>
      </c>
      <c r="L6">
        <v>1</v>
      </c>
    </row>
    <row r="7" spans="1:18" x14ac:dyDescent="0.25">
      <c r="A7" s="1"/>
      <c r="J7" s="83"/>
      <c r="K7" s="1"/>
    </row>
    <row r="8" spans="1:18" x14ac:dyDescent="0.25">
      <c r="B8" s="1" t="s">
        <v>405</v>
      </c>
      <c r="J8" s="83"/>
      <c r="L8" s="1" t="s">
        <v>405</v>
      </c>
    </row>
    <row r="9" spans="1:18" ht="75" x14ac:dyDescent="0.25">
      <c r="C9" s="60" t="s">
        <v>25</v>
      </c>
      <c r="D9" s="60" t="s">
        <v>26</v>
      </c>
      <c r="E9" s="60" t="s">
        <v>27</v>
      </c>
      <c r="F9" s="60" t="s">
        <v>28</v>
      </c>
      <c r="G9" s="9" t="s">
        <v>102</v>
      </c>
      <c r="H9" s="9" t="s">
        <v>29</v>
      </c>
      <c r="J9" s="83"/>
      <c r="M9" s="60" t="s">
        <v>25</v>
      </c>
      <c r="N9" s="60" t="s">
        <v>26</v>
      </c>
      <c r="O9" s="60" t="s">
        <v>27</v>
      </c>
      <c r="P9" s="60" t="s">
        <v>28</v>
      </c>
      <c r="Q9" s="9" t="s">
        <v>102</v>
      </c>
      <c r="R9" s="9" t="s">
        <v>29</v>
      </c>
    </row>
    <row r="10" spans="1:18" x14ac:dyDescent="0.25">
      <c r="C10" s="65">
        <v>1</v>
      </c>
      <c r="D10" s="65" t="s">
        <v>3</v>
      </c>
      <c r="E10" s="65">
        <v>11319</v>
      </c>
      <c r="F10" s="65">
        <v>0</v>
      </c>
      <c r="G10" s="65">
        <v>25.153333333333332</v>
      </c>
      <c r="H10" s="42">
        <v>0</v>
      </c>
      <c r="J10" s="83"/>
      <c r="M10" s="65">
        <v>1</v>
      </c>
      <c r="N10" s="65" t="s">
        <v>3</v>
      </c>
      <c r="O10" s="65">
        <v>3852.2249999999999</v>
      </c>
      <c r="P10" s="65">
        <v>0</v>
      </c>
      <c r="Q10" s="65">
        <v>8.5604999999999993</v>
      </c>
      <c r="R10" s="42">
        <v>0</v>
      </c>
    </row>
    <row r="11" spans="1:18" x14ac:dyDescent="0.25">
      <c r="C11" s="65">
        <v>2</v>
      </c>
      <c r="D11" s="65" t="s">
        <v>2</v>
      </c>
      <c r="E11" s="65">
        <v>136</v>
      </c>
      <c r="F11" s="65">
        <v>18</v>
      </c>
      <c r="G11" s="65">
        <v>1.0461538461538462</v>
      </c>
      <c r="H11" s="42">
        <v>0.13235294117647059</v>
      </c>
      <c r="J11" s="83"/>
      <c r="M11" s="65">
        <v>2</v>
      </c>
      <c r="N11" s="65" t="s">
        <v>2</v>
      </c>
      <c r="O11" s="65">
        <v>299</v>
      </c>
      <c r="P11" s="65">
        <v>0</v>
      </c>
      <c r="Q11" s="65">
        <v>2.2999999999999998</v>
      </c>
      <c r="R11" s="42">
        <v>0</v>
      </c>
    </row>
    <row r="12" spans="1:18" x14ac:dyDescent="0.25">
      <c r="C12" s="33"/>
      <c r="D12" s="31"/>
      <c r="E12" s="31"/>
      <c r="F12" s="31"/>
      <c r="G12" s="34"/>
      <c r="J12" s="83"/>
      <c r="M12" s="33"/>
      <c r="N12" s="31"/>
      <c r="O12" s="31"/>
      <c r="P12" s="31"/>
      <c r="Q12" s="34"/>
    </row>
    <row r="13" spans="1:18" x14ac:dyDescent="0.25">
      <c r="B13" s="1" t="s">
        <v>406</v>
      </c>
      <c r="J13" s="83"/>
      <c r="L13" s="1" t="s">
        <v>406</v>
      </c>
    </row>
    <row r="14" spans="1:18" ht="45" x14ac:dyDescent="0.25">
      <c r="C14" s="60" t="s">
        <v>25</v>
      </c>
      <c r="D14" s="60" t="s">
        <v>31</v>
      </c>
      <c r="E14" s="9" t="s">
        <v>32</v>
      </c>
      <c r="F14" s="9" t="s">
        <v>33</v>
      </c>
      <c r="G14" s="9" t="s">
        <v>139</v>
      </c>
      <c r="H14" s="9" t="s">
        <v>140</v>
      </c>
      <c r="J14" s="83"/>
      <c r="M14" s="60" t="s">
        <v>25</v>
      </c>
      <c r="N14" s="60" t="s">
        <v>31</v>
      </c>
      <c r="O14" s="9" t="s">
        <v>32</v>
      </c>
      <c r="P14" s="9" t="s">
        <v>33</v>
      </c>
      <c r="Q14" s="9" t="s">
        <v>139</v>
      </c>
      <c r="R14" s="9" t="s">
        <v>140</v>
      </c>
    </row>
    <row r="15" spans="1:18" x14ac:dyDescent="0.25">
      <c r="C15" s="65">
        <v>1</v>
      </c>
      <c r="D15" s="29" t="s">
        <v>117</v>
      </c>
      <c r="E15" s="65">
        <v>0</v>
      </c>
      <c r="F15" s="65">
        <v>0</v>
      </c>
      <c r="G15" s="65">
        <v>0</v>
      </c>
      <c r="H15" s="65">
        <v>0</v>
      </c>
      <c r="J15" s="83"/>
      <c r="M15" s="65">
        <v>1</v>
      </c>
      <c r="N15" s="29" t="s">
        <v>117</v>
      </c>
      <c r="O15" s="65">
        <v>0</v>
      </c>
      <c r="P15" s="65">
        <v>0</v>
      </c>
      <c r="Q15" s="65">
        <v>0</v>
      </c>
      <c r="R15" s="65">
        <v>0</v>
      </c>
    </row>
    <row r="16" spans="1:18" x14ac:dyDescent="0.25">
      <c r="C16" s="65">
        <v>2</v>
      </c>
      <c r="D16" s="29" t="s">
        <v>118</v>
      </c>
      <c r="E16" s="65">
        <v>0</v>
      </c>
      <c r="F16" s="65">
        <v>0</v>
      </c>
      <c r="G16" s="65">
        <v>0</v>
      </c>
      <c r="H16" s="65">
        <v>0</v>
      </c>
      <c r="J16" s="83"/>
      <c r="M16" s="65">
        <v>2</v>
      </c>
      <c r="N16" s="29" t="s">
        <v>118</v>
      </c>
      <c r="O16" s="65">
        <v>0</v>
      </c>
      <c r="P16" s="65">
        <v>0</v>
      </c>
      <c r="Q16" s="65">
        <v>0</v>
      </c>
      <c r="R16" s="65">
        <v>0</v>
      </c>
    </row>
    <row r="17" spans="2:18" x14ac:dyDescent="0.25">
      <c r="C17" s="65">
        <v>3</v>
      </c>
      <c r="D17" s="29" t="s">
        <v>119</v>
      </c>
      <c r="E17" s="65">
        <v>0</v>
      </c>
      <c r="F17" s="65">
        <v>0</v>
      </c>
      <c r="G17" s="65">
        <v>0</v>
      </c>
      <c r="H17" s="65">
        <v>0</v>
      </c>
      <c r="J17" s="83"/>
      <c r="M17" s="65">
        <v>3</v>
      </c>
      <c r="N17" s="29" t="s">
        <v>119</v>
      </c>
      <c r="O17" s="65">
        <v>0</v>
      </c>
      <c r="P17" s="65">
        <v>0</v>
      </c>
      <c r="Q17" s="65">
        <v>0</v>
      </c>
      <c r="R17" s="65">
        <v>0</v>
      </c>
    </row>
    <row r="18" spans="2:18" x14ac:dyDescent="0.25">
      <c r="C18" s="65">
        <v>4</v>
      </c>
      <c r="D18" s="29" t="s">
        <v>120</v>
      </c>
      <c r="E18" s="65">
        <v>0</v>
      </c>
      <c r="F18" s="65">
        <v>0</v>
      </c>
      <c r="G18" s="65">
        <v>0</v>
      </c>
      <c r="H18" s="65">
        <v>0</v>
      </c>
      <c r="J18" s="83"/>
      <c r="M18" s="65">
        <v>4</v>
      </c>
      <c r="N18" s="29" t="s">
        <v>120</v>
      </c>
      <c r="O18" s="65">
        <v>0</v>
      </c>
      <c r="P18" s="65">
        <v>0</v>
      </c>
      <c r="Q18" s="65">
        <v>0</v>
      </c>
      <c r="R18" s="65">
        <v>0</v>
      </c>
    </row>
    <row r="19" spans="2:18" x14ac:dyDescent="0.25">
      <c r="C19" s="65">
        <v>5</v>
      </c>
      <c r="D19" s="29" t="s">
        <v>190</v>
      </c>
      <c r="E19" s="65">
        <v>0</v>
      </c>
      <c r="F19" s="65">
        <v>0</v>
      </c>
      <c r="G19" s="65">
        <v>0</v>
      </c>
      <c r="H19" s="65">
        <v>0</v>
      </c>
      <c r="J19" s="83"/>
      <c r="M19" s="65">
        <v>5</v>
      </c>
      <c r="N19" s="29" t="s">
        <v>190</v>
      </c>
      <c r="O19" s="65">
        <v>0</v>
      </c>
      <c r="P19" s="65">
        <v>0</v>
      </c>
      <c r="Q19" s="65">
        <v>0</v>
      </c>
      <c r="R19" s="65">
        <v>0</v>
      </c>
    </row>
    <row r="20" spans="2:18" x14ac:dyDescent="0.25">
      <c r="C20" s="65">
        <v>6</v>
      </c>
      <c r="D20" s="29" t="s">
        <v>191</v>
      </c>
      <c r="E20" s="65">
        <v>0</v>
      </c>
      <c r="F20" s="65">
        <v>0</v>
      </c>
      <c r="G20" s="65">
        <v>0</v>
      </c>
      <c r="H20" s="65">
        <v>0</v>
      </c>
      <c r="J20" s="83"/>
      <c r="M20" s="65">
        <v>6</v>
      </c>
      <c r="N20" s="29" t="s">
        <v>191</v>
      </c>
      <c r="O20" s="65">
        <v>0</v>
      </c>
      <c r="P20" s="65">
        <v>0</v>
      </c>
      <c r="Q20" s="65">
        <v>0</v>
      </c>
      <c r="R20" s="65">
        <v>0</v>
      </c>
    </row>
    <row r="21" spans="2:18" x14ac:dyDescent="0.25">
      <c r="C21" s="65">
        <v>7</v>
      </c>
      <c r="D21" s="29" t="s">
        <v>192</v>
      </c>
      <c r="E21" s="65">
        <v>0</v>
      </c>
      <c r="F21" s="65">
        <v>18</v>
      </c>
      <c r="G21" s="65">
        <v>0</v>
      </c>
      <c r="H21" s="65">
        <v>0.13846153846153847</v>
      </c>
      <c r="J21" s="83"/>
      <c r="M21" s="65">
        <v>7</v>
      </c>
      <c r="N21" s="29" t="s">
        <v>192</v>
      </c>
      <c r="O21" s="65">
        <v>0</v>
      </c>
      <c r="P21" s="65">
        <v>0</v>
      </c>
      <c r="Q21" s="65">
        <v>0</v>
      </c>
      <c r="R21" s="65">
        <v>0</v>
      </c>
    </row>
    <row r="22" spans="2:18" x14ac:dyDescent="0.25">
      <c r="C22" s="65">
        <v>8</v>
      </c>
      <c r="D22" s="29" t="s">
        <v>193</v>
      </c>
      <c r="E22" s="65">
        <v>0</v>
      </c>
      <c r="F22" s="65">
        <v>0</v>
      </c>
      <c r="G22" s="65">
        <v>0</v>
      </c>
      <c r="H22" s="65">
        <v>0</v>
      </c>
      <c r="J22" s="83"/>
      <c r="M22" s="65">
        <v>8</v>
      </c>
      <c r="N22" s="29" t="s">
        <v>193</v>
      </c>
      <c r="O22" s="65">
        <v>0</v>
      </c>
      <c r="P22" s="65">
        <v>0</v>
      </c>
      <c r="Q22" s="65">
        <v>0</v>
      </c>
      <c r="R22" s="65">
        <v>0</v>
      </c>
    </row>
    <row r="23" spans="2:18" x14ac:dyDescent="0.25">
      <c r="C23" s="65">
        <v>9</v>
      </c>
      <c r="D23" s="29" t="s">
        <v>180</v>
      </c>
      <c r="E23" s="65">
        <v>0</v>
      </c>
      <c r="F23" s="65">
        <v>0</v>
      </c>
      <c r="G23" s="65">
        <v>0</v>
      </c>
      <c r="H23" s="65">
        <v>0</v>
      </c>
      <c r="J23" s="83"/>
      <c r="M23" s="65">
        <v>9</v>
      </c>
      <c r="N23" s="29" t="s">
        <v>180</v>
      </c>
      <c r="O23" s="65">
        <v>0</v>
      </c>
      <c r="P23" s="65">
        <v>0</v>
      </c>
      <c r="Q23" s="65">
        <v>0</v>
      </c>
      <c r="R23" s="65">
        <v>0</v>
      </c>
    </row>
    <row r="24" spans="2:18" x14ac:dyDescent="0.25">
      <c r="C24" s="65">
        <v>10</v>
      </c>
      <c r="D24" s="29" t="s">
        <v>179</v>
      </c>
      <c r="E24" s="65">
        <v>0</v>
      </c>
      <c r="F24" s="65">
        <v>0</v>
      </c>
      <c r="G24" s="65">
        <v>0</v>
      </c>
      <c r="H24" s="65">
        <v>0</v>
      </c>
      <c r="J24" s="83"/>
      <c r="M24" s="65">
        <v>10</v>
      </c>
      <c r="N24" s="29" t="s">
        <v>179</v>
      </c>
      <c r="O24" s="65">
        <v>0</v>
      </c>
      <c r="P24" s="65">
        <v>0</v>
      </c>
      <c r="Q24" s="65">
        <v>0</v>
      </c>
      <c r="R24" s="65">
        <v>0</v>
      </c>
    </row>
    <row r="25" spans="2:18" x14ac:dyDescent="0.25">
      <c r="C25" s="30"/>
      <c r="D25" s="30"/>
      <c r="E25" s="31"/>
      <c r="F25" s="31"/>
      <c r="J25" s="83"/>
      <c r="M25" s="30"/>
      <c r="N25" s="30"/>
      <c r="O25" s="31"/>
      <c r="P25" s="31"/>
    </row>
    <row r="26" spans="2:18" x14ac:dyDescent="0.25">
      <c r="B26" s="1" t="s">
        <v>34</v>
      </c>
      <c r="J26" s="83"/>
      <c r="L26" s="1" t="s">
        <v>34</v>
      </c>
    </row>
    <row r="27" spans="2:18" x14ac:dyDescent="0.25">
      <c r="C27" s="60" t="s">
        <v>25</v>
      </c>
      <c r="D27" s="55" t="s">
        <v>35</v>
      </c>
      <c r="E27" s="56"/>
      <c r="F27" s="57"/>
      <c r="J27" s="83"/>
      <c r="M27" s="60" t="s">
        <v>25</v>
      </c>
      <c r="N27" s="55" t="s">
        <v>35</v>
      </c>
      <c r="O27" s="56"/>
      <c r="P27" s="57"/>
    </row>
    <row r="28" spans="2:18" x14ac:dyDescent="0.25">
      <c r="C28" s="65">
        <v>1</v>
      </c>
      <c r="D28" s="38" t="s">
        <v>61</v>
      </c>
      <c r="E28" s="39"/>
      <c r="F28" s="40"/>
      <c r="J28" s="83"/>
      <c r="M28" s="65">
        <v>1</v>
      </c>
      <c r="N28" s="38" t="s">
        <v>61</v>
      </c>
      <c r="O28" s="39"/>
      <c r="P28" s="40"/>
    </row>
    <row r="29" spans="2:18" x14ac:dyDescent="0.25">
      <c r="C29" s="65">
        <v>2</v>
      </c>
      <c r="D29" s="38" t="s">
        <v>61</v>
      </c>
      <c r="E29" s="39"/>
      <c r="F29" s="40"/>
      <c r="J29" s="83"/>
      <c r="M29" s="65">
        <v>2</v>
      </c>
      <c r="N29" s="38" t="s">
        <v>61</v>
      </c>
      <c r="O29" s="39"/>
      <c r="P29" s="40"/>
    </row>
    <row r="30" spans="2:18" x14ac:dyDescent="0.25">
      <c r="C30" s="65">
        <v>3</v>
      </c>
      <c r="D30" s="38" t="s">
        <v>61</v>
      </c>
      <c r="E30" s="39"/>
      <c r="F30" s="40"/>
      <c r="J30" s="83"/>
      <c r="M30" s="65">
        <v>3</v>
      </c>
      <c r="N30" s="38" t="s">
        <v>61</v>
      </c>
      <c r="O30" s="39"/>
      <c r="P30" s="40"/>
    </row>
    <row r="31" spans="2:18" x14ac:dyDescent="0.25">
      <c r="C31" s="65">
        <v>4</v>
      </c>
      <c r="D31" s="38" t="s">
        <v>61</v>
      </c>
      <c r="E31" s="39"/>
      <c r="F31" s="40"/>
      <c r="J31" s="83"/>
      <c r="M31" s="65">
        <v>4</v>
      </c>
      <c r="N31" s="38" t="s">
        <v>61</v>
      </c>
      <c r="O31" s="39"/>
      <c r="P31" s="40"/>
    </row>
    <row r="32" spans="2:18" x14ac:dyDescent="0.25">
      <c r="J32" s="83"/>
    </row>
    <row r="33" spans="2:16" x14ac:dyDescent="0.25">
      <c r="B33" s="1" t="s">
        <v>407</v>
      </c>
      <c r="J33" s="83"/>
      <c r="L33" s="1" t="s">
        <v>407</v>
      </c>
    </row>
    <row r="34" spans="2:16" ht="30" x14ac:dyDescent="0.25">
      <c r="C34" s="60" t="s">
        <v>25</v>
      </c>
      <c r="D34" s="60" t="s">
        <v>31</v>
      </c>
      <c r="E34" s="9" t="s">
        <v>137</v>
      </c>
      <c r="F34" s="9" t="s">
        <v>138</v>
      </c>
      <c r="J34" s="83"/>
      <c r="M34" s="60" t="s">
        <v>25</v>
      </c>
      <c r="N34" s="60" t="s">
        <v>31</v>
      </c>
      <c r="O34" s="9" t="s">
        <v>137</v>
      </c>
      <c r="P34" s="9" t="s">
        <v>138</v>
      </c>
    </row>
    <row r="35" spans="2:16" x14ac:dyDescent="0.25">
      <c r="C35" s="65">
        <v>1</v>
      </c>
      <c r="D35" s="29" t="s">
        <v>117</v>
      </c>
      <c r="E35" s="64">
        <v>0</v>
      </c>
      <c r="F35" s="65">
        <v>0</v>
      </c>
      <c r="J35" s="83"/>
      <c r="M35" s="65">
        <v>1</v>
      </c>
      <c r="N35" s="29" t="s">
        <v>117</v>
      </c>
      <c r="O35" s="64">
        <v>0</v>
      </c>
      <c r="P35" s="65">
        <v>0</v>
      </c>
    </row>
    <row r="36" spans="2:16" x14ac:dyDescent="0.25">
      <c r="C36" s="65">
        <v>2</v>
      </c>
      <c r="D36" s="29" t="s">
        <v>118</v>
      </c>
      <c r="E36" s="64">
        <v>0</v>
      </c>
      <c r="F36" s="65">
        <v>0</v>
      </c>
      <c r="J36" s="83"/>
      <c r="M36" s="65">
        <v>2</v>
      </c>
      <c r="N36" s="29" t="s">
        <v>118</v>
      </c>
      <c r="O36" s="64">
        <v>0</v>
      </c>
      <c r="P36" s="65">
        <v>0</v>
      </c>
    </row>
    <row r="37" spans="2:16" x14ac:dyDescent="0.25">
      <c r="C37" s="65">
        <v>3</v>
      </c>
      <c r="D37" s="29" t="s">
        <v>119</v>
      </c>
      <c r="E37" s="64">
        <v>0</v>
      </c>
      <c r="F37" s="65">
        <v>0</v>
      </c>
      <c r="J37" s="83"/>
      <c r="M37" s="65">
        <v>3</v>
      </c>
      <c r="N37" s="29" t="s">
        <v>119</v>
      </c>
      <c r="O37" s="64">
        <v>0</v>
      </c>
      <c r="P37" s="65">
        <v>0</v>
      </c>
    </row>
    <row r="38" spans="2:16" x14ac:dyDescent="0.25">
      <c r="C38" s="65">
        <v>4</v>
      </c>
      <c r="D38" s="29" t="s">
        <v>120</v>
      </c>
      <c r="E38" s="64">
        <v>0</v>
      </c>
      <c r="F38" s="65">
        <v>0</v>
      </c>
      <c r="J38" s="83"/>
      <c r="M38" s="65">
        <v>4</v>
      </c>
      <c r="N38" s="29" t="s">
        <v>120</v>
      </c>
      <c r="O38" s="64">
        <v>0</v>
      </c>
      <c r="P38" s="65">
        <v>0</v>
      </c>
    </row>
    <row r="39" spans="2:16" x14ac:dyDescent="0.25">
      <c r="C39" s="65">
        <v>5</v>
      </c>
      <c r="D39" s="29" t="s">
        <v>190</v>
      </c>
      <c r="E39" s="64">
        <v>0</v>
      </c>
      <c r="F39" s="65">
        <v>0</v>
      </c>
      <c r="J39" s="83"/>
      <c r="M39" s="65">
        <v>5</v>
      </c>
      <c r="N39" s="29" t="s">
        <v>190</v>
      </c>
      <c r="O39" s="64">
        <v>0</v>
      </c>
      <c r="P39" s="65">
        <v>0</v>
      </c>
    </row>
    <row r="40" spans="2:16" x14ac:dyDescent="0.25">
      <c r="C40" s="65">
        <v>6</v>
      </c>
      <c r="D40" s="29" t="s">
        <v>191</v>
      </c>
      <c r="E40" s="64">
        <v>0</v>
      </c>
      <c r="F40" s="65">
        <v>0</v>
      </c>
      <c r="J40" s="83"/>
      <c r="M40" s="65">
        <v>6</v>
      </c>
      <c r="N40" s="29" t="s">
        <v>191</v>
      </c>
      <c r="O40" s="64">
        <v>0</v>
      </c>
      <c r="P40" s="65">
        <v>0</v>
      </c>
    </row>
    <row r="41" spans="2:16" x14ac:dyDescent="0.25">
      <c r="C41" s="65">
        <v>7</v>
      </c>
      <c r="D41" s="29" t="s">
        <v>192</v>
      </c>
      <c r="E41" s="64">
        <v>0</v>
      </c>
      <c r="F41" s="65">
        <v>0</v>
      </c>
      <c r="J41" s="83"/>
      <c r="M41" s="65">
        <v>7</v>
      </c>
      <c r="N41" s="29" t="s">
        <v>192</v>
      </c>
      <c r="O41" s="64">
        <v>0</v>
      </c>
      <c r="P41" s="65">
        <v>0</v>
      </c>
    </row>
    <row r="42" spans="2:16" x14ac:dyDescent="0.25">
      <c r="C42" s="65">
        <v>8</v>
      </c>
      <c r="D42" s="29" t="s">
        <v>193</v>
      </c>
      <c r="E42" s="64">
        <v>0</v>
      </c>
      <c r="F42" s="65">
        <v>0</v>
      </c>
      <c r="J42" s="83"/>
      <c r="M42" s="65">
        <v>8</v>
      </c>
      <c r="N42" s="29" t="s">
        <v>193</v>
      </c>
      <c r="O42" s="64">
        <v>0</v>
      </c>
      <c r="P42" s="65">
        <v>0</v>
      </c>
    </row>
    <row r="43" spans="2:16" x14ac:dyDescent="0.25">
      <c r="C43" s="65">
        <v>9</v>
      </c>
      <c r="D43" s="29" t="s">
        <v>180</v>
      </c>
      <c r="E43" s="64">
        <v>0</v>
      </c>
      <c r="F43" s="65">
        <v>0</v>
      </c>
      <c r="J43" s="83"/>
      <c r="M43" s="65">
        <v>9</v>
      </c>
      <c r="N43" s="29" t="s">
        <v>180</v>
      </c>
      <c r="O43" s="64">
        <v>0</v>
      </c>
      <c r="P43" s="65">
        <v>0</v>
      </c>
    </row>
    <row r="44" spans="2:16" x14ac:dyDescent="0.25">
      <c r="C44" s="65">
        <v>10</v>
      </c>
      <c r="D44" s="29" t="s">
        <v>179</v>
      </c>
      <c r="E44" s="64">
        <v>0</v>
      </c>
      <c r="F44" s="65">
        <v>0</v>
      </c>
      <c r="J44" s="83"/>
      <c r="M44" s="65">
        <v>10</v>
      </c>
      <c r="N44" s="29" t="s">
        <v>179</v>
      </c>
      <c r="O44" s="64">
        <v>0</v>
      </c>
      <c r="P44" s="65">
        <v>0</v>
      </c>
    </row>
    <row r="45" spans="2:16" x14ac:dyDescent="0.25">
      <c r="C45" s="31"/>
      <c r="D45" s="30"/>
      <c r="E45" s="66"/>
      <c r="F45" s="31"/>
      <c r="J45" s="83"/>
      <c r="M45" s="31"/>
      <c r="N45" s="30"/>
      <c r="O45" s="66"/>
      <c r="P45" s="31"/>
    </row>
    <row r="46" spans="2:16" x14ac:dyDescent="0.25">
      <c r="B46" s="1" t="s">
        <v>408</v>
      </c>
      <c r="J46" s="83"/>
      <c r="L46" s="1" t="s">
        <v>408</v>
      </c>
    </row>
    <row r="47" spans="2:16" ht="30" x14ac:dyDescent="0.25">
      <c r="C47" s="60" t="s">
        <v>25</v>
      </c>
      <c r="D47" s="60" t="s">
        <v>31</v>
      </c>
      <c r="E47" s="9" t="s">
        <v>36</v>
      </c>
      <c r="F47" s="9" t="s">
        <v>37</v>
      </c>
      <c r="J47" s="83"/>
      <c r="M47" s="60" t="s">
        <v>25</v>
      </c>
      <c r="N47" s="60" t="s">
        <v>31</v>
      </c>
      <c r="O47" s="9" t="s">
        <v>36</v>
      </c>
      <c r="P47" s="9" t="s">
        <v>37</v>
      </c>
    </row>
    <row r="48" spans="2:16" x14ac:dyDescent="0.25">
      <c r="C48" s="65">
        <v>1</v>
      </c>
      <c r="D48" s="29" t="s">
        <v>117</v>
      </c>
      <c r="E48" s="64" t="s">
        <v>61</v>
      </c>
      <c r="F48" s="64" t="s">
        <v>61</v>
      </c>
      <c r="J48" s="83"/>
      <c r="M48" s="65">
        <v>1</v>
      </c>
      <c r="N48" s="29" t="s">
        <v>117</v>
      </c>
      <c r="O48" s="64" t="s">
        <v>61</v>
      </c>
      <c r="P48" s="64" t="s">
        <v>61</v>
      </c>
    </row>
    <row r="49" spans="2:16" x14ac:dyDescent="0.25">
      <c r="C49" s="65">
        <v>2</v>
      </c>
      <c r="D49" s="29" t="s">
        <v>118</v>
      </c>
      <c r="E49" s="64" t="s">
        <v>61</v>
      </c>
      <c r="F49" s="64" t="s">
        <v>61</v>
      </c>
      <c r="J49" s="83"/>
      <c r="M49" s="65">
        <v>2</v>
      </c>
      <c r="N49" s="29" t="s">
        <v>118</v>
      </c>
      <c r="O49" s="64" t="s">
        <v>61</v>
      </c>
      <c r="P49" s="64" t="s">
        <v>61</v>
      </c>
    </row>
    <row r="50" spans="2:16" x14ac:dyDescent="0.25">
      <c r="C50" s="65">
        <v>3</v>
      </c>
      <c r="D50" s="29" t="s">
        <v>119</v>
      </c>
      <c r="E50" s="64" t="s">
        <v>61</v>
      </c>
      <c r="F50" s="64" t="s">
        <v>61</v>
      </c>
      <c r="J50" s="83"/>
      <c r="M50" s="65">
        <v>3</v>
      </c>
      <c r="N50" s="29" t="s">
        <v>119</v>
      </c>
      <c r="O50" s="64" t="s">
        <v>61</v>
      </c>
      <c r="P50" s="64" t="s">
        <v>61</v>
      </c>
    </row>
    <row r="51" spans="2:16" x14ac:dyDescent="0.25">
      <c r="C51" s="65">
        <v>4</v>
      </c>
      <c r="D51" s="29" t="s">
        <v>120</v>
      </c>
      <c r="E51" s="64" t="s">
        <v>61</v>
      </c>
      <c r="F51" s="64" t="s">
        <v>61</v>
      </c>
      <c r="J51" s="83"/>
      <c r="M51" s="65">
        <v>4</v>
      </c>
      <c r="N51" s="29" t="s">
        <v>120</v>
      </c>
      <c r="O51" s="64" t="s">
        <v>61</v>
      </c>
      <c r="P51" s="64" t="s">
        <v>61</v>
      </c>
    </row>
    <row r="52" spans="2:16" x14ac:dyDescent="0.25">
      <c r="C52" s="65">
        <v>5</v>
      </c>
      <c r="D52" s="29" t="s">
        <v>190</v>
      </c>
      <c r="E52" s="64" t="s">
        <v>61</v>
      </c>
      <c r="F52" s="64" t="s">
        <v>61</v>
      </c>
      <c r="J52" s="83"/>
      <c r="M52" s="65">
        <v>5</v>
      </c>
      <c r="N52" s="29" t="s">
        <v>190</v>
      </c>
      <c r="O52" s="64" t="s">
        <v>61</v>
      </c>
      <c r="P52" s="64" t="s">
        <v>61</v>
      </c>
    </row>
    <row r="53" spans="2:16" x14ac:dyDescent="0.25">
      <c r="C53" s="65">
        <v>6</v>
      </c>
      <c r="D53" s="29" t="s">
        <v>191</v>
      </c>
      <c r="E53" s="64" t="s">
        <v>61</v>
      </c>
      <c r="F53" s="64" t="s">
        <v>61</v>
      </c>
      <c r="J53" s="83"/>
      <c r="M53" s="65">
        <v>6</v>
      </c>
      <c r="N53" s="29" t="s">
        <v>191</v>
      </c>
      <c r="O53" s="64" t="s">
        <v>61</v>
      </c>
      <c r="P53" s="64" t="s">
        <v>61</v>
      </c>
    </row>
    <row r="54" spans="2:16" x14ac:dyDescent="0.25">
      <c r="C54" s="65">
        <v>7</v>
      </c>
      <c r="D54" s="29" t="s">
        <v>192</v>
      </c>
      <c r="E54" s="64" t="s">
        <v>61</v>
      </c>
      <c r="F54" s="64" t="s">
        <v>61</v>
      </c>
      <c r="J54" s="83"/>
      <c r="M54" s="65">
        <v>7</v>
      </c>
      <c r="N54" s="29" t="s">
        <v>192</v>
      </c>
      <c r="O54" s="64" t="s">
        <v>61</v>
      </c>
      <c r="P54" s="64" t="s">
        <v>61</v>
      </c>
    </row>
    <row r="55" spans="2:16" x14ac:dyDescent="0.25">
      <c r="C55" s="65">
        <v>8</v>
      </c>
      <c r="D55" s="29" t="s">
        <v>193</v>
      </c>
      <c r="E55" s="64" t="s">
        <v>61</v>
      </c>
      <c r="F55" s="64" t="s">
        <v>61</v>
      </c>
      <c r="J55" s="83"/>
      <c r="M55" s="65">
        <v>8</v>
      </c>
      <c r="N55" s="29" t="s">
        <v>193</v>
      </c>
      <c r="O55" s="64" t="s">
        <v>61</v>
      </c>
      <c r="P55" s="64" t="s">
        <v>61</v>
      </c>
    </row>
    <row r="56" spans="2:16" x14ac:dyDescent="0.25">
      <c r="C56" s="65">
        <v>9</v>
      </c>
      <c r="D56" s="29" t="s">
        <v>180</v>
      </c>
      <c r="E56" s="64" t="s">
        <v>61</v>
      </c>
      <c r="F56" s="64" t="s">
        <v>61</v>
      </c>
      <c r="J56" s="83"/>
      <c r="M56" s="65">
        <v>9</v>
      </c>
      <c r="N56" s="29" t="s">
        <v>180</v>
      </c>
      <c r="O56" s="64" t="s">
        <v>61</v>
      </c>
      <c r="P56" s="64" t="s">
        <v>61</v>
      </c>
    </row>
    <row r="57" spans="2:16" x14ac:dyDescent="0.25">
      <c r="C57" s="65">
        <v>10</v>
      </c>
      <c r="D57" s="29" t="s">
        <v>179</v>
      </c>
      <c r="E57" s="64" t="s">
        <v>61</v>
      </c>
      <c r="F57" s="64" t="s">
        <v>61</v>
      </c>
      <c r="J57" s="83"/>
      <c r="M57" s="65">
        <v>10</v>
      </c>
      <c r="N57" s="29" t="s">
        <v>179</v>
      </c>
      <c r="O57" s="64" t="s">
        <v>61</v>
      </c>
      <c r="P57" s="64" t="s">
        <v>61</v>
      </c>
    </row>
    <row r="58" spans="2:16" x14ac:dyDescent="0.25">
      <c r="C58" s="31"/>
      <c r="D58" s="30"/>
      <c r="E58" s="66"/>
      <c r="F58" s="66"/>
      <c r="J58" s="83"/>
      <c r="M58" s="31"/>
      <c r="N58" s="30"/>
      <c r="O58" s="66"/>
      <c r="P58" s="66"/>
    </row>
    <row r="59" spans="2:16" x14ac:dyDescent="0.25">
      <c r="C59" s="31"/>
      <c r="D59" s="30"/>
      <c r="E59" s="66"/>
      <c r="F59" s="66"/>
      <c r="J59" s="83"/>
      <c r="M59" s="31"/>
      <c r="N59" s="30"/>
      <c r="O59" s="66"/>
      <c r="P59" s="66"/>
    </row>
    <row r="60" spans="2:16" x14ac:dyDescent="0.25">
      <c r="B60" s="1" t="s">
        <v>39</v>
      </c>
      <c r="J60" s="83"/>
      <c r="L60" s="1" t="s">
        <v>39</v>
      </c>
    </row>
    <row r="61" spans="2:16" x14ac:dyDescent="0.25">
      <c r="C61" s="1" t="s">
        <v>41</v>
      </c>
      <c r="J61" s="83"/>
      <c r="M61" s="1" t="s">
        <v>41</v>
      </c>
    </row>
    <row r="62" spans="2:16" x14ac:dyDescent="0.25">
      <c r="D62" t="s">
        <v>40</v>
      </c>
      <c r="J62" s="83"/>
      <c r="N62" t="s">
        <v>40</v>
      </c>
    </row>
    <row r="63" spans="2:16" x14ac:dyDescent="0.25">
      <c r="D63" t="s">
        <v>100</v>
      </c>
      <c r="J63" s="83"/>
      <c r="N63" t="s">
        <v>100</v>
      </c>
    </row>
    <row r="64" spans="2:16" x14ac:dyDescent="0.25">
      <c r="C64" s="1" t="s">
        <v>42</v>
      </c>
      <c r="J64" s="83"/>
      <c r="M64" s="1" t="s">
        <v>42</v>
      </c>
    </row>
    <row r="65" spans="2:14" x14ac:dyDescent="0.25">
      <c r="D65" t="s">
        <v>43</v>
      </c>
      <c r="J65" s="83"/>
      <c r="N65" t="s">
        <v>43</v>
      </c>
    </row>
    <row r="66" spans="2:14" x14ac:dyDescent="0.25">
      <c r="D66" t="s">
        <v>44</v>
      </c>
      <c r="J66" s="83"/>
      <c r="N66" t="s">
        <v>44</v>
      </c>
    </row>
    <row r="67" spans="2:14" x14ac:dyDescent="0.25">
      <c r="C67" s="1" t="s">
        <v>187</v>
      </c>
      <c r="J67" s="83"/>
      <c r="M67" s="1" t="s">
        <v>187</v>
      </c>
    </row>
    <row r="68" spans="2:14" x14ac:dyDescent="0.25">
      <c r="D68" t="s">
        <v>188</v>
      </c>
      <c r="J68" s="83"/>
      <c r="N68" t="s">
        <v>188</v>
      </c>
    </row>
    <row r="69" spans="2:14" x14ac:dyDescent="0.25">
      <c r="D69" t="s">
        <v>189</v>
      </c>
      <c r="J69" s="83"/>
      <c r="N69" t="s">
        <v>189</v>
      </c>
    </row>
    <row r="70" spans="2:14" x14ac:dyDescent="0.25">
      <c r="J70" s="83"/>
    </row>
    <row r="71" spans="2:14" x14ac:dyDescent="0.25">
      <c r="J71" s="83"/>
    </row>
    <row r="72" spans="2:14" x14ac:dyDescent="0.25">
      <c r="B72" t="s">
        <v>333</v>
      </c>
      <c r="C72" t="s">
        <v>186</v>
      </c>
      <c r="J72" s="83"/>
      <c r="K72" t="s">
        <v>185</v>
      </c>
    </row>
    <row r="73" spans="2:14" x14ac:dyDescent="0.25">
      <c r="D73" s="29" t="s">
        <v>117</v>
      </c>
      <c r="J73" s="83"/>
      <c r="L73" s="29" t="s">
        <v>120</v>
      </c>
    </row>
    <row r="74" spans="2:14" x14ac:dyDescent="0.25">
      <c r="D74" s="29" t="s">
        <v>118</v>
      </c>
      <c r="J74" s="83"/>
      <c r="L74" s="29" t="s">
        <v>180</v>
      </c>
    </row>
    <row r="75" spans="2:14" x14ac:dyDescent="0.25">
      <c r="D75" s="29" t="s">
        <v>119</v>
      </c>
      <c r="J75" s="83"/>
    </row>
    <row r="76" spans="2:14" x14ac:dyDescent="0.25">
      <c r="D76" s="29" t="s">
        <v>190</v>
      </c>
      <c r="J76" s="83"/>
    </row>
    <row r="77" spans="2:14" x14ac:dyDescent="0.25">
      <c r="D77" s="29" t="s">
        <v>191</v>
      </c>
      <c r="J77" s="83"/>
    </row>
    <row r="78" spans="2:14" x14ac:dyDescent="0.25">
      <c r="D78" s="29" t="s">
        <v>192</v>
      </c>
      <c r="J78" s="83"/>
    </row>
    <row r="79" spans="2:14" x14ac:dyDescent="0.25">
      <c r="D79" s="29" t="s">
        <v>193</v>
      </c>
      <c r="J79" s="83"/>
    </row>
    <row r="80" spans="2:14" x14ac:dyDescent="0.25">
      <c r="D80" s="29" t="s">
        <v>179</v>
      </c>
      <c r="J80" s="83"/>
    </row>
  </sheetData>
  <customSheetViews>
    <customSheetView guid="{7ECC2B8E-6A82-42F5-8AB0-4A51C54EA5EC}" topLeftCell="A4">
      <selection activeCell="O10" sqref="O10"/>
      <pageMargins left="0.7" right="0.7" top="0.75" bottom="0.75" header="0.3" footer="0.3"/>
      <pageSetup orientation="portrait" horizontalDpi="300" verticalDpi="0" r:id="rId1"/>
    </customSheetView>
    <customSheetView guid="{3B3E6719-EACB-4D2C-89C1-05FFAB6020FD}">
      <selection activeCell="A44" sqref="A44:XFD44"/>
      <pageMargins left="0.7" right="0.7" top="0.75" bottom="0.75" header="0.3" footer="0.3"/>
      <pageSetup orientation="portrait" horizontalDpi="300" verticalDpi="0" r:id="rId2"/>
    </customSheetView>
    <customSheetView guid="{336B6883-2145-4B58-921E-CEC7185A847E}">
      <selection activeCell="A31" sqref="A31"/>
      <pageMargins left="0.7" right="0.7" top="0.75" bottom="0.75" header="0.3" footer="0.3"/>
      <pageSetup orientation="portrait" horizontalDpi="300" verticalDpi="0" r:id="rId3"/>
    </customSheetView>
    <customSheetView guid="{A2C66332-A809-458E-971B-FDB6D62C74C3}">
      <selection activeCell="A31" sqref="A31"/>
      <pageMargins left="0.7" right="0.7" top="0.75" bottom="0.75" header="0.3" footer="0.3"/>
      <pageSetup orientation="portrait" horizontalDpi="300" verticalDpi="0" r:id="rId4"/>
    </customSheetView>
    <customSheetView guid="{72A6EB0A-84D5-4B8A-AC51-54CCD061630B}" topLeftCell="A64">
      <selection activeCell="H21" sqref="H21"/>
      <pageMargins left="0.7" right="0.7" top="0.75" bottom="0.75" header="0.3" footer="0.3"/>
      <pageSetup orientation="portrait" horizontalDpi="300" verticalDpi="0" r:id="rId5"/>
    </customSheetView>
    <customSheetView guid="{4E06BDBF-2CED-473B-850B-2A6C7311FF41}" topLeftCell="A106">
      <selection activeCell="D4" sqref="D4"/>
      <pageMargins left="0.7" right="0.7" top="0.75" bottom="0.75" header="0.3" footer="0.3"/>
      <pageSetup orientation="portrait" horizontalDpi="300" verticalDpi="0" r:id="rId6"/>
    </customSheetView>
    <customSheetView guid="{D33AC7AF-C8AB-4CE9-94C7-9237011A5FC3}">
      <selection activeCell="A31" sqref="A31"/>
      <pageMargins left="0.7" right="0.7" top="0.75" bottom="0.75" header="0.3" footer="0.3"/>
      <pageSetup orientation="portrait" horizontalDpi="300" verticalDpi="0" r:id="rId7"/>
    </customSheetView>
    <customSheetView guid="{7E0EA425-A420-4443-B9E0-CDF0AA9E5D09}" topLeftCell="A106">
      <selection activeCell="A6" sqref="A6:XFD6"/>
      <pageMargins left="0.7" right="0.7" top="0.75" bottom="0.75" header="0.3" footer="0.3"/>
      <pageSetup orientation="portrait" horizontalDpi="300" verticalDpi="0" r:id="rId8"/>
    </customSheetView>
    <customSheetView guid="{60D2C030-4E31-4E07-8E1C-44D2EE84B177}" topLeftCell="A106">
      <selection activeCell="D4" sqref="D4"/>
      <pageMargins left="0.7" right="0.7" top="0.75" bottom="0.75" header="0.3" footer="0.3"/>
      <pageSetup orientation="portrait" horizontalDpi="300" verticalDpi="0" r:id="rId9"/>
    </customSheetView>
    <customSheetView guid="{250915DF-0B97-45D7-B29D-7EED4C89C1C1}" topLeftCell="A64">
      <selection activeCell="H21" sqref="H21"/>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Tai Hau (Ban Vien, RBVH/EPS45)</cp:lastModifiedBy>
  <dcterms:created xsi:type="dcterms:W3CDTF">2006-09-16T00:00:00Z</dcterms:created>
  <dcterms:modified xsi:type="dcterms:W3CDTF">2020-05-12T07:44:06Z</dcterms:modified>
</cp:coreProperties>
</file>