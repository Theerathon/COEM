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117.xml" ContentType="application/vnd.openxmlformats-officedocument.spreadsheetml.revisionLog+xml"/>
  <Override PartName="/xl/revisions/revisionLog299.xml" ContentType="application/vnd.openxmlformats-officedocument.spreadsheetml.revisionLog+xml"/>
  <Override PartName="/xl/revisions/revisionLog303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324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247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268.xml" ContentType="application/vnd.openxmlformats-officedocument.spreadsheetml.revisionLog+xml"/>
  <Override PartName="/xl/revisions/revisionLog289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31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237.xml" ContentType="application/vnd.openxmlformats-officedocument.spreadsheetml.revisionLog+xml"/>
  <Override PartName="/xl/revisions/revisionLog258.xml" ContentType="application/vnd.openxmlformats-officedocument.spreadsheetml.revisionLog+xml"/>
  <Override PartName="/xl/revisions/revisionLog279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290.xml" ContentType="application/vnd.openxmlformats-officedocument.spreadsheetml.revisionLog+xml"/>
  <Override PartName="/xl/revisions/revisionLog304.xml" ContentType="application/vnd.openxmlformats-officedocument.spreadsheetml.revisionLog+xml"/>
  <Override PartName="/xl/revisions/revisionLog325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248.xml" ContentType="application/vnd.openxmlformats-officedocument.spreadsheetml.revisionLog+xml"/>
  <Override PartName="/xl/revisions/revisionLog269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280.xml" ContentType="application/vnd.openxmlformats-officedocument.spreadsheetml.revisionLog+xml"/>
  <Override PartName="/xl/revisions/revisionLog315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38.xml" ContentType="application/vnd.openxmlformats-officedocument.spreadsheetml.revisionLog+xml"/>
  <Override PartName="/xl/revisions/revisionLog259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270.xml" ContentType="application/vnd.openxmlformats-officedocument.spreadsheetml.revisionLog+xml"/>
  <Override PartName="/xl/revisions/revisionLog291.xml" ContentType="application/vnd.openxmlformats-officedocument.spreadsheetml.revisionLog+xml"/>
  <Override PartName="/xl/revisions/revisionLog305.xml" ContentType="application/vnd.openxmlformats-officedocument.spreadsheetml.revisionLog+xml"/>
  <Override PartName="/xl/revisions/revisionLog326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193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249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260.xml" ContentType="application/vnd.openxmlformats-officedocument.spreadsheetml.revisionLog+xml"/>
  <Override PartName="/xl/revisions/revisionLog281.xml" ContentType="application/vnd.openxmlformats-officedocument.spreadsheetml.revisionLog+xml"/>
  <Override PartName="/xl/revisions/revisionLog316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239.xml" ContentType="application/vnd.openxmlformats-officedocument.spreadsheetml.revisionLog+xml"/>
  <Override PartName="/xl/revisions/revisionLog250.xml" ContentType="application/vnd.openxmlformats-officedocument.spreadsheetml.revisionLog+xml"/>
  <Override PartName="/xl/revisions/revisionLog271.xml" ContentType="application/vnd.openxmlformats-officedocument.spreadsheetml.revisionLog+xml"/>
  <Override PartName="/xl/revisions/revisionLog292.xml" ContentType="application/vnd.openxmlformats-officedocument.spreadsheetml.revisionLog+xml"/>
  <Override PartName="/xl/revisions/revisionLog306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240.xml" ContentType="application/vnd.openxmlformats-officedocument.spreadsheetml.revisionLog+xml"/>
  <Override PartName="/xl/revisions/revisionLog261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282.xml" ContentType="application/vnd.openxmlformats-officedocument.spreadsheetml.revisionLog+xml"/>
  <Override PartName="/xl/revisions/revisionLog312.xml" ContentType="application/vnd.openxmlformats-officedocument.spreadsheetml.revisionLog+xml"/>
  <Override PartName="/xl/revisions/revisionLog317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251.xml" ContentType="application/vnd.openxmlformats-officedocument.spreadsheetml.revisionLog+xml"/>
  <Override PartName="/xl/revisions/revisionLog256.xml" ContentType="application/vnd.openxmlformats-officedocument.spreadsheetml.revisionLog+xml"/>
  <Override PartName="/xl/revisions/revisionLog277.xml" ContentType="application/vnd.openxmlformats-officedocument.spreadsheetml.revisionLog+xml"/>
  <Override PartName="/xl/revisions/revisionLog298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272.xml" ContentType="application/vnd.openxmlformats-officedocument.spreadsheetml.revisionLog+xml"/>
  <Override PartName="/xl/revisions/revisionLog293.xml" ContentType="application/vnd.openxmlformats-officedocument.spreadsheetml.revisionLog+xml"/>
  <Override PartName="/xl/revisions/revisionLog302.xml" ContentType="application/vnd.openxmlformats-officedocument.spreadsheetml.revisionLog+xml"/>
  <Override PartName="/xl/revisions/revisionLog307.xml" ContentType="application/vnd.openxmlformats-officedocument.spreadsheetml.revisionLog+xml"/>
  <Override PartName="/xl/revisions/revisionLog323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241.xml" ContentType="application/vnd.openxmlformats-officedocument.spreadsheetml.revisionLog+xml"/>
  <Override PartName="/xl/revisions/revisionLog246.xml" ContentType="application/vnd.openxmlformats-officedocument.spreadsheetml.revisionLog+xml"/>
  <Override PartName="/xl/revisions/revisionLog267.xml" ContentType="application/vnd.openxmlformats-officedocument.spreadsheetml.revisionLog+xml"/>
  <Override PartName="/xl/revisions/revisionLog288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262.xml" ContentType="application/vnd.openxmlformats-officedocument.spreadsheetml.revisionLog+xml"/>
  <Override PartName="/xl/revisions/revisionLog283.xml" ContentType="application/vnd.openxmlformats-officedocument.spreadsheetml.revisionLog+xml"/>
  <Override PartName="/xl/revisions/revisionLog313.xml" ContentType="application/vnd.openxmlformats-officedocument.spreadsheetml.revisionLog+xml"/>
  <Override PartName="/xl/revisions/revisionLog318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236.xml" ContentType="application/vnd.openxmlformats-officedocument.spreadsheetml.revisionLog+xml"/>
  <Override PartName="/xl/revisions/revisionLog257.xml" ContentType="application/vnd.openxmlformats-officedocument.spreadsheetml.revisionLog+xml"/>
  <Override PartName="/xl/revisions/revisionLog27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252.xml" ContentType="application/vnd.openxmlformats-officedocument.spreadsheetml.revisionLog+xml"/>
  <Override PartName="/xl/revisions/revisionLog273.xml" ContentType="application/vnd.openxmlformats-officedocument.spreadsheetml.revisionLog+xml"/>
  <Override PartName="/xl/revisions/revisionLog294.xml" ContentType="application/vnd.openxmlformats-officedocument.spreadsheetml.revisionLog+xml"/>
  <Override PartName="/xl/revisions/revisionLog308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242.xml" ContentType="application/vnd.openxmlformats-officedocument.spreadsheetml.revisionLog+xml"/>
  <Override PartName="/xl/revisions/revisionLog263.xml" ContentType="application/vnd.openxmlformats-officedocument.spreadsheetml.revisionLog+xml"/>
  <Override PartName="/xl/revisions/revisionLog284.xml" ContentType="application/vnd.openxmlformats-officedocument.spreadsheetml.revisionLog+xml"/>
  <Override PartName="/xl/revisions/revisionLog319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253.xml" ContentType="application/vnd.openxmlformats-officedocument.spreadsheetml.revisionLog+xml"/>
  <Override PartName="/xl/revisions/revisionLog274.xml" ContentType="application/vnd.openxmlformats-officedocument.spreadsheetml.revisionLog+xml"/>
  <Override PartName="/xl/revisions/revisionLog295.xml" ContentType="application/vnd.openxmlformats-officedocument.spreadsheetml.revisionLog+xml"/>
  <Override PartName="/xl/revisions/revisionLog309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320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243.xml" ContentType="application/vnd.openxmlformats-officedocument.spreadsheetml.revisionLog+xml"/>
  <Override PartName="/xl/revisions/revisionLog264.xml" ContentType="application/vnd.openxmlformats-officedocument.spreadsheetml.revisionLog+xml"/>
  <Override PartName="/xl/revisions/revisionLog285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310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254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275.xml" ContentType="application/vnd.openxmlformats-officedocument.spreadsheetml.revisionLog+xml"/>
  <Override PartName="/xl/revisions/revisionLog296.xml" ContentType="application/vnd.openxmlformats-officedocument.spreadsheetml.revisionLog+xml"/>
  <Override PartName="/xl/revisions/revisionLog300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321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244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65.xml" ContentType="application/vnd.openxmlformats-officedocument.spreadsheetml.revisionLog+xml"/>
  <Override PartName="/xl/revisions/revisionLog286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311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255.xml" ContentType="application/vnd.openxmlformats-officedocument.spreadsheetml.revisionLog+xml"/>
  <Override PartName="/xl/revisions/revisionLog276.xml" ContentType="application/vnd.openxmlformats-officedocument.spreadsheetml.revisionLog+xml"/>
  <Override PartName="/xl/revisions/revisionLog297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301.xml" ContentType="application/vnd.openxmlformats-officedocument.spreadsheetml.revisionLog+xml"/>
  <Override PartName="/xl/revisions/revisionLog322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245.xml" ContentType="application/vnd.openxmlformats-officedocument.spreadsheetml.revisionLog+xml"/>
  <Override PartName="/xl/revisions/revisionLog266.xml" ContentType="application/vnd.openxmlformats-officedocument.spreadsheetml.revisionLog+xml"/>
  <Override PartName="/xl/revisions/revisionLog287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hc-ut40346c\NHI5HC\hieunguyen\0000_Project\001_Prj\01_COEM\"/>
    </mc:Choice>
  </mc:AlternateContent>
  <bookViews>
    <workbookView xWindow="240" yWindow="105" windowWidth="14805" windowHeight="6540"/>
  </bookViews>
  <sheets>
    <sheet name="COEM_Package_20200302" sheetId="1" r:id="rId1"/>
    <sheet name="Sheet1" sheetId="7" r:id="rId2"/>
    <sheet name="|-&gt;" sheetId="2" r:id="rId3"/>
    <sheet name="Template" sheetId="3" r:id="rId4"/>
    <sheet name="Table" sheetId="4" r:id="rId5"/>
    <sheet name="Template_Weekly_Report" sheetId="5" r:id="rId6"/>
    <sheet name="Check_List" sheetId="6" r:id="rId7"/>
  </sheets>
  <definedNames>
    <definedName name="_xlnm._FilterDatabase" localSheetId="0" hidden="1">COEM_Package_20200302!$B$2:$AH$158</definedName>
    <definedName name="_xlnm._FilterDatabase" localSheetId="3" hidden="1">Template!$B$2:$R$14</definedName>
    <definedName name="Z_01EDE723_52E9_40B7_9054_DC526F36A118_.wvu.FilterData" localSheetId="0" hidden="1">COEM_Package_20200302!$A$2:$AH$26</definedName>
    <definedName name="Z_1688F1F8_7FFB_4A1C_8908_5BDE7EC108C6_.wvu.FilterData" localSheetId="0" hidden="1">COEM_Package_20200302!$B$2:$AH$66</definedName>
    <definedName name="Z_17568297_DE94_42DB_A62D_8B9302C2B85A_.wvu.FilterData" localSheetId="0" hidden="1">COEM_Package_20200302!$B$2:$AG$154</definedName>
    <definedName name="Z_176CD623_4DF1_4454_BE73_44811274886F_.wvu.FilterData" localSheetId="0" hidden="1">COEM_Package_20200302!$A$2:$AH$26</definedName>
    <definedName name="Z_2050022B_86AE_4EC1_9C92_6C8DD4BC2669_.wvu.FilterData" localSheetId="0" hidden="1">COEM_Package_20200302!$B$2:$AH$66</definedName>
    <definedName name="Z_2162F9F4_DB3B_406E_9B5C_FA4E58EE84AC_.wvu.FilterData" localSheetId="0" hidden="1">COEM_Package_20200302!$A$2:$AH$26</definedName>
    <definedName name="Z_250915DF_0B97_45D7_B29D_7EED4C89C1C1_.wvu.FilterData" localSheetId="0" hidden="1">COEM_Package_20200302!$B$2:$AH$158</definedName>
    <definedName name="Z_250915DF_0B97_45D7_B29D_7EED4C89C1C1_.wvu.FilterData" localSheetId="3" hidden="1">Template!$B$2:$R$14</definedName>
    <definedName name="Z_2796A872_74B9_41A6_AD05_2D7FFBF27D76_.wvu.FilterData" localSheetId="0" hidden="1">COEM_Package_20200302!$B$2:$AG$154</definedName>
    <definedName name="Z_2DAA5E76_B8FF_4CD7_93D9_37F81863218D_.wvu.FilterData" localSheetId="0" hidden="1">COEM_Package_20200302!$Q$2:$Q$173</definedName>
    <definedName name="Z_35B0B6AE_086F_4F08_9CA9_A72BF8F13B9D_.wvu.FilterData" localSheetId="0" hidden="1">COEM_Package_20200302!$B$2:$AH$66</definedName>
    <definedName name="Z_382D887A_F8D5_4E00_A4D1_AE3B77523470_.wvu.FilterData" localSheetId="0" hidden="1">COEM_Package_20200302!$B$2:$AH$66</definedName>
    <definedName name="Z_3AB52AB1_CE4B_4E65_9B66_3B1B58BC84F6_.wvu.FilterData" localSheetId="0" hidden="1">COEM_Package_20200302!$A$2:$AH$26</definedName>
    <definedName name="Z_3EE173E3_F30C_4123_BA68_472D213EF7CF_.wvu.FilterData" localSheetId="0" hidden="1">COEM_Package_20200302!$B$2:$AH$66</definedName>
    <definedName name="Z_41B6B490_4439_41A5_84D6_228571039AC9_.wvu.FilterData" localSheetId="0" hidden="1">COEM_Package_20200302!$P$2:$P$173</definedName>
    <definedName name="Z_4559A19F_8862_4382_B831_23064F006456_.wvu.FilterData" localSheetId="0" hidden="1">COEM_Package_20200302!$A$2:$AH$26</definedName>
    <definedName name="Z_4E06BDBF_2CED_473B_850B_2A6C7311FF41_.wvu.Cols" localSheetId="0" hidden="1">COEM_Package_20200302!$M:$N</definedName>
    <definedName name="Z_4E06BDBF_2CED_473B_850B_2A6C7311FF41_.wvu.FilterData" localSheetId="0" hidden="1">COEM_Package_20200302!$A$2:$AH$26</definedName>
    <definedName name="Z_4E06BDBF_2CED_473B_850B_2A6C7311FF41_.wvu.FilterData" localSheetId="3" hidden="1">Template!$B$2:$R$14</definedName>
    <definedName name="Z_51B33DD2_3A4F_4ED6_8425_E4D47FE10114_.wvu.FilterData" localSheetId="0" hidden="1">COEM_Package_20200302!$A$2:$AH$26</definedName>
    <definedName name="Z_531A45AE_CB7E_48BC_80BF_D6DD27FCC565_.wvu.FilterData" localSheetId="0" hidden="1">COEM_Package_20200302!$A$2:$AH$26</definedName>
    <definedName name="Z_594856DB_1796_41BA_9D27_B22FF73A30E5_.wvu.FilterData" localSheetId="0" hidden="1">COEM_Package_20200302!$B$2:$AH$66</definedName>
    <definedName name="Z_5A69BDDC_69D1_4C06_9FA2_5E7FFAF1DD5D_.wvu.FilterData" localSheetId="0" hidden="1">COEM_Package_20200302!$B$2:$AH$66</definedName>
    <definedName name="Z_60AF476A_0248_4AA2_AE15_DC04C7E32858_.wvu.FilterData" localSheetId="0" hidden="1">COEM_Package_20200302!$A$2:$AH$26</definedName>
    <definedName name="Z_60D2C030_4E31_4E07_8E1C_44D2EE84B177_.wvu.FilterData" localSheetId="0" hidden="1">COEM_Package_20200302!$B$2:$AH$158</definedName>
    <definedName name="Z_60D2C030_4E31_4E07_8E1C_44D2EE84B177_.wvu.FilterData" localSheetId="3" hidden="1">Template!$B$2:$R$14</definedName>
    <definedName name="Z_67638758_F59B_4CE4_ABF7_530DFBE3C588_.wvu.FilterData" localSheetId="0" hidden="1">COEM_Package_20200302!$P$2:$P$173</definedName>
    <definedName name="Z_6B1BA5A9_E057_4F4A_9C65_C6B9C02CC00C_.wvu.FilterData" localSheetId="0" hidden="1">COEM_Package_20200302!$Q$2:$Q$173</definedName>
    <definedName name="Z_72A6EB0A_84D5_4B8A_AC51_54CCD061630B_.wvu.Cols" localSheetId="0" hidden="1">COEM_Package_20200302!$M:$N</definedName>
    <definedName name="Z_72A6EB0A_84D5_4B8A_AC51_54CCD061630B_.wvu.FilterData" localSheetId="0" hidden="1">COEM_Package_20200302!$P$2:$P$173</definedName>
    <definedName name="Z_72A6EB0A_84D5_4B8A_AC51_54CCD061630B_.wvu.FilterData" localSheetId="3" hidden="1">Template!$B$2:$R$14</definedName>
    <definedName name="Z_7341A8CD_FBA6_4B2D_8E4A_3A0E9AF8C404_.wvu.FilterData" localSheetId="0" hidden="1">COEM_Package_20200302!$B$2:$AH$66</definedName>
    <definedName name="Z_740DC6B1_F8A3_42A4_9DBA_B7F4B4302024_.wvu.FilterData" localSheetId="0" hidden="1">COEM_Package_20200302!$B$2:$AG$10</definedName>
    <definedName name="Z_75EBBE3D_6BBB_4DA6_9D69_395330ADF817_.wvu.FilterData" localSheetId="0" hidden="1">COEM_Package_20200302!$B$2:$AH$66</definedName>
    <definedName name="Z_7C5EA105_2752_453D_88BA_A08BD8FF34E5_.wvu.FilterData" localSheetId="0" hidden="1">COEM_Package_20200302!$A$2:$AH$26</definedName>
    <definedName name="Z_7E0EA425_A420_4443_B9E0_CDF0AA9E5D09_.wvu.Cols" localSheetId="0" hidden="1">COEM_Package_20200302!$N:$O,COEM_Package_20200302!$Q:$R</definedName>
    <definedName name="Z_7E0EA425_A420_4443_B9E0_CDF0AA9E5D09_.wvu.FilterData" localSheetId="0" hidden="1">COEM_Package_20200302!$B$2:$AH$158</definedName>
    <definedName name="Z_7E0EA425_A420_4443_B9E0_CDF0AA9E5D09_.wvu.FilterData" localSheetId="3" hidden="1">Template!$B$2:$R$14</definedName>
    <definedName name="Z_7ECC2B8E_6A82_42F5_8AB0_4A51C54EA5EC_.wvu.Cols" localSheetId="0" hidden="1">COEM_Package_20200302!$M:$N</definedName>
    <definedName name="Z_7ECC2B8E_6A82_42F5_8AB0_4A51C54EA5EC_.wvu.FilterData" localSheetId="0" hidden="1">COEM_Package_20200302!$Q$2:$Q$173</definedName>
    <definedName name="Z_7ECC2B8E_6A82_42F5_8AB0_4A51C54EA5EC_.wvu.FilterData" localSheetId="3" hidden="1">Template!$B$2:$R$14</definedName>
    <definedName name="Z_839DFCBD_B2E4_4623_A615_58494692EC74_.wvu.FilterData" localSheetId="0" hidden="1">COEM_Package_20200302!$Q$2:$Q$173</definedName>
    <definedName name="Z_925FB698_D7FE_42C7_AA05_C2908FECE4B8_.wvu.FilterData" localSheetId="0" hidden="1">COEM_Package_20200302!$A$2:$AH$26</definedName>
    <definedName name="Z_9AFC86BF_9493_4ED5_8763_E5A763C0997C_.wvu.FilterData" localSheetId="0" hidden="1">COEM_Package_20200302!$Q$2:$Q$173</definedName>
    <definedName name="Z_9BBC5FBB_CEC7_4B7E_8FC1_DC9F240B7B1A_.wvu.FilterData" localSheetId="0" hidden="1">COEM_Package_20200302!$B$2:$AG$154</definedName>
    <definedName name="Z_9ED4B296_E9A0_43D8_A56B_F4D7CC736352_.wvu.FilterData" localSheetId="0" hidden="1">COEM_Package_20200302!$B$2:$AG$10</definedName>
    <definedName name="Z_A239C479_B2DC_4DCA_A930_634A835634B0_.wvu.FilterData" localSheetId="0" hidden="1">COEM_Package_20200302!$B$2:$AG$154</definedName>
    <definedName name="Z_A51EBE84_CBC8_46F9_AE0C_B070690415D4_.wvu.FilterData" localSheetId="0" hidden="1">COEM_Package_20200302!$Q$2:$Q$173</definedName>
    <definedName name="Z_B156AFFA_16DF_4425_86DA_8148471DAEFC_.wvu.FilterData" localSheetId="0" hidden="1">COEM_Package_20200302!$B$2:$AH$66</definedName>
    <definedName name="Z_B90DB7C2_E51D_4CF2_8FD5_1F2A71149B77_.wvu.FilterData" localSheetId="0" hidden="1">COEM_Package_20200302!$B$2:$AH$26</definedName>
    <definedName name="Z_BA1EA899_A67B_4AE0_83A4_B82D05331D8F_.wvu.FilterData" localSheetId="0" hidden="1">COEM_Package_20200302!$Q$2:$Q$173</definedName>
    <definedName name="Z_BBAE6BD0_8958_494E_83AF_3471AF879750_.wvu.FilterData" localSheetId="0" hidden="1">COEM_Package_20200302!$B$2:$AG$66</definedName>
    <definedName name="Z_C2903E39_3C94_4EB6_A3CC_96D0BE27A109_.wvu.FilterData" localSheetId="0" hidden="1">COEM_Package_20200302!$A$2:$AH$26</definedName>
    <definedName name="Z_C4BC5062_8F38_4A96_A004_5659583461FE_.wvu.FilterData" localSheetId="0" hidden="1">COEM_Package_20200302!$A$2:$AH$26</definedName>
    <definedName name="Z_D5F9A537_3EF6_4FA9_94D8_ABB431F3ED7F_.wvu.FilterData" localSheetId="0" hidden="1">COEM_Package_20200302!$Q$2:$Q$173</definedName>
    <definedName name="Z_D64A1F39_2F26_414B_BFD8_5E15BACEFD82_.wvu.FilterData" localSheetId="0" hidden="1">COEM_Package_20200302!$A$2:$AH$26</definedName>
    <definedName name="Z_DAD7BB38_0E1F_419E_B884_7AE8DE7DB88D_.wvu.FilterData" localSheetId="0" hidden="1">COEM_Package_20200302!$B$2:$AH$66</definedName>
    <definedName name="Z_E8991E61_6D05_4C3B_B928_FD787FF86F58_.wvu.FilterData" localSheetId="0" hidden="1">COEM_Package_20200302!$Q$2:$Q$173</definedName>
    <definedName name="Z_EC0B8CCD_915D_49CD_ACCB_A918B8A65D1A_.wvu.FilterData" localSheetId="0" hidden="1">COEM_Package_20200302!$A$2:$AH$26</definedName>
    <definedName name="Z_F93920D1_8A54_4156_8F64_4987EBB7BAC5_.wvu.FilterData" localSheetId="0" hidden="1">COEM_Package_20200302!$A$2:$AH$26</definedName>
  </definedNames>
  <calcPr calcId="162913"/>
  <customWorkbookViews>
    <customWorkbookView name="EXTERNAL Nguyen Tuan Duong (Ban Vien, RBVH/EPS45) - Personal View" guid="{7E0EA425-A420-4443-B9E0-CDF0AA9E5D09}" mergeInterval="0" personalView="1" maximized="1" xWindow="-8" yWindow="-8" windowWidth="1936" windowHeight="1135" activeSheetId="1"/>
    <customWorkbookView name="EXTERNAL Do Phu Loc (Ban Vien, RBVH/EPS45) - Personal View" guid="{72A6EB0A-84D5-4B8A-AC51-54CCD061630B}" mergeInterval="0" personalView="1" maximized="1" xWindow="-8" yWindow="-8" windowWidth="1936" windowHeight="1176" tabRatio="428" activeSheetId="1"/>
    <customWorkbookView name="EXTERNAL Nguyen Kim Thanh (Ban Vien, RBVH/EPS45) - Personal View" guid="{4E06BDBF-2CED-473B-850B-2A6C7311FF41}" mergeInterval="0" personalView="1" maximized="1" xWindow="-8" yWindow="-8" windowWidth="1936" windowHeight="1176" activeSheetId="1"/>
    <customWorkbookView name="EXTERNAL Ly Chung (Ban Vien, RBVH/EPS45) - Personal View" guid="{60D2C030-4E31-4E07-8E1C-44D2EE84B177}" mergeInterval="0" personalView="1" maximized="1" xWindow="-8" yWindow="-8" windowWidth="1936" windowHeight="1186" tabRatio="428" activeSheetId="1"/>
    <customWorkbookView name="EXTERNAL Nguyen Tai Hau (Ban Vien, RBVH/EPS45) - Personal View" guid="{7ECC2B8E-6A82-42F5-8AB0-4A51C54EA5EC}" mergeInterval="0" personalView="1" maximized="1" xWindow="-8" yWindow="-8" windowWidth="1936" windowHeight="1176" tabRatio="428" activeSheetId="1"/>
    <customWorkbookView name="EXTERNAL Nguyen Trung Hieu (Ban Vien, RBVH/EPS45) - Personal View" guid="{250915DF-0B97-45D7-B29D-7EED4C89C1C1}" mergeInterval="0" personalView="1" maximized="1" xWindow="-8" yWindow="-8" windowWidth="1936" windowHeight="1176" activeSheetId="1"/>
  </customWorkbookViews>
</workbook>
</file>

<file path=xl/calcChain.xml><?xml version="1.0" encoding="utf-8"?>
<calcChain xmlns="http://schemas.openxmlformats.org/spreadsheetml/2006/main">
  <c r="E173" i="1" l="1"/>
  <c r="E172" i="1"/>
  <c r="E171" i="1"/>
  <c r="E170" i="1"/>
  <c r="F165" i="1"/>
  <c r="F164" i="1"/>
  <c r="F163" i="1"/>
  <c r="F162" i="1"/>
  <c r="E164" i="1"/>
  <c r="E163" i="1"/>
  <c r="E162" i="1"/>
  <c r="V99" i="1" l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98" i="1" l="1"/>
  <c r="V97" i="1" l="1"/>
  <c r="V93" i="1" l="1"/>
  <c r="V94" i="1"/>
  <c r="V95" i="1"/>
  <c r="V96" i="1"/>
  <c r="V92" i="1"/>
  <c r="L103" i="1" l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V91" i="1" l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 l="1"/>
  <c r="V75" i="1"/>
  <c r="V74" i="1" l="1"/>
  <c r="F172" i="1" l="1"/>
  <c r="V73" i="1" l="1"/>
  <c r="V72" i="1"/>
  <c r="V71" i="1"/>
  <c r="V70" i="1"/>
  <c r="V69" i="1"/>
  <c r="V68" i="1"/>
  <c r="V67" i="1"/>
  <c r="B167" i="7"/>
  <c r="B166" i="7"/>
  <c r="B165" i="7"/>
  <c r="B164" i="7"/>
  <c r="B163" i="7"/>
  <c r="B162" i="7"/>
  <c r="B161" i="7"/>
  <c r="B160" i="7"/>
  <c r="B155" i="7"/>
  <c r="B154" i="7"/>
  <c r="B153" i="7"/>
  <c r="B152" i="7"/>
  <c r="B151" i="7"/>
  <c r="B150" i="7"/>
  <c r="B149" i="7"/>
  <c r="B148" i="7"/>
  <c r="A167" i="7"/>
  <c r="A166" i="7"/>
  <c r="A165" i="7"/>
  <c r="A164" i="7"/>
  <c r="A163" i="7"/>
  <c r="A162" i="7"/>
  <c r="A161" i="7"/>
  <c r="A160" i="7"/>
  <c r="A155" i="7"/>
  <c r="A154" i="7"/>
  <c r="A153" i="7"/>
  <c r="A152" i="7"/>
  <c r="A151" i="7"/>
  <c r="A150" i="7"/>
  <c r="A149" i="7"/>
  <c r="A148" i="7"/>
  <c r="L89" i="1" l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74" i="1" l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67" i="1"/>
  <c r="L68" i="1"/>
  <c r="L69" i="1"/>
  <c r="L70" i="1"/>
  <c r="L71" i="1"/>
  <c r="L72" i="1"/>
  <c r="L7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V25" i="1" l="1"/>
  <c r="V24" i="1"/>
  <c r="V23" i="1"/>
  <c r="V22" i="1"/>
  <c r="V20" i="1" l="1"/>
  <c r="V21" i="1"/>
  <c r="F173" i="1" l="1"/>
  <c r="L20" i="1" l="1"/>
  <c r="L21" i="1"/>
  <c r="L22" i="1"/>
  <c r="L23" i="1"/>
  <c r="L24" i="1"/>
  <c r="L25" i="1"/>
  <c r="F171" i="1" l="1"/>
  <c r="G173" i="1"/>
  <c r="L66" i="1" l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19" i="1"/>
  <c r="L18" i="1"/>
  <c r="L17" i="1"/>
  <c r="L16" i="1"/>
  <c r="L15" i="1"/>
  <c r="L14" i="1"/>
  <c r="L13" i="1"/>
  <c r="L12" i="1"/>
  <c r="L11" i="1"/>
  <c r="L10" i="1"/>
  <c r="L9" i="1"/>
  <c r="L8" i="1"/>
  <c r="L6" i="1"/>
  <c r="L5" i="1"/>
  <c r="L4" i="1"/>
  <c r="L3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O3" i="3"/>
  <c r="O4" i="3"/>
  <c r="O5" i="3"/>
  <c r="O6" i="3"/>
  <c r="O7" i="3"/>
  <c r="O8" i="3"/>
  <c r="O9" i="3"/>
  <c r="O10" i="3"/>
  <c r="D19" i="3"/>
  <c r="E19" i="3"/>
  <c r="H19" i="3" s="1"/>
  <c r="F19" i="3"/>
  <c r="G19" i="3"/>
  <c r="D20" i="3"/>
  <c r="E20" i="3"/>
  <c r="F20" i="3"/>
  <c r="D21" i="3"/>
  <c r="E21" i="3"/>
  <c r="F21" i="3"/>
  <c r="D22" i="3"/>
  <c r="E22" i="3"/>
  <c r="G22" i="3" s="1"/>
  <c r="F22" i="3"/>
  <c r="D23" i="3"/>
  <c r="E23" i="3"/>
  <c r="H23" i="3" s="1"/>
  <c r="F23" i="3"/>
  <c r="D24" i="3"/>
  <c r="E24" i="3"/>
  <c r="F24" i="3"/>
  <c r="D25" i="3"/>
  <c r="E25" i="3"/>
  <c r="F25" i="3"/>
  <c r="D26" i="3"/>
  <c r="H26" i="3" s="1"/>
  <c r="E26" i="3"/>
  <c r="F26" i="3"/>
  <c r="D27" i="3"/>
  <c r="E27" i="3"/>
  <c r="H27" i="3" s="1"/>
  <c r="F27" i="3"/>
  <c r="D28" i="3"/>
  <c r="E28" i="3"/>
  <c r="G28" i="3" s="1"/>
  <c r="F28" i="3"/>
  <c r="D29" i="3"/>
  <c r="E29" i="3"/>
  <c r="F29" i="3"/>
  <c r="D30" i="3"/>
  <c r="E30" i="3"/>
  <c r="G30" i="3" s="1"/>
  <c r="F30" i="3"/>
  <c r="D36" i="3"/>
  <c r="E36" i="3"/>
  <c r="H36" i="3" s="1"/>
  <c r="F36" i="3"/>
  <c r="D37" i="3"/>
  <c r="E37" i="3"/>
  <c r="G37" i="3" s="1"/>
  <c r="F37" i="3"/>
  <c r="G29" i="3" l="1"/>
  <c r="G24" i="3"/>
  <c r="H22" i="3"/>
  <c r="G36" i="3"/>
  <c r="H30" i="3"/>
  <c r="G27" i="3"/>
  <c r="G25" i="3"/>
  <c r="G20" i="3"/>
  <c r="H29" i="3"/>
  <c r="G26" i="3"/>
  <c r="G23" i="3"/>
  <c r="G21" i="3"/>
  <c r="H25" i="3"/>
  <c r="H21" i="3"/>
  <c r="H37" i="3"/>
  <c r="H28" i="3"/>
  <c r="H24" i="3"/>
  <c r="H20" i="3"/>
  <c r="G171" i="1"/>
  <c r="D173" i="1" l="1"/>
  <c r="G172" i="1"/>
  <c r="D172" i="1"/>
  <c r="H172" i="1" s="1"/>
  <c r="D171" i="1"/>
  <c r="H171" i="1" s="1"/>
  <c r="F170" i="1"/>
  <c r="D170" i="1"/>
  <c r="E165" i="1"/>
  <c r="D165" i="1"/>
  <c r="D164" i="1"/>
  <c r="D163" i="1"/>
  <c r="D162" i="1"/>
  <c r="H163" i="1" l="1"/>
  <c r="G163" i="1"/>
  <c r="H162" i="1"/>
  <c r="G162" i="1"/>
  <c r="H165" i="1"/>
  <c r="G165" i="1"/>
  <c r="H173" i="1"/>
  <c r="H170" i="1"/>
  <c r="G170" i="1"/>
  <c r="H164" i="1"/>
  <c r="G164" i="1"/>
</calcChain>
</file>

<file path=xl/comments1.xml><?xml version="1.0" encoding="utf-8"?>
<comments xmlns="http://schemas.openxmlformats.org/spreadsheetml/2006/main">
  <authors>
    <author>EXTERNAL Nguyen Tuan Duong (Ban Vien, RBVH/EPS45)</author>
  </authors>
  <commentList>
    <comment ref="A27" authorId="0" guid="{FDA402DF-2C9E-4CAF-A915-58C9185E003A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Purple must be complete before 11-03
</t>
        </r>
      </text>
    </comment>
    <comment ref="I27" authorId="0" guid="{7EE9DC19-1016-46DE-8BE2-3130D62EDD67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run Tool Auto Comment to generate header and add cmt in section "Test Goal"
</t>
        </r>
      </text>
    </comment>
    <comment ref="K69" authorId="0" guid="{9E98D8F5-1D91-4716-99DD-1FC3BABA2ADA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\\hc-ut40745c\Ban_Vien_external\DB\05-march 
</t>
        </r>
      </text>
    </comment>
    <comment ref="A74" authorId="0" guid="{A2662913-535E-4E71-89BB-6A3E5669EA94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Yellow must be complete before 12-03
</t>
        </r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4" authorId="0" guid="{C207DAE2-6DE3-49C2-BA9E-834311A59297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\\hc-ut40745c\Ban_Vien_external\DB\04-march
</t>
        </r>
      </text>
    </comment>
    <comment ref="I76" authorId="0" guid="{A3A0BBC4-800B-400B-8ED3-526E4537FEB3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use "Auto Comment"
</t>
        </r>
      </text>
    </comment>
    <comment ref="A89" authorId="0" guid="{16CB9283-FB38-4534-8E58-1DC3168BC104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Orange must be complete before 13_Mar
</t>
        </r>
      </text>
    </comment>
    <comment ref="B103" authorId="0" guid="{990D99C1-8A90-4C70-89E7-CAD518908566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17_Mar
</t>
        </r>
      </text>
    </comment>
  </commentList>
</comments>
</file>

<file path=xl/sharedStrings.xml><?xml version="1.0" encoding="utf-8"?>
<sst xmlns="http://schemas.openxmlformats.org/spreadsheetml/2006/main" count="1798" uniqueCount="388">
  <si>
    <t>No</t>
  </si>
  <si>
    <t>Type</t>
  </si>
  <si>
    <t>ASW</t>
  </si>
  <si>
    <t>PSW</t>
  </si>
  <si>
    <t>No\Type</t>
  </si>
  <si>
    <t>Member</t>
  </si>
  <si>
    <t>hieu.nguyen-trung</t>
  </si>
  <si>
    <t>duong.nguyen-tuan</t>
  </si>
  <si>
    <t>TaskGroup</t>
  </si>
  <si>
    <t>Tester</t>
  </si>
  <si>
    <t>1. Test Design (.xls)
2. Plot File (.plt)
3. ATT project
4. Coverage Log</t>
  </si>
  <si>
    <t>1. TPA file (.tpa)
2. test report (.html)
3. test report (.xml)
4. test summary (.html)
5. File Coverage Fail Reason (.xls)</t>
  </si>
  <si>
    <t>KPI Table</t>
  </si>
  <si>
    <t>Start</t>
  </si>
  <si>
    <t>End</t>
  </si>
  <si>
    <t>LOC</t>
  </si>
  <si>
    <t>C0</t>
  </si>
  <si>
    <t>C1</t>
  </si>
  <si>
    <t>MCDC</t>
  </si>
  <si>
    <t>Reason</t>
  </si>
  <si>
    <t>Status</t>
  </si>
  <si>
    <t>Ready for review</t>
  </si>
  <si>
    <t>Status Table</t>
  </si>
  <si>
    <t>N/A</t>
  </si>
  <si>
    <t>Ready for PLC</t>
  </si>
  <si>
    <t>KPI/days</t>
  </si>
  <si>
    <t>Total Day</t>
  </si>
  <si>
    <t>Ongoing</t>
  </si>
  <si>
    <t>Total Loc Assigned</t>
  </si>
  <si>
    <t>Total LOC Complete</t>
  </si>
  <si>
    <t>Status (%)</t>
  </si>
  <si>
    <t>#</t>
  </si>
  <si>
    <t>Types</t>
  </si>
  <si>
    <t>Assigned ELOCs</t>
  </si>
  <si>
    <t>Completed ELOCs</t>
  </si>
  <si>
    <t>Status (%)
(Completed/Assigned)</t>
  </si>
  <si>
    <t>Total Days</t>
  </si>
  <si>
    <t>???</t>
  </si>
  <si>
    <t>External Name</t>
  </si>
  <si>
    <t>PSW
ELOCs</t>
  </si>
  <si>
    <t>ASW
ELOCs</t>
  </si>
  <si>
    <t>1. Completed ELOCs of the team from the beginning of Month (Mar) till Now:</t>
  </si>
  <si>
    <t>2. Completed ELOCs of each member from the beginning of Month (Mar) till Now:</t>
  </si>
  <si>
    <t>3. Risks/ Pending Issues:</t>
  </si>
  <si>
    <t>Risks/ Issues</t>
  </si>
  <si>
    <t>4. Found Defects/ OPLs in Month (Mar):</t>
  </si>
  <si>
    <t>5. Leave Plan (Mar):</t>
  </si>
  <si>
    <t>Defects / OPLs</t>
  </si>
  <si>
    <t>Num of Day</t>
  </si>
  <si>
    <t>Detail</t>
  </si>
  <si>
    <t>Date</t>
  </si>
  <si>
    <t>Note:</t>
  </si>
  <si>
    <t>PSW: 450 ELOCs</t>
  </si>
  <si>
    <t>ASW: 150 ELOCs</t>
  </si>
  <si>
    <t>Productivity of each Member per Day</t>
  </si>
  <si>
    <t>Total Productivity per Month</t>
  </si>
  <si>
    <t>PSW: 450x4x20 = 36,000 ELOCs</t>
  </si>
  <si>
    <t>ASW: 130x4x20 = 10,400 ELOCs</t>
  </si>
  <si>
    <t>Table Type of Testing</t>
  </si>
  <si>
    <t>Table Tester</t>
  </si>
  <si>
    <t>Detail Output</t>
  </si>
  <si>
    <t>ATT</t>
  </si>
  <si>
    <t>Cantata</t>
  </si>
  <si>
    <t>Tool</t>
  </si>
  <si>
    <t>Table KPI ASW</t>
  </si>
  <si>
    <t>Table KPI PSW</t>
  </si>
  <si>
    <t>LOC Complete</t>
  </si>
  <si>
    <t>Actual hour</t>
  </si>
  <si>
    <t>Estimation hour</t>
  </si>
  <si>
    <t>Task Jira</t>
  </si>
  <si>
    <t>PAP_Odometry</t>
  </si>
  <si>
    <t>Project</t>
  </si>
  <si>
    <t>ComponentName</t>
  </si>
  <si>
    <t>TaskID</t>
  </si>
  <si>
    <t>ItemName</t>
  </si>
  <si>
    <t>GAC_220680_Carbon_A18_ESPHevx_FPA/RPA_BL03</t>
  </si>
  <si>
    <t>MC_227282_SGMW_E200_Plus_ESPCPiGen9.3_BSS04_SP02</t>
  </si>
  <si>
    <t>241595_GAC_A27_ESP9.3CP_BL04</t>
  </si>
  <si>
    <t>223331_GAC_A39_Carbon_ESP9.3HD_OBD_BL07</t>
  </si>
  <si>
    <t>rb\as\gaig\prj\dsmpr\src\RBVoltageHandler\src\</t>
  </si>
  <si>
    <t>rb\as\sgmw\CN210S\app\net\RBScl\RBScl_SGMW\src\</t>
  </si>
  <si>
    <t>rb\as\gaig\A10\dsmpr\src\RBHMI\src\</t>
  </si>
  <si>
    <t>rb\as\cnms_core\app\obd\ObdCyclesHandler\src\</t>
  </si>
  <si>
    <t>RBVoltageHandler_Suppression.c</t>
  </si>
  <si>
    <t>SGMW_RBA_NDS_HBCRequest_Callout.c</t>
  </si>
  <si>
    <t>RBHMI_LDMLamp_CNMS.c</t>
  </si>
  <si>
    <t>ObdCyclesHandler.c</t>
  </si>
  <si>
    <t>DFN_ESP_Gen9.3_532EC_244112_BSS01</t>
  </si>
  <si>
    <t>Planned Start</t>
  </si>
  <si>
    <t>Planned End</t>
  </si>
  <si>
    <t>-</t>
  </si>
  <si>
    <t>ItemRevision</t>
  </si>
  <si>
    <t>4.2.104.1</t>
  </si>
  <si>
    <t>MC_232534_SGMW_CN202C_ESP9.3CPi_ACC_BSS04_SP02</t>
  </si>
  <si>
    <t xml:space="preserve">RBAPLCust\src\ESP\        </t>
  </si>
  <si>
    <t>RBAPLCUST_EOLDelayCtrlOrAPBMi.c</t>
  </si>
  <si>
    <t>RBAPLCUST_RDBI_TPMS.c</t>
  </si>
  <si>
    <t xml:space="preserve">RBAPLCust\src\ESP\ </t>
  </si>
  <si>
    <t>RBAPLCUST_RoutineControl_TPMSReset.c</t>
  </si>
  <si>
    <t>Package</t>
  </si>
  <si>
    <t>hau.nguyen-tai</t>
  </si>
  <si>
    <t>bang.nguyen-duy</t>
  </si>
  <si>
    <t>dac.luu-cong</t>
  </si>
  <si>
    <t>duong.nguyen</t>
  </si>
  <si>
    <t>loc.do-phu</t>
  </si>
  <si>
    <t>thanh.nguyen-kim</t>
  </si>
  <si>
    <t>chung.ly</t>
  </si>
  <si>
    <t>GAC_Beryllium_GEN93_ESP_Mainpath_BL05</t>
  </si>
  <si>
    <t>NET_SCL_Tx_APAInformSts.c</t>
  </si>
  <si>
    <t>Database</t>
  </si>
  <si>
    <t>GAC_ESPHevX_HADHAP_Int</t>
  </si>
  <si>
    <t>SGMW_ESP93_Carbon_Int</t>
  </si>
  <si>
    <t>Gac_ESP93CP_A26HD_Int</t>
  </si>
  <si>
    <t>GAC_ESP93CP_Carbon_Int</t>
  </si>
  <si>
    <t>GAC_ESP93CP_Int</t>
  </si>
  <si>
    <t>BB</t>
  </si>
  <si>
    <t>bb99885</t>
  </si>
  <si>
    <t>BB81650 &amp; BB81651</t>
  </si>
  <si>
    <t>bb99735</t>
  </si>
  <si>
    <t>BB81261</t>
  </si>
  <si>
    <t>BYD_IPB_SW_Mainstream_BL05</t>
  </si>
  <si>
    <t>RBA_NDS_Complex_Callout.c</t>
  </si>
  <si>
    <t>GWM_ESP9.3CP_RBVH_Stream_BSS04</t>
  </si>
  <si>
    <t>RBAPLCUST_RBDI_NVMData.c</t>
  </si>
  <si>
    <t>RBAPLCUST_RDBI_PBCData.c</t>
  </si>
  <si>
    <t>NET_ATM_Callout_GWM.c</t>
  </si>
  <si>
    <t>V3.3.147305.2</t>
  </si>
  <si>
    <t>none</t>
  </si>
  <si>
    <t>BYD_IPB_BL05_Int</t>
  </si>
  <si>
    <t>GWM_CP_RBVH_Stream_Int</t>
  </si>
  <si>
    <t>Ready for delivery</t>
  </si>
  <si>
    <t>Complete &amp; Closed</t>
  </si>
  <si>
    <t>V4.2.104.1</t>
  </si>
  <si>
    <t>Actually ELOC = 294</t>
  </si>
  <si>
    <t>Actually ELOC = 183</t>
  </si>
  <si>
    <t>CNMS Super Deuterium BSS01</t>
  </si>
  <si>
    <t>RBAPLCUST_RDBI_AnalogData.c</t>
  </si>
  <si>
    <t>RBAPLCUST_RDBI_StatusInformation.c</t>
  </si>
  <si>
    <t>RBAPLCUST_RoutineControl_iBoosterActuatorTest.c</t>
  </si>
  <si>
    <t>RBAPLCUST_InputOutputControl.c</t>
  </si>
  <si>
    <t>RBAPLCUST_InputOutputControl_GeneralFunctions.c</t>
  </si>
  <si>
    <t>RBAPLCUST_RDBI_ActuationState.c</t>
  </si>
  <si>
    <t>RBAPLCUST_RDBI_CBDS.c</t>
  </si>
  <si>
    <t>RBAPLCUST_RDBI_IOCtrlState.c</t>
  </si>
  <si>
    <t>RBAPLCUST_RDBI_IPBAssemblyMode.c</t>
  </si>
  <si>
    <t>RBAPLCUST_RDBI_PBC.c</t>
  </si>
  <si>
    <t>RBAPLCUST_RDBI_SystemData.c</t>
  </si>
  <si>
    <t>RBAPLCUST_RDBI_SystemSensor.c</t>
  </si>
  <si>
    <t>RBAPLCUST_RoutineControl_INSCalibration.c</t>
  </si>
  <si>
    <t>RBAPLCUST_RoutineControl_IPBAirMonitoring.c</t>
  </si>
  <si>
    <t>RBAPLCUST_RoutineControl_IPBBrakeFluidChange.c</t>
  </si>
  <si>
    <t>RBAPLCUST_RoutineControl_IPBComfortPulseCalibration.c</t>
  </si>
  <si>
    <t>RBAPLCUST_RoutineControl_IPBDynamicTest.c</t>
  </si>
  <si>
    <t>RBAPLCUST_RoutineControl_IPBEvacAndFill.c</t>
  </si>
  <si>
    <t>RBAPLCUST_RoutineControl_IPBLeakageAndAirTest.c</t>
  </si>
  <si>
    <t>RBAPLCUST_RoutineControl_IPBRepairBleed.c</t>
  </si>
  <si>
    <t>RBAPLCUST_RoutineControl_IPBRPSCalibration.c</t>
  </si>
  <si>
    <t>RBAPLCUST_RoutineControl_IPBTandemMasterCylinderTest.c</t>
  </si>
  <si>
    <t>RBAPLCUST_RoutineControl_SteeringAngleSensorCalibration.c</t>
  </si>
  <si>
    <t>RBAPLCUST_RoutineControl_WheelSpeedSensorTest.c</t>
  </si>
  <si>
    <t>RBAPLCUST_WDBI_IPBAssemblyMode.c</t>
  </si>
  <si>
    <t>RBAPLCUST_RBDI_NVMData_Common.c</t>
  </si>
  <si>
    <t>RBAPLCUST_EcuReset.c</t>
  </si>
  <si>
    <t>RBAPLCUST_GeneralFunctions.c</t>
  </si>
  <si>
    <t>RBAPLCUST_NVMGeneric.c</t>
  </si>
  <si>
    <t>RBAPLCUST_RDBI_VehicleSpeed.c</t>
  </si>
  <si>
    <t>RBAPLCUST_RDBI_WheelSpeed.c</t>
  </si>
  <si>
    <t>RBAPLCUST_RoutineControl_EOLTable.c</t>
  </si>
  <si>
    <t>RBAPLCUST_RoutineControl_SpeedLimit.c</t>
  </si>
  <si>
    <t>RBAPLCUST_RoutineControl_VRShutdown.c</t>
  </si>
  <si>
    <t>RBAPLCUST_WDBI_NVMData_ESP.c</t>
  </si>
  <si>
    <t>RBAPLCUST_RBDI_NVMData_ESP.c</t>
  </si>
  <si>
    <t>rb\as\cnms_core\app\dcom\RBAPLCust\src\IPB</t>
  </si>
  <si>
    <t>rb\as\gaig\prj\dsmpr\src\RBVoltageHandler\src</t>
  </si>
  <si>
    <t>rb\as\sgmw\CN210S\app\net\RBScl\RBScl_SGMW\src</t>
  </si>
  <si>
    <t>rb\as\gaig\A10\dsmpr\src\RBHMI\src</t>
  </si>
  <si>
    <t>rb\as\cnms_core\app\obd\ObdCyclesHandler\src</t>
  </si>
  <si>
    <t>rb\as\cnms_core\app\net\scl\LDMFunctions\APA\src</t>
  </si>
  <si>
    <t>ELOC Assigned</t>
  </si>
  <si>
    <t>ELOC Recheck With Tool</t>
  </si>
  <si>
    <r>
      <t>Wrong extension C "RBHMI_LDMLamp_CNMS</t>
    </r>
    <r>
      <rPr>
        <sz val="11"/>
        <color rgb="FFFF0000"/>
        <rFont val="Calibri"/>
        <family val="2"/>
        <scheme val="minor"/>
      </rPr>
      <t>.C</t>
    </r>
    <r>
      <rPr>
        <sz val="11"/>
        <color theme="1"/>
        <rFont val="Calibri"/>
        <family val="2"/>
        <scheme val="minor"/>
      </rPr>
      <t>"</t>
    </r>
  </si>
  <si>
    <t>Bug (Condition is always TRUE)</t>
  </si>
  <si>
    <t>Status Result</t>
  </si>
  <si>
    <t>NG</t>
  </si>
  <si>
    <t>OK</t>
  </si>
  <si>
    <t>Bug (Condition is always TRUE) so can not cover MCDC.</t>
  </si>
  <si>
    <t>CNMS_Deuterium_Int</t>
  </si>
  <si>
    <t>Yes</t>
  </si>
  <si>
    <t>PeerReviewer</t>
  </si>
  <si>
    <t>Estimation base TOOL</t>
  </si>
  <si>
    <t>T01</t>
  </si>
  <si>
    <t>T02</t>
  </si>
  <si>
    <t>T03</t>
  </si>
  <si>
    <t>Owner Contact</t>
  </si>
  <si>
    <t>Remark</t>
  </si>
  <si>
    <t>Got 1 defect
Reason:  not send to internal team</t>
  </si>
  <si>
    <t>CHEN Xiaomin (CC-AS/EVA-SW31-CN)</t>
  </si>
  <si>
    <t>WANG Yang (CC-AS/EVA-SW32-CN)</t>
  </si>
  <si>
    <t>MIAO Huafeng (CC-AS/EVA-SW32-CN)</t>
  </si>
  <si>
    <t>QIAN Li (CC-AS/EVA-SW2-CN)</t>
  </si>
  <si>
    <t>SUN Yun (CC-AS/EVA-SW31-CN)</t>
  </si>
  <si>
    <t>ZHANG Yu (CC-AS/EVA-SW31-CN)</t>
  </si>
  <si>
    <t>GUO Sasa (CC-AS/EVA-SW3-CN)</t>
  </si>
  <si>
    <t>Ngo Nhat Tan (RBVH/EAS12)</t>
  </si>
  <si>
    <t>Nguyen Quang Vinh (RBVH/EAS15)</t>
  </si>
  <si>
    <t>LU Martin (CC-AS/ESW2-CN)</t>
  </si>
  <si>
    <t>Please ensure your push correct the Package name with the TaskGroup</t>
  </si>
  <si>
    <t xml:space="preserve">+ Location for delivery to internal team: </t>
  </si>
  <si>
    <t>Location</t>
  </si>
  <si>
    <t>\\hc-ut40745c\Ban_Vien_external\Release\Gen_9.3</t>
  </si>
  <si>
    <t>+ Location Internal Project:</t>
  </si>
  <si>
    <t>\\hc-ut40346c\NHI5HC\hieunguyen\0000_Project</t>
  </si>
  <si>
    <t>\\hc-ut40346c\NHI5HC\hieunguyen\0000_Project\001_Prj\01_COEM\01_Output_Package</t>
  </si>
  <si>
    <t>+ Location Internal Your Output:</t>
  </si>
  <si>
    <t>+ Location Internal Your Release Output:</t>
  </si>
  <si>
    <t>\\hc-ut40346c\NHI5HC\hieunguyen\0000_Project\001_Prj\01_COEM\02_Release_Package</t>
  </si>
  <si>
    <t>Status Review</t>
  </si>
  <si>
    <t>Tool collect 148 ELOC, but the real is 357</t>
  </si>
  <si>
    <t>Got 1 findings</t>
  </si>
  <si>
    <t>rb\as\gwm\core\app\dcom\RBAPLCust\src</t>
  </si>
  <si>
    <t>rb\as\gwm\core\app\net\scl\Callout\src\ATMwithoutSportPlus</t>
  </si>
  <si>
    <t>rb\as\gwm\core\app\net\scl\Callout\src\ATMwithSportPlus</t>
  </si>
  <si>
    <t>RB_SCL_GAC_RX.c</t>
  </si>
  <si>
    <t>RB_SCL_GAC_TX.c</t>
  </si>
  <si>
    <t>NET_SCL_Tx_AEB.c</t>
  </si>
  <si>
    <t>rb\as\sgmw\core\app\dcom\RBAPLCust\src\ESP</t>
  </si>
  <si>
    <t>rb\as\gaig\A10\app\net\RBScl\RBSclGAC\src</t>
  </si>
  <si>
    <t>rb\as\cnms_core\app\net\scl\LDMFunctions\ACC\src</t>
  </si>
  <si>
    <t>Bug (Condition not occur)</t>
  </si>
  <si>
    <t>COEM process: test--&gt;review test----(feedback no finding)--&gt;generate WT----(review WT no finding)---&gt; done task
Tức là bên anh gửi UT output cho internal =&gt; Có OPL có bug =&gt; Internal review OK =&gt; Làm walkthrough =&gt; Sau đó internal review Walkthrough =&gt; Send email cho External confirm OK =&gt; Mark Done</t>
  </si>
  <si>
    <t>Pending for OPL</t>
  </si>
  <si>
    <t>rb\as\cnms_core\app\dcom\RBAPLCust\src\ESP</t>
  </si>
  <si>
    <t>Type of Comment</t>
  </si>
  <si>
    <t>Auto</t>
  </si>
  <si>
    <t>Manual</t>
  </si>
  <si>
    <t>rb\as\rbcn\core\app\dcom\RBAPLCust\src\IPB</t>
  </si>
  <si>
    <t>HDC_InvalidThrPos</t>
  </si>
  <si>
    <t>rb\as\rbcn\core\app\dcom\RBAPLCust\src\iBooster</t>
  </si>
  <si>
    <t>rb\as\cnms_core\app\dcom\RBAPLCust\src\common</t>
  </si>
  <si>
    <t>FAW_C105EV_ESPhev</t>
  </si>
  <si>
    <t>rb\as\cnms_core\app\net\scl_callout\</t>
  </si>
  <si>
    <t>RBA_NDS_ABS_3_Callout.c</t>
  </si>
  <si>
    <t>RBA_NDS_APC_1_Callout.c</t>
  </si>
  <si>
    <t>RBA_NDS_ESP_3_Callout.c</t>
  </si>
  <si>
    <t>RBA_NDS_HCU_PT_10_Callout.c</t>
  </si>
  <si>
    <t>RBA_NDS_HCU_PT_2_Callout.c</t>
  </si>
  <si>
    <t>RBA_NDS_SystemInfo.c</t>
  </si>
  <si>
    <t>FAW_Carbon_TypeF_HevX_Int</t>
  </si>
  <si>
    <t>HU Evan (CC-AS/EVA-SW33-CN)</t>
  </si>
  <si>
    <t>OPL It does not impact to SW functionality.</t>
  </si>
  <si>
    <t>rb\as\BYD\ipb\app\net\RBScl\Scl_Callout\src</t>
  </si>
  <si>
    <t>Have issues with database, complexity of code</t>
  </si>
  <si>
    <t>OPL is already feedback, confirm it can be ignore</t>
  </si>
  <si>
    <t>Bug, con not cover MCDC beacause this is true case for above condition</t>
  </si>
  <si>
    <t>No code</t>
  </si>
  <si>
    <t>rb\as\core\app\asw\apbmi\host\PDM\APBPbcVariantItem_C\SRC\</t>
  </si>
  <si>
    <t>\rb\as\sgmw\CN210S\app\net\RbNetPrj\RBNet_Can\src\</t>
  </si>
  <si>
    <t xml:space="preserve">\rb\as\sgmw\CN210S\app\net\RBScl\RBScl_SGMW\src\  </t>
  </si>
  <si>
    <t>\rb\as\sgmw\CN210S\app\net\RBScl\RBScl_SGMW\src\</t>
  </si>
  <si>
    <r>
      <t>MC_</t>
    </r>
    <r>
      <rPr>
        <b/>
        <sz val="11"/>
        <color rgb="FFFF0000"/>
        <rFont val="Calibri"/>
        <family val="2"/>
        <scheme val="minor"/>
      </rPr>
      <t>227282</t>
    </r>
    <r>
      <rPr>
        <sz val="11"/>
        <color theme="1"/>
        <rFont val="Calibri"/>
        <family val="2"/>
        <scheme val="minor"/>
      </rPr>
      <t>_SGMW_E200_Plus_ESPCPiGen9.3_BSS04_SP02</t>
    </r>
  </si>
  <si>
    <t>PbcVariantItem_PersistentData.c</t>
  </si>
  <si>
    <t>NET_CheckSumLib_CNMS.c</t>
  </si>
  <si>
    <t>NET_SCL_Tx_SGMW_AyCompensationExport.c</t>
  </si>
  <si>
    <t>NET_SCL_Tx_SGMW_TPMF.c</t>
  </si>
  <si>
    <t>SGMW_RBA_NDS_Belt_Door_Callout.c</t>
  </si>
  <si>
    <t>SGMW_RBA_NDS_SystemInfo_Callout.c</t>
  </si>
  <si>
    <t>XU Sherry (CC-AS/EVA-SW2-CN)</t>
  </si>
  <si>
    <t>BAO Eric (CC-AS/EVA-SW32-CN)</t>
  </si>
  <si>
    <t>225378_FAW_D357_High_BL31</t>
  </si>
  <si>
    <t>TPMS_Handler_COMMON_CN.c</t>
  </si>
  <si>
    <t>TPMS_NvM_COMMON_CN.c</t>
  </si>
  <si>
    <t>TPMS_PSW_Interface_COMMON_CN.c</t>
  </si>
  <si>
    <t>Dem_PrjSpecificIndiHandling.c</t>
  </si>
  <si>
    <t>ApbHostData_Project.c</t>
  </si>
  <si>
    <t>NET_AliveCounterLib_CNMS.c</t>
  </si>
  <si>
    <t>NET_ChecksumLib_CNMS_Crc1850.c</t>
  </si>
  <si>
    <t>NET_MonitoringClasses_F30.c</t>
  </si>
  <si>
    <t>Obd_CalId.c</t>
  </si>
  <si>
    <t>EcuM_stub.c</t>
  </si>
  <si>
    <t>RBPduHandler_Callouts.c</t>
  </si>
  <si>
    <t>TestEnvironment_Fee_EV711101.c</t>
  </si>
  <si>
    <t>CNMS_Var_DcmRead.c</t>
  </si>
  <si>
    <t>CNMS_Var_Global.c</t>
  </si>
  <si>
    <t>FAW_MainPath_V2.0_Int</t>
  </si>
  <si>
    <t>JIN Li (CC-AS/EVA-SW33-CN)</t>
  </si>
  <si>
    <t>SUN Nan (CC-AS/EVA-SW1-CN)</t>
  </si>
  <si>
    <t>rb\as\fawMP\fawcore\app\tpms\MW\Common\src\</t>
  </si>
  <si>
    <t xml:space="preserve">rb\as\fawMP\fawcore\app\dsm\RBWarningIndicator\src\              </t>
  </si>
  <si>
    <t xml:space="preserve">rb\as\fawMP\prjConf\app\asw\apbmi\host\PDM\APBHostData_Project_C\SRC\  </t>
  </si>
  <si>
    <t xml:space="preserve">rb\as\fawMP\prjConf\app\net\RbNetPrj\RBNet_Can\src\              </t>
  </si>
  <si>
    <t xml:space="preserve">rb\as\fawMP\prjConf\app\obd\ObdCvnCalId\src\                     </t>
  </si>
  <si>
    <t xml:space="preserve">rb\as\fawMP\prjConf\dsmpr\src\Cubas\ESM\EcuM\src\              </t>
  </si>
  <si>
    <t xml:space="preserve">rb\as\fawMP\prjConf\dsmpr\src\                                 </t>
  </si>
  <si>
    <t xml:space="preserve">rb\as\fawMP\prjConf\hswpr\tst\hswsim\src\                      </t>
  </si>
  <si>
    <t>rb\as\fawMP\prjConf\varcode</t>
  </si>
  <si>
    <t>221259_FAW_C105EV_L2_ESPhev_BL62</t>
  </si>
  <si>
    <t>FAW_Carbon_TypeF_IBooster_Int</t>
  </si>
  <si>
    <t>SAIC EP22 M2 withDA ESP9.3 BSS02</t>
  </si>
  <si>
    <t>MC_228919_SGMW_CN202C_ABS9.3CBi_Carbon_BSS02_SP02</t>
  </si>
  <si>
    <t>MC_227282_SGMW_E200_Plus_ESPCPiGen9.3_BSS04</t>
  </si>
  <si>
    <t>rb\as\fawhevx\fawcore\app\net\RBScl\src\</t>
  </si>
  <si>
    <t>rb\as\faw\core\app\net\net_OBD_Off\RBScl\src\</t>
  </si>
  <si>
    <t>\RBVAR\src\</t>
  </si>
  <si>
    <t xml:space="preserve">\RBScl\RBScl_BB80507\src\     </t>
  </si>
  <si>
    <t>\RBScl\RBScl_SGMW\src\src_xmt\</t>
  </si>
  <si>
    <t>rb\as\saic\CpiwAPB\app\dsm\RBHMI\src\</t>
  </si>
  <si>
    <t>rb\as\sgmw\CN210S\app\dsm\RBVAR\src\</t>
  </si>
  <si>
    <t>\src\</t>
  </si>
  <si>
    <t xml:space="preserve">rb\as\core\app\dcom\rbapleol\src\             </t>
  </si>
  <si>
    <t xml:space="preserve">rb\as\saic\core\app\dcom\RBAPLCust\src\ESP\   </t>
  </si>
  <si>
    <t>rb\as\saic\core\app\dcom\RBAPLCust\src\common\</t>
  </si>
  <si>
    <t xml:space="preserve">rb\as\saic\CpiwAPB\app\asw\aswif\src\         </t>
  </si>
  <si>
    <t>ComScl_Scl_Complex_proc.c</t>
  </si>
  <si>
    <t>NET_Monitoring.c</t>
  </si>
  <si>
    <t>RBAPLEOL_ValvesToggling.c</t>
  </si>
  <si>
    <t>RBAPLCUST_RDBI_SnapshotRead.c</t>
  </si>
  <si>
    <t>DNCIF_DTCOnCan.c</t>
  </si>
  <si>
    <t>RBAPLCUST_DTCOnCan.c</t>
  </si>
  <si>
    <t>RBVAR_SystemStateManagement_COMMON.c</t>
  </si>
  <si>
    <t>ComScl_Scl_ComplexProc_BB80507.c</t>
  </si>
  <si>
    <t>NET_SCL_Tx_SystemInfo.c</t>
  </si>
  <si>
    <t>RBAPLCUST_ReadDTC.c</t>
  </si>
  <si>
    <t>RBHMI_ConfigOutputDriver_PRJ.c</t>
  </si>
  <si>
    <t>RBAPLCUST_DiagnosticSessionControl.c</t>
  </si>
  <si>
    <t>RBVAR_SystemStateManagement_PROJECT.c</t>
  </si>
  <si>
    <t>BB97499</t>
  </si>
  <si>
    <t>BB81433</t>
  </si>
  <si>
    <t>BB81434</t>
  </si>
  <si>
    <t>BB81435</t>
  </si>
  <si>
    <t>BB81436</t>
  </si>
  <si>
    <t>BB81437</t>
  </si>
  <si>
    <t>BB81033</t>
  </si>
  <si>
    <t>FAW_Carbon_TypeF_Hevx_Int</t>
  </si>
  <si>
    <t>SAIC_A_ARCH_CMP_ESP93_Carbon_Int</t>
  </si>
  <si>
    <t>SGMW_ABS93_MS_Int</t>
  </si>
  <si>
    <t>Cant cover 100%. Owner said that's fine.</t>
  </si>
  <si>
    <t>FANG Amanda (CC-AS/EVA-SW31-CN)</t>
  </si>
  <si>
    <t>Pham Duc Trung (RBVH/EAS11)</t>
  </si>
  <si>
    <t>LI Xiaoyu (CC-AS/EVA-SW2-CN)</t>
  </si>
  <si>
    <t>LESLIE PUTHOOR Milda (CC-AS/EVA-SW31-CN)</t>
  </si>
  <si>
    <t>DIAO Aimei (CC-AS/EVA-SW32-CN)</t>
  </si>
  <si>
    <t>No code, already confirmed with Mr.Hai</t>
  </si>
  <si>
    <t xml:space="preserve">dupplicate </t>
  </si>
  <si>
    <t>Cant cover 100% when (RBFS_RBAPLEOLValvesToggling==RBFS_RBAPLEOLValvesToggling_OFF). Owner said that's fine.</t>
  </si>
  <si>
    <t>Cant cover 100% when (RBFS_RBAPLEOLComfortPulseCalib == RBFS_RBAPLEOLComfortPulseCalib_OFF). Owner said that's fine.</t>
  </si>
  <si>
    <t>Cant cover 100% when (RBFS_RBAPLEOLDynamicTest == RBFS_RBAPLEOLDynamicTest_OFF). Owner said that's fine.</t>
  </si>
  <si>
    <t>Actually ELOC = 122</t>
  </si>
  <si>
    <t>Tool Issue</t>
  </si>
  <si>
    <t>No code for test</t>
  </si>
  <si>
    <t>No have function for test</t>
  </si>
  <si>
    <t>BYD_IPB_SW_Mainstream_BL05_SP09</t>
  </si>
  <si>
    <t>BYD_Carbon_Mainstream_BL01</t>
  </si>
  <si>
    <t>rb\as\cnms_core\app\net\scl_callout\src\</t>
  </si>
  <si>
    <t>\MainstreamF30\rb\as\byd\Bydcarbon\app\net\RBScl_Callout\</t>
  </si>
  <si>
    <t xml:space="preserve">\MainstreamF30\rb\as\byd\Bydcarbon\app\net\RBScl\        </t>
  </si>
  <si>
    <t xml:space="preserve">\MainstreamF30\rb\as\byd\Bydcarbon\app\net\RBScl\ </t>
  </si>
  <si>
    <t>RBA_NDS_ESP_2_Callout.c</t>
  </si>
  <si>
    <t>NET_SCL_Rx_SGMW_RemoteControl.c</t>
  </si>
  <si>
    <t>NET_SCL_Rx_SystemInfo.c</t>
  </si>
  <si>
    <t>ComScl_RxPdu_WorkingMode_Monitor.c</t>
  </si>
  <si>
    <t>NET_SCL_Rx_EngineSpeed.c</t>
  </si>
  <si>
    <t>NET_SCL_Rx_GearBox.c</t>
  </si>
  <si>
    <t>NET_SCL_Rx_TCU.c</t>
  </si>
  <si>
    <t>NET_SCL_Rx_VAF_Complex.c</t>
  </si>
  <si>
    <t>RBA_NDS_WheelOdoEdges_Callout.c</t>
  </si>
  <si>
    <t>rba_SCL_Settings.c</t>
  </si>
  <si>
    <t>RBNET_Scl_Complexsignals.c</t>
  </si>
  <si>
    <t>BYD_Carbon_ESP93_Int</t>
  </si>
  <si>
    <t>LI Zhiyuan (CC-AS/EVA-SW31-CN)</t>
  </si>
  <si>
    <t>No function to test.</t>
  </si>
  <si>
    <t>HHT_VX1_ESPHevX_BL2_Sprint3</t>
  </si>
  <si>
    <t xml:space="preserve">CM_IVC_RWS_Status </t>
  </si>
  <si>
    <t xml:space="preserve">CM_IVC_ModeHandling </t>
  </si>
  <si>
    <t>VDCVAFS_PreindicatorArbitrator</t>
  </si>
  <si>
    <t>VDCVAFS_VDCActiveArbitrator</t>
  </si>
  <si>
    <t>CM_IVC_HHT_HADPADActivation</t>
  </si>
  <si>
    <t>2.1.805.3</t>
  </si>
  <si>
    <t>18 lines</t>
  </si>
  <si>
    <t>15 lines, 2 array</t>
  </si>
  <si>
    <t>8 lines</t>
  </si>
  <si>
    <t>62 lines</t>
  </si>
  <si>
    <t>ZHANG Ruipeng (BEG/ESW-CN)</t>
  </si>
  <si>
    <t>1371465_1367009.zip</t>
  </si>
  <si>
    <t>1366969.zip</t>
  </si>
  <si>
    <t>Fixed comment</t>
  </si>
  <si>
    <t>Fixed comment, function switch. Re-run OK.</t>
  </si>
  <si>
    <t>Fixed comment, function switch. Add test script 2. Re-run OK.</t>
  </si>
  <si>
    <t xml:space="preserve">Fixed comment, function switch.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</si>
</sst>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9C6500"/>
      <name val="Arial"/>
      <family val="2"/>
    </font>
    <font>
      <sz val="10"/>
      <color rgb="FF00610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61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80008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9C0006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1" xfId="0" applyFont="1" applyFill="1" applyBorder="1"/>
    <xf numFmtId="14" fontId="0" fillId="0" borderId="1" xfId="0" applyNumberFormat="1" applyBorder="1"/>
    <xf numFmtId="0" fontId="0" fillId="0" borderId="0" xfId="0" applyBorder="1"/>
    <xf numFmtId="10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14" fontId="0" fillId="0" borderId="0" xfId="0" applyNumberFormat="1"/>
    <xf numFmtId="0" fontId="0" fillId="0" borderId="0" xfId="0" applyNumberFormat="1"/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/>
    <xf numFmtId="0" fontId="0" fillId="2" borderId="1" xfId="0" applyFill="1" applyBorder="1"/>
    <xf numFmtId="0" fontId="0" fillId="0" borderId="1" xfId="0" quotePrefix="1" applyBorder="1"/>
    <xf numFmtId="0" fontId="5" fillId="0" borderId="0" xfId="0" applyNumberFormat="1" applyFont="1" applyFill="1" applyBorder="1" applyAlignment="1" applyProtection="1"/>
    <xf numFmtId="0" fontId="4" fillId="0" borderId="0" xfId="0" applyFont="1" applyFill="1"/>
    <xf numFmtId="0" fontId="6" fillId="0" borderId="1" xfId="0" applyFont="1" applyFill="1" applyBorder="1" applyAlignment="1">
      <alignment horizontal="left" vertical="top"/>
    </xf>
    <xf numFmtId="164" fontId="6" fillId="0" borderId="1" xfId="0" applyNumberFormat="1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0" fillId="0" borderId="1" xfId="0" quotePrefix="1" applyFont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164" fontId="0" fillId="0" borderId="1" xfId="0" applyNumberFormat="1" applyFont="1" applyBorder="1" applyAlignment="1">
      <alignment horizontal="left" vertical="top"/>
    </xf>
    <xf numFmtId="0" fontId="6" fillId="3" borderId="1" xfId="0" applyNumberFormat="1" applyFont="1" applyFill="1" applyBorder="1" applyAlignment="1" applyProtection="1">
      <alignment horizontal="left" vertical="top"/>
    </xf>
    <xf numFmtId="0" fontId="6" fillId="3" borderId="1" xfId="0" applyFont="1" applyFill="1" applyBorder="1" applyAlignment="1">
      <alignment horizontal="left" vertical="top"/>
    </xf>
    <xf numFmtId="14" fontId="0" fillId="0" borderId="1" xfId="0" applyNumberFormat="1" applyFont="1" applyBorder="1" applyAlignment="1">
      <alignment horizontal="left" vertical="top"/>
    </xf>
    <xf numFmtId="0" fontId="6" fillId="0" borderId="1" xfId="0" applyNumberFormat="1" applyFont="1" applyFill="1" applyBorder="1" applyAlignment="1" applyProtection="1">
      <alignment horizontal="left" vertical="top"/>
    </xf>
    <xf numFmtId="0" fontId="6" fillId="0" borderId="0" xfId="0" applyNumberFormat="1" applyFont="1" applyFill="1" applyBorder="1" applyAlignment="1" applyProtection="1">
      <alignment horizontal="left" vertical="top"/>
    </xf>
    <xf numFmtId="0" fontId="6" fillId="0" borderId="1" xfId="0" quotePrefix="1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6" fillId="0" borderId="1" xfId="0" quotePrefix="1" applyNumberFormat="1" applyFont="1" applyFill="1" applyBorder="1" applyAlignment="1" applyProtection="1">
      <alignment horizontal="left" vertical="top"/>
    </xf>
    <xf numFmtId="164" fontId="8" fillId="4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0" fillId="5" borderId="1" xfId="0" applyFill="1" applyBorder="1"/>
    <xf numFmtId="0" fontId="0" fillId="0" borderId="0" xfId="0" applyAlignment="1">
      <alignment vertical="top"/>
    </xf>
    <xf numFmtId="0" fontId="0" fillId="0" borderId="0" xfId="0" applyFont="1" applyBorder="1" applyAlignment="1"/>
    <xf numFmtId="14" fontId="6" fillId="0" borderId="1" xfId="0" applyNumberFormat="1" applyFont="1" applyFill="1" applyBorder="1" applyAlignment="1" applyProtection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0" fillId="0" borderId="0" xfId="0" applyFill="1" applyBorder="1"/>
    <xf numFmtId="0" fontId="0" fillId="0" borderId="0" xfId="0" applyFill="1"/>
    <xf numFmtId="0" fontId="0" fillId="0" borderId="1" xfId="0" quotePrefix="1" applyFont="1" applyFill="1" applyBorder="1" applyAlignment="1">
      <alignment horizontal="left" vertical="top"/>
    </xf>
    <xf numFmtId="0" fontId="2" fillId="0" borderId="0" xfId="0" applyFont="1" applyFill="1" applyBorder="1"/>
    <xf numFmtId="0" fontId="14" fillId="6" borderId="2" xfId="0" applyFont="1" applyFill="1" applyBorder="1" applyAlignment="1">
      <alignment horizontal="right" vertical="center" wrapText="1"/>
    </xf>
    <xf numFmtId="164" fontId="0" fillId="8" borderId="1" xfId="0" applyNumberFormat="1" applyFont="1" applyFill="1" applyBorder="1" applyAlignment="1">
      <alignment horizontal="left" vertical="top"/>
    </xf>
    <xf numFmtId="0" fontId="6" fillId="8" borderId="1" xfId="0" applyNumberFormat="1" applyFont="1" applyFill="1" applyBorder="1" applyAlignment="1" applyProtection="1">
      <alignment horizontal="left" vertical="top"/>
    </xf>
    <xf numFmtId="0" fontId="12" fillId="0" borderId="2" xfId="0" applyFont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left" vertical="top"/>
    </xf>
    <xf numFmtId="0" fontId="6" fillId="2" borderId="1" xfId="0" applyNumberFormat="1" applyFont="1" applyFill="1" applyBorder="1" applyAlignment="1" applyProtection="1">
      <alignment horizontal="left" vertical="top"/>
    </xf>
    <xf numFmtId="0" fontId="0" fillId="9" borderId="1" xfId="0" applyFont="1" applyFill="1" applyBorder="1" applyAlignment="1">
      <alignment horizontal="left" vertical="top"/>
    </xf>
    <xf numFmtId="0" fontId="6" fillId="10" borderId="1" xfId="0" applyNumberFormat="1" applyFont="1" applyFill="1" applyBorder="1" applyAlignment="1" applyProtection="1">
      <alignment horizontal="left" vertical="top"/>
    </xf>
    <xf numFmtId="0" fontId="6" fillId="11" borderId="1" xfId="0" applyNumberFormat="1" applyFont="1" applyFill="1" applyBorder="1" applyAlignment="1" applyProtection="1">
      <alignment horizontal="left" vertical="top"/>
    </xf>
    <xf numFmtId="0" fontId="0" fillId="11" borderId="1" xfId="0" applyFont="1" applyFill="1" applyBorder="1" applyAlignment="1">
      <alignment horizontal="left" vertical="top"/>
    </xf>
    <xf numFmtId="0" fontId="0" fillId="11" borderId="1" xfId="0" quotePrefix="1" applyFont="1" applyFill="1" applyBorder="1" applyAlignment="1">
      <alignment horizontal="left" vertical="top"/>
    </xf>
    <xf numFmtId="164" fontId="0" fillId="11" borderId="1" xfId="0" applyNumberFormat="1" applyFont="1" applyFill="1" applyBorder="1" applyAlignment="1">
      <alignment horizontal="left" vertical="top"/>
    </xf>
    <xf numFmtId="0" fontId="0" fillId="11" borderId="0" xfId="0" applyFill="1"/>
    <xf numFmtId="0" fontId="15" fillId="0" borderId="1" xfId="0" applyFont="1" applyBorder="1"/>
    <xf numFmtId="0" fontId="16" fillId="0" borderId="1" xfId="0" applyFont="1" applyBorder="1" applyAlignment="1">
      <alignment horizontal="left" vertical="top"/>
    </xf>
    <xf numFmtId="0" fontId="16" fillId="0" borderId="1" xfId="0" quotePrefix="1" applyFont="1" applyBorder="1" applyAlignment="1">
      <alignment horizontal="left" vertical="top"/>
    </xf>
    <xf numFmtId="0" fontId="0" fillId="11" borderId="1" xfId="0" applyFill="1" applyBorder="1" applyAlignment="1">
      <alignment horizontal="left" vertical="top"/>
    </xf>
    <xf numFmtId="0" fontId="0" fillId="11" borderId="1" xfId="0" quotePrefix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9" borderId="1" xfId="0" applyFill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0" fontId="6" fillId="13" borderId="1" xfId="0" applyNumberFormat="1" applyFont="1" applyFill="1" applyBorder="1" applyAlignment="1" applyProtection="1">
      <alignment horizontal="left" vertical="top"/>
    </xf>
    <xf numFmtId="0" fontId="18" fillId="12" borderId="2" xfId="0" applyFont="1" applyFill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0" fillId="2" borderId="1" xfId="0" quotePrefix="1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19" fillId="0" borderId="2" xfId="0" applyFont="1" applyBorder="1" applyAlignment="1">
      <alignment vertical="center"/>
    </xf>
    <xf numFmtId="0" fontId="20" fillId="0" borderId="1" xfId="0" applyFont="1" applyFill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19" fillId="14" borderId="2" xfId="0" applyFont="1" applyFill="1" applyBorder="1" applyAlignment="1">
      <alignment horizontal="right" vertical="center"/>
    </xf>
    <xf numFmtId="0" fontId="19" fillId="0" borderId="2" xfId="0" applyFont="1" applyBorder="1" applyAlignment="1">
      <alignment horizontal="right" vertical="center"/>
    </xf>
    <xf numFmtId="0" fontId="19" fillId="14" borderId="2" xfId="0" applyFont="1" applyFill="1" applyBorder="1" applyAlignment="1">
      <alignment vertical="center"/>
    </xf>
    <xf numFmtId="0" fontId="19" fillId="0" borderId="1" xfId="0" applyFont="1" applyFill="1" applyBorder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0" fontId="20" fillId="0" borderId="1" xfId="0" quotePrefix="1" applyFont="1" applyBorder="1" applyAlignment="1">
      <alignment horizontal="left" vertical="top"/>
    </xf>
    <xf numFmtId="0" fontId="6" fillId="15" borderId="1" xfId="0" applyNumberFormat="1" applyFont="1" applyFill="1" applyBorder="1" applyAlignment="1" applyProtection="1">
      <alignment horizontal="left" vertical="top"/>
    </xf>
    <xf numFmtId="0" fontId="0" fillId="0" borderId="1" xfId="0" applyNumberFormat="1" applyFont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usernames" Target="revisions/userNam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117" Type="http://schemas.openxmlformats.org/officeDocument/2006/relationships/revisionLog" Target="revisionLog117.xml"/><Relationship Id="rId299" Type="http://schemas.openxmlformats.org/officeDocument/2006/relationships/revisionLog" Target="revisionLog299.xml"/><Relationship Id="rId303" Type="http://schemas.openxmlformats.org/officeDocument/2006/relationships/revisionLog" Target="revisionLog303.xml"/><Relationship Id="rId21" Type="http://schemas.openxmlformats.org/officeDocument/2006/relationships/revisionLog" Target="revisionLog21.xml"/><Relationship Id="rId42" Type="http://schemas.openxmlformats.org/officeDocument/2006/relationships/revisionLog" Target="revisionLog42.xml"/><Relationship Id="rId63" Type="http://schemas.openxmlformats.org/officeDocument/2006/relationships/revisionLog" Target="revisionLog63.xml"/><Relationship Id="rId84" Type="http://schemas.openxmlformats.org/officeDocument/2006/relationships/revisionLog" Target="revisionLog84.xml"/><Relationship Id="rId138" Type="http://schemas.openxmlformats.org/officeDocument/2006/relationships/revisionLog" Target="revisionLog138.xml"/><Relationship Id="rId159" Type="http://schemas.openxmlformats.org/officeDocument/2006/relationships/revisionLog" Target="revisionLog159.xml"/><Relationship Id="rId324" Type="http://schemas.openxmlformats.org/officeDocument/2006/relationships/revisionLog" Target="revisionLog324.xml"/><Relationship Id="rId170" Type="http://schemas.openxmlformats.org/officeDocument/2006/relationships/revisionLog" Target="revisionLog170.xml"/><Relationship Id="rId191" Type="http://schemas.openxmlformats.org/officeDocument/2006/relationships/revisionLog" Target="revisionLog191.xml"/><Relationship Id="rId205" Type="http://schemas.openxmlformats.org/officeDocument/2006/relationships/revisionLog" Target="revisionLog205.xml"/><Relationship Id="rId226" Type="http://schemas.openxmlformats.org/officeDocument/2006/relationships/revisionLog" Target="revisionLog226.xml"/><Relationship Id="rId247" Type="http://schemas.openxmlformats.org/officeDocument/2006/relationships/revisionLog" Target="revisionLog247.xml"/><Relationship Id="rId107" Type="http://schemas.openxmlformats.org/officeDocument/2006/relationships/revisionLog" Target="revisionLog107.xml"/><Relationship Id="rId268" Type="http://schemas.openxmlformats.org/officeDocument/2006/relationships/revisionLog" Target="revisionLog268.xml"/><Relationship Id="rId289" Type="http://schemas.openxmlformats.org/officeDocument/2006/relationships/revisionLog" Target="revisionLog289.xml"/><Relationship Id="rId11" Type="http://schemas.openxmlformats.org/officeDocument/2006/relationships/revisionLog" Target="revisionLog11.xml"/><Relationship Id="rId32" Type="http://schemas.openxmlformats.org/officeDocument/2006/relationships/revisionLog" Target="revisionLog32.xml"/><Relationship Id="rId53" Type="http://schemas.openxmlformats.org/officeDocument/2006/relationships/revisionLog" Target="revisionLog53.xml"/><Relationship Id="rId74" Type="http://schemas.openxmlformats.org/officeDocument/2006/relationships/revisionLog" Target="revisionLog74.xml"/><Relationship Id="rId128" Type="http://schemas.openxmlformats.org/officeDocument/2006/relationships/revisionLog" Target="revisionLog128.xml"/><Relationship Id="rId149" Type="http://schemas.openxmlformats.org/officeDocument/2006/relationships/revisionLog" Target="revisionLog149.xml"/><Relationship Id="rId314" Type="http://schemas.openxmlformats.org/officeDocument/2006/relationships/revisionLog" Target="revisionLog314.xml"/><Relationship Id="rId5" Type="http://schemas.openxmlformats.org/officeDocument/2006/relationships/revisionLog" Target="revisionLog5.xml"/><Relationship Id="rId95" Type="http://schemas.openxmlformats.org/officeDocument/2006/relationships/revisionLog" Target="revisionLog95.xml"/><Relationship Id="rId160" Type="http://schemas.openxmlformats.org/officeDocument/2006/relationships/revisionLog" Target="revisionLog160.xml"/><Relationship Id="rId181" Type="http://schemas.openxmlformats.org/officeDocument/2006/relationships/revisionLog" Target="revisionLog181.xml"/><Relationship Id="rId216" Type="http://schemas.openxmlformats.org/officeDocument/2006/relationships/revisionLog" Target="revisionLog216.xml"/><Relationship Id="rId237" Type="http://schemas.openxmlformats.org/officeDocument/2006/relationships/revisionLog" Target="revisionLog237.xml"/><Relationship Id="rId258" Type="http://schemas.openxmlformats.org/officeDocument/2006/relationships/revisionLog" Target="revisionLog258.xml"/><Relationship Id="rId279" Type="http://schemas.openxmlformats.org/officeDocument/2006/relationships/revisionLog" Target="revisionLog279.xml"/><Relationship Id="rId22" Type="http://schemas.openxmlformats.org/officeDocument/2006/relationships/revisionLog" Target="revisionLog22.xml"/><Relationship Id="rId43" Type="http://schemas.openxmlformats.org/officeDocument/2006/relationships/revisionLog" Target="revisionLog43.xml"/><Relationship Id="rId64" Type="http://schemas.openxmlformats.org/officeDocument/2006/relationships/revisionLog" Target="revisionLog64.xml"/><Relationship Id="rId118" Type="http://schemas.openxmlformats.org/officeDocument/2006/relationships/revisionLog" Target="revisionLog118.xml"/><Relationship Id="rId139" Type="http://schemas.openxmlformats.org/officeDocument/2006/relationships/revisionLog" Target="revisionLog139.xml"/><Relationship Id="rId290" Type="http://schemas.openxmlformats.org/officeDocument/2006/relationships/revisionLog" Target="revisionLog290.xml"/><Relationship Id="rId304" Type="http://schemas.openxmlformats.org/officeDocument/2006/relationships/revisionLog" Target="revisionLog304.xml"/><Relationship Id="rId325" Type="http://schemas.openxmlformats.org/officeDocument/2006/relationships/revisionLog" Target="revisionLog325.xml"/><Relationship Id="rId85" Type="http://schemas.openxmlformats.org/officeDocument/2006/relationships/revisionLog" Target="revisionLog85.xml"/><Relationship Id="rId150" Type="http://schemas.openxmlformats.org/officeDocument/2006/relationships/revisionLog" Target="revisionLog150.xml"/><Relationship Id="rId171" Type="http://schemas.openxmlformats.org/officeDocument/2006/relationships/revisionLog" Target="revisionLog171.xml"/><Relationship Id="rId192" Type="http://schemas.openxmlformats.org/officeDocument/2006/relationships/revisionLog" Target="revisionLog192.xml"/><Relationship Id="rId206" Type="http://schemas.openxmlformats.org/officeDocument/2006/relationships/revisionLog" Target="revisionLog206.xml"/><Relationship Id="rId227" Type="http://schemas.openxmlformats.org/officeDocument/2006/relationships/revisionLog" Target="revisionLog227.xml"/><Relationship Id="rId248" Type="http://schemas.openxmlformats.org/officeDocument/2006/relationships/revisionLog" Target="revisionLog248.xml"/><Relationship Id="rId269" Type="http://schemas.openxmlformats.org/officeDocument/2006/relationships/revisionLog" Target="revisionLog269.xml"/><Relationship Id="rId12" Type="http://schemas.openxmlformats.org/officeDocument/2006/relationships/revisionLog" Target="revisionLog12.xml"/><Relationship Id="rId33" Type="http://schemas.openxmlformats.org/officeDocument/2006/relationships/revisionLog" Target="revisionLog33.xml"/><Relationship Id="rId108" Type="http://schemas.openxmlformats.org/officeDocument/2006/relationships/revisionLog" Target="revisionLog108.xml"/><Relationship Id="rId129" Type="http://schemas.openxmlformats.org/officeDocument/2006/relationships/revisionLog" Target="revisionLog129.xml"/><Relationship Id="rId280" Type="http://schemas.openxmlformats.org/officeDocument/2006/relationships/revisionLog" Target="revisionLog280.xml"/><Relationship Id="rId315" Type="http://schemas.openxmlformats.org/officeDocument/2006/relationships/revisionLog" Target="revisionLog315.xml"/><Relationship Id="rId54" Type="http://schemas.openxmlformats.org/officeDocument/2006/relationships/revisionLog" Target="revisionLog54.xml"/><Relationship Id="rId75" Type="http://schemas.openxmlformats.org/officeDocument/2006/relationships/revisionLog" Target="revisionLog75.xml"/><Relationship Id="rId96" Type="http://schemas.openxmlformats.org/officeDocument/2006/relationships/revisionLog" Target="revisionLog96.xml"/><Relationship Id="rId140" Type="http://schemas.openxmlformats.org/officeDocument/2006/relationships/revisionLog" Target="revisionLog140.xml"/><Relationship Id="rId161" Type="http://schemas.openxmlformats.org/officeDocument/2006/relationships/revisionLog" Target="revisionLog161.xml"/><Relationship Id="rId182" Type="http://schemas.openxmlformats.org/officeDocument/2006/relationships/revisionLog" Target="revisionLog182.xml"/><Relationship Id="rId217" Type="http://schemas.openxmlformats.org/officeDocument/2006/relationships/revisionLog" Target="revisionLog217.xml"/><Relationship Id="rId6" Type="http://schemas.openxmlformats.org/officeDocument/2006/relationships/revisionLog" Target="revisionLog6.xml"/><Relationship Id="rId238" Type="http://schemas.openxmlformats.org/officeDocument/2006/relationships/revisionLog" Target="revisionLog238.xml"/><Relationship Id="rId259" Type="http://schemas.openxmlformats.org/officeDocument/2006/relationships/revisionLog" Target="revisionLog259.xml"/><Relationship Id="rId23" Type="http://schemas.openxmlformats.org/officeDocument/2006/relationships/revisionLog" Target="revisionLog23.xml"/><Relationship Id="rId119" Type="http://schemas.openxmlformats.org/officeDocument/2006/relationships/revisionLog" Target="revisionLog119.xml"/><Relationship Id="rId270" Type="http://schemas.openxmlformats.org/officeDocument/2006/relationships/revisionLog" Target="revisionLog270.xml"/><Relationship Id="rId291" Type="http://schemas.openxmlformats.org/officeDocument/2006/relationships/revisionLog" Target="revisionLog291.xml"/><Relationship Id="rId305" Type="http://schemas.openxmlformats.org/officeDocument/2006/relationships/revisionLog" Target="revisionLog305.xml"/><Relationship Id="rId326" Type="http://schemas.openxmlformats.org/officeDocument/2006/relationships/revisionLog" Target="revisionLog326.xml"/><Relationship Id="rId44" Type="http://schemas.openxmlformats.org/officeDocument/2006/relationships/revisionLog" Target="revisionLog44.xml"/><Relationship Id="rId65" Type="http://schemas.openxmlformats.org/officeDocument/2006/relationships/revisionLog" Target="revisionLog65.xml"/><Relationship Id="rId86" Type="http://schemas.openxmlformats.org/officeDocument/2006/relationships/revisionLog" Target="revisionLog86.xml"/><Relationship Id="rId130" Type="http://schemas.openxmlformats.org/officeDocument/2006/relationships/revisionLog" Target="revisionLog130.xml"/><Relationship Id="rId151" Type="http://schemas.openxmlformats.org/officeDocument/2006/relationships/revisionLog" Target="revisionLog151.xml"/><Relationship Id="rId172" Type="http://schemas.openxmlformats.org/officeDocument/2006/relationships/revisionLog" Target="revisionLog172.xml"/><Relationship Id="rId193" Type="http://schemas.openxmlformats.org/officeDocument/2006/relationships/revisionLog" Target="revisionLog193.xml"/><Relationship Id="rId207" Type="http://schemas.openxmlformats.org/officeDocument/2006/relationships/revisionLog" Target="revisionLog207.xml"/><Relationship Id="rId228" Type="http://schemas.openxmlformats.org/officeDocument/2006/relationships/revisionLog" Target="revisionLog228.xml"/><Relationship Id="rId249" Type="http://schemas.openxmlformats.org/officeDocument/2006/relationships/revisionLog" Target="revisionLog249.xml"/><Relationship Id="rId13" Type="http://schemas.openxmlformats.org/officeDocument/2006/relationships/revisionLog" Target="revisionLog13.xml"/><Relationship Id="rId109" Type="http://schemas.openxmlformats.org/officeDocument/2006/relationships/revisionLog" Target="revisionLog109.xml"/><Relationship Id="rId260" Type="http://schemas.openxmlformats.org/officeDocument/2006/relationships/revisionLog" Target="revisionLog260.xml"/><Relationship Id="rId281" Type="http://schemas.openxmlformats.org/officeDocument/2006/relationships/revisionLog" Target="revisionLog281.xml"/><Relationship Id="rId316" Type="http://schemas.openxmlformats.org/officeDocument/2006/relationships/revisionLog" Target="revisionLog316.xml"/><Relationship Id="rId34" Type="http://schemas.openxmlformats.org/officeDocument/2006/relationships/revisionLog" Target="revisionLog34.xml"/><Relationship Id="rId55" Type="http://schemas.openxmlformats.org/officeDocument/2006/relationships/revisionLog" Target="revisionLog55.xml"/><Relationship Id="rId76" Type="http://schemas.openxmlformats.org/officeDocument/2006/relationships/revisionLog" Target="revisionLog76.xml"/><Relationship Id="rId97" Type="http://schemas.openxmlformats.org/officeDocument/2006/relationships/revisionLog" Target="revisionLog97.xml"/><Relationship Id="rId120" Type="http://schemas.openxmlformats.org/officeDocument/2006/relationships/revisionLog" Target="revisionLog120.xml"/><Relationship Id="rId141" Type="http://schemas.openxmlformats.org/officeDocument/2006/relationships/revisionLog" Target="revisionLog141.xml"/><Relationship Id="rId7" Type="http://schemas.openxmlformats.org/officeDocument/2006/relationships/revisionLog" Target="revisionLog7.xml"/><Relationship Id="rId162" Type="http://schemas.openxmlformats.org/officeDocument/2006/relationships/revisionLog" Target="revisionLog162.xml"/><Relationship Id="rId183" Type="http://schemas.openxmlformats.org/officeDocument/2006/relationships/revisionLog" Target="revisionLog183.xml"/><Relationship Id="rId218" Type="http://schemas.openxmlformats.org/officeDocument/2006/relationships/revisionLog" Target="revisionLog218.xml"/><Relationship Id="rId239" Type="http://schemas.openxmlformats.org/officeDocument/2006/relationships/revisionLog" Target="revisionLog239.xml"/><Relationship Id="rId250" Type="http://schemas.openxmlformats.org/officeDocument/2006/relationships/revisionLog" Target="revisionLog250.xml"/><Relationship Id="rId271" Type="http://schemas.openxmlformats.org/officeDocument/2006/relationships/revisionLog" Target="revisionLog271.xml"/><Relationship Id="rId292" Type="http://schemas.openxmlformats.org/officeDocument/2006/relationships/revisionLog" Target="revisionLog292.xml"/><Relationship Id="rId306" Type="http://schemas.openxmlformats.org/officeDocument/2006/relationships/revisionLog" Target="revisionLog306.xml"/><Relationship Id="rId24" Type="http://schemas.openxmlformats.org/officeDocument/2006/relationships/revisionLog" Target="revisionLog24.xml"/><Relationship Id="rId45" Type="http://schemas.openxmlformats.org/officeDocument/2006/relationships/revisionLog" Target="revisionLog45.xml"/><Relationship Id="rId66" Type="http://schemas.openxmlformats.org/officeDocument/2006/relationships/revisionLog" Target="revisionLog66.xml"/><Relationship Id="rId87" Type="http://schemas.openxmlformats.org/officeDocument/2006/relationships/revisionLog" Target="revisionLog87.xml"/><Relationship Id="rId110" Type="http://schemas.openxmlformats.org/officeDocument/2006/relationships/revisionLog" Target="revisionLog110.xml"/><Relationship Id="rId131" Type="http://schemas.openxmlformats.org/officeDocument/2006/relationships/revisionLog" Target="revisionLog131.xml"/><Relationship Id="rId152" Type="http://schemas.openxmlformats.org/officeDocument/2006/relationships/revisionLog" Target="revisionLog152.xml"/><Relationship Id="rId173" Type="http://schemas.openxmlformats.org/officeDocument/2006/relationships/revisionLog" Target="revisionLog173.xml"/><Relationship Id="rId194" Type="http://schemas.openxmlformats.org/officeDocument/2006/relationships/revisionLog" Target="revisionLog194.xml"/><Relationship Id="rId208" Type="http://schemas.openxmlformats.org/officeDocument/2006/relationships/revisionLog" Target="revisionLog208.xml"/><Relationship Id="rId229" Type="http://schemas.openxmlformats.org/officeDocument/2006/relationships/revisionLog" Target="revisionLog229.xml"/><Relationship Id="rId240" Type="http://schemas.openxmlformats.org/officeDocument/2006/relationships/revisionLog" Target="revisionLog240.xml"/><Relationship Id="rId261" Type="http://schemas.openxmlformats.org/officeDocument/2006/relationships/revisionLog" Target="revisionLog261.xml"/><Relationship Id="rId14" Type="http://schemas.openxmlformats.org/officeDocument/2006/relationships/revisionLog" Target="revisionLog14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56" Type="http://schemas.openxmlformats.org/officeDocument/2006/relationships/revisionLog" Target="revisionLog56.xml"/><Relationship Id="rId77" Type="http://schemas.openxmlformats.org/officeDocument/2006/relationships/revisionLog" Target="revisionLog77.xml"/><Relationship Id="rId100" Type="http://schemas.openxmlformats.org/officeDocument/2006/relationships/revisionLog" Target="revisionLog100.xml"/><Relationship Id="rId105" Type="http://schemas.openxmlformats.org/officeDocument/2006/relationships/revisionLog" Target="revisionLog105.xml"/><Relationship Id="rId126" Type="http://schemas.openxmlformats.org/officeDocument/2006/relationships/revisionLog" Target="revisionLog126.xml"/><Relationship Id="rId147" Type="http://schemas.openxmlformats.org/officeDocument/2006/relationships/revisionLog" Target="revisionLog147.xml"/><Relationship Id="rId168" Type="http://schemas.openxmlformats.org/officeDocument/2006/relationships/revisionLog" Target="revisionLog168.xml"/><Relationship Id="rId282" Type="http://schemas.openxmlformats.org/officeDocument/2006/relationships/revisionLog" Target="revisionLog282.xml"/><Relationship Id="rId312" Type="http://schemas.openxmlformats.org/officeDocument/2006/relationships/revisionLog" Target="revisionLog312.xml"/><Relationship Id="rId317" Type="http://schemas.openxmlformats.org/officeDocument/2006/relationships/revisionLog" Target="revisionLog317.xml"/><Relationship Id="rId8" Type="http://schemas.openxmlformats.org/officeDocument/2006/relationships/revisionLog" Target="revisionLog8.xml"/><Relationship Id="rId51" Type="http://schemas.openxmlformats.org/officeDocument/2006/relationships/revisionLog" Target="revisionLog51.xml"/><Relationship Id="rId72" Type="http://schemas.openxmlformats.org/officeDocument/2006/relationships/revisionLog" Target="revisionLog72.xml"/><Relationship Id="rId93" Type="http://schemas.openxmlformats.org/officeDocument/2006/relationships/revisionLog" Target="revisionLog93.xml"/><Relationship Id="rId98" Type="http://schemas.openxmlformats.org/officeDocument/2006/relationships/revisionLog" Target="revisionLog98.xml"/><Relationship Id="rId121" Type="http://schemas.openxmlformats.org/officeDocument/2006/relationships/revisionLog" Target="revisionLog121.xml"/><Relationship Id="rId142" Type="http://schemas.openxmlformats.org/officeDocument/2006/relationships/revisionLog" Target="revisionLog142.xml"/><Relationship Id="rId163" Type="http://schemas.openxmlformats.org/officeDocument/2006/relationships/revisionLog" Target="revisionLog163.xml"/><Relationship Id="rId184" Type="http://schemas.openxmlformats.org/officeDocument/2006/relationships/revisionLog" Target="revisionLog184.xml"/><Relationship Id="rId189" Type="http://schemas.openxmlformats.org/officeDocument/2006/relationships/revisionLog" Target="revisionLog189.xml"/><Relationship Id="rId219" Type="http://schemas.openxmlformats.org/officeDocument/2006/relationships/revisionLog" Target="revisionLog219.xml"/><Relationship Id="rId3" Type="http://schemas.openxmlformats.org/officeDocument/2006/relationships/revisionLog" Target="revisionLog3.xml"/><Relationship Id="rId214" Type="http://schemas.openxmlformats.org/officeDocument/2006/relationships/revisionLog" Target="revisionLog214.xml"/><Relationship Id="rId230" Type="http://schemas.openxmlformats.org/officeDocument/2006/relationships/revisionLog" Target="revisionLog230.xml"/><Relationship Id="rId235" Type="http://schemas.openxmlformats.org/officeDocument/2006/relationships/revisionLog" Target="revisionLog235.xml"/><Relationship Id="rId251" Type="http://schemas.openxmlformats.org/officeDocument/2006/relationships/revisionLog" Target="revisionLog251.xml"/><Relationship Id="rId256" Type="http://schemas.openxmlformats.org/officeDocument/2006/relationships/revisionLog" Target="revisionLog256.xml"/><Relationship Id="rId277" Type="http://schemas.openxmlformats.org/officeDocument/2006/relationships/revisionLog" Target="revisionLog277.xml"/><Relationship Id="rId298" Type="http://schemas.openxmlformats.org/officeDocument/2006/relationships/revisionLog" Target="revisionLog298.xml"/><Relationship Id="rId25" Type="http://schemas.openxmlformats.org/officeDocument/2006/relationships/revisionLog" Target="revisionLog25.xml"/><Relationship Id="rId46" Type="http://schemas.openxmlformats.org/officeDocument/2006/relationships/revisionLog" Target="revisionLog46.xml"/><Relationship Id="rId67" Type="http://schemas.openxmlformats.org/officeDocument/2006/relationships/revisionLog" Target="revisionLog67.xml"/><Relationship Id="rId116" Type="http://schemas.openxmlformats.org/officeDocument/2006/relationships/revisionLog" Target="revisionLog116.xml"/><Relationship Id="rId137" Type="http://schemas.openxmlformats.org/officeDocument/2006/relationships/revisionLog" Target="revisionLog137.xml"/><Relationship Id="rId158" Type="http://schemas.openxmlformats.org/officeDocument/2006/relationships/revisionLog" Target="revisionLog158.xml"/><Relationship Id="rId272" Type="http://schemas.openxmlformats.org/officeDocument/2006/relationships/revisionLog" Target="revisionLog272.xml"/><Relationship Id="rId293" Type="http://schemas.openxmlformats.org/officeDocument/2006/relationships/revisionLog" Target="revisionLog293.xml"/><Relationship Id="rId302" Type="http://schemas.openxmlformats.org/officeDocument/2006/relationships/revisionLog" Target="revisionLog302.xml"/><Relationship Id="rId307" Type="http://schemas.openxmlformats.org/officeDocument/2006/relationships/revisionLog" Target="revisionLog307.xml"/><Relationship Id="rId323" Type="http://schemas.openxmlformats.org/officeDocument/2006/relationships/revisionLog" Target="revisionLog323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62" Type="http://schemas.openxmlformats.org/officeDocument/2006/relationships/revisionLog" Target="revisionLog62.xml"/><Relationship Id="rId83" Type="http://schemas.openxmlformats.org/officeDocument/2006/relationships/revisionLog" Target="revisionLog83.xml"/><Relationship Id="rId88" Type="http://schemas.openxmlformats.org/officeDocument/2006/relationships/revisionLog" Target="revisionLog88.xml"/><Relationship Id="rId111" Type="http://schemas.openxmlformats.org/officeDocument/2006/relationships/revisionLog" Target="revisionLog111.xml"/><Relationship Id="rId132" Type="http://schemas.openxmlformats.org/officeDocument/2006/relationships/revisionLog" Target="revisionLog132.xml"/><Relationship Id="rId153" Type="http://schemas.openxmlformats.org/officeDocument/2006/relationships/revisionLog" Target="revisionLog153.xml"/><Relationship Id="rId174" Type="http://schemas.openxmlformats.org/officeDocument/2006/relationships/revisionLog" Target="revisionLog174.xml"/><Relationship Id="rId179" Type="http://schemas.openxmlformats.org/officeDocument/2006/relationships/revisionLog" Target="revisionLog179.xml"/><Relationship Id="rId195" Type="http://schemas.openxmlformats.org/officeDocument/2006/relationships/revisionLog" Target="revisionLog195.xml"/><Relationship Id="rId209" Type="http://schemas.openxmlformats.org/officeDocument/2006/relationships/revisionLog" Target="revisionLog209.xml"/><Relationship Id="rId190" Type="http://schemas.openxmlformats.org/officeDocument/2006/relationships/revisionLog" Target="revisionLog190.xml"/><Relationship Id="rId204" Type="http://schemas.openxmlformats.org/officeDocument/2006/relationships/revisionLog" Target="revisionLog204.xml"/><Relationship Id="rId220" Type="http://schemas.openxmlformats.org/officeDocument/2006/relationships/revisionLog" Target="revisionLog220.xml"/><Relationship Id="rId225" Type="http://schemas.openxmlformats.org/officeDocument/2006/relationships/revisionLog" Target="revisionLog225.xml"/><Relationship Id="rId241" Type="http://schemas.openxmlformats.org/officeDocument/2006/relationships/revisionLog" Target="revisionLog241.xml"/><Relationship Id="rId246" Type="http://schemas.openxmlformats.org/officeDocument/2006/relationships/revisionLog" Target="revisionLog246.xml"/><Relationship Id="rId267" Type="http://schemas.openxmlformats.org/officeDocument/2006/relationships/revisionLog" Target="revisionLog267.xml"/><Relationship Id="rId288" Type="http://schemas.openxmlformats.org/officeDocument/2006/relationships/revisionLog" Target="revisionLog288.xml"/><Relationship Id="rId15" Type="http://schemas.openxmlformats.org/officeDocument/2006/relationships/revisionLog" Target="revisionLog15.xml"/><Relationship Id="rId36" Type="http://schemas.openxmlformats.org/officeDocument/2006/relationships/revisionLog" Target="revisionLog36.xml"/><Relationship Id="rId57" Type="http://schemas.openxmlformats.org/officeDocument/2006/relationships/revisionLog" Target="revisionLog57.xml"/><Relationship Id="rId106" Type="http://schemas.openxmlformats.org/officeDocument/2006/relationships/revisionLog" Target="revisionLog106.xml"/><Relationship Id="rId127" Type="http://schemas.openxmlformats.org/officeDocument/2006/relationships/revisionLog" Target="revisionLog127.xml"/><Relationship Id="rId262" Type="http://schemas.openxmlformats.org/officeDocument/2006/relationships/revisionLog" Target="revisionLog262.xml"/><Relationship Id="rId283" Type="http://schemas.openxmlformats.org/officeDocument/2006/relationships/revisionLog" Target="revisionLog283.xml"/><Relationship Id="rId313" Type="http://schemas.openxmlformats.org/officeDocument/2006/relationships/revisionLog" Target="revisionLog313.xml"/><Relationship Id="rId318" Type="http://schemas.openxmlformats.org/officeDocument/2006/relationships/revisionLog" Target="revisionLog318.xml"/><Relationship Id="rId10" Type="http://schemas.openxmlformats.org/officeDocument/2006/relationships/revisionLog" Target="revisionLog10.xml"/><Relationship Id="rId31" Type="http://schemas.openxmlformats.org/officeDocument/2006/relationships/revisionLog" Target="revisionLog31.xml"/><Relationship Id="rId52" Type="http://schemas.openxmlformats.org/officeDocument/2006/relationships/revisionLog" Target="revisionLog52.xml"/><Relationship Id="rId73" Type="http://schemas.openxmlformats.org/officeDocument/2006/relationships/revisionLog" Target="revisionLog73.xml"/><Relationship Id="rId78" Type="http://schemas.openxmlformats.org/officeDocument/2006/relationships/revisionLog" Target="revisionLog78.xml"/><Relationship Id="rId94" Type="http://schemas.openxmlformats.org/officeDocument/2006/relationships/revisionLog" Target="revisionLog94.xml"/><Relationship Id="rId99" Type="http://schemas.openxmlformats.org/officeDocument/2006/relationships/revisionLog" Target="revisionLog99.xml"/><Relationship Id="rId101" Type="http://schemas.openxmlformats.org/officeDocument/2006/relationships/revisionLog" Target="revisionLog101.xml"/><Relationship Id="rId122" Type="http://schemas.openxmlformats.org/officeDocument/2006/relationships/revisionLog" Target="revisionLog122.xml"/><Relationship Id="rId143" Type="http://schemas.openxmlformats.org/officeDocument/2006/relationships/revisionLog" Target="revisionLog143.xml"/><Relationship Id="rId148" Type="http://schemas.openxmlformats.org/officeDocument/2006/relationships/revisionLog" Target="revisionLog148.xml"/><Relationship Id="rId164" Type="http://schemas.openxmlformats.org/officeDocument/2006/relationships/revisionLog" Target="revisionLog164.xml"/><Relationship Id="rId169" Type="http://schemas.openxmlformats.org/officeDocument/2006/relationships/revisionLog" Target="revisionLog169.xml"/><Relationship Id="rId185" Type="http://schemas.openxmlformats.org/officeDocument/2006/relationships/revisionLog" Target="revisionLog185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80" Type="http://schemas.openxmlformats.org/officeDocument/2006/relationships/revisionLog" Target="revisionLog180.xml"/><Relationship Id="rId210" Type="http://schemas.openxmlformats.org/officeDocument/2006/relationships/revisionLog" Target="revisionLog210.xml"/><Relationship Id="rId215" Type="http://schemas.openxmlformats.org/officeDocument/2006/relationships/revisionLog" Target="revisionLog215.xml"/><Relationship Id="rId236" Type="http://schemas.openxmlformats.org/officeDocument/2006/relationships/revisionLog" Target="revisionLog236.xml"/><Relationship Id="rId257" Type="http://schemas.openxmlformats.org/officeDocument/2006/relationships/revisionLog" Target="revisionLog257.xml"/><Relationship Id="rId278" Type="http://schemas.openxmlformats.org/officeDocument/2006/relationships/revisionLog" Target="revisionLog278.xml"/><Relationship Id="rId26" Type="http://schemas.openxmlformats.org/officeDocument/2006/relationships/revisionLog" Target="revisionLog26.xml"/><Relationship Id="rId231" Type="http://schemas.openxmlformats.org/officeDocument/2006/relationships/revisionLog" Target="revisionLog231.xml"/><Relationship Id="rId252" Type="http://schemas.openxmlformats.org/officeDocument/2006/relationships/revisionLog" Target="revisionLog252.xml"/><Relationship Id="rId273" Type="http://schemas.openxmlformats.org/officeDocument/2006/relationships/revisionLog" Target="revisionLog273.xml"/><Relationship Id="rId294" Type="http://schemas.openxmlformats.org/officeDocument/2006/relationships/revisionLog" Target="revisionLog294.xml"/><Relationship Id="rId308" Type="http://schemas.openxmlformats.org/officeDocument/2006/relationships/revisionLog" Target="revisionLog308.xml"/><Relationship Id="rId47" Type="http://schemas.openxmlformats.org/officeDocument/2006/relationships/revisionLog" Target="revisionLog47.xml"/><Relationship Id="rId68" Type="http://schemas.openxmlformats.org/officeDocument/2006/relationships/revisionLog" Target="revisionLog68.xml"/><Relationship Id="rId89" Type="http://schemas.openxmlformats.org/officeDocument/2006/relationships/revisionLog" Target="revisionLog89.xml"/><Relationship Id="rId112" Type="http://schemas.openxmlformats.org/officeDocument/2006/relationships/revisionLog" Target="revisionLog112.xml"/><Relationship Id="rId133" Type="http://schemas.openxmlformats.org/officeDocument/2006/relationships/revisionLog" Target="revisionLog133.xml"/><Relationship Id="rId154" Type="http://schemas.openxmlformats.org/officeDocument/2006/relationships/revisionLog" Target="revisionLog154.xml"/><Relationship Id="rId175" Type="http://schemas.openxmlformats.org/officeDocument/2006/relationships/revisionLog" Target="revisionLog175.xml"/><Relationship Id="rId196" Type="http://schemas.openxmlformats.org/officeDocument/2006/relationships/revisionLog" Target="revisionLog196.xml"/><Relationship Id="rId200" Type="http://schemas.openxmlformats.org/officeDocument/2006/relationships/revisionLog" Target="revisionLog200.xml"/><Relationship Id="rId16" Type="http://schemas.openxmlformats.org/officeDocument/2006/relationships/revisionLog" Target="revisionLog16.xml"/><Relationship Id="rId221" Type="http://schemas.openxmlformats.org/officeDocument/2006/relationships/revisionLog" Target="revisionLog221.xml"/><Relationship Id="rId242" Type="http://schemas.openxmlformats.org/officeDocument/2006/relationships/revisionLog" Target="revisionLog242.xml"/><Relationship Id="rId263" Type="http://schemas.openxmlformats.org/officeDocument/2006/relationships/revisionLog" Target="revisionLog263.xml"/><Relationship Id="rId284" Type="http://schemas.openxmlformats.org/officeDocument/2006/relationships/revisionLog" Target="revisionLog284.xml"/><Relationship Id="rId319" Type="http://schemas.openxmlformats.org/officeDocument/2006/relationships/revisionLog" Target="revisionLog319.xml"/><Relationship Id="rId37" Type="http://schemas.openxmlformats.org/officeDocument/2006/relationships/revisionLog" Target="revisionLog37.xml"/><Relationship Id="rId58" Type="http://schemas.openxmlformats.org/officeDocument/2006/relationships/revisionLog" Target="revisionLog58.xml"/><Relationship Id="rId79" Type="http://schemas.openxmlformats.org/officeDocument/2006/relationships/revisionLog" Target="revisionLog79.xml"/><Relationship Id="rId102" Type="http://schemas.openxmlformats.org/officeDocument/2006/relationships/revisionLog" Target="revisionLog102.xml"/><Relationship Id="rId123" Type="http://schemas.openxmlformats.org/officeDocument/2006/relationships/revisionLog" Target="revisionLog123.xml"/><Relationship Id="rId144" Type="http://schemas.openxmlformats.org/officeDocument/2006/relationships/revisionLog" Target="revisionLog144.xml"/><Relationship Id="rId90" Type="http://schemas.openxmlformats.org/officeDocument/2006/relationships/revisionLog" Target="revisionLog90.xml"/><Relationship Id="rId165" Type="http://schemas.openxmlformats.org/officeDocument/2006/relationships/revisionLog" Target="revisionLog165.xml"/><Relationship Id="rId186" Type="http://schemas.openxmlformats.org/officeDocument/2006/relationships/revisionLog" Target="revisionLog186.xml"/><Relationship Id="rId211" Type="http://schemas.openxmlformats.org/officeDocument/2006/relationships/revisionLog" Target="revisionLog211.xml"/><Relationship Id="rId232" Type="http://schemas.openxmlformats.org/officeDocument/2006/relationships/revisionLog" Target="revisionLog232.xml"/><Relationship Id="rId253" Type="http://schemas.openxmlformats.org/officeDocument/2006/relationships/revisionLog" Target="revisionLog253.xml"/><Relationship Id="rId274" Type="http://schemas.openxmlformats.org/officeDocument/2006/relationships/revisionLog" Target="revisionLog274.xml"/><Relationship Id="rId295" Type="http://schemas.openxmlformats.org/officeDocument/2006/relationships/revisionLog" Target="revisionLog295.xml"/><Relationship Id="rId309" Type="http://schemas.openxmlformats.org/officeDocument/2006/relationships/revisionLog" Target="revisionLog309.xml"/><Relationship Id="rId27" Type="http://schemas.openxmlformats.org/officeDocument/2006/relationships/revisionLog" Target="revisionLog27.xml"/><Relationship Id="rId48" Type="http://schemas.openxmlformats.org/officeDocument/2006/relationships/revisionLog" Target="revisionLog48.xml"/><Relationship Id="rId69" Type="http://schemas.openxmlformats.org/officeDocument/2006/relationships/revisionLog" Target="revisionLog69.xml"/><Relationship Id="rId113" Type="http://schemas.openxmlformats.org/officeDocument/2006/relationships/revisionLog" Target="revisionLog113.xml"/><Relationship Id="rId134" Type="http://schemas.openxmlformats.org/officeDocument/2006/relationships/revisionLog" Target="revisionLog134.xml"/><Relationship Id="rId320" Type="http://schemas.openxmlformats.org/officeDocument/2006/relationships/revisionLog" Target="revisionLog320.xml"/><Relationship Id="rId80" Type="http://schemas.openxmlformats.org/officeDocument/2006/relationships/revisionLog" Target="revisionLog80.xml"/><Relationship Id="rId155" Type="http://schemas.openxmlformats.org/officeDocument/2006/relationships/revisionLog" Target="revisionLog155.xml"/><Relationship Id="rId176" Type="http://schemas.openxmlformats.org/officeDocument/2006/relationships/revisionLog" Target="revisionLog176.xml"/><Relationship Id="rId197" Type="http://schemas.openxmlformats.org/officeDocument/2006/relationships/revisionLog" Target="revisionLog197.xml"/><Relationship Id="rId201" Type="http://schemas.openxmlformats.org/officeDocument/2006/relationships/revisionLog" Target="revisionLog201.xml"/><Relationship Id="rId222" Type="http://schemas.openxmlformats.org/officeDocument/2006/relationships/revisionLog" Target="revisionLog222.xml"/><Relationship Id="rId243" Type="http://schemas.openxmlformats.org/officeDocument/2006/relationships/revisionLog" Target="revisionLog243.xml"/><Relationship Id="rId264" Type="http://schemas.openxmlformats.org/officeDocument/2006/relationships/revisionLog" Target="revisionLog264.xml"/><Relationship Id="rId285" Type="http://schemas.openxmlformats.org/officeDocument/2006/relationships/revisionLog" Target="revisionLog285.xml"/><Relationship Id="rId17" Type="http://schemas.openxmlformats.org/officeDocument/2006/relationships/revisionLog" Target="revisionLog17.xml"/><Relationship Id="rId38" Type="http://schemas.openxmlformats.org/officeDocument/2006/relationships/revisionLog" Target="revisionLog38.xml"/><Relationship Id="rId59" Type="http://schemas.openxmlformats.org/officeDocument/2006/relationships/revisionLog" Target="revisionLog59.xml"/><Relationship Id="rId103" Type="http://schemas.openxmlformats.org/officeDocument/2006/relationships/revisionLog" Target="revisionLog103.xml"/><Relationship Id="rId124" Type="http://schemas.openxmlformats.org/officeDocument/2006/relationships/revisionLog" Target="revisionLog124.xml"/><Relationship Id="rId310" Type="http://schemas.openxmlformats.org/officeDocument/2006/relationships/revisionLog" Target="revisionLog310.xml"/><Relationship Id="rId70" Type="http://schemas.openxmlformats.org/officeDocument/2006/relationships/revisionLog" Target="revisionLog70.xml"/><Relationship Id="rId91" Type="http://schemas.openxmlformats.org/officeDocument/2006/relationships/revisionLog" Target="revisionLog91.xml"/><Relationship Id="rId145" Type="http://schemas.openxmlformats.org/officeDocument/2006/relationships/revisionLog" Target="revisionLog145.xml"/><Relationship Id="rId166" Type="http://schemas.openxmlformats.org/officeDocument/2006/relationships/revisionLog" Target="revisionLog166.xml"/><Relationship Id="rId187" Type="http://schemas.openxmlformats.org/officeDocument/2006/relationships/revisionLog" Target="revisionLog187.xml"/><Relationship Id="rId1" Type="http://schemas.openxmlformats.org/officeDocument/2006/relationships/revisionLog" Target="revisionLog1.xml"/><Relationship Id="rId212" Type="http://schemas.openxmlformats.org/officeDocument/2006/relationships/revisionLog" Target="revisionLog212.xml"/><Relationship Id="rId233" Type="http://schemas.openxmlformats.org/officeDocument/2006/relationships/revisionLog" Target="revisionLog233.xml"/><Relationship Id="rId254" Type="http://schemas.openxmlformats.org/officeDocument/2006/relationships/revisionLog" Target="revisionLog254.xml"/><Relationship Id="rId28" Type="http://schemas.openxmlformats.org/officeDocument/2006/relationships/revisionLog" Target="revisionLog28.xml"/><Relationship Id="rId49" Type="http://schemas.openxmlformats.org/officeDocument/2006/relationships/revisionLog" Target="revisionLog49.xml"/><Relationship Id="rId114" Type="http://schemas.openxmlformats.org/officeDocument/2006/relationships/revisionLog" Target="revisionLog114.xml"/><Relationship Id="rId275" Type="http://schemas.openxmlformats.org/officeDocument/2006/relationships/revisionLog" Target="revisionLog275.xml"/><Relationship Id="rId296" Type="http://schemas.openxmlformats.org/officeDocument/2006/relationships/revisionLog" Target="revisionLog296.xml"/><Relationship Id="rId300" Type="http://schemas.openxmlformats.org/officeDocument/2006/relationships/revisionLog" Target="revisionLog300.xml"/><Relationship Id="rId60" Type="http://schemas.openxmlformats.org/officeDocument/2006/relationships/revisionLog" Target="revisionLog60.xml"/><Relationship Id="rId81" Type="http://schemas.openxmlformats.org/officeDocument/2006/relationships/revisionLog" Target="revisionLog81.xml"/><Relationship Id="rId135" Type="http://schemas.openxmlformats.org/officeDocument/2006/relationships/revisionLog" Target="revisionLog135.xml"/><Relationship Id="rId156" Type="http://schemas.openxmlformats.org/officeDocument/2006/relationships/revisionLog" Target="revisionLog156.xml"/><Relationship Id="rId177" Type="http://schemas.openxmlformats.org/officeDocument/2006/relationships/revisionLog" Target="revisionLog177.xml"/><Relationship Id="rId198" Type="http://schemas.openxmlformats.org/officeDocument/2006/relationships/revisionLog" Target="revisionLog198.xml"/><Relationship Id="rId321" Type="http://schemas.openxmlformats.org/officeDocument/2006/relationships/revisionLog" Target="revisionLog321.xml"/><Relationship Id="rId202" Type="http://schemas.openxmlformats.org/officeDocument/2006/relationships/revisionLog" Target="revisionLog202.xml"/><Relationship Id="rId223" Type="http://schemas.openxmlformats.org/officeDocument/2006/relationships/revisionLog" Target="revisionLog223.xml"/><Relationship Id="rId244" Type="http://schemas.openxmlformats.org/officeDocument/2006/relationships/revisionLog" Target="revisionLog244.xml"/><Relationship Id="rId18" Type="http://schemas.openxmlformats.org/officeDocument/2006/relationships/revisionLog" Target="revisionLog18.xml"/><Relationship Id="rId39" Type="http://schemas.openxmlformats.org/officeDocument/2006/relationships/revisionLog" Target="revisionLog39.xml"/><Relationship Id="rId265" Type="http://schemas.openxmlformats.org/officeDocument/2006/relationships/revisionLog" Target="revisionLog265.xml"/><Relationship Id="rId286" Type="http://schemas.openxmlformats.org/officeDocument/2006/relationships/revisionLog" Target="revisionLog286.xml"/><Relationship Id="rId50" Type="http://schemas.openxmlformats.org/officeDocument/2006/relationships/revisionLog" Target="revisionLog50.xml"/><Relationship Id="rId104" Type="http://schemas.openxmlformats.org/officeDocument/2006/relationships/revisionLog" Target="revisionLog104.xml"/><Relationship Id="rId125" Type="http://schemas.openxmlformats.org/officeDocument/2006/relationships/revisionLog" Target="revisionLog125.xml"/><Relationship Id="rId146" Type="http://schemas.openxmlformats.org/officeDocument/2006/relationships/revisionLog" Target="revisionLog146.xml"/><Relationship Id="rId167" Type="http://schemas.openxmlformats.org/officeDocument/2006/relationships/revisionLog" Target="revisionLog167.xml"/><Relationship Id="rId188" Type="http://schemas.openxmlformats.org/officeDocument/2006/relationships/revisionLog" Target="revisionLog188.xml"/><Relationship Id="rId311" Type="http://schemas.openxmlformats.org/officeDocument/2006/relationships/revisionLog" Target="revisionLog311.xml"/><Relationship Id="rId71" Type="http://schemas.openxmlformats.org/officeDocument/2006/relationships/revisionLog" Target="revisionLog71.xml"/><Relationship Id="rId92" Type="http://schemas.openxmlformats.org/officeDocument/2006/relationships/revisionLog" Target="revisionLog92.xml"/><Relationship Id="rId213" Type="http://schemas.openxmlformats.org/officeDocument/2006/relationships/revisionLog" Target="revisionLog213.xml"/><Relationship Id="rId234" Type="http://schemas.openxmlformats.org/officeDocument/2006/relationships/revisionLog" Target="revisionLog234.xml"/><Relationship Id="rId2" Type="http://schemas.openxmlformats.org/officeDocument/2006/relationships/revisionLog" Target="revisionLog2.xml"/><Relationship Id="rId29" Type="http://schemas.openxmlformats.org/officeDocument/2006/relationships/revisionLog" Target="revisionLog29.xml"/><Relationship Id="rId255" Type="http://schemas.openxmlformats.org/officeDocument/2006/relationships/revisionLog" Target="revisionLog255.xml"/><Relationship Id="rId276" Type="http://schemas.openxmlformats.org/officeDocument/2006/relationships/revisionLog" Target="revisionLog276.xml"/><Relationship Id="rId297" Type="http://schemas.openxmlformats.org/officeDocument/2006/relationships/revisionLog" Target="revisionLog297.xml"/><Relationship Id="rId40" Type="http://schemas.openxmlformats.org/officeDocument/2006/relationships/revisionLog" Target="revisionLog40.xml"/><Relationship Id="rId115" Type="http://schemas.openxmlformats.org/officeDocument/2006/relationships/revisionLog" Target="revisionLog115.xml"/><Relationship Id="rId136" Type="http://schemas.openxmlformats.org/officeDocument/2006/relationships/revisionLog" Target="revisionLog136.xml"/><Relationship Id="rId157" Type="http://schemas.openxmlformats.org/officeDocument/2006/relationships/revisionLog" Target="revisionLog157.xml"/><Relationship Id="rId178" Type="http://schemas.openxmlformats.org/officeDocument/2006/relationships/revisionLog" Target="revisionLog178.xml"/><Relationship Id="rId301" Type="http://schemas.openxmlformats.org/officeDocument/2006/relationships/revisionLog" Target="revisionLog301.xml"/><Relationship Id="rId322" Type="http://schemas.openxmlformats.org/officeDocument/2006/relationships/revisionLog" Target="revisionLog322.xml"/><Relationship Id="rId61" Type="http://schemas.openxmlformats.org/officeDocument/2006/relationships/revisionLog" Target="revisionLog61.xml"/><Relationship Id="rId82" Type="http://schemas.openxmlformats.org/officeDocument/2006/relationships/revisionLog" Target="revisionLog82.xml"/><Relationship Id="rId199" Type="http://schemas.openxmlformats.org/officeDocument/2006/relationships/revisionLog" Target="revisionLog199.xml"/><Relationship Id="rId203" Type="http://schemas.openxmlformats.org/officeDocument/2006/relationships/revisionLog" Target="revisionLog203.xml"/><Relationship Id="rId19" Type="http://schemas.openxmlformats.org/officeDocument/2006/relationships/revisionLog" Target="revisionLog19.xml"/><Relationship Id="rId224" Type="http://schemas.openxmlformats.org/officeDocument/2006/relationships/revisionLog" Target="revisionLog224.xml"/><Relationship Id="rId245" Type="http://schemas.openxmlformats.org/officeDocument/2006/relationships/revisionLog" Target="revisionLog245.xml"/><Relationship Id="rId266" Type="http://schemas.openxmlformats.org/officeDocument/2006/relationships/revisionLog" Target="revisionLog266.xml"/><Relationship Id="rId287" Type="http://schemas.openxmlformats.org/officeDocument/2006/relationships/revisionLog" Target="revisionLog287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E2F8EC82-E39A-4A50-8CAF-B4D3FCCA64D6}" diskRevisions="1" revisionId="3170" version="326">
  <header guid="{74431293-53F3-49CE-ABFF-73DC8F6F7793}" dateTime="2020-03-05T10:22:27" maxSheetId="7" userName="EXTERNAL Nguyen Tuan Duong (Ban Vien, RBVH/EPS45)" r:id="rId1">
    <sheetIdMap count="6">
      <sheetId val="1"/>
      <sheetId val="2"/>
      <sheetId val="3"/>
      <sheetId val="4"/>
      <sheetId val="5"/>
      <sheetId val="6"/>
    </sheetIdMap>
  </header>
  <header guid="{787E104E-50D2-4281-B45D-59ECD890272A}" dateTime="2020-03-05T10:23:35" maxSheetId="7" userName="EXTERNAL Nguyen Tuan Duong (Ban Vien, RBVH/EPS45)" r:id="rId2">
    <sheetIdMap count="6">
      <sheetId val="1"/>
      <sheetId val="2"/>
      <sheetId val="3"/>
      <sheetId val="4"/>
      <sheetId val="5"/>
      <sheetId val="6"/>
    </sheetIdMap>
  </header>
  <header guid="{D19C0442-885F-44AE-BCE8-ACB9974A7204}" dateTime="2020-03-05T10:53:27" maxSheetId="7" userName="EXTERNAL Nguyen Trung Hieu (Ban Vien, RBVH/EPS45)" r:id="rId3" minRId="4" maxRId="8">
    <sheetIdMap count="6">
      <sheetId val="1"/>
      <sheetId val="2"/>
      <sheetId val="3"/>
      <sheetId val="4"/>
      <sheetId val="5"/>
      <sheetId val="6"/>
    </sheetIdMap>
  </header>
  <header guid="{39750E3E-BF69-4115-85E6-BA23E7E162B2}" dateTime="2020-03-05T10:56:17" maxSheetId="7" userName="EXTERNAL Nguyen Trung Hieu (Ban Vien, RBVH/EPS45)" r:id="rId4" minRId="11">
    <sheetIdMap count="6">
      <sheetId val="1"/>
      <sheetId val="2"/>
      <sheetId val="3"/>
      <sheetId val="4"/>
      <sheetId val="5"/>
      <sheetId val="6"/>
    </sheetIdMap>
  </header>
  <header guid="{A318881E-23E7-428A-A513-000CEC7C398E}" dateTime="2020-03-05T10:56:30" maxSheetId="7" userName="EXTERNAL Nguyen Trung Hieu (Ban Vien, RBVH/EPS45)" r:id="rId5" minRId="14">
    <sheetIdMap count="6">
      <sheetId val="1"/>
      <sheetId val="2"/>
      <sheetId val="3"/>
      <sheetId val="4"/>
      <sheetId val="5"/>
      <sheetId val="6"/>
    </sheetIdMap>
  </header>
  <header guid="{F92278BF-0B54-4F44-913D-0A88A0CDCA0C}" dateTime="2020-03-05T10:57:17" maxSheetId="7" userName="EXTERNAL Do Phu Loc (Ban Vien, RBVH/EPS45)" r:id="rId6" minRId="15" maxRId="22">
    <sheetIdMap count="6">
      <sheetId val="1"/>
      <sheetId val="2"/>
      <sheetId val="3"/>
      <sheetId val="4"/>
      <sheetId val="5"/>
      <sheetId val="6"/>
    </sheetIdMap>
  </header>
  <header guid="{56A4280C-A9B2-4D94-9808-96540308EC9C}" dateTime="2020-03-05T10:57:38" maxSheetId="7" userName="EXTERNAL Nguyen Trung Hieu (Ban Vien, RBVH/EPS45)" r:id="rId7" minRId="26" maxRId="27">
    <sheetIdMap count="6">
      <sheetId val="1"/>
      <sheetId val="2"/>
      <sheetId val="3"/>
      <sheetId val="4"/>
      <sheetId val="5"/>
      <sheetId val="6"/>
    </sheetIdMap>
  </header>
  <header guid="{F3A4C507-453C-4413-A48F-6A1C13EC87A1}" dateTime="2020-03-05T11:02:37" maxSheetId="7" userName="EXTERNAL Do Phu Loc (Ban Vien, RBVH/EPS45)" r:id="rId8" minRId="28" maxRId="30">
    <sheetIdMap count="6">
      <sheetId val="1"/>
      <sheetId val="2"/>
      <sheetId val="3"/>
      <sheetId val="4"/>
      <sheetId val="5"/>
      <sheetId val="6"/>
    </sheetIdMap>
  </header>
  <header guid="{6628388D-D323-4244-A899-F71A32B11672}" dateTime="2020-03-05T11:31:15" maxSheetId="7" userName="EXTERNAL Nguyen Trung Hieu (Ban Vien, RBVH/EPS45)" r:id="rId9" minRId="34" maxRId="36">
    <sheetIdMap count="6">
      <sheetId val="1"/>
      <sheetId val="2"/>
      <sheetId val="3"/>
      <sheetId val="4"/>
      <sheetId val="5"/>
      <sheetId val="6"/>
    </sheetIdMap>
  </header>
  <header guid="{BD504273-E626-47D6-8FE3-24A5A9545363}" dateTime="2020-03-05T11:33:51" maxSheetId="7" userName="EXTERNAL Nguyen Trung Hieu (Ban Vien, RBVH/EPS45)" r:id="rId10" minRId="39" maxRId="43">
    <sheetIdMap count="6">
      <sheetId val="1"/>
      <sheetId val="2"/>
      <sheetId val="3"/>
      <sheetId val="4"/>
      <sheetId val="5"/>
      <sheetId val="6"/>
    </sheetIdMap>
  </header>
  <header guid="{C78B693B-36C8-41BE-A772-366E634F2278}" dateTime="2020-03-05T11:44:22" maxSheetId="7" userName="EXTERNAL Do Phu Loc (Ban Vien, RBVH/EPS45)" r:id="rId11" minRId="44" maxRId="48">
    <sheetIdMap count="6">
      <sheetId val="1"/>
      <sheetId val="2"/>
      <sheetId val="3"/>
      <sheetId val="4"/>
      <sheetId val="5"/>
      <sheetId val="6"/>
    </sheetIdMap>
  </header>
  <header guid="{E967EB54-C11C-4DF8-98D6-8B664B8CCBE5}" dateTime="2020-03-05T11:45:42" maxSheetId="7" userName="EXTERNAL Do Phu Loc (Ban Vien, RBVH/EPS45)" r:id="rId12" minRId="52" maxRId="53">
    <sheetIdMap count="6">
      <sheetId val="1"/>
      <sheetId val="2"/>
      <sheetId val="3"/>
      <sheetId val="4"/>
      <sheetId val="5"/>
      <sheetId val="6"/>
    </sheetIdMap>
  </header>
  <header guid="{FDCF01E7-8F1F-4ACA-8B6E-6098CA3DD0D3}" dateTime="2020-03-05T13:08:49" maxSheetId="7" userName="EXTERNAL Nguyen Kim Thanh (Ban Vien, RBVH/EPS45)" r:id="rId13" minRId="57" maxRId="66">
    <sheetIdMap count="6">
      <sheetId val="1"/>
      <sheetId val="2"/>
      <sheetId val="3"/>
      <sheetId val="4"/>
      <sheetId val="5"/>
      <sheetId val="6"/>
    </sheetIdMap>
  </header>
  <header guid="{CB4F6AA4-DB91-48CB-B7DC-75AE96698C7D}" dateTime="2020-03-05T13:24:34" maxSheetId="7" userName="EXTERNAL Do Phu Loc (Ban Vien, RBVH/EPS45)" r:id="rId14" minRId="70">
    <sheetIdMap count="6">
      <sheetId val="1"/>
      <sheetId val="2"/>
      <sheetId val="3"/>
      <sheetId val="4"/>
      <sheetId val="5"/>
      <sheetId val="6"/>
    </sheetIdMap>
  </header>
  <header guid="{9C2A4EE2-4759-46C4-B791-C79DB58A6FFC}" dateTime="2020-03-05T13:44:41" maxSheetId="7" userName="EXTERNAL Nguyen Tai Hau (Ban Vien, RBVH/EPS45)" r:id="rId15" minRId="74" maxRId="81">
    <sheetIdMap count="6">
      <sheetId val="1"/>
      <sheetId val="2"/>
      <sheetId val="3"/>
      <sheetId val="4"/>
      <sheetId val="5"/>
      <sheetId val="6"/>
    </sheetIdMap>
  </header>
  <header guid="{CF1C6362-5644-449E-986C-8291A2838E67}" dateTime="2020-03-05T13:45:21" maxSheetId="7" userName="EXTERNAL Nguyen Tai Hau (Ban Vien, RBVH/EPS45)" r:id="rId16">
    <sheetIdMap count="6">
      <sheetId val="1"/>
      <sheetId val="2"/>
      <sheetId val="3"/>
      <sheetId val="4"/>
      <sheetId val="5"/>
      <sheetId val="6"/>
    </sheetIdMap>
  </header>
  <header guid="{FB33A9F0-952E-49F0-AF89-EC157DF70D1B}" dateTime="2020-03-05T13:45:52" maxSheetId="7" userName="EXTERNAL Nguyen Tai Hau (Ban Vien, RBVH/EPS45)" r:id="rId17" minRId="88" maxRId="89">
    <sheetIdMap count="6">
      <sheetId val="1"/>
      <sheetId val="2"/>
      <sheetId val="3"/>
      <sheetId val="4"/>
      <sheetId val="5"/>
      <sheetId val="6"/>
    </sheetIdMap>
  </header>
  <header guid="{6EBA35DD-5DAA-4247-83BE-146EBC958DD9}" dateTime="2020-03-05T13:46:11" maxSheetId="7" userName="EXTERNAL Nguyen Tai Hau (Ban Vien, RBVH/EPS45)" r:id="rId18" minRId="90">
    <sheetIdMap count="6">
      <sheetId val="1"/>
      <sheetId val="2"/>
      <sheetId val="3"/>
      <sheetId val="4"/>
      <sheetId val="5"/>
      <sheetId val="6"/>
    </sheetIdMap>
  </header>
  <header guid="{861837A5-9501-437D-9ECA-E28B191C7DF9}" dateTime="2020-03-05T14:03:42" maxSheetId="7" userName="EXTERNAL Nguyen Tai Hau (Ban Vien, RBVH/EPS45)" r:id="rId19" minRId="91" maxRId="93">
    <sheetIdMap count="6">
      <sheetId val="1"/>
      <sheetId val="2"/>
      <sheetId val="3"/>
      <sheetId val="4"/>
      <sheetId val="5"/>
      <sheetId val="6"/>
    </sheetIdMap>
  </header>
  <header guid="{519D7FB4-E00B-44C1-8892-70AB274FFEA2}" dateTime="2020-03-05T14:03:56" maxSheetId="7" userName="EXTERNAL Nguyen Trung Hieu (Ban Vien, RBVH/EPS45)" r:id="rId20" minRId="97">
    <sheetIdMap count="6">
      <sheetId val="1"/>
      <sheetId val="2"/>
      <sheetId val="3"/>
      <sheetId val="4"/>
      <sheetId val="5"/>
      <sheetId val="6"/>
    </sheetIdMap>
  </header>
  <header guid="{4711499D-1D3F-4264-8AF8-02E96382EBF4}" dateTime="2020-03-05T14:10:24" maxSheetId="7" userName="EXTERNAL Nguyen Trung Hieu (Ban Vien, RBVH/EPS45)" r:id="rId21" minRId="100">
    <sheetIdMap count="6">
      <sheetId val="1"/>
      <sheetId val="2"/>
      <sheetId val="3"/>
      <sheetId val="4"/>
      <sheetId val="5"/>
      <sheetId val="6"/>
    </sheetIdMap>
  </header>
  <header guid="{86765A73-13F9-4F06-AE75-35AD412DD5D5}" dateTime="2020-03-05T14:22:18" maxSheetId="7" userName="EXTERNAL Do Phu Loc (Ban Vien, RBVH/EPS45)" r:id="rId22" minRId="103" maxRId="111">
    <sheetIdMap count="6">
      <sheetId val="1"/>
      <sheetId val="2"/>
      <sheetId val="3"/>
      <sheetId val="4"/>
      <sheetId val="5"/>
      <sheetId val="6"/>
    </sheetIdMap>
  </header>
  <header guid="{E9587295-4F81-4CB8-93B1-723DCB931BD6}" dateTime="2020-03-05T14:50:49" maxSheetId="7" userName="EXTERNAL Nguyen Trung Hieu (Ban Vien, RBVH/EPS45)" r:id="rId23" minRId="115" maxRId="116">
    <sheetIdMap count="6">
      <sheetId val="1"/>
      <sheetId val="2"/>
      <sheetId val="3"/>
      <sheetId val="4"/>
      <sheetId val="5"/>
      <sheetId val="6"/>
    </sheetIdMap>
  </header>
  <header guid="{A15101F5-964E-47CE-88E3-956132EBA606}" dateTime="2020-03-05T14:51:19" maxSheetId="7" userName="EXTERNAL Nguyen Tai Hau (Ban Vien, RBVH/EPS45)" r:id="rId24">
    <sheetIdMap count="6">
      <sheetId val="1"/>
      <sheetId val="2"/>
      <sheetId val="3"/>
      <sheetId val="4"/>
      <sheetId val="5"/>
      <sheetId val="6"/>
    </sheetIdMap>
  </header>
  <header guid="{D7DB0C6A-B51A-49ED-BC76-9D3864DB150D}" dateTime="2020-03-05T14:57:17" maxSheetId="7" userName="EXTERNAL Nguyen Kim Thanh (Ban Vien, RBVH/EPS45)" r:id="rId25" minRId="122" maxRId="129">
    <sheetIdMap count="6">
      <sheetId val="1"/>
      <sheetId val="2"/>
      <sheetId val="3"/>
      <sheetId val="4"/>
      <sheetId val="5"/>
      <sheetId val="6"/>
    </sheetIdMap>
  </header>
  <header guid="{E2751506-0EB7-48EC-9B7D-DAAB524708E2}" dateTime="2020-03-05T16:22:04" maxSheetId="7" userName="EXTERNAL Nguyen Kim Thanh (Ban Vien, RBVH/EPS45)" r:id="rId26" minRId="133" maxRId="134">
    <sheetIdMap count="6">
      <sheetId val="1"/>
      <sheetId val="2"/>
      <sheetId val="3"/>
      <sheetId val="4"/>
      <sheetId val="5"/>
      <sheetId val="6"/>
    </sheetIdMap>
  </header>
  <header guid="{40348369-CCB6-40BF-99C0-32ADBE322A17}" dateTime="2020-03-05T17:37:52" maxSheetId="7" userName="EXTERNAL Do Phu Loc (Ban Vien, RBVH/EPS45)" r:id="rId27" minRId="138" maxRId="147">
    <sheetIdMap count="6">
      <sheetId val="1"/>
      <sheetId val="2"/>
      <sheetId val="3"/>
      <sheetId val="4"/>
      <sheetId val="5"/>
      <sheetId val="6"/>
    </sheetIdMap>
  </header>
  <header guid="{96837A37-CE6B-4EC7-80D6-32B34CDE5C24}" dateTime="2020-03-05T17:59:50" maxSheetId="7" userName="EXTERNAL Nguyen Tai Hau (Ban Vien, RBVH/EPS45)" r:id="rId28" minRId="151" maxRId="158">
    <sheetIdMap count="6">
      <sheetId val="1"/>
      <sheetId val="2"/>
      <sheetId val="3"/>
      <sheetId val="4"/>
      <sheetId val="5"/>
      <sheetId val="6"/>
    </sheetIdMap>
  </header>
  <header guid="{65BCAE60-96FE-446E-A6DE-27ACD4AEF84D}" dateTime="2020-03-05T18:09:23" maxSheetId="7" userName="EXTERNAL Nguyen Kim Thanh (Ban Vien, RBVH/EPS45)" r:id="rId29" minRId="162" maxRId="171">
    <sheetIdMap count="6">
      <sheetId val="1"/>
      <sheetId val="2"/>
      <sheetId val="3"/>
      <sheetId val="4"/>
      <sheetId val="5"/>
      <sheetId val="6"/>
    </sheetIdMap>
  </header>
  <header guid="{BBE417F2-78A3-4324-9B7A-72FB5C75990C}" dateTime="2020-03-05T18:23:15" maxSheetId="7" userName="EXTERNAL Nguyen Trung Hieu (Ban Vien, RBVH/EPS45)" r:id="rId30" minRId="175">
    <sheetIdMap count="6">
      <sheetId val="1"/>
      <sheetId val="2"/>
      <sheetId val="3"/>
      <sheetId val="4"/>
      <sheetId val="5"/>
      <sheetId val="6"/>
    </sheetIdMap>
  </header>
  <header guid="{CCF9B754-3209-45B2-8BD6-08F714629461}" dateTime="2020-03-05T19:02:58" maxSheetId="7" userName="EXTERNAL Do Phu Loc (Ban Vien, RBVH/EPS45)" r:id="rId31" minRId="178">
    <sheetIdMap count="6">
      <sheetId val="1"/>
      <sheetId val="2"/>
      <sheetId val="3"/>
      <sheetId val="4"/>
      <sheetId val="5"/>
      <sheetId val="6"/>
    </sheetIdMap>
  </header>
  <header guid="{B6029012-458C-425A-BF11-29D9A4715E1B}" dateTime="2020-03-05T19:03:34" maxSheetId="7" userName="EXTERNAL Do Phu Loc (Ban Vien, RBVH/EPS45)" r:id="rId32" minRId="182" maxRId="183">
    <sheetIdMap count="6">
      <sheetId val="1"/>
      <sheetId val="2"/>
      <sheetId val="3"/>
      <sheetId val="4"/>
      <sheetId val="5"/>
      <sheetId val="6"/>
    </sheetIdMap>
  </header>
  <header guid="{64B6FA7F-A241-4D36-8225-B528987403A2}" dateTime="2020-03-05T19:04:20" maxSheetId="7" userName="EXTERNAL Do Phu Loc (Ban Vien, RBVH/EPS45)" r:id="rId33" minRId="187">
    <sheetIdMap count="6">
      <sheetId val="1"/>
      <sheetId val="2"/>
      <sheetId val="3"/>
      <sheetId val="4"/>
      <sheetId val="5"/>
      <sheetId val="6"/>
    </sheetIdMap>
  </header>
  <header guid="{984ABBBE-FA44-422D-9205-B71206698167}" dateTime="2020-03-06T10:06:56" maxSheetId="7" userName="EXTERNAL Nguyen Kim Thanh (Ban Vien, RBVH/EPS45)" r:id="rId34" minRId="188">
    <sheetIdMap count="6">
      <sheetId val="1"/>
      <sheetId val="2"/>
      <sheetId val="3"/>
      <sheetId val="4"/>
      <sheetId val="5"/>
      <sheetId val="6"/>
    </sheetIdMap>
  </header>
  <header guid="{706FB40D-3FBE-416A-9785-E0ACA2980BCC}" dateTime="2020-03-06T10:25:13" maxSheetId="7" userName="EXTERNAL Nguyen Tuan Duong (Ban Vien, RBVH/EPS45)" r:id="rId35" minRId="192" maxRId="269">
    <sheetIdMap count="6">
      <sheetId val="1"/>
      <sheetId val="2"/>
      <sheetId val="3"/>
      <sheetId val="4"/>
      <sheetId val="5"/>
      <sheetId val="6"/>
    </sheetIdMap>
  </header>
  <header guid="{8D8FFA8F-8703-497B-822C-98171326736A}" dateTime="2020-03-06T10:25:47" maxSheetId="7" userName="EXTERNAL Nguyen Tuan Duong (Ban Vien, RBVH/EPS45)" r:id="rId36">
    <sheetIdMap count="6">
      <sheetId val="1"/>
      <sheetId val="2"/>
      <sheetId val="3"/>
      <sheetId val="4"/>
      <sheetId val="5"/>
      <sheetId val="6"/>
    </sheetIdMap>
  </header>
  <header guid="{6CE2E99C-734B-4DDB-AE2D-B2FE927F8CB8}" dateTime="2020-03-06T10:26:41" maxSheetId="7" userName="EXTERNAL Nguyen Tuan Duong (Ban Vien, RBVH/EPS45)" r:id="rId37">
    <sheetIdMap count="6">
      <sheetId val="1"/>
      <sheetId val="2"/>
      <sheetId val="3"/>
      <sheetId val="4"/>
      <sheetId val="5"/>
      <sheetId val="6"/>
    </sheetIdMap>
  </header>
  <header guid="{BB84DE77-1E7D-4D72-AB7E-6050D8D01439}" dateTime="2020-03-06T10:27:11" maxSheetId="7" userName="EXTERNAL Nguyen Tuan Duong (Ban Vien, RBVH/EPS45)" r:id="rId38">
    <sheetIdMap count="6">
      <sheetId val="1"/>
      <sheetId val="2"/>
      <sheetId val="3"/>
      <sheetId val="4"/>
      <sheetId val="5"/>
      <sheetId val="6"/>
    </sheetIdMap>
  </header>
  <header guid="{2CB0CFC9-EE4D-45C4-AEE9-AAD50AD126FA}" dateTime="2020-03-06T10:27:27" maxSheetId="7" userName="EXTERNAL Nguyen Tuan Duong (Ban Vien, RBVH/EPS45)" r:id="rId39" minRId="281" maxRId="286">
    <sheetIdMap count="6">
      <sheetId val="1"/>
      <sheetId val="2"/>
      <sheetId val="3"/>
      <sheetId val="4"/>
      <sheetId val="5"/>
      <sheetId val="6"/>
    </sheetIdMap>
  </header>
  <header guid="{BAD79D39-9ECC-42A5-B5DC-2E4E8C8F9273}" dateTime="2020-03-06T10:28:42" maxSheetId="7" userName="EXTERNAL Nguyen Tuan Duong (Ban Vien, RBVH/EPS45)" r:id="rId40">
    <sheetIdMap count="6">
      <sheetId val="1"/>
      <sheetId val="2"/>
      <sheetId val="3"/>
      <sheetId val="4"/>
      <sheetId val="5"/>
      <sheetId val="6"/>
    </sheetIdMap>
  </header>
  <header guid="{55354658-4569-4605-80AF-39D412207C49}" dateTime="2020-03-06T10:30:41" maxSheetId="7" userName="EXTERNAL Nguyen Tuan Duong (Ban Vien, RBVH/EPS45)" r:id="rId41">
    <sheetIdMap count="6">
      <sheetId val="1"/>
      <sheetId val="2"/>
      <sheetId val="3"/>
      <sheetId val="4"/>
      <sheetId val="5"/>
      <sheetId val="6"/>
    </sheetIdMap>
  </header>
  <header guid="{85B95F6F-27E3-4E04-BF42-159EF7EFE426}" dateTime="2020-03-06T10:31:37" maxSheetId="7" userName="EXTERNAL Nguyen Kim Thanh (Ban Vien, RBVH/EPS45)" r:id="rId42">
    <sheetIdMap count="6">
      <sheetId val="1"/>
      <sheetId val="2"/>
      <sheetId val="3"/>
      <sheetId val="4"/>
      <sheetId val="5"/>
      <sheetId val="6"/>
    </sheetIdMap>
  </header>
  <header guid="{408679EC-9FF6-4E7A-A053-1EAD6C72EB5F}" dateTime="2020-03-06T11:57:53" maxSheetId="7" userName="EXTERNAL Do Phu Loc (Ban Vien, RBVH/EPS45)" r:id="rId43" minRId="294" maxRId="304">
    <sheetIdMap count="6">
      <sheetId val="1"/>
      <sheetId val="2"/>
      <sheetId val="3"/>
      <sheetId val="4"/>
      <sheetId val="5"/>
      <sheetId val="6"/>
    </sheetIdMap>
  </header>
  <header guid="{AF0FDDC9-FC96-4F35-A5D7-E30976780497}" dateTime="2020-03-06T11:58:57" maxSheetId="7" userName="EXTERNAL Do Phu Loc (Ban Vien, RBVH/EPS45)" r:id="rId44" minRId="308" maxRId="312">
    <sheetIdMap count="6">
      <sheetId val="1"/>
      <sheetId val="2"/>
      <sheetId val="3"/>
      <sheetId val="4"/>
      <sheetId val="5"/>
      <sheetId val="6"/>
    </sheetIdMap>
  </header>
  <header guid="{2B0D8466-B7F3-41C3-B718-5F7A2E0D742E}" dateTime="2020-03-06T13:15:11" maxSheetId="7" userName="EXTERNAL Ly Chung (Ban Vien, RBVH/EPS45)" r:id="rId45" minRId="313" maxRId="316">
    <sheetIdMap count="6">
      <sheetId val="1"/>
      <sheetId val="2"/>
      <sheetId val="3"/>
      <sheetId val="4"/>
      <sheetId val="5"/>
      <sheetId val="6"/>
    </sheetIdMap>
  </header>
  <header guid="{2280D4B6-E84B-4FB6-92CD-CDEC721C229E}" dateTime="2020-03-06T13:16:52" maxSheetId="7" userName="EXTERNAL Ly Chung (Ban Vien, RBVH/EPS45)" r:id="rId46" minRId="317" maxRId="321">
    <sheetIdMap count="6">
      <sheetId val="1"/>
      <sheetId val="2"/>
      <sheetId val="3"/>
      <sheetId val="4"/>
      <sheetId val="5"/>
      <sheetId val="6"/>
    </sheetIdMap>
  </header>
  <header guid="{C19F49A5-FAB4-4FDB-95B8-D5D10E8C191A}" dateTime="2020-03-06T13:23:13" maxSheetId="7" userName="EXTERNAL Ly Chung (Ban Vien, RBVH/EPS45)" r:id="rId47" minRId="325" maxRId="331">
    <sheetIdMap count="6">
      <sheetId val="1"/>
      <sheetId val="2"/>
      <sheetId val="3"/>
      <sheetId val="4"/>
      <sheetId val="5"/>
      <sheetId val="6"/>
    </sheetIdMap>
  </header>
  <header guid="{26E88307-E18F-4FED-A584-124DF48BE7FA}" dateTime="2020-03-06T13:27:58" maxSheetId="7" userName="EXTERNAL Ly Chung (Ban Vien, RBVH/EPS45)" r:id="rId48">
    <sheetIdMap count="6">
      <sheetId val="1"/>
      <sheetId val="2"/>
      <sheetId val="3"/>
      <sheetId val="4"/>
      <sheetId val="5"/>
      <sheetId val="6"/>
    </sheetIdMap>
  </header>
  <header guid="{B843741C-3C34-42DA-9DFC-0BE90F5442B1}" dateTime="2020-03-06T13:38:00" maxSheetId="7" userName="EXTERNAL Do Phu Loc (Ban Vien, RBVH/EPS45)" r:id="rId49" minRId="338" maxRId="344">
    <sheetIdMap count="6">
      <sheetId val="1"/>
      <sheetId val="2"/>
      <sheetId val="3"/>
      <sheetId val="4"/>
      <sheetId val="5"/>
      <sheetId val="6"/>
    </sheetIdMap>
  </header>
  <header guid="{A29360C0-AB16-4888-A55B-7D7CBA79A95E}" dateTime="2020-03-06T13:56:46" maxSheetId="7" userName="EXTERNAL Do Phu Loc (Ban Vien, RBVH/EPS45)" r:id="rId50" minRId="348" maxRId="356">
    <sheetIdMap count="6">
      <sheetId val="1"/>
      <sheetId val="2"/>
      <sheetId val="3"/>
      <sheetId val="4"/>
      <sheetId val="5"/>
      <sheetId val="6"/>
    </sheetIdMap>
  </header>
  <header guid="{CD3CCFB0-7405-4EA0-8EC3-8C83B787B14A}" dateTime="2020-03-06T14:26:32" maxSheetId="7" userName="EXTERNAL Do Phu Loc (Ban Vien, RBVH/EPS45)" r:id="rId51" minRId="360" maxRId="373">
    <sheetIdMap count="6">
      <sheetId val="1"/>
      <sheetId val="2"/>
      <sheetId val="3"/>
      <sheetId val="4"/>
      <sheetId val="5"/>
      <sheetId val="6"/>
    </sheetIdMap>
  </header>
  <header guid="{0CD86D17-A6AD-469F-A8CA-9B8FCFC2AE5D}" dateTime="2020-03-06T14:27:19" maxSheetId="7" userName="EXTERNAL Do Phu Loc (Ban Vien, RBVH/EPS45)" r:id="rId52" minRId="377">
    <sheetIdMap count="6">
      <sheetId val="1"/>
      <sheetId val="2"/>
      <sheetId val="3"/>
      <sheetId val="4"/>
      <sheetId val="5"/>
      <sheetId val="6"/>
    </sheetIdMap>
  </header>
  <header guid="{8FAE03CD-9B63-4D93-A9FC-B11D5285FF2B}" dateTime="2020-03-06T15:56:48" maxSheetId="7" userName="EXTERNAL Nguyen Tuan Duong (Ban Vien, RBVH/EPS45)" r:id="rId53" minRId="381" maxRId="383">
    <sheetIdMap count="6">
      <sheetId val="1"/>
      <sheetId val="2"/>
      <sheetId val="3"/>
      <sheetId val="4"/>
      <sheetId val="5"/>
      <sheetId val="6"/>
    </sheetIdMap>
  </header>
  <header guid="{06FE1A5F-3ED8-41E1-8248-3EC42C5A0D12}" dateTime="2020-03-06T15:58:33" maxSheetId="7" userName="EXTERNAL Nguyen Tuan Duong (Ban Vien, RBVH/EPS45)" r:id="rId54" minRId="386" maxRId="394">
    <sheetIdMap count="6">
      <sheetId val="1"/>
      <sheetId val="2"/>
      <sheetId val="3"/>
      <sheetId val="4"/>
      <sheetId val="5"/>
      <sheetId val="6"/>
    </sheetIdMap>
  </header>
  <header guid="{D25D2BE9-270F-42C5-BD05-102EF2907945}" dateTime="2020-03-06T16:06:15" maxSheetId="7" userName="EXTERNAL Do Phu Loc (Ban Vien, RBVH/EPS45)" r:id="rId55" minRId="395" maxRId="398">
    <sheetIdMap count="6">
      <sheetId val="1"/>
      <sheetId val="2"/>
      <sheetId val="3"/>
      <sheetId val="4"/>
      <sheetId val="5"/>
      <sheetId val="6"/>
    </sheetIdMap>
  </header>
  <header guid="{357DBD89-073E-4F4C-936F-5D1265567B56}" dateTime="2020-03-06T16:12:22" maxSheetId="7" userName="EXTERNAL Nguyen Tuan Duong (Ban Vien, RBVH/EPS45)" r:id="rId56" minRId="402" maxRId="408">
    <sheetIdMap count="6">
      <sheetId val="1"/>
      <sheetId val="2"/>
      <sheetId val="3"/>
      <sheetId val="4"/>
      <sheetId val="5"/>
      <sheetId val="6"/>
    </sheetIdMap>
  </header>
  <header guid="{67C5F219-2722-4240-97DD-7617045C26BE}" dateTime="2020-03-06T16:14:47" maxSheetId="7" userName="EXTERNAL Nguyen Tuan Duong (Ban Vien, RBVH/EPS45)" r:id="rId57" minRId="411" maxRId="412">
    <sheetIdMap count="6">
      <sheetId val="1"/>
      <sheetId val="2"/>
      <sheetId val="3"/>
      <sheetId val="4"/>
      <sheetId val="5"/>
      <sheetId val="6"/>
    </sheetIdMap>
  </header>
  <header guid="{6AE09932-3FF5-4A8A-AE97-5D415B2C0F3A}" dateTime="2020-03-06T16:23:59" maxSheetId="7" userName="EXTERNAL Nguyen Tuan Duong (Ban Vien, RBVH/EPS45)" r:id="rId58" minRId="415">
    <sheetIdMap count="6">
      <sheetId val="1"/>
      <sheetId val="2"/>
      <sheetId val="3"/>
      <sheetId val="4"/>
      <sheetId val="5"/>
      <sheetId val="6"/>
    </sheetIdMap>
  </header>
  <header guid="{9872C9B5-7822-4FAD-B7F9-C7AB9886C5E8}" dateTime="2020-03-06T16:59:47" maxSheetId="7" userName="EXTERNAL Nguyen Kim Thanh (Ban Vien, RBVH/EPS45)" r:id="rId59" minRId="418" maxRId="427">
    <sheetIdMap count="6">
      <sheetId val="1"/>
      <sheetId val="2"/>
      <sheetId val="3"/>
      <sheetId val="4"/>
      <sheetId val="5"/>
      <sheetId val="6"/>
    </sheetIdMap>
  </header>
  <header guid="{7B8E9503-C09D-4D0F-8079-F707C7496681}" dateTime="2020-03-06T17:00:27" maxSheetId="7" userName="EXTERNAL Nguyen Kim Thanh (Ban Vien, RBVH/EPS45)" r:id="rId60" minRId="431" maxRId="432">
    <sheetIdMap count="6">
      <sheetId val="1"/>
      <sheetId val="2"/>
      <sheetId val="3"/>
      <sheetId val="4"/>
      <sheetId val="5"/>
      <sheetId val="6"/>
    </sheetIdMap>
  </header>
  <header guid="{F0CA112A-40AC-4D1F-AD2F-0AB7044C90BF}" dateTime="2020-03-06T17:12:07" maxSheetId="7" userName="EXTERNAL Nguyen Kim Thanh (Ban Vien, RBVH/EPS45)" r:id="rId61">
    <sheetIdMap count="6">
      <sheetId val="1"/>
      <sheetId val="2"/>
      <sheetId val="3"/>
      <sheetId val="4"/>
      <sheetId val="5"/>
      <sheetId val="6"/>
    </sheetIdMap>
  </header>
  <header guid="{E2B7483F-C289-4FF3-91BC-BD2197DE3EBF}" dateTime="2020-03-06T17:46:14" maxSheetId="7" userName="EXTERNAL Nguyen Tuan Duong (Ban Vien, RBVH/EPS45)" r:id="rId62" minRId="436" maxRId="439">
    <sheetIdMap count="6">
      <sheetId val="1"/>
      <sheetId val="2"/>
      <sheetId val="3"/>
      <sheetId val="4"/>
      <sheetId val="5"/>
      <sheetId val="6"/>
    </sheetIdMap>
  </header>
  <header guid="{5D9AF33D-6AE3-4ED2-A3EF-2CCD3B15D1E0}" dateTime="2020-03-06T17:47:00" maxSheetId="7" userName="EXTERNAL Nguyen Tuan Duong (Ban Vien, RBVH/EPS45)" r:id="rId63">
    <sheetIdMap count="6">
      <sheetId val="1"/>
      <sheetId val="2"/>
      <sheetId val="3"/>
      <sheetId val="4"/>
      <sheetId val="5"/>
      <sheetId val="6"/>
    </sheetIdMap>
  </header>
  <header guid="{522080A1-EDE5-4763-BE88-8D6147941692}" dateTime="2020-03-06T17:49:03" maxSheetId="7" userName="EXTERNAL Nguyen Tuan Duong (Ban Vien, RBVH/EPS45)" r:id="rId64" minRId="444" maxRId="447">
    <sheetIdMap count="6">
      <sheetId val="1"/>
      <sheetId val="2"/>
      <sheetId val="3"/>
      <sheetId val="4"/>
      <sheetId val="5"/>
      <sheetId val="6"/>
    </sheetIdMap>
  </header>
  <header guid="{9BADD6DB-151E-4DE9-B9CB-A76C04D1EEBD}" dateTime="2020-03-06T19:18:55" maxSheetId="7" userName="EXTERNAL Nguyen Tuan Duong (Ban Vien, RBVH/EPS45)" r:id="rId65">
    <sheetIdMap count="6">
      <sheetId val="1"/>
      <sheetId val="2"/>
      <sheetId val="3"/>
      <sheetId val="4"/>
      <sheetId val="5"/>
      <sheetId val="6"/>
    </sheetIdMap>
  </header>
  <header guid="{34E1FDA5-0675-4A01-8DEF-95145FCE5773}" dateTime="2020-03-06T19:26:08" maxSheetId="7" userName="EXTERNAL Nguyen Tuan Duong (Ban Vien, RBVH/EPS45)" r:id="rId66" minRId="452" maxRId="463">
    <sheetIdMap count="6">
      <sheetId val="1"/>
      <sheetId val="2"/>
      <sheetId val="3"/>
      <sheetId val="4"/>
      <sheetId val="5"/>
      <sheetId val="6"/>
    </sheetIdMap>
  </header>
  <header guid="{EFA9EBB7-5430-43A5-BC45-116785A10369}" dateTime="2020-03-06T19:26:39" maxSheetId="7" userName="EXTERNAL Nguyen Tuan Duong (Ban Vien, RBVH/EPS45)" r:id="rId67" minRId="466" maxRId="473">
    <sheetIdMap count="6">
      <sheetId val="1"/>
      <sheetId val="2"/>
      <sheetId val="3"/>
      <sheetId val="4"/>
      <sheetId val="5"/>
      <sheetId val="6"/>
    </sheetIdMap>
  </header>
  <header guid="{3EDB113B-23A3-44B5-8EDA-0C5C49F97467}" dateTime="2020-03-06T19:27:41" maxSheetId="7" userName="EXTERNAL Nguyen Tuan Duong (Ban Vien, RBVH/EPS45)" r:id="rId68" minRId="476" maxRId="481">
    <sheetIdMap count="6">
      <sheetId val="1"/>
      <sheetId val="2"/>
      <sheetId val="3"/>
      <sheetId val="4"/>
      <sheetId val="5"/>
      <sheetId val="6"/>
    </sheetIdMap>
  </header>
  <header guid="{2CAFA8AE-C930-4FCF-9690-C8AF5BE2A909}" dateTime="2020-03-06T19:28:51" maxSheetId="7" userName="EXTERNAL Nguyen Tuan Duong (Ban Vien, RBVH/EPS45)" r:id="rId69" minRId="482" maxRId="489">
    <sheetIdMap count="6">
      <sheetId val="1"/>
      <sheetId val="2"/>
      <sheetId val="3"/>
      <sheetId val="4"/>
      <sheetId val="5"/>
      <sheetId val="6"/>
    </sheetIdMap>
  </header>
  <header guid="{1DF04CED-B5DF-40C8-B7A7-C8006AFA5564}" dateTime="2020-03-06T19:30:34" maxSheetId="7" userName="EXTERNAL Nguyen Tuan Duong (Ban Vien, RBVH/EPS45)" r:id="rId70" minRId="492" maxRId="497">
    <sheetIdMap count="6">
      <sheetId val="1"/>
      <sheetId val="2"/>
      <sheetId val="3"/>
      <sheetId val="4"/>
      <sheetId val="5"/>
      <sheetId val="6"/>
    </sheetIdMap>
  </header>
  <header guid="{E926492A-4753-4BD4-BF95-EF2A3105798E}" dateTime="2020-03-06T19:34:32" maxSheetId="7" userName="EXTERNAL Nguyen Tuan Duong (Ban Vien, RBVH/EPS45)" r:id="rId71" minRId="500">
    <sheetIdMap count="6">
      <sheetId val="1"/>
      <sheetId val="2"/>
      <sheetId val="3"/>
      <sheetId val="4"/>
      <sheetId val="5"/>
      <sheetId val="6"/>
    </sheetIdMap>
  </header>
  <header guid="{A8AE426A-A46C-48F8-9761-531C1294E111}" dateTime="2020-03-06T20:03:33" maxSheetId="7" userName="EXTERNAL Nguyen Tuan Duong (Ban Vien, RBVH/EPS45)" r:id="rId72" minRId="503" maxRId="505">
    <sheetIdMap count="6">
      <sheetId val="1"/>
      <sheetId val="2"/>
      <sheetId val="3"/>
      <sheetId val="4"/>
      <sheetId val="5"/>
      <sheetId val="6"/>
    </sheetIdMap>
  </header>
  <header guid="{8729BF06-BE3C-40D8-8C50-C164621A6556}" dateTime="2020-03-09T09:20:37" maxSheetId="7" userName="EXTERNAL Nguyen Kim Thanh (Ban Vien, RBVH/EPS45)" r:id="rId73" minRId="506">
    <sheetIdMap count="6">
      <sheetId val="1"/>
      <sheetId val="2"/>
      <sheetId val="3"/>
      <sheetId val="4"/>
      <sheetId val="5"/>
      <sheetId val="6"/>
    </sheetIdMap>
  </header>
  <header guid="{8128B062-B799-4812-9872-F732D94331A8}" dateTime="2020-03-09T09:20:59" maxSheetId="7" userName="EXTERNAL Nguyen Kim Thanh (Ban Vien, RBVH/EPS45)" r:id="rId74" minRId="510">
    <sheetIdMap count="6">
      <sheetId val="1"/>
      <sheetId val="2"/>
      <sheetId val="3"/>
      <sheetId val="4"/>
      <sheetId val="5"/>
      <sheetId val="6"/>
    </sheetIdMap>
  </header>
  <header guid="{A6FB0394-E02B-472E-AB6D-C623C1D6A40E}" dateTime="2020-03-09T09:34:00" maxSheetId="7" userName="EXTERNAL Ly Chung (Ban Vien, RBVH/EPS45)" r:id="rId75" minRId="511" maxRId="524">
    <sheetIdMap count="6">
      <sheetId val="1"/>
      <sheetId val="2"/>
      <sheetId val="3"/>
      <sheetId val="4"/>
      <sheetId val="5"/>
      <sheetId val="6"/>
    </sheetIdMap>
  </header>
  <header guid="{9B670541-E903-468D-83D2-834A291E7F29}" dateTime="2020-03-09T10:59:07" maxSheetId="7" userName="EXTERNAL Ly Chung (Ban Vien, RBVH/EPS45)" r:id="rId76" minRId="528" maxRId="542">
    <sheetIdMap count="6">
      <sheetId val="1"/>
      <sheetId val="2"/>
      <sheetId val="3"/>
      <sheetId val="4"/>
      <sheetId val="5"/>
      <sheetId val="6"/>
    </sheetIdMap>
  </header>
  <header guid="{BD60A44C-D359-4083-8DCE-3F4288D8F826}" dateTime="2020-03-09T11:00:33" maxSheetId="7" userName="EXTERNAL Ly Chung (Ban Vien, RBVH/EPS45)" r:id="rId77" minRId="546">
    <sheetIdMap count="6">
      <sheetId val="1"/>
      <sheetId val="2"/>
      <sheetId val="3"/>
      <sheetId val="4"/>
      <sheetId val="5"/>
      <sheetId val="6"/>
    </sheetIdMap>
  </header>
  <header guid="{E576E62A-FA80-4739-A679-F5549C4DD8BF}" dateTime="2020-03-09T12:29:30" maxSheetId="7" userName="EXTERNAL Ly Chung (Ban Vien, RBVH/EPS45)" r:id="rId78" minRId="550" maxRId="556">
    <sheetIdMap count="6">
      <sheetId val="1"/>
      <sheetId val="2"/>
      <sheetId val="3"/>
      <sheetId val="4"/>
      <sheetId val="5"/>
      <sheetId val="6"/>
    </sheetIdMap>
  </header>
  <header guid="{D594E91B-99CA-47E5-8F29-FC3BAD062BBB}" dateTime="2020-03-09T12:30:17" maxSheetId="7" userName="EXTERNAL Ly Chung (Ban Vien, RBVH/EPS45)" r:id="rId79" minRId="557" maxRId="558">
    <sheetIdMap count="6">
      <sheetId val="1"/>
      <sheetId val="2"/>
      <sheetId val="3"/>
      <sheetId val="4"/>
      <sheetId val="5"/>
      <sheetId val="6"/>
    </sheetIdMap>
  </header>
  <header guid="{47DF0891-3A2B-4E59-9464-CCBBDE75D354}" dateTime="2020-03-09T12:43:56" maxSheetId="7" userName="EXTERNAL Ly Chung (Ban Vien, RBVH/EPS45)" r:id="rId80" minRId="562" maxRId="568">
    <sheetIdMap count="6">
      <sheetId val="1"/>
      <sheetId val="2"/>
      <sheetId val="3"/>
      <sheetId val="4"/>
      <sheetId val="5"/>
      <sheetId val="6"/>
    </sheetIdMap>
  </header>
  <header guid="{6F8C66E6-D58A-49D5-BB26-8FB0B1E28528}" dateTime="2020-03-09T12:44:02" maxSheetId="7" userName="EXTERNAL Ly Chung (Ban Vien, RBVH/EPS45)" r:id="rId81" minRId="572">
    <sheetIdMap count="6">
      <sheetId val="1"/>
      <sheetId val="2"/>
      <sheetId val="3"/>
      <sheetId val="4"/>
      <sheetId val="5"/>
      <sheetId val="6"/>
    </sheetIdMap>
  </header>
  <header guid="{65B62326-3552-47A5-9B13-F7B8767FFF81}" dateTime="2020-03-09T13:42:10" maxSheetId="7" userName="EXTERNAL Ly Chung (Ban Vien, RBVH/EPS45)" r:id="rId82" minRId="576">
    <sheetIdMap count="6">
      <sheetId val="1"/>
      <sheetId val="2"/>
      <sheetId val="3"/>
      <sheetId val="4"/>
      <sheetId val="5"/>
      <sheetId val="6"/>
    </sheetIdMap>
  </header>
  <header guid="{6AA43C29-308B-4F68-AC5D-344BEA5F13CE}" dateTime="2020-03-09T14:01:54" maxSheetId="7" userName="EXTERNAL Nguyen Kim Thanh (Ban Vien, RBVH/EPS45)" r:id="rId83" minRId="580" maxRId="587">
    <sheetIdMap count="6">
      <sheetId val="1"/>
      <sheetId val="2"/>
      <sheetId val="3"/>
      <sheetId val="4"/>
      <sheetId val="5"/>
      <sheetId val="6"/>
    </sheetIdMap>
  </header>
  <header guid="{4CAE51CC-AF44-4512-928A-494D5AD1A71E}" dateTime="2020-03-09T14:02:49" maxSheetId="7" userName="EXTERNAL Nguyen Kim Thanh (Ban Vien, RBVH/EPS45)" r:id="rId84" minRId="591" maxRId="592">
    <sheetIdMap count="6">
      <sheetId val="1"/>
      <sheetId val="2"/>
      <sheetId val="3"/>
      <sheetId val="4"/>
      <sheetId val="5"/>
      <sheetId val="6"/>
    </sheetIdMap>
  </header>
  <header guid="{B9088F56-F1D1-4C08-8D22-04E325C1A8FB}" dateTime="2020-03-09T14:23:43" maxSheetId="7" userName="EXTERNAL Ly Chung (Ban Vien, RBVH/EPS45)" r:id="rId85" minRId="596" maxRId="602">
    <sheetIdMap count="6">
      <sheetId val="1"/>
      <sheetId val="2"/>
      <sheetId val="3"/>
      <sheetId val="4"/>
      <sheetId val="5"/>
      <sheetId val="6"/>
    </sheetIdMap>
  </header>
  <header guid="{89FFEC81-709D-42C7-8C1D-0EE1A0CECC7B}" dateTime="2020-03-09T14:24:25" maxSheetId="7" userName="EXTERNAL Ly Chung (Ban Vien, RBVH/EPS45)" r:id="rId86" minRId="606">
    <sheetIdMap count="6">
      <sheetId val="1"/>
      <sheetId val="2"/>
      <sheetId val="3"/>
      <sheetId val="4"/>
      <sheetId val="5"/>
      <sheetId val="6"/>
    </sheetIdMap>
  </header>
  <header guid="{1081575D-82C7-40AE-BC73-26F294F64E35}" dateTime="2020-03-09T15:43:39" maxSheetId="7" userName="EXTERNAL Ly Chung (Ban Vien, RBVH/EPS45)" r:id="rId87" minRId="607" maxRId="614">
    <sheetIdMap count="6">
      <sheetId val="1"/>
      <sheetId val="2"/>
      <sheetId val="3"/>
      <sheetId val="4"/>
      <sheetId val="5"/>
      <sheetId val="6"/>
    </sheetIdMap>
  </header>
  <header guid="{02802E57-EB31-4807-BECC-A9C0AD2ECFDC}" dateTime="2020-03-09T15:44:55" maxSheetId="7" userName="EXTERNAL Ly Chung (Ban Vien, RBVH/EPS45)" r:id="rId88" minRId="618" maxRId="622">
    <sheetIdMap count="6">
      <sheetId val="1"/>
      <sheetId val="2"/>
      <sheetId val="3"/>
      <sheetId val="4"/>
      <sheetId val="5"/>
      <sheetId val="6"/>
    </sheetIdMap>
  </header>
  <header guid="{14AA9A86-AA7E-4D38-8D63-9AC5E9AE3FB1}" dateTime="2020-03-09T15:45:31" maxSheetId="7" userName="EXTERNAL Ly Chung (Ban Vien, RBVH/EPS45)" r:id="rId89">
    <sheetIdMap count="6">
      <sheetId val="1"/>
      <sheetId val="2"/>
      <sheetId val="3"/>
      <sheetId val="4"/>
      <sheetId val="5"/>
      <sheetId val="6"/>
    </sheetIdMap>
  </header>
  <header guid="{094C860B-9BC3-4B97-8EA0-409DA406063E}" dateTime="2020-03-09T17:31:26" maxSheetId="7" userName="EXTERNAL Ly Chung (Ban Vien, RBVH/EPS45)" r:id="rId90" minRId="629" maxRId="637">
    <sheetIdMap count="6">
      <sheetId val="1"/>
      <sheetId val="2"/>
      <sheetId val="3"/>
      <sheetId val="4"/>
      <sheetId val="5"/>
      <sheetId val="6"/>
    </sheetIdMap>
  </header>
  <header guid="{ECE20DE6-5A79-43AE-B0EB-B64E6471F512}" dateTime="2020-03-09T18:29:43" maxSheetId="7" userName="EXTERNAL Nguyen Kim Thanh (Ban Vien, RBVH/EPS45)" r:id="rId91" minRId="641">
    <sheetIdMap count="6">
      <sheetId val="1"/>
      <sheetId val="2"/>
      <sheetId val="3"/>
      <sheetId val="4"/>
      <sheetId val="5"/>
      <sheetId val="6"/>
    </sheetIdMap>
  </header>
  <header guid="{06575AAD-6F5D-4F1D-92A5-C6108C2BEA4B}" dateTime="2020-03-09T18:29:48" maxSheetId="7" userName="EXTERNAL Nguyen Kim Thanh (Ban Vien, RBVH/EPS45)" r:id="rId92" minRId="645">
    <sheetIdMap count="6">
      <sheetId val="1"/>
      <sheetId val="2"/>
      <sheetId val="3"/>
      <sheetId val="4"/>
      <sheetId val="5"/>
      <sheetId val="6"/>
    </sheetIdMap>
  </header>
  <header guid="{3DB2E85D-09F9-4D34-B9C3-F7BCA29A24CB}" dateTime="2020-03-09T18:32:22" maxSheetId="7" userName="EXTERNAL Nguyen Kim Thanh (Ban Vien, RBVH/EPS45)" r:id="rId93" minRId="646" maxRId="662">
    <sheetIdMap count="6">
      <sheetId val="1"/>
      <sheetId val="2"/>
      <sheetId val="3"/>
      <sheetId val="4"/>
      <sheetId val="5"/>
      <sheetId val="6"/>
    </sheetIdMap>
  </header>
  <header guid="{152E4483-5149-4DFC-B729-39F475C22B0D}" dateTime="2020-03-09T18:32:54" maxSheetId="7" userName="EXTERNAL Nguyen Kim Thanh (Ban Vien, RBVH/EPS45)" r:id="rId94" minRId="666" maxRId="668">
    <sheetIdMap count="6">
      <sheetId val="1"/>
      <sheetId val="2"/>
      <sheetId val="3"/>
      <sheetId val="4"/>
      <sheetId val="5"/>
      <sheetId val="6"/>
    </sheetIdMap>
  </header>
  <header guid="{B02DF523-8A90-429A-8D1A-B6F3CDEC8A8A}" dateTime="2020-03-09T19:37:51" maxSheetId="7" userName="EXTERNAL Nguyen Tuan Duong (Ban Vien, RBVH/EPS45)" r:id="rId95" minRId="669" maxRId="682">
    <sheetIdMap count="6">
      <sheetId val="1"/>
      <sheetId val="2"/>
      <sheetId val="3"/>
      <sheetId val="4"/>
      <sheetId val="5"/>
      <sheetId val="6"/>
    </sheetIdMap>
  </header>
  <header guid="{435CFB20-325A-4BEE-A99C-631EDB118EBD}" dateTime="2020-03-09T19:42:49" maxSheetId="7" userName="EXTERNAL Nguyen Tuan Duong (Ban Vien, RBVH/EPS45)" r:id="rId96" minRId="685" maxRId="756">
    <sheetIdMap count="6">
      <sheetId val="1"/>
      <sheetId val="2"/>
      <sheetId val="3"/>
      <sheetId val="4"/>
      <sheetId val="5"/>
      <sheetId val="6"/>
    </sheetIdMap>
  </header>
  <header guid="{811C28B9-09D6-4326-B36F-0D77924EFD6B}" dateTime="2020-03-09T19:45:57" maxSheetId="7" userName="EXTERNAL Nguyen Tuan Duong (Ban Vien, RBVH/EPS45)" r:id="rId97" minRId="759" maxRId="800">
    <sheetIdMap count="6">
      <sheetId val="1"/>
      <sheetId val="2"/>
      <sheetId val="3"/>
      <sheetId val="4"/>
      <sheetId val="5"/>
      <sheetId val="6"/>
    </sheetIdMap>
  </header>
  <header guid="{AC5056B5-4C8F-4F50-8076-852236E6ECA6}" dateTime="2020-03-09T19:49:30" maxSheetId="7" userName="EXTERNAL Nguyen Tuan Duong (Ban Vien, RBVH/EPS45)" r:id="rId98" minRId="803" maxRId="899">
    <sheetIdMap count="6">
      <sheetId val="1"/>
      <sheetId val="2"/>
      <sheetId val="3"/>
      <sheetId val="4"/>
      <sheetId val="5"/>
      <sheetId val="6"/>
    </sheetIdMap>
  </header>
  <header guid="{D12D248B-EFD3-4A00-8B22-AAE326A3E004}" dateTime="2020-03-09T19:49:39" maxSheetId="7" userName="EXTERNAL Nguyen Tuan Duong (Ban Vien, RBVH/EPS45)" r:id="rId99" minRId="902" maxRId="908">
    <sheetIdMap count="6">
      <sheetId val="1"/>
      <sheetId val="2"/>
      <sheetId val="3"/>
      <sheetId val="4"/>
      <sheetId val="5"/>
      <sheetId val="6"/>
    </sheetIdMap>
  </header>
  <header guid="{85BB3EB4-2FF5-46EE-A89B-16020B9BED57}" dateTime="2020-03-09T19:53:51" maxSheetId="7" userName="EXTERNAL Nguyen Tuan Duong (Ban Vien, RBVH/EPS45)" r:id="rId100" minRId="909" maxRId="910">
    <sheetIdMap count="6">
      <sheetId val="1"/>
      <sheetId val="2"/>
      <sheetId val="3"/>
      <sheetId val="4"/>
      <sheetId val="5"/>
      <sheetId val="6"/>
    </sheetIdMap>
  </header>
  <header guid="{6F33A1F1-ECB4-4B6D-AF40-278738BA30AE}" dateTime="2020-03-09T19:57:03" maxSheetId="7" userName="EXTERNAL Nguyen Tuan Duong (Ban Vien, RBVH/EPS45)" r:id="rId101" minRId="913" maxRId="1122">
    <sheetIdMap count="6">
      <sheetId val="1"/>
      <sheetId val="2"/>
      <sheetId val="3"/>
      <sheetId val="4"/>
      <sheetId val="5"/>
      <sheetId val="6"/>
    </sheetIdMap>
  </header>
  <header guid="{E69578E4-3EE9-402A-B07C-A84273DA19EA}" dateTime="2020-03-09T19:58:00" maxSheetId="7" userName="EXTERNAL Nguyen Tuan Duong (Ban Vien, RBVH/EPS45)" r:id="rId102">
    <sheetIdMap count="6">
      <sheetId val="1"/>
      <sheetId val="2"/>
      <sheetId val="3"/>
      <sheetId val="4"/>
      <sheetId val="5"/>
      <sheetId val="6"/>
    </sheetIdMap>
  </header>
  <header guid="{1F833B7A-29BC-4E31-BAC1-B9EF90639D75}" dateTime="2020-03-10T08:19:58" maxSheetId="7" userName="EXTERNAL Nguyen Tuan Duong (Ban Vien, RBVH/EPS45)" r:id="rId103" minRId="1127" maxRId="1148">
    <sheetIdMap count="6">
      <sheetId val="1"/>
      <sheetId val="2"/>
      <sheetId val="3"/>
      <sheetId val="4"/>
      <sheetId val="5"/>
      <sheetId val="6"/>
    </sheetIdMap>
  </header>
  <header guid="{1D2B327E-F5A6-4A72-AEAC-214FE99A9532}" dateTime="2020-03-10T08:31:43" maxSheetId="7" userName="EXTERNAL Nguyen Tuan Duong (Ban Vien, RBVH/EPS45)" r:id="rId104">
    <sheetIdMap count="6">
      <sheetId val="1"/>
      <sheetId val="2"/>
      <sheetId val="3"/>
      <sheetId val="4"/>
      <sheetId val="5"/>
      <sheetId val="6"/>
    </sheetIdMap>
  </header>
  <header guid="{62E4D075-F666-4170-B6B0-3AACE9AACCAA}" dateTime="2020-03-10T08:39:43" maxSheetId="7" userName="EXTERNAL Nguyen Tuan Duong (Ban Vien, RBVH/EPS45)" r:id="rId105" minRId="1153" maxRId="1167">
    <sheetIdMap count="6">
      <sheetId val="1"/>
      <sheetId val="2"/>
      <sheetId val="3"/>
      <sheetId val="4"/>
      <sheetId val="5"/>
      <sheetId val="6"/>
    </sheetIdMap>
  </header>
  <header guid="{D1F571AD-D38A-410A-A140-7FDDD3F1A0A5}" dateTime="2020-03-10T08:41:40" maxSheetId="7" userName="EXTERNAL Nguyen Tuan Duong (Ban Vien, RBVH/EPS45)" r:id="rId106" minRId="1168" maxRId="1251">
    <sheetIdMap count="6">
      <sheetId val="1"/>
      <sheetId val="2"/>
      <sheetId val="3"/>
      <sheetId val="4"/>
      <sheetId val="5"/>
      <sheetId val="6"/>
    </sheetIdMap>
  </header>
  <header guid="{79EDE5E5-2A6B-45EE-9BB1-35D94434E47E}" dateTime="2020-03-10T08:42:34" maxSheetId="7" userName="EXTERNAL Nguyen Tuan Duong (Ban Vien, RBVH/EPS45)" r:id="rId107" minRId="1254" maxRId="1267">
    <sheetIdMap count="6">
      <sheetId val="1"/>
      <sheetId val="2"/>
      <sheetId val="3"/>
      <sheetId val="4"/>
      <sheetId val="5"/>
      <sheetId val="6"/>
    </sheetIdMap>
  </header>
  <header guid="{FD5DBA67-A317-42AB-9A77-8B6E39B57F0D}" dateTime="2020-03-10T08:43:02" maxSheetId="7" userName="EXTERNAL Nguyen Tuan Duong (Ban Vien, RBVH/EPS45)" r:id="rId108">
    <sheetIdMap count="6">
      <sheetId val="1"/>
      <sheetId val="2"/>
      <sheetId val="3"/>
      <sheetId val="4"/>
      <sheetId val="5"/>
      <sheetId val="6"/>
    </sheetIdMap>
  </header>
  <header guid="{11C1AE71-0047-4D0A-95CB-213FEBB823B7}" dateTime="2020-03-10T08:43:23" maxSheetId="7" userName="EXTERNAL Nguyen Tuan Duong (Ban Vien, RBVH/EPS45)" r:id="rId109" minRId="1270" maxRId="1283">
    <sheetIdMap count="6">
      <sheetId val="1"/>
      <sheetId val="2"/>
      <sheetId val="3"/>
      <sheetId val="4"/>
      <sheetId val="5"/>
      <sheetId val="6"/>
    </sheetIdMap>
  </header>
  <header guid="{1FFACB10-CDA9-4C6B-99A2-B1EDD2A00B94}" dateTime="2020-03-10T08:45:33" maxSheetId="7" userName="EXTERNAL Do Phu Loc (Ban Vien, RBVH/EPS45)" r:id="rId110" minRId="1284" maxRId="1286">
    <sheetIdMap count="6">
      <sheetId val="1"/>
      <sheetId val="2"/>
      <sheetId val="3"/>
      <sheetId val="4"/>
      <sheetId val="5"/>
      <sheetId val="6"/>
    </sheetIdMap>
  </header>
  <header guid="{0A3E2949-D3C7-45A5-8639-97D62EAC5F39}" dateTime="2020-03-10T08:46:55" maxSheetId="7" userName="EXTERNAL Do Phu Loc (Ban Vien, RBVH/EPS45)" r:id="rId111" minRId="1290">
    <sheetIdMap count="6">
      <sheetId val="1"/>
      <sheetId val="2"/>
      <sheetId val="3"/>
      <sheetId val="4"/>
      <sheetId val="5"/>
      <sheetId val="6"/>
    </sheetIdMap>
  </header>
  <header guid="{820D7748-6FF8-47D0-BE5F-8C05D17DCC74}" dateTime="2020-03-10T08:48:25" maxSheetId="7" userName="EXTERNAL Nguyen Tuan Duong (Ban Vien, RBVH/EPS45)" r:id="rId112" minRId="1291" maxRId="1346">
    <sheetIdMap count="6">
      <sheetId val="1"/>
      <sheetId val="2"/>
      <sheetId val="3"/>
      <sheetId val="4"/>
      <sheetId val="5"/>
      <sheetId val="6"/>
    </sheetIdMap>
  </header>
  <header guid="{587F837A-235B-42A3-BF07-9523E1A2EF07}" dateTime="2020-03-10T08:48:48" maxSheetId="7" userName="EXTERNAL Nguyen Tuan Duong (Ban Vien, RBVH/EPS45)" r:id="rId113" minRId="1349" maxRId="1362">
    <sheetIdMap count="6">
      <sheetId val="1"/>
      <sheetId val="2"/>
      <sheetId val="3"/>
      <sheetId val="4"/>
      <sheetId val="5"/>
      <sheetId val="6"/>
    </sheetIdMap>
  </header>
  <header guid="{AACF63CA-221A-4A37-A893-F5AAA23E3EA2}" dateTime="2020-03-10T08:51:21" maxSheetId="7" userName="EXTERNAL Nguyen Tuan Duong (Ban Vien, RBVH/EPS45)" r:id="rId114" minRId="1363" maxRId="1370">
    <sheetIdMap count="6">
      <sheetId val="1"/>
      <sheetId val="2"/>
      <sheetId val="3"/>
      <sheetId val="4"/>
      <sheetId val="5"/>
      <sheetId val="6"/>
    </sheetIdMap>
  </header>
  <header guid="{387DCD0A-EE51-4CE9-A5A0-4BBCC5CA7A4A}" dateTime="2020-03-10T08:51:57" maxSheetId="7" userName="EXTERNAL Nguyen Tuan Duong (Ban Vien, RBVH/EPS45)" r:id="rId115" minRId="1371" maxRId="1376">
    <sheetIdMap count="6">
      <sheetId val="1"/>
      <sheetId val="2"/>
      <sheetId val="3"/>
      <sheetId val="4"/>
      <sheetId val="5"/>
      <sheetId val="6"/>
    </sheetIdMap>
  </header>
  <header guid="{577645E5-A793-4967-84B8-658B78B6328B}" dateTime="2020-03-10T08:54:51" maxSheetId="7" userName="EXTERNAL Nguyen Tuan Duong (Ban Vien, RBVH/EPS45)" r:id="rId116" minRId="1377" maxRId="1390">
    <sheetIdMap count="6">
      <sheetId val="1"/>
      <sheetId val="2"/>
      <sheetId val="3"/>
      <sheetId val="4"/>
      <sheetId val="5"/>
      <sheetId val="6"/>
    </sheetIdMap>
  </header>
  <header guid="{A2488863-2E71-4418-9F02-D1E0D5E67E5D}" dateTime="2020-03-10T09:09:28" maxSheetId="7" userName="EXTERNAL Do Phu Loc (Ban Vien, RBVH/EPS45)" r:id="rId117" minRId="1394" maxRId="1399">
    <sheetIdMap count="6">
      <sheetId val="1"/>
      <sheetId val="2"/>
      <sheetId val="3"/>
      <sheetId val="4"/>
      <sheetId val="5"/>
      <sheetId val="6"/>
    </sheetIdMap>
  </header>
  <header guid="{F712A78A-D7CE-47E2-86B6-221F00654425}" dateTime="2020-03-10T09:09:37" maxSheetId="7" userName="EXTERNAL Nguyen Tuan Duong (Ban Vien, RBVH/EPS45)" r:id="rId118">
    <sheetIdMap count="6">
      <sheetId val="1"/>
      <sheetId val="2"/>
      <sheetId val="3"/>
      <sheetId val="4"/>
      <sheetId val="5"/>
      <sheetId val="6"/>
    </sheetIdMap>
  </header>
  <header guid="{DC8ABC42-9292-44C9-9EF2-A85E758EC8EB}" dateTime="2020-03-10T09:10:30" maxSheetId="7" userName="EXTERNAL Nguyen Tuan Duong (Ban Vien, RBVH/EPS45)" r:id="rId119">
    <sheetIdMap count="6">
      <sheetId val="1"/>
      <sheetId val="2"/>
      <sheetId val="3"/>
      <sheetId val="4"/>
      <sheetId val="5"/>
      <sheetId val="6"/>
    </sheetIdMap>
  </header>
  <header guid="{32B399D4-FFC6-480F-BE26-D8AC5709B8BD}" dateTime="2020-03-10T09:25:54" maxSheetId="7" userName="EXTERNAL Nguyen Tuan Duong (Ban Vien, RBVH/EPS45)" r:id="rId120" minRId="1409">
    <sheetIdMap count="6">
      <sheetId val="1"/>
      <sheetId val="2"/>
      <sheetId val="3"/>
      <sheetId val="4"/>
      <sheetId val="5"/>
      <sheetId val="6"/>
    </sheetIdMap>
  </header>
  <header guid="{9108DD73-3710-49D1-827F-AEB989D54E69}" dateTime="2020-03-10T09:29:19" maxSheetId="7" userName="EXTERNAL Nguyen Tuan Duong (Ban Vien, RBVH/EPS45)" r:id="rId121" minRId="1412">
    <sheetIdMap count="6">
      <sheetId val="1"/>
      <sheetId val="2"/>
      <sheetId val="3"/>
      <sheetId val="4"/>
      <sheetId val="5"/>
      <sheetId val="6"/>
    </sheetIdMap>
  </header>
  <header guid="{E54C2D80-7A03-46B8-A9D3-3BE95064D2A5}" dateTime="2020-03-10T09:29:58" maxSheetId="7" userName="EXTERNAL Nguyen Kim Thanh (Ban Vien, RBVH/EPS45)" r:id="rId122" minRId="1415" maxRId="1416">
    <sheetIdMap count="6">
      <sheetId val="1"/>
      <sheetId val="2"/>
      <sheetId val="3"/>
      <sheetId val="4"/>
      <sheetId val="5"/>
      <sheetId val="6"/>
    </sheetIdMap>
  </header>
  <header guid="{EE1BAB2A-E8F7-447E-A098-C20164617C96}" dateTime="2020-03-10T09:31:22" maxSheetId="7" userName="EXTERNAL Nguyen Tuan Duong (Ban Vien, RBVH/EPS45)" r:id="rId123">
    <sheetIdMap count="6">
      <sheetId val="1"/>
      <sheetId val="2"/>
      <sheetId val="3"/>
      <sheetId val="4"/>
      <sheetId val="5"/>
      <sheetId val="6"/>
    </sheetIdMap>
  </header>
  <header guid="{DD90DFA7-FD36-4C28-9474-E07AA0BBBC66}" dateTime="2020-03-10T09:35:03" maxSheetId="7" userName="EXTERNAL Ly Chung (Ban Vien, RBVH/EPS45)" r:id="rId124" minRId="1423" maxRId="1430">
    <sheetIdMap count="6">
      <sheetId val="1"/>
      <sheetId val="2"/>
      <sheetId val="3"/>
      <sheetId val="4"/>
      <sheetId val="5"/>
      <sheetId val="6"/>
    </sheetIdMap>
  </header>
  <header guid="{11D42DFC-5C42-46A4-A5FE-08BAF7AE192D}" dateTime="2020-03-10T09:35:20" maxSheetId="7" userName="EXTERNAL Ly Chung (Ban Vien, RBVH/EPS45)" r:id="rId125">
    <sheetIdMap count="6">
      <sheetId val="1"/>
      <sheetId val="2"/>
      <sheetId val="3"/>
      <sheetId val="4"/>
      <sheetId val="5"/>
      <sheetId val="6"/>
    </sheetIdMap>
  </header>
  <header guid="{DF12E6AD-5D55-4DCD-B5C6-851E2D04E7A4}" dateTime="2020-03-10T09:35:20" maxSheetId="7" userName="EXTERNAL Ly Chung (Ban Vien, RBVH/EPS45)" r:id="rId126">
    <sheetIdMap count="6">
      <sheetId val="1"/>
      <sheetId val="2"/>
      <sheetId val="3"/>
      <sheetId val="4"/>
      <sheetId val="5"/>
      <sheetId val="6"/>
    </sheetIdMap>
  </header>
  <header guid="{B5F2EAC7-7ABD-4656-B729-12671862CFE9}" dateTime="2020-03-10T09:36:42" maxSheetId="7" userName="EXTERNAL Nguyen Tuan Duong (Ban Vien, RBVH/EPS45)" r:id="rId127" minRId="1440" maxRId="1441">
    <sheetIdMap count="6">
      <sheetId val="1"/>
      <sheetId val="2"/>
      <sheetId val="3"/>
      <sheetId val="4"/>
      <sheetId val="5"/>
      <sheetId val="6"/>
    </sheetIdMap>
  </header>
  <header guid="{31C88F49-10BA-47C6-99EC-C1E149C740BB}" dateTime="2020-03-10T09:38:20" maxSheetId="7" userName="EXTERNAL Ly Chung (Ban Vien, RBVH/EPS45)" r:id="rId128">
    <sheetIdMap count="6">
      <sheetId val="1"/>
      <sheetId val="2"/>
      <sheetId val="3"/>
      <sheetId val="4"/>
      <sheetId val="5"/>
      <sheetId val="6"/>
    </sheetIdMap>
  </header>
  <header guid="{DDE6E44D-678D-408F-88E3-BDA851C199AE}" dateTime="2020-03-10T09:46:16" maxSheetId="7" userName="EXTERNAL Nguyen Tuan Duong (Ban Vien, RBVH/EPS45)" r:id="rId129">
    <sheetIdMap count="6">
      <sheetId val="1"/>
      <sheetId val="2"/>
      <sheetId val="3"/>
      <sheetId val="4"/>
      <sheetId val="5"/>
      <sheetId val="6"/>
    </sheetIdMap>
  </header>
  <header guid="{6410124D-4D64-4DCC-B08F-3A757CF42780}" dateTime="2020-03-10T09:48:11" maxSheetId="7" userName="EXTERNAL Nguyen Tuan Duong (Ban Vien, RBVH/EPS45)" r:id="rId130">
    <sheetIdMap count="6">
      <sheetId val="1"/>
      <sheetId val="2"/>
      <sheetId val="3"/>
      <sheetId val="4"/>
      <sheetId val="5"/>
      <sheetId val="6"/>
    </sheetIdMap>
  </header>
  <header guid="{776FDABB-EB8C-42CA-A837-EF51C49008F5}" dateTime="2020-03-10T10:00:36" maxSheetId="7" userName="EXTERNAL Do Phu Loc (Ban Vien, RBVH/EPS45)" r:id="rId131" minRId="1451">
    <sheetIdMap count="6">
      <sheetId val="1"/>
      <sheetId val="2"/>
      <sheetId val="3"/>
      <sheetId val="4"/>
      <sheetId val="5"/>
      <sheetId val="6"/>
    </sheetIdMap>
  </header>
  <header guid="{983D5A67-85E3-4381-A5B9-4969CEAF826D}" dateTime="2020-03-10T10:01:53" maxSheetId="7" userName="EXTERNAL Nguyen Tuan Duong (Ban Vien, RBVH/EPS45)" r:id="rId132" minRId="1455" maxRId="1456">
    <sheetIdMap count="6">
      <sheetId val="1"/>
      <sheetId val="2"/>
      <sheetId val="3"/>
      <sheetId val="4"/>
      <sheetId val="5"/>
      <sheetId val="6"/>
    </sheetIdMap>
  </header>
  <header guid="{7B07F63D-8444-4EC4-87D7-28497452FEF7}" dateTime="2020-03-10T10:03:57" maxSheetId="7" userName="EXTERNAL Nguyen Tuan Duong (Ban Vien, RBVH/EPS45)" r:id="rId133">
    <sheetIdMap count="6">
      <sheetId val="1"/>
      <sheetId val="2"/>
      <sheetId val="3"/>
      <sheetId val="4"/>
      <sheetId val="5"/>
      <sheetId val="6"/>
    </sheetIdMap>
  </header>
  <header guid="{8A632036-B45F-44AA-AC14-F58453F31099}" dateTime="2020-03-10T10:21:50" maxSheetId="7" userName="EXTERNAL Nguyen Kim Thanh (Ban Vien, RBVH/EPS45)" r:id="rId134" minRId="1463" maxRId="1470">
    <sheetIdMap count="6">
      <sheetId val="1"/>
      <sheetId val="2"/>
      <sheetId val="3"/>
      <sheetId val="4"/>
      <sheetId val="5"/>
      <sheetId val="6"/>
    </sheetIdMap>
  </header>
  <header guid="{B8A48BEE-A932-46AC-BD5F-D710A550618D}" dateTime="2020-03-10T10:31:27" maxSheetId="7" userName="EXTERNAL Nguyen Kim Thanh (Ban Vien, RBVH/EPS45)" r:id="rId135" minRId="1474" maxRId="1481">
    <sheetIdMap count="6">
      <sheetId val="1"/>
      <sheetId val="2"/>
      <sheetId val="3"/>
      <sheetId val="4"/>
      <sheetId val="5"/>
      <sheetId val="6"/>
    </sheetIdMap>
  </header>
  <header guid="{A856173B-0B0B-4886-A651-BE7CC963800E}" dateTime="2020-03-10T10:33:51" maxSheetId="7" userName="EXTERNAL Nguyen Kim Thanh (Ban Vien, RBVH/EPS45)" r:id="rId136" minRId="1485" maxRId="1489">
    <sheetIdMap count="6">
      <sheetId val="1"/>
      <sheetId val="2"/>
      <sheetId val="3"/>
      <sheetId val="4"/>
      <sheetId val="5"/>
      <sheetId val="6"/>
    </sheetIdMap>
  </header>
  <header guid="{21B2239B-7BCB-412D-96CB-1EB5AEDC2F25}" dateTime="2020-03-10T10:45:38" maxSheetId="7" userName="EXTERNAL Nguyen Kim Thanh (Ban Vien, RBVH/EPS45)" r:id="rId137" minRId="1493" maxRId="1495">
    <sheetIdMap count="6">
      <sheetId val="1"/>
      <sheetId val="2"/>
      <sheetId val="3"/>
      <sheetId val="4"/>
      <sheetId val="5"/>
      <sheetId val="6"/>
    </sheetIdMap>
  </header>
  <header guid="{B7EE6123-6F40-4789-BC95-0929973C0716}" dateTime="2020-03-10T10:47:51" maxSheetId="7" userName="EXTERNAL Ly Chung (Ban Vien, RBVH/EPS45)" r:id="rId138" minRId="1499" maxRId="1506">
    <sheetIdMap count="6">
      <sheetId val="1"/>
      <sheetId val="2"/>
      <sheetId val="3"/>
      <sheetId val="4"/>
      <sheetId val="5"/>
      <sheetId val="6"/>
    </sheetIdMap>
  </header>
  <header guid="{23CE44A2-EC5E-4E48-AF27-8565AF1D122F}" dateTime="2020-03-10T10:49:45" maxSheetId="7" userName="EXTERNAL Ly Chung (Ban Vien, RBVH/EPS45)" r:id="rId139">
    <sheetIdMap count="6">
      <sheetId val="1"/>
      <sheetId val="2"/>
      <sheetId val="3"/>
      <sheetId val="4"/>
      <sheetId val="5"/>
      <sheetId val="6"/>
    </sheetIdMap>
  </header>
  <header guid="{AD0FE70F-76CE-4740-A08C-253EB182DC4B}" dateTime="2020-03-10T11:00:47" maxSheetId="8" userName="EXTERNAL Nguyen Trung Hieu (Ban Vien, RBVH/EPS45)" r:id="rId140" minRId="1513" maxRId="1751">
    <sheetIdMap count="7">
      <sheetId val="1"/>
      <sheetId val="7"/>
      <sheetId val="2"/>
      <sheetId val="3"/>
      <sheetId val="4"/>
      <sheetId val="5"/>
      <sheetId val="6"/>
    </sheetIdMap>
  </header>
  <header guid="{ED131BAE-F36B-4889-885F-A9A5B0CC3317}" dateTime="2020-03-10T11:04:35" maxSheetId="8" userName="EXTERNAL Nguyen Kim Thanh (Ban Vien, RBVH/EPS45)" r:id="rId141" minRId="1754" maxRId="1761">
    <sheetIdMap count="7">
      <sheetId val="1"/>
      <sheetId val="7"/>
      <sheetId val="2"/>
      <sheetId val="3"/>
      <sheetId val="4"/>
      <sheetId val="5"/>
      <sheetId val="6"/>
    </sheetIdMap>
  </header>
  <header guid="{4A03E42E-0C4E-45B7-B3CF-5E5FAD7474F0}" dateTime="2020-03-10T11:21:42" maxSheetId="8" userName="EXTERNAL Do Phu Loc (Ban Vien, RBVH/EPS45)" r:id="rId142" minRId="1765" maxRId="1769">
    <sheetIdMap count="7">
      <sheetId val="1"/>
      <sheetId val="7"/>
      <sheetId val="2"/>
      <sheetId val="3"/>
      <sheetId val="4"/>
      <sheetId val="5"/>
      <sheetId val="6"/>
    </sheetIdMap>
  </header>
  <header guid="{9897122C-7003-4B6F-A788-A9C1ECDD0CB9}" dateTime="2020-03-10T11:22:02" maxSheetId="8" userName="EXTERNAL Do Phu Loc (Ban Vien, RBVH/EPS45)" r:id="rId143" minRId="1773" maxRId="1777">
    <sheetIdMap count="7">
      <sheetId val="1"/>
      <sheetId val="7"/>
      <sheetId val="2"/>
      <sheetId val="3"/>
      <sheetId val="4"/>
      <sheetId val="5"/>
      <sheetId val="6"/>
    </sheetIdMap>
  </header>
  <header guid="{CD2FCFA1-6A4C-483B-964B-886DF364DA90}" dateTime="2020-03-10T11:35:05" maxSheetId="8" userName="EXTERNAL Ly Chung (Ban Vien, RBVH/EPS45)" r:id="rId144" minRId="1781" maxRId="1789">
    <sheetIdMap count="7">
      <sheetId val="1"/>
      <sheetId val="7"/>
      <sheetId val="2"/>
      <sheetId val="3"/>
      <sheetId val="4"/>
      <sheetId val="5"/>
      <sheetId val="6"/>
    </sheetIdMap>
  </header>
  <header guid="{19EA5CFC-DDBA-4375-A6E1-5DC2C35FA3CF}" dateTime="2020-03-10T11:52:02" maxSheetId="8" userName="EXTERNAL Nguyen Kim Thanh (Ban Vien, RBVH/EPS45)" r:id="rId145" minRId="1793" maxRId="1804">
    <sheetIdMap count="7">
      <sheetId val="1"/>
      <sheetId val="7"/>
      <sheetId val="2"/>
      <sheetId val="3"/>
      <sheetId val="4"/>
      <sheetId val="5"/>
      <sheetId val="6"/>
    </sheetIdMap>
  </header>
  <header guid="{1E8B0106-83C8-405C-A51C-62A63DDD118E}" dateTime="2020-03-10T11:52:50" maxSheetId="8" userName="EXTERNAL Nguyen Kim Thanh (Ban Vien, RBVH/EPS45)" r:id="rId146" minRId="1808">
    <sheetIdMap count="7">
      <sheetId val="1"/>
      <sheetId val="7"/>
      <sheetId val="2"/>
      <sheetId val="3"/>
      <sheetId val="4"/>
      <sheetId val="5"/>
      <sheetId val="6"/>
    </sheetIdMap>
  </header>
  <header guid="{3CD5EB23-2B69-4A2A-BF62-F3815E8D583C}" dateTime="2020-03-10T11:54:09" maxSheetId="8" userName="EXTERNAL Nguyen Kim Thanh (Ban Vien, RBVH/EPS45)" r:id="rId147" minRId="1812" maxRId="1828">
    <sheetIdMap count="7">
      <sheetId val="1"/>
      <sheetId val="7"/>
      <sheetId val="2"/>
      <sheetId val="3"/>
      <sheetId val="4"/>
      <sheetId val="5"/>
      <sheetId val="6"/>
    </sheetIdMap>
  </header>
  <header guid="{DE5AB5C0-31A0-48D5-9064-3D27042CFD81}" dateTime="2020-03-10T11:54:20" maxSheetId="8" userName="EXTERNAL Nguyen Kim Thanh (Ban Vien, RBVH/EPS45)" r:id="rId148" minRId="1832">
    <sheetIdMap count="7">
      <sheetId val="1"/>
      <sheetId val="7"/>
      <sheetId val="2"/>
      <sheetId val="3"/>
      <sheetId val="4"/>
      <sheetId val="5"/>
      <sheetId val="6"/>
    </sheetIdMap>
  </header>
  <header guid="{32173A2F-CBDE-4BDA-8C50-45B2AA47900E}" dateTime="2020-03-10T11:54:42" maxSheetId="8" userName="EXTERNAL Nguyen Kim Thanh (Ban Vien, RBVH/EPS45)" r:id="rId149" minRId="1833" maxRId="1834">
    <sheetIdMap count="7">
      <sheetId val="1"/>
      <sheetId val="7"/>
      <sheetId val="2"/>
      <sheetId val="3"/>
      <sheetId val="4"/>
      <sheetId val="5"/>
      <sheetId val="6"/>
    </sheetIdMap>
  </header>
  <header guid="{7917D56B-7FDA-4D72-92B1-FC1AEF25EE7A}" dateTime="2020-03-10T11:55:42" maxSheetId="8" userName="EXTERNAL Nguyen Kim Thanh (Ban Vien, RBVH/EPS45)" r:id="rId150" minRId="1835" maxRId="1837">
    <sheetIdMap count="7">
      <sheetId val="1"/>
      <sheetId val="7"/>
      <sheetId val="2"/>
      <sheetId val="3"/>
      <sheetId val="4"/>
      <sheetId val="5"/>
      <sheetId val="6"/>
    </sheetIdMap>
  </header>
  <header guid="{4D7FCC53-6DDA-41D7-AB8A-98FF93EE4D90}" dateTime="2020-03-10T13:07:46" maxSheetId="8" userName="EXTERNAL Ly Chung (Ban Vien, RBVH/EPS45)" r:id="rId151">
    <sheetIdMap count="7">
      <sheetId val="1"/>
      <sheetId val="7"/>
      <sheetId val="2"/>
      <sheetId val="3"/>
      <sheetId val="4"/>
      <sheetId val="5"/>
      <sheetId val="6"/>
    </sheetIdMap>
  </header>
  <header guid="{18E27DC6-2A9C-498B-B770-7248529DA02F}" dateTime="2020-03-10T13:44:02" maxSheetId="8" userName="EXTERNAL Do Phu Loc (Ban Vien, RBVH/EPS45)" r:id="rId152" minRId="1844" maxRId="1851">
    <sheetIdMap count="7">
      <sheetId val="1"/>
      <sheetId val="7"/>
      <sheetId val="2"/>
      <sheetId val="3"/>
      <sheetId val="4"/>
      <sheetId val="5"/>
      <sheetId val="6"/>
    </sheetIdMap>
  </header>
  <header guid="{6897566B-EBF5-4126-A4A2-A99A7D300331}" dateTime="2020-03-10T13:44:21" maxSheetId="8" userName="EXTERNAL Do Phu Loc (Ban Vien, RBVH/EPS45)" r:id="rId153" minRId="1855">
    <sheetIdMap count="7">
      <sheetId val="1"/>
      <sheetId val="7"/>
      <sheetId val="2"/>
      <sheetId val="3"/>
      <sheetId val="4"/>
      <sheetId val="5"/>
      <sheetId val="6"/>
    </sheetIdMap>
  </header>
  <header guid="{5E4BE28E-DE0B-4A2F-9925-C77691655193}" dateTime="2020-03-10T13:59:00" maxSheetId="8" userName="EXTERNAL Ly Chung (Ban Vien, RBVH/EPS45)" r:id="rId154">
    <sheetIdMap count="7">
      <sheetId val="1"/>
      <sheetId val="7"/>
      <sheetId val="2"/>
      <sheetId val="3"/>
      <sheetId val="4"/>
      <sheetId val="5"/>
      <sheetId val="6"/>
    </sheetIdMap>
  </header>
  <header guid="{5E1CE7FC-81EC-47B5-8FE2-2FE51A1D9DCF}" dateTime="2020-03-10T14:03:04" maxSheetId="8" userName="EXTERNAL Ly Chung (Ban Vien, RBVH/EPS45)" r:id="rId155" minRId="1859" maxRId="1868">
    <sheetIdMap count="7">
      <sheetId val="1"/>
      <sheetId val="7"/>
      <sheetId val="2"/>
      <sheetId val="3"/>
      <sheetId val="4"/>
      <sheetId val="5"/>
      <sheetId val="6"/>
    </sheetIdMap>
  </header>
  <header guid="{4651BC7E-20C8-4032-9486-38B1B2ACE16A}" dateTime="2020-03-10T14:04:26" maxSheetId="8" userName="EXTERNAL Ly Chung (Ban Vien, RBVH/EPS45)" r:id="rId156">
    <sheetIdMap count="7">
      <sheetId val="1"/>
      <sheetId val="7"/>
      <sheetId val="2"/>
      <sheetId val="3"/>
      <sheetId val="4"/>
      <sheetId val="5"/>
      <sheetId val="6"/>
    </sheetIdMap>
  </header>
  <header guid="{0731A38C-2159-42B4-856A-4A054B58CDBE}" dateTime="2020-03-10T14:21:49" maxSheetId="8" userName="EXTERNAL Nguyen Kim Thanh (Ban Vien, RBVH/EPS45)" r:id="rId157" minRId="1875" maxRId="1881">
    <sheetIdMap count="7">
      <sheetId val="1"/>
      <sheetId val="7"/>
      <sheetId val="2"/>
      <sheetId val="3"/>
      <sheetId val="4"/>
      <sheetId val="5"/>
      <sheetId val="6"/>
    </sheetIdMap>
  </header>
  <header guid="{D360BD77-9EA5-4D4C-B6D0-28FD9A784CEA}" dateTime="2020-03-10T14:21:59" maxSheetId="8" userName="EXTERNAL Nguyen Kim Thanh (Ban Vien, RBVH/EPS45)" r:id="rId158" minRId="1885">
    <sheetIdMap count="7">
      <sheetId val="1"/>
      <sheetId val="7"/>
      <sheetId val="2"/>
      <sheetId val="3"/>
      <sheetId val="4"/>
      <sheetId val="5"/>
      <sheetId val="6"/>
    </sheetIdMap>
  </header>
  <header guid="{91362726-2306-46C3-ABA4-76D8CFE4AD70}" dateTime="2020-03-10T14:42:31" maxSheetId="8" userName="EXTERNAL Do Phu Loc (Ban Vien, RBVH/EPS45)" r:id="rId159" minRId="1886" maxRId="1894">
    <sheetIdMap count="7">
      <sheetId val="1"/>
      <sheetId val="7"/>
      <sheetId val="2"/>
      <sheetId val="3"/>
      <sheetId val="4"/>
      <sheetId val="5"/>
      <sheetId val="6"/>
    </sheetIdMap>
  </header>
  <header guid="{EF1E8FEC-7E22-4B9B-9CFC-604B2FEC4AE3}" dateTime="2020-03-10T14:44:20" maxSheetId="8" userName="EXTERNAL Do Phu Loc (Ban Vien, RBVH/EPS45)" r:id="rId160" minRId="1898" maxRId="1899">
    <sheetIdMap count="7">
      <sheetId val="1"/>
      <sheetId val="7"/>
      <sheetId val="2"/>
      <sheetId val="3"/>
      <sheetId val="4"/>
      <sheetId val="5"/>
      <sheetId val="6"/>
    </sheetIdMap>
  </header>
  <header guid="{5D095A50-D4D2-4632-B26F-9418F254DEDB}" dateTime="2020-03-10T14:45:45" maxSheetId="8" userName="EXTERNAL Nguyen Kim Thanh (Ban Vien, RBVH/EPS45)" r:id="rId161" minRId="1900" maxRId="1907">
    <sheetIdMap count="7">
      <sheetId val="1"/>
      <sheetId val="7"/>
      <sheetId val="2"/>
      <sheetId val="3"/>
      <sheetId val="4"/>
      <sheetId val="5"/>
      <sheetId val="6"/>
    </sheetIdMap>
  </header>
  <header guid="{AE0FD172-621D-424F-AE81-01ABAA4BFDA8}" dateTime="2020-03-10T14:45:51" maxSheetId="8" userName="EXTERNAL Nguyen Kim Thanh (Ban Vien, RBVH/EPS45)" r:id="rId162" minRId="1911">
    <sheetIdMap count="7">
      <sheetId val="1"/>
      <sheetId val="7"/>
      <sheetId val="2"/>
      <sheetId val="3"/>
      <sheetId val="4"/>
      <sheetId val="5"/>
      <sheetId val="6"/>
    </sheetIdMap>
  </header>
  <header guid="{256CC32C-48F4-4A12-835D-99E8AF1B312E}" dateTime="2020-03-10T14:48:37" maxSheetId="8" userName="EXTERNAL Nguyen Kim Thanh (Ban Vien, RBVH/EPS45)" r:id="rId163" minRId="1912" maxRId="1914">
    <sheetIdMap count="7">
      <sheetId val="1"/>
      <sheetId val="7"/>
      <sheetId val="2"/>
      <sheetId val="3"/>
      <sheetId val="4"/>
      <sheetId val="5"/>
      <sheetId val="6"/>
    </sheetIdMap>
  </header>
  <header guid="{80408CEB-C730-47E5-A719-1F330B058D1A}" dateTime="2020-03-10T15:21:57" maxSheetId="8" userName="EXTERNAL Ly Chung (Ban Vien, RBVH/EPS45)" r:id="rId164" minRId="1918" maxRId="1925">
    <sheetIdMap count="7">
      <sheetId val="1"/>
      <sheetId val="7"/>
      <sheetId val="2"/>
      <sheetId val="3"/>
      <sheetId val="4"/>
      <sheetId val="5"/>
      <sheetId val="6"/>
    </sheetIdMap>
  </header>
  <header guid="{9713285E-E0AD-4445-B016-1B2A4584BAF3}" dateTime="2020-03-10T15:24:09" maxSheetId="8" userName="EXTERNAL Ly Chung (Ban Vien, RBVH/EPS45)" r:id="rId165" minRId="1929" maxRId="1937">
    <sheetIdMap count="7">
      <sheetId val="1"/>
      <sheetId val="7"/>
      <sheetId val="2"/>
      <sheetId val="3"/>
      <sheetId val="4"/>
      <sheetId val="5"/>
      <sheetId val="6"/>
    </sheetIdMap>
  </header>
  <header guid="{88F7EF0B-2777-4803-9391-B0A3BBE3A63C}" dateTime="2020-03-10T16:01:02" maxSheetId="8" userName="EXTERNAL Do Phu Loc (Ban Vien, RBVH/EPS45)" r:id="rId166" minRId="1941" maxRId="1948">
    <sheetIdMap count="7">
      <sheetId val="1"/>
      <sheetId val="7"/>
      <sheetId val="2"/>
      <sheetId val="3"/>
      <sheetId val="4"/>
      <sheetId val="5"/>
      <sheetId val="6"/>
    </sheetIdMap>
  </header>
  <header guid="{948AA615-A5BA-4BC7-B804-22B575CF8BAE}" dateTime="2020-03-10T16:01:13" maxSheetId="8" userName="EXTERNAL Do Phu Loc (Ban Vien, RBVH/EPS45)" r:id="rId167" minRId="1952" maxRId="1953">
    <sheetIdMap count="7">
      <sheetId val="1"/>
      <sheetId val="7"/>
      <sheetId val="2"/>
      <sheetId val="3"/>
      <sheetId val="4"/>
      <sheetId val="5"/>
      <sheetId val="6"/>
    </sheetIdMap>
  </header>
  <header guid="{F0E584CB-C823-4D72-B38C-9068E51DD7DF}" dateTime="2020-03-10T18:01:10" maxSheetId="8" userName="EXTERNAL Nguyen Kim Thanh (Ban Vien, RBVH/EPS45)" r:id="rId168" minRId="1954" maxRId="1963">
    <sheetIdMap count="7">
      <sheetId val="1"/>
      <sheetId val="7"/>
      <sheetId val="2"/>
      <sheetId val="3"/>
      <sheetId val="4"/>
      <sheetId val="5"/>
      <sheetId val="6"/>
    </sheetIdMap>
  </header>
  <header guid="{7F9BC869-5FBC-43F2-A821-4257F93786C6}" dateTime="2020-03-10T18:07:21" maxSheetId="8" userName="EXTERNAL Nguyen Kim Thanh (Ban Vien, RBVH/EPS45)" r:id="rId169" minRId="1967">
    <sheetIdMap count="7">
      <sheetId val="1"/>
      <sheetId val="7"/>
      <sheetId val="2"/>
      <sheetId val="3"/>
      <sheetId val="4"/>
      <sheetId val="5"/>
      <sheetId val="6"/>
    </sheetIdMap>
  </header>
  <header guid="{CE5770CD-8D4E-4AF8-83D3-4159B59398A2}" dateTime="2020-03-10T18:21:00" maxSheetId="8" userName="EXTERNAL Nguyen Kim Thanh (Ban Vien, RBVH/EPS45)" r:id="rId170" minRId="1971" maxRId="1972">
    <sheetIdMap count="7">
      <sheetId val="1"/>
      <sheetId val="7"/>
      <sheetId val="2"/>
      <sheetId val="3"/>
      <sheetId val="4"/>
      <sheetId val="5"/>
      <sheetId val="6"/>
    </sheetIdMap>
  </header>
  <header guid="{F73C4CBA-2670-4FBB-9F0E-5187984EA139}" dateTime="2020-03-10T18:24:07" maxSheetId="8" userName="EXTERNAL Ly Chung (Ban Vien, RBVH/EPS45)" r:id="rId171" minRId="1976" maxRId="1985">
    <sheetIdMap count="7">
      <sheetId val="1"/>
      <sheetId val="7"/>
      <sheetId val="2"/>
      <sheetId val="3"/>
      <sheetId val="4"/>
      <sheetId val="5"/>
      <sheetId val="6"/>
    </sheetIdMap>
  </header>
  <header guid="{0EBCCC0C-6CF7-4FF8-9092-9A75719039CA}" dateTime="2020-03-10T18:24:33" maxSheetId="8" userName="EXTERNAL Ly Chung (Ban Vien, RBVH/EPS45)" r:id="rId172" minRId="1989" maxRId="1991">
    <sheetIdMap count="7">
      <sheetId val="1"/>
      <sheetId val="7"/>
      <sheetId val="2"/>
      <sheetId val="3"/>
      <sheetId val="4"/>
      <sheetId val="5"/>
      <sheetId val="6"/>
    </sheetIdMap>
  </header>
  <header guid="{358583AA-75CC-4B59-90B4-910F5A5D35EC}" dateTime="2020-03-11T07:59:05" maxSheetId="8" userName="EXTERNAL Nguyen Tuan Duong (Ban Vien, RBVH/EPS45)" r:id="rId173" minRId="1995" maxRId="2009">
    <sheetIdMap count="7">
      <sheetId val="1"/>
      <sheetId val="7"/>
      <sheetId val="2"/>
      <sheetId val="3"/>
      <sheetId val="4"/>
      <sheetId val="5"/>
      <sheetId val="6"/>
    </sheetIdMap>
  </header>
  <header guid="{2A2BEDE8-2048-414B-9BE6-C885D6C457C3}" dateTime="2020-03-11T08:10:59" maxSheetId="8" userName="EXTERNAL Nguyen Tuan Duong (Ban Vien, RBVH/EPS45)" r:id="rId174">
    <sheetIdMap count="7">
      <sheetId val="1"/>
      <sheetId val="7"/>
      <sheetId val="2"/>
      <sheetId val="3"/>
      <sheetId val="4"/>
      <sheetId val="5"/>
      <sheetId val="6"/>
    </sheetIdMap>
  </header>
  <header guid="{7DC8220D-2033-4C7F-8547-F2B13F148B62}" dateTime="2020-03-11T08:18:38" maxSheetId="8" userName="EXTERNAL Nguyen Tuan Duong (Ban Vien, RBVH/EPS45)" r:id="rId175">
    <sheetIdMap count="7">
      <sheetId val="1"/>
      <sheetId val="7"/>
      <sheetId val="2"/>
      <sheetId val="3"/>
      <sheetId val="4"/>
      <sheetId val="5"/>
      <sheetId val="6"/>
    </sheetIdMap>
  </header>
  <header guid="{8B83AEB2-6FE5-4285-B26B-B4C65FDA74AA}" dateTime="2020-03-11T10:10:04" maxSheetId="8" userName="EXTERNAL Do Phu Loc (Ban Vien, RBVH/EPS45)" r:id="rId176" minRId="2016" maxRId="2017">
    <sheetIdMap count="7">
      <sheetId val="1"/>
      <sheetId val="7"/>
      <sheetId val="2"/>
      <sheetId val="3"/>
      <sheetId val="4"/>
      <sheetId val="5"/>
      <sheetId val="6"/>
    </sheetIdMap>
  </header>
  <header guid="{1A909E60-52BB-4871-9F56-3050B15A5947}" dateTime="2020-03-11T10:11:10" maxSheetId="8" userName="EXTERNAL Do Phu Loc (Ban Vien, RBVH/EPS45)" r:id="rId177" minRId="2021">
    <sheetIdMap count="7">
      <sheetId val="1"/>
      <sheetId val="7"/>
      <sheetId val="2"/>
      <sheetId val="3"/>
      <sheetId val="4"/>
      <sheetId val="5"/>
      <sheetId val="6"/>
    </sheetIdMap>
  </header>
  <header guid="{CA019744-BDF1-41CF-91C8-481FE0C2BDBD}" dateTime="2020-03-11T10:15:07" maxSheetId="8" userName="EXTERNAL Do Phu Loc (Ban Vien, RBVH/EPS45)" r:id="rId178" minRId="2025" maxRId="2026">
    <sheetIdMap count="7">
      <sheetId val="1"/>
      <sheetId val="7"/>
      <sheetId val="2"/>
      <sheetId val="3"/>
      <sheetId val="4"/>
      <sheetId val="5"/>
      <sheetId val="6"/>
    </sheetIdMap>
  </header>
  <header guid="{47FD8A02-98F0-406A-AD66-A1E5AEFDFD58}" dateTime="2020-03-11T10:36:32" maxSheetId="8" userName="EXTERNAL Nguyen Tuan Duong (Ban Vien, RBVH/EPS45)" r:id="rId179" minRId="2030" maxRId="2031">
    <sheetIdMap count="7">
      <sheetId val="1"/>
      <sheetId val="7"/>
      <sheetId val="2"/>
      <sheetId val="3"/>
      <sheetId val="4"/>
      <sheetId val="5"/>
      <sheetId val="6"/>
    </sheetIdMap>
  </header>
  <header guid="{54B0C204-49B6-460F-B2DB-F9EFE2E535CA}" dateTime="2020-03-11T10:36:43" maxSheetId="8" userName="EXTERNAL Nguyen Tuan Duong (Ban Vien, RBVH/EPS45)" r:id="rId180">
    <sheetIdMap count="7">
      <sheetId val="1"/>
      <sheetId val="7"/>
      <sheetId val="2"/>
      <sheetId val="3"/>
      <sheetId val="4"/>
      <sheetId val="5"/>
      <sheetId val="6"/>
    </sheetIdMap>
  </header>
  <header guid="{646EBC4D-196B-419F-A690-99C490E46BF0}" dateTime="2020-03-11T10:36:58" maxSheetId="8" userName="EXTERNAL Nguyen Kim Thanh (Ban Vien, RBVH/EPS45)" r:id="rId181" minRId="2038" maxRId="2042">
    <sheetIdMap count="7">
      <sheetId val="1"/>
      <sheetId val="7"/>
      <sheetId val="2"/>
      <sheetId val="3"/>
      <sheetId val="4"/>
      <sheetId val="5"/>
      <sheetId val="6"/>
    </sheetIdMap>
  </header>
  <header guid="{201C5816-29B3-4EB9-889E-5E0D9E244F34}" dateTime="2020-03-11T10:37:06" maxSheetId="8" userName="EXTERNAL Nguyen Kim Thanh (Ban Vien, RBVH/EPS45)" r:id="rId182">
    <sheetIdMap count="7">
      <sheetId val="1"/>
      <sheetId val="7"/>
      <sheetId val="2"/>
      <sheetId val="3"/>
      <sheetId val="4"/>
      <sheetId val="5"/>
      <sheetId val="6"/>
    </sheetIdMap>
  </header>
  <header guid="{0E3038AE-2973-4F84-A138-34EAB301D309}" dateTime="2020-03-11T10:45:33" maxSheetId="8" userName="EXTERNAL Do Phu Loc (Ban Vien, RBVH/EPS45)" r:id="rId183">
    <sheetIdMap count="7">
      <sheetId val="1"/>
      <sheetId val="7"/>
      <sheetId val="2"/>
      <sheetId val="3"/>
      <sheetId val="4"/>
      <sheetId val="5"/>
      <sheetId val="6"/>
    </sheetIdMap>
  </header>
  <header guid="{994A411C-10E7-4215-9A82-4EA44C2EB106}" dateTime="2020-03-11T10:46:30" maxSheetId="8" userName="EXTERNAL Do Phu Loc (Ban Vien, RBVH/EPS45)" r:id="rId184">
    <sheetIdMap count="7">
      <sheetId val="1"/>
      <sheetId val="7"/>
      <sheetId val="2"/>
      <sheetId val="3"/>
      <sheetId val="4"/>
      <sheetId val="5"/>
      <sheetId val="6"/>
    </sheetIdMap>
  </header>
  <header guid="{280AEDAD-1ECD-4D5B-833D-69EB00F9D139}" dateTime="2020-03-11T10:54:22" maxSheetId="8" userName="EXTERNAL Nguyen Kim Thanh (Ban Vien, RBVH/EPS45)" r:id="rId185" minRId="2055" maxRId="2063">
    <sheetIdMap count="7">
      <sheetId val="1"/>
      <sheetId val="7"/>
      <sheetId val="2"/>
      <sheetId val="3"/>
      <sheetId val="4"/>
      <sheetId val="5"/>
      <sheetId val="6"/>
    </sheetIdMap>
  </header>
  <header guid="{162EFA7E-1854-4A37-9A37-33383B2FA07E}" dateTime="2020-03-11T11:00:16" maxSheetId="8" userName="EXTERNAL Do Phu Loc (Ban Vien, RBVH/EPS45)" r:id="rId186" minRId="2067">
    <sheetIdMap count="7">
      <sheetId val="1"/>
      <sheetId val="7"/>
      <sheetId val="2"/>
      <sheetId val="3"/>
      <sheetId val="4"/>
      <sheetId val="5"/>
      <sheetId val="6"/>
    </sheetIdMap>
  </header>
  <header guid="{0243374A-6D3E-481E-8052-4DF048878CA5}" dateTime="2020-03-11T11:05:37" maxSheetId="8" userName="EXTERNAL Do Phu Loc (Ban Vien, RBVH/EPS45)" r:id="rId187">
    <sheetIdMap count="7">
      <sheetId val="1"/>
      <sheetId val="7"/>
      <sheetId val="2"/>
      <sheetId val="3"/>
      <sheetId val="4"/>
      <sheetId val="5"/>
      <sheetId val="6"/>
    </sheetIdMap>
  </header>
  <header guid="{66A48CA4-6114-46CF-92F1-5B9ACC5AFA6A}" dateTime="2020-03-11T11:08:40" maxSheetId="8" userName="EXTERNAL Nguyen Kim Thanh (Ban Vien, RBVH/EPS45)" r:id="rId188" minRId="2071" maxRId="2079">
    <sheetIdMap count="7">
      <sheetId val="1"/>
      <sheetId val="7"/>
      <sheetId val="2"/>
      <sheetId val="3"/>
      <sheetId val="4"/>
      <sheetId val="5"/>
      <sheetId val="6"/>
    </sheetIdMap>
  </header>
  <header guid="{3431CCDC-2951-4AEF-92AA-6953CA985B53}" dateTime="2020-03-11T11:11:55" maxSheetId="8" userName="EXTERNAL Nguyen Kim Thanh (Ban Vien, RBVH/EPS45)" r:id="rId189" minRId="2083">
    <sheetIdMap count="7">
      <sheetId val="1"/>
      <sheetId val="7"/>
      <sheetId val="2"/>
      <sheetId val="3"/>
      <sheetId val="4"/>
      <sheetId val="5"/>
      <sheetId val="6"/>
    </sheetIdMap>
  </header>
  <header guid="{0073BFDE-A85E-4989-91EE-B553D61D43D1}" dateTime="2020-03-11T11:12:44" maxSheetId="8" userName="EXTERNAL Ly Chung (Ban Vien, RBVH/EPS45)" r:id="rId190" minRId="2084" maxRId="2092">
    <sheetIdMap count="7">
      <sheetId val="1"/>
      <sheetId val="7"/>
      <sheetId val="2"/>
      <sheetId val="3"/>
      <sheetId val="4"/>
      <sheetId val="5"/>
      <sheetId val="6"/>
    </sheetIdMap>
  </header>
  <header guid="{F460C403-0659-4826-81D1-F1CB1662B497}" dateTime="2020-03-11T11:13:13" maxSheetId="8" userName="EXTERNAL Ly Chung (Ban Vien, RBVH/EPS45)" r:id="rId191" minRId="2096">
    <sheetIdMap count="7">
      <sheetId val="1"/>
      <sheetId val="7"/>
      <sheetId val="2"/>
      <sheetId val="3"/>
      <sheetId val="4"/>
      <sheetId val="5"/>
      <sheetId val="6"/>
    </sheetIdMap>
  </header>
  <header guid="{5A730B5E-442D-4CA4-BD0E-D41E886FB4A4}" dateTime="2020-03-11T11:13:24" maxSheetId="8" userName="EXTERNAL Ly Chung (Ban Vien, RBVH/EPS45)" r:id="rId192">
    <sheetIdMap count="7">
      <sheetId val="1"/>
      <sheetId val="7"/>
      <sheetId val="2"/>
      <sheetId val="3"/>
      <sheetId val="4"/>
      <sheetId val="5"/>
      <sheetId val="6"/>
    </sheetIdMap>
  </header>
  <header guid="{48C4EEFB-2A20-46DF-BFEA-F3780676CA43}" dateTime="2020-03-11T11:15:40" maxSheetId="8" userName="EXTERNAL Ly Chung (Ban Vien, RBVH/EPS45)" r:id="rId193">
    <sheetIdMap count="7">
      <sheetId val="1"/>
      <sheetId val="7"/>
      <sheetId val="2"/>
      <sheetId val="3"/>
      <sheetId val="4"/>
      <sheetId val="5"/>
      <sheetId val="6"/>
    </sheetIdMap>
  </header>
  <header guid="{68E4C50B-2141-4DBB-AB3A-7572CE8BE201}" dateTime="2020-03-11T11:16:44" maxSheetId="8" userName="EXTERNAL Ly Chung (Ban Vien, RBVH/EPS45)" r:id="rId194">
    <sheetIdMap count="7">
      <sheetId val="1"/>
      <sheetId val="7"/>
      <sheetId val="2"/>
      <sheetId val="3"/>
      <sheetId val="4"/>
      <sheetId val="5"/>
      <sheetId val="6"/>
    </sheetIdMap>
  </header>
  <header guid="{6B2E2F58-B06C-45EE-BAFB-C3C8F2FD177D}" dateTime="2020-03-11T11:40:14" maxSheetId="8" userName="EXTERNAL Nguyen Kim Thanh (Ban Vien, RBVH/EPS45)" r:id="rId195" minRId="2109" maxRId="2117">
    <sheetIdMap count="7">
      <sheetId val="1"/>
      <sheetId val="7"/>
      <sheetId val="2"/>
      <sheetId val="3"/>
      <sheetId val="4"/>
      <sheetId val="5"/>
      <sheetId val="6"/>
    </sheetIdMap>
  </header>
  <header guid="{94AE1C65-213F-4609-993D-8473FE438049}" dateTime="2020-03-11T12:37:35" maxSheetId="8" userName="EXTERNAL Nguyen Tuan Duong (Ban Vien, RBVH/EPS45)" r:id="rId196" minRId="2121" maxRId="2126">
    <sheetIdMap count="7">
      <sheetId val="1"/>
      <sheetId val="7"/>
      <sheetId val="2"/>
      <sheetId val="3"/>
      <sheetId val="4"/>
      <sheetId val="5"/>
      <sheetId val="6"/>
    </sheetIdMap>
  </header>
  <header guid="{8D0ED02E-1F2F-4AE2-9233-1F86F1120420}" dateTime="2020-03-11T12:37:47" maxSheetId="8" userName="EXTERNAL Nguyen Tuan Duong (Ban Vien, RBVH/EPS45)" r:id="rId197" minRId="2130" maxRId="2133">
    <sheetIdMap count="7">
      <sheetId val="1"/>
      <sheetId val="7"/>
      <sheetId val="2"/>
      <sheetId val="3"/>
      <sheetId val="4"/>
      <sheetId val="5"/>
      <sheetId val="6"/>
    </sheetIdMap>
  </header>
  <header guid="{00AE0E1B-1FF3-4F03-8C2F-2B2D310C76F3}" dateTime="2020-03-11T12:37:52" maxSheetId="8" userName="EXTERNAL Nguyen Tuan Duong (Ban Vien, RBVH/EPS45)" r:id="rId198" minRId="2134" maxRId="2135">
    <sheetIdMap count="7">
      <sheetId val="1"/>
      <sheetId val="7"/>
      <sheetId val="2"/>
      <sheetId val="3"/>
      <sheetId val="4"/>
      <sheetId val="5"/>
      <sheetId val="6"/>
    </sheetIdMap>
  </header>
  <header guid="{6219C266-7C49-4D64-9DA9-1BC0742756E8}" dateTime="2020-03-11T12:39:09" maxSheetId="8" userName="EXTERNAL Nguyen Tuan Duong (Ban Vien, RBVH/EPS45)" r:id="rId199" minRId="2139" maxRId="2149">
    <sheetIdMap count="7">
      <sheetId val="1"/>
      <sheetId val="7"/>
      <sheetId val="2"/>
      <sheetId val="3"/>
      <sheetId val="4"/>
      <sheetId val="5"/>
      <sheetId val="6"/>
    </sheetIdMap>
  </header>
  <header guid="{47CACDD7-FF48-4817-AB84-A5ADDB4B19C4}" dateTime="2020-03-11T13:06:24" maxSheetId="8" userName="EXTERNAL Nguyen Kim Thanh (Ban Vien, RBVH/EPS45)" r:id="rId200" minRId="2153" maxRId="2161">
    <sheetIdMap count="7">
      <sheetId val="1"/>
      <sheetId val="7"/>
      <sheetId val="2"/>
      <sheetId val="3"/>
      <sheetId val="4"/>
      <sheetId val="5"/>
      <sheetId val="6"/>
    </sheetIdMap>
  </header>
  <header guid="{FB67E68C-612A-4717-B860-49CE619DFBF1}" dateTime="2020-03-11T13:06:57" maxSheetId="8" userName="EXTERNAL Nguyen Kim Thanh (Ban Vien, RBVH/EPS45)" r:id="rId201" minRId="2165" maxRId="2166">
    <sheetIdMap count="7">
      <sheetId val="1"/>
      <sheetId val="7"/>
      <sheetId val="2"/>
      <sheetId val="3"/>
      <sheetId val="4"/>
      <sheetId val="5"/>
      <sheetId val="6"/>
    </sheetIdMap>
  </header>
  <header guid="{FBEFBC0E-475E-493C-885E-1000D1890C36}" dateTime="2020-03-11T13:07:02" maxSheetId="8" userName="EXTERNAL Nguyen Kim Thanh (Ban Vien, RBVH/EPS45)" r:id="rId202">
    <sheetIdMap count="7">
      <sheetId val="1"/>
      <sheetId val="7"/>
      <sheetId val="2"/>
      <sheetId val="3"/>
      <sheetId val="4"/>
      <sheetId val="5"/>
      <sheetId val="6"/>
    </sheetIdMap>
  </header>
  <header guid="{AC634ABE-CC32-4DA9-A9AD-49411BDED43B}" dateTime="2020-03-11T13:19:28" maxSheetId="8" userName="EXTERNAL Nguyen Tuan Duong (Ban Vien, RBVH/EPS45)" r:id="rId203" minRId="2173">
    <sheetIdMap count="7">
      <sheetId val="1"/>
      <sheetId val="7"/>
      <sheetId val="2"/>
      <sheetId val="3"/>
      <sheetId val="4"/>
      <sheetId val="5"/>
      <sheetId val="6"/>
    </sheetIdMap>
  </header>
  <header guid="{2E898D84-E5D3-42D9-B759-71F843DC1162}" dateTime="2020-03-11T13:19:38" maxSheetId="8" userName="EXTERNAL Nguyen Tuan Duong (Ban Vien, RBVH/EPS45)" r:id="rId204">
    <sheetIdMap count="7">
      <sheetId val="1"/>
      <sheetId val="7"/>
      <sheetId val="2"/>
      <sheetId val="3"/>
      <sheetId val="4"/>
      <sheetId val="5"/>
      <sheetId val="6"/>
    </sheetIdMap>
  </header>
  <header guid="{649EF7D5-A595-4A1D-B292-843E4159D7D2}" dateTime="2020-03-11T13:20:08" maxSheetId="8" userName="EXTERNAL Nguyen Tuan Duong (Ban Vien, RBVH/EPS45)" r:id="rId205" minRId="2180">
    <sheetIdMap count="7">
      <sheetId val="1"/>
      <sheetId val="7"/>
      <sheetId val="2"/>
      <sheetId val="3"/>
      <sheetId val="4"/>
      <sheetId val="5"/>
      <sheetId val="6"/>
    </sheetIdMap>
  </header>
  <header guid="{C319C5F5-7291-49D6-BED1-91F02EE84EE8}" dateTime="2020-03-11T13:25:49" maxSheetId="8" userName="EXTERNAL Nguyen Kim Thanh (Ban Vien, RBVH/EPS45)" r:id="rId206" minRId="2184" maxRId="2185">
    <sheetIdMap count="7">
      <sheetId val="1"/>
      <sheetId val="7"/>
      <sheetId val="2"/>
      <sheetId val="3"/>
      <sheetId val="4"/>
      <sheetId val="5"/>
      <sheetId val="6"/>
    </sheetIdMap>
  </header>
  <header guid="{825F60BE-A267-4B9C-A6E0-DFA99D6D15A1}" dateTime="2020-03-11T13:26:36" maxSheetId="8" userName="EXTERNAL Nguyen Kim Thanh (Ban Vien, RBVH/EPS45)" r:id="rId207" minRId="2189" maxRId="2191">
    <sheetIdMap count="7">
      <sheetId val="1"/>
      <sheetId val="7"/>
      <sheetId val="2"/>
      <sheetId val="3"/>
      <sheetId val="4"/>
      <sheetId val="5"/>
      <sheetId val="6"/>
    </sheetIdMap>
  </header>
  <header guid="{D5B7DE6C-5B06-4451-A61B-E9C54F6F1592}" dateTime="2020-03-11T13:26:45" maxSheetId="8" userName="EXTERNAL Nguyen Kim Thanh (Ban Vien, RBVH/EPS45)" r:id="rId208" minRId="2195">
    <sheetIdMap count="7">
      <sheetId val="1"/>
      <sheetId val="7"/>
      <sheetId val="2"/>
      <sheetId val="3"/>
      <sheetId val="4"/>
      <sheetId val="5"/>
      <sheetId val="6"/>
    </sheetIdMap>
  </header>
  <header guid="{9F760BDC-6A49-4453-A873-833373BA0AD8}" dateTime="2020-03-11T13:26:54" maxSheetId="8" userName="EXTERNAL Nguyen Kim Thanh (Ban Vien, RBVH/EPS45)" r:id="rId209" minRId="2196">
    <sheetIdMap count="7">
      <sheetId val="1"/>
      <sheetId val="7"/>
      <sheetId val="2"/>
      <sheetId val="3"/>
      <sheetId val="4"/>
      <sheetId val="5"/>
      <sheetId val="6"/>
    </sheetIdMap>
  </header>
  <header guid="{50DA151C-F022-49AD-B14F-6594722CBABC}" dateTime="2020-03-11T13:33:13" maxSheetId="8" userName="EXTERNAL Ly Chung (Ban Vien, RBVH/EPS45)" r:id="rId210" minRId="2197" maxRId="2205">
    <sheetIdMap count="7">
      <sheetId val="1"/>
      <sheetId val="7"/>
      <sheetId val="2"/>
      <sheetId val="3"/>
      <sheetId val="4"/>
      <sheetId val="5"/>
      <sheetId val="6"/>
    </sheetIdMap>
  </header>
  <header guid="{54A1DE08-8478-471D-BFA4-8AB139D33B09}" dateTime="2020-03-11T13:33:22" maxSheetId="8" userName="EXTERNAL Ly Chung (Ban Vien, RBVH/EPS45)" r:id="rId211" minRId="2209">
    <sheetIdMap count="7">
      <sheetId val="1"/>
      <sheetId val="7"/>
      <sheetId val="2"/>
      <sheetId val="3"/>
      <sheetId val="4"/>
      <sheetId val="5"/>
      <sheetId val="6"/>
    </sheetIdMap>
  </header>
  <header guid="{8862CEDA-39AB-4D73-89BC-C331BC4CD4BF}" dateTime="2020-03-11T13:34:20" maxSheetId="8" userName="EXTERNAL Ly Chung (Ban Vien, RBVH/EPS45)" r:id="rId212" minRId="2210">
    <sheetIdMap count="7">
      <sheetId val="1"/>
      <sheetId val="7"/>
      <sheetId val="2"/>
      <sheetId val="3"/>
      <sheetId val="4"/>
      <sheetId val="5"/>
      <sheetId val="6"/>
    </sheetIdMap>
  </header>
  <header guid="{C8C854D7-1823-4103-8E7A-B497A79E43DB}" dateTime="2020-03-11T13:36:47" maxSheetId="8" userName="EXTERNAL Do Phu Loc (Ban Vien, RBVH/EPS45)" r:id="rId213" minRId="2214" maxRId="2215">
    <sheetIdMap count="7">
      <sheetId val="1"/>
      <sheetId val="7"/>
      <sheetId val="2"/>
      <sheetId val="3"/>
      <sheetId val="4"/>
      <sheetId val="5"/>
      <sheetId val="6"/>
    </sheetIdMap>
  </header>
  <header guid="{8170C4D1-D735-43FE-BB99-B1203FA3D12C}" dateTime="2020-03-11T13:37:52" maxSheetId="8" userName="EXTERNAL Ly Chung (Ban Vien, RBVH/EPS45)" r:id="rId214">
    <sheetIdMap count="7">
      <sheetId val="1"/>
      <sheetId val="7"/>
      <sheetId val="2"/>
      <sheetId val="3"/>
      <sheetId val="4"/>
      <sheetId val="5"/>
      <sheetId val="6"/>
    </sheetIdMap>
  </header>
  <header guid="{812B331D-EF03-4B48-A1EB-C6BF658C5F08}" dateTime="2020-03-11T13:47:00" maxSheetId="8" userName="EXTERNAL Ly Chung (Ban Vien, RBVH/EPS45)" r:id="rId215" minRId="2219" maxRId="2227">
    <sheetIdMap count="7">
      <sheetId val="1"/>
      <sheetId val="7"/>
      <sheetId val="2"/>
      <sheetId val="3"/>
      <sheetId val="4"/>
      <sheetId val="5"/>
      <sheetId val="6"/>
    </sheetIdMap>
  </header>
  <header guid="{56CA46D7-A241-435B-9BC3-52C124E73B18}" dateTime="2020-03-11T13:47:24" maxSheetId="8" userName="EXTERNAL Ly Chung (Ban Vien, RBVH/EPS45)" r:id="rId216" minRId="2231">
    <sheetIdMap count="7">
      <sheetId val="1"/>
      <sheetId val="7"/>
      <sheetId val="2"/>
      <sheetId val="3"/>
      <sheetId val="4"/>
      <sheetId val="5"/>
      <sheetId val="6"/>
    </sheetIdMap>
  </header>
  <header guid="{BEAB871E-4104-42B8-9499-4450A401DA9D}" dateTime="2020-03-11T13:47:34" maxSheetId="8" userName="EXTERNAL Ly Chung (Ban Vien, RBVH/EPS45)" r:id="rId217">
    <sheetIdMap count="7">
      <sheetId val="1"/>
      <sheetId val="7"/>
      <sheetId val="2"/>
      <sheetId val="3"/>
      <sheetId val="4"/>
      <sheetId val="5"/>
      <sheetId val="6"/>
    </sheetIdMap>
  </header>
  <header guid="{AC2E5FDA-607D-426F-93FC-71FF2371B84B}" dateTime="2020-03-11T13:49:03" maxSheetId="8" userName="EXTERNAL Nguyen Kim Thanh (Ban Vien, RBVH/EPS45)" r:id="rId218" minRId="2238" maxRId="2240">
    <sheetIdMap count="7">
      <sheetId val="1"/>
      <sheetId val="7"/>
      <sheetId val="2"/>
      <sheetId val="3"/>
      <sheetId val="4"/>
      <sheetId val="5"/>
      <sheetId val="6"/>
    </sheetIdMap>
  </header>
  <header guid="{18F160F6-29C2-4D9C-A7F5-9EFB9E912E9F}" dateTime="2020-03-11T13:59:06" maxSheetId="8" userName="EXTERNAL Ly Chung (Ban Vien, RBVH/EPS45)" r:id="rId219" minRId="2241" maxRId="2248">
    <sheetIdMap count="7">
      <sheetId val="1"/>
      <sheetId val="7"/>
      <sheetId val="2"/>
      <sheetId val="3"/>
      <sheetId val="4"/>
      <sheetId val="5"/>
      <sheetId val="6"/>
    </sheetIdMap>
  </header>
  <header guid="{55B7320C-737D-415D-A618-7CE0673FB7A5}" dateTime="2020-03-11T13:59:13" maxSheetId="8" userName="EXTERNAL Ly Chung (Ban Vien, RBVH/EPS45)" r:id="rId220" minRId="2252">
    <sheetIdMap count="7">
      <sheetId val="1"/>
      <sheetId val="7"/>
      <sheetId val="2"/>
      <sheetId val="3"/>
      <sheetId val="4"/>
      <sheetId val="5"/>
      <sheetId val="6"/>
    </sheetIdMap>
  </header>
  <header guid="{FD1533AE-F9E0-4C54-AE54-C1F3B2AAF84E}" dateTime="2020-03-11T14:07:43" maxSheetId="8" userName="EXTERNAL Nguyen Kim Thanh (Ban Vien, RBVH/EPS45)" r:id="rId221" minRId="2253" maxRId="2261">
    <sheetIdMap count="7">
      <sheetId val="1"/>
      <sheetId val="7"/>
      <sheetId val="2"/>
      <sheetId val="3"/>
      <sheetId val="4"/>
      <sheetId val="5"/>
      <sheetId val="6"/>
    </sheetIdMap>
  </header>
  <header guid="{6697EBCF-16EA-4278-98ED-F013DAB1F481}" dateTime="2020-03-11T14:12:26" maxSheetId="8" userName="EXTERNAL Ly Chung (Ban Vien, RBVH/EPS45)" r:id="rId222" minRId="2265">
    <sheetIdMap count="7">
      <sheetId val="1"/>
      <sheetId val="7"/>
      <sheetId val="2"/>
      <sheetId val="3"/>
      <sheetId val="4"/>
      <sheetId val="5"/>
      <sheetId val="6"/>
    </sheetIdMap>
  </header>
  <header guid="{55C1855E-5BA8-4AE1-A4BE-B5F4656F1C9F}" dateTime="2020-03-11T14:12:47" maxSheetId="8" userName="EXTERNAL Ly Chung (Ban Vien, RBVH/EPS45)" r:id="rId223">
    <sheetIdMap count="7">
      <sheetId val="1"/>
      <sheetId val="7"/>
      <sheetId val="2"/>
      <sheetId val="3"/>
      <sheetId val="4"/>
      <sheetId val="5"/>
      <sheetId val="6"/>
    </sheetIdMap>
  </header>
  <header guid="{D94C36E5-5D00-48FD-B069-8BA2567A4E3B}" dateTime="2020-03-11T14:13:00" maxSheetId="8" userName="EXTERNAL Ly Chung (Ban Vien, RBVH/EPS45)" r:id="rId224" minRId="2272" maxRId="2273">
    <sheetIdMap count="7">
      <sheetId val="1"/>
      <sheetId val="7"/>
      <sheetId val="2"/>
      <sheetId val="3"/>
      <sheetId val="4"/>
      <sheetId val="5"/>
      <sheetId val="6"/>
    </sheetIdMap>
  </header>
  <header guid="{D597CCA3-63B6-43B4-8639-7B8D24883B1B}" dateTime="2020-03-11T14:13:13" maxSheetId="8" userName="EXTERNAL Ly Chung (Ban Vien, RBVH/EPS45)" r:id="rId225" minRId="2277" maxRId="2278">
    <sheetIdMap count="7">
      <sheetId val="1"/>
      <sheetId val="7"/>
      <sheetId val="2"/>
      <sheetId val="3"/>
      <sheetId val="4"/>
      <sheetId val="5"/>
      <sheetId val="6"/>
    </sheetIdMap>
  </header>
  <header guid="{F7FB5097-0665-4D36-9322-4E650125C5A1}" dateTime="2020-03-11T14:13:28" maxSheetId="8" userName="EXTERNAL Ly Chung (Ban Vien, RBVH/EPS45)" r:id="rId226">
    <sheetIdMap count="7">
      <sheetId val="1"/>
      <sheetId val="7"/>
      <sheetId val="2"/>
      <sheetId val="3"/>
      <sheetId val="4"/>
      <sheetId val="5"/>
      <sheetId val="6"/>
    </sheetIdMap>
  </header>
  <header guid="{EF3FCE32-DC3B-4758-9B08-1531DB593482}" dateTime="2020-03-11T14:18:30" maxSheetId="8" userName="EXTERNAL Nguyen Tuan Duong (Ban Vien, RBVH/EPS45)" r:id="rId227" minRId="2285" maxRId="2289">
    <sheetIdMap count="7">
      <sheetId val="1"/>
      <sheetId val="7"/>
      <sheetId val="2"/>
      <sheetId val="3"/>
      <sheetId val="4"/>
      <sheetId val="5"/>
      <sheetId val="6"/>
    </sheetIdMap>
  </header>
  <header guid="{5FF342FD-A9F1-4170-A518-D29D64758423}" dateTime="2020-03-11T14:18:37" maxSheetId="8" userName="EXTERNAL Nguyen Tuan Duong (Ban Vien, RBVH/EPS45)" r:id="rId228" minRId="2293" maxRId="2296">
    <sheetIdMap count="7">
      <sheetId val="1"/>
      <sheetId val="7"/>
      <sheetId val="2"/>
      <sheetId val="3"/>
      <sheetId val="4"/>
      <sheetId val="5"/>
      <sheetId val="6"/>
    </sheetIdMap>
  </header>
  <header guid="{7EA07ABC-6F6D-4B51-8DB7-E9ACB7680B40}" dateTime="2020-03-11T14:23:23" maxSheetId="8" userName="EXTERNAL Ly Chung (Ban Vien, RBVH/EPS45)" r:id="rId229" minRId="2300" maxRId="2307">
    <sheetIdMap count="7">
      <sheetId val="1"/>
      <sheetId val="7"/>
      <sheetId val="2"/>
      <sheetId val="3"/>
      <sheetId val="4"/>
      <sheetId val="5"/>
      <sheetId val="6"/>
    </sheetIdMap>
  </header>
  <header guid="{0EF2EBE3-3A05-427C-AAE7-CA33D0EA3122}" dateTime="2020-03-11T14:23:37" maxSheetId="8" userName="EXTERNAL Ly Chung (Ban Vien, RBVH/EPS45)" r:id="rId230" minRId="2311" maxRId="2312">
    <sheetIdMap count="7">
      <sheetId val="1"/>
      <sheetId val="7"/>
      <sheetId val="2"/>
      <sheetId val="3"/>
      <sheetId val="4"/>
      <sheetId val="5"/>
      <sheetId val="6"/>
    </sheetIdMap>
  </header>
  <header guid="{2F682B71-E388-4A06-AA1F-10394488F544}" dateTime="2020-03-11T14:35:41" maxSheetId="8" userName="EXTERNAL Nguyen Kim Thanh (Ban Vien, RBVH/EPS45)" r:id="rId231" minRId="2316" maxRId="2326">
    <sheetIdMap count="7">
      <sheetId val="1"/>
      <sheetId val="7"/>
      <sheetId val="2"/>
      <sheetId val="3"/>
      <sheetId val="4"/>
      <sheetId val="5"/>
      <sheetId val="6"/>
    </sheetIdMap>
  </header>
  <header guid="{0020574F-5671-4B9D-9C55-3DF4186CBBAF}" dateTime="2020-03-11T14:37:20" maxSheetId="8" userName="EXTERNAL Ly Chung (Ban Vien, RBVH/EPS45)" r:id="rId232" minRId="2330" maxRId="2337">
    <sheetIdMap count="7">
      <sheetId val="1"/>
      <sheetId val="7"/>
      <sheetId val="2"/>
      <sheetId val="3"/>
      <sheetId val="4"/>
      <sheetId val="5"/>
      <sheetId val="6"/>
    </sheetIdMap>
  </header>
  <header guid="{C5C37979-1E00-49C8-B560-BC89E2B76DB9}" dateTime="2020-03-11T14:59:46" maxSheetId="8" userName="EXTERNAL Ly Chung (Ban Vien, RBVH/EPS45)" r:id="rId233" minRId="2341" maxRId="2348">
    <sheetIdMap count="7">
      <sheetId val="1"/>
      <sheetId val="7"/>
      <sheetId val="2"/>
      <sheetId val="3"/>
      <sheetId val="4"/>
      <sheetId val="5"/>
      <sheetId val="6"/>
    </sheetIdMap>
  </header>
  <header guid="{00AEF3AA-76A5-48CB-A82D-2CA185876F6D}" dateTime="2020-03-11T15:01:24" maxSheetId="8" userName="EXTERNAL Ly Chung (Ban Vien, RBVH/EPS45)" r:id="rId234" minRId="2352" maxRId="2353">
    <sheetIdMap count="7">
      <sheetId val="1"/>
      <sheetId val="7"/>
      <sheetId val="2"/>
      <sheetId val="3"/>
      <sheetId val="4"/>
      <sheetId val="5"/>
      <sheetId val="6"/>
    </sheetIdMap>
  </header>
  <header guid="{17B2D284-F4EA-4F24-B14C-2D317C96B12A}" dateTime="2020-03-11T15:15:03" maxSheetId="8" userName="EXTERNAL Nguyen Kim Thanh (Ban Vien, RBVH/EPS45)" r:id="rId235" minRId="2357" maxRId="2364">
    <sheetIdMap count="7">
      <sheetId val="1"/>
      <sheetId val="7"/>
      <sheetId val="2"/>
      <sheetId val="3"/>
      <sheetId val="4"/>
      <sheetId val="5"/>
      <sheetId val="6"/>
    </sheetIdMap>
  </header>
  <header guid="{78F926BB-17E8-489B-BA12-A4A4602A608E}" dateTime="2020-03-11T15:28:29" maxSheetId="8" userName="EXTERNAL Nguyen Kim Thanh (Ban Vien, RBVH/EPS45)" r:id="rId236" minRId="2368" maxRId="2369">
    <sheetIdMap count="7">
      <sheetId val="1"/>
      <sheetId val="7"/>
      <sheetId val="2"/>
      <sheetId val="3"/>
      <sheetId val="4"/>
      <sheetId val="5"/>
      <sheetId val="6"/>
    </sheetIdMap>
  </header>
  <header guid="{72FDF438-E1D9-4D7C-B46B-311DAB2A0FFC}" dateTime="2020-03-11T15:29:30" maxSheetId="8" userName="EXTERNAL Nguyen Kim Thanh (Ban Vien, RBVH/EPS45)" r:id="rId237" minRId="2373" maxRId="2374">
    <sheetIdMap count="7">
      <sheetId val="1"/>
      <sheetId val="7"/>
      <sheetId val="2"/>
      <sheetId val="3"/>
      <sheetId val="4"/>
      <sheetId val="5"/>
      <sheetId val="6"/>
    </sheetIdMap>
  </header>
  <header guid="{D36EA8D4-3518-46FC-933F-87EE57DC5757}" dateTime="2020-03-11T15:37:21" maxSheetId="8" userName="EXTERNAL Ly Chung (Ban Vien, RBVH/EPS45)" r:id="rId238" minRId="2378" maxRId="2384">
    <sheetIdMap count="7">
      <sheetId val="1"/>
      <sheetId val="7"/>
      <sheetId val="2"/>
      <sheetId val="3"/>
      <sheetId val="4"/>
      <sheetId val="5"/>
      <sheetId val="6"/>
    </sheetIdMap>
  </header>
  <header guid="{9AB33333-1C29-4D15-87DB-F54D96189CA2}" dateTime="2020-03-11T15:38:40" maxSheetId="8" userName="EXTERNAL Ly Chung (Ban Vien, RBVH/EPS45)" r:id="rId239">
    <sheetIdMap count="7">
      <sheetId val="1"/>
      <sheetId val="7"/>
      <sheetId val="2"/>
      <sheetId val="3"/>
      <sheetId val="4"/>
      <sheetId val="5"/>
      <sheetId val="6"/>
    </sheetIdMap>
  </header>
  <header guid="{E7C8B3E2-1938-4649-8174-62FD47D05C39}" dateTime="2020-03-11T15:43:47" maxSheetId="8" userName="EXTERNAL Ly Chung (Ban Vien, RBVH/EPS45)" r:id="rId240" minRId="2391">
    <sheetIdMap count="7">
      <sheetId val="1"/>
      <sheetId val="7"/>
      <sheetId val="2"/>
      <sheetId val="3"/>
      <sheetId val="4"/>
      <sheetId val="5"/>
      <sheetId val="6"/>
    </sheetIdMap>
  </header>
  <header guid="{EF88170E-737B-4315-9810-AA083C84DFA5}" dateTime="2020-03-11T15:43:50" maxSheetId="8" userName="EXTERNAL Ly Chung (Ban Vien, RBVH/EPS45)" r:id="rId241" minRId="2395">
    <sheetIdMap count="7">
      <sheetId val="1"/>
      <sheetId val="7"/>
      <sheetId val="2"/>
      <sheetId val="3"/>
      <sheetId val="4"/>
      <sheetId val="5"/>
      <sheetId val="6"/>
    </sheetIdMap>
  </header>
  <header guid="{045CA22B-9F83-40FE-8FF5-89589771D905}" dateTime="2020-03-11T15:44:01" maxSheetId="8" userName="EXTERNAL Ly Chung (Ban Vien, RBVH/EPS45)" r:id="rId242" minRId="2396" maxRId="2403">
    <sheetIdMap count="7">
      <sheetId val="1"/>
      <sheetId val="7"/>
      <sheetId val="2"/>
      <sheetId val="3"/>
      <sheetId val="4"/>
      <sheetId val="5"/>
      <sheetId val="6"/>
    </sheetIdMap>
  </header>
  <header guid="{A31BFC97-0CFB-426D-B368-395A1EF13102}" dateTime="2020-03-11T15:44:09" maxSheetId="8" userName="EXTERNAL Ly Chung (Ban Vien, RBVH/EPS45)" r:id="rId243">
    <sheetIdMap count="7">
      <sheetId val="1"/>
      <sheetId val="7"/>
      <sheetId val="2"/>
      <sheetId val="3"/>
      <sheetId val="4"/>
      <sheetId val="5"/>
      <sheetId val="6"/>
    </sheetIdMap>
  </header>
  <header guid="{4E53D0D4-3E42-428D-9FA8-442BC6CC7E65}" dateTime="2020-03-11T15:46:05" maxSheetId="8" userName="EXTERNAL Ly Chung (Ban Vien, RBVH/EPS45)" r:id="rId244" minRId="2410">
    <sheetIdMap count="7">
      <sheetId val="1"/>
      <sheetId val="7"/>
      <sheetId val="2"/>
      <sheetId val="3"/>
      <sheetId val="4"/>
      <sheetId val="5"/>
      <sheetId val="6"/>
    </sheetIdMap>
  </header>
  <header guid="{BC4F46AC-9873-4B72-914F-EDE19D1880CA}" dateTime="2020-03-11T16:03:41" maxSheetId="8" userName="EXTERNAL Nguyen Tuan Duong (Ban Vien, RBVH/EPS45)" r:id="rId245">
    <sheetIdMap count="7">
      <sheetId val="1"/>
      <sheetId val="7"/>
      <sheetId val="2"/>
      <sheetId val="3"/>
      <sheetId val="4"/>
      <sheetId val="5"/>
      <sheetId val="6"/>
    </sheetIdMap>
  </header>
  <header guid="{17C21DC5-8C98-4D91-BB54-27879250222B}" dateTime="2020-03-11T16:09:46" maxSheetId="8" userName="EXTERNAL Ly Chung (Ban Vien, RBVH/EPS45)" r:id="rId246">
    <sheetIdMap count="7">
      <sheetId val="1"/>
      <sheetId val="7"/>
      <sheetId val="2"/>
      <sheetId val="3"/>
      <sheetId val="4"/>
      <sheetId val="5"/>
      <sheetId val="6"/>
    </sheetIdMap>
  </header>
  <header guid="{C33838D8-61E0-4E47-8588-631065F2AACF}" dateTime="2020-03-11T16:48:37" maxSheetId="8" userName="EXTERNAL Nguyen Kim Thanh (Ban Vien, RBVH/EPS45)" r:id="rId247" minRId="2420" maxRId="2421">
    <sheetIdMap count="7">
      <sheetId val="1"/>
      <sheetId val="7"/>
      <sheetId val="2"/>
      <sheetId val="3"/>
      <sheetId val="4"/>
      <sheetId val="5"/>
      <sheetId val="6"/>
    </sheetIdMap>
  </header>
  <header guid="{744908E7-D477-4016-9693-D81DC2424B84}" dateTime="2020-03-11T19:00:51" maxSheetId="8" userName="EXTERNAL Do Phu Loc (Ban Vien, RBVH/EPS45)" r:id="rId248" minRId="2425" maxRId="2434">
    <sheetIdMap count="7">
      <sheetId val="1"/>
      <sheetId val="7"/>
      <sheetId val="2"/>
      <sheetId val="3"/>
      <sheetId val="4"/>
      <sheetId val="5"/>
      <sheetId val="6"/>
    </sheetIdMap>
  </header>
  <header guid="{A16CAC00-5C86-4621-8453-BC48BA660217}" dateTime="2020-03-11T19:02:17" maxSheetId="8" userName="EXTERNAL Do Phu Loc (Ban Vien, RBVH/EPS45)" r:id="rId249" minRId="2438" maxRId="2439">
    <sheetIdMap count="7">
      <sheetId val="1"/>
      <sheetId val="7"/>
      <sheetId val="2"/>
      <sheetId val="3"/>
      <sheetId val="4"/>
      <sheetId val="5"/>
      <sheetId val="6"/>
    </sheetIdMap>
  </header>
  <header guid="{543D1869-8526-4961-A9AD-0A1F58FC77BB}" dateTime="2020-03-11T19:04:35" maxSheetId="8" userName="EXTERNAL Do Phu Loc (Ban Vien, RBVH/EPS45)" r:id="rId250">
    <sheetIdMap count="7">
      <sheetId val="1"/>
      <sheetId val="7"/>
      <sheetId val="2"/>
      <sheetId val="3"/>
      <sheetId val="4"/>
      <sheetId val="5"/>
      <sheetId val="6"/>
    </sheetIdMap>
  </header>
  <header guid="{6B75BCB9-BEBE-4308-B51A-BC103F687763}" dateTime="2020-03-12T07:54:04" maxSheetId="8" userName="EXTERNAL Nguyen Tuan Duong (Ban Vien, RBVH/EPS45)" r:id="rId251" minRId="2446" maxRId="2454">
    <sheetIdMap count="7">
      <sheetId val="1"/>
      <sheetId val="7"/>
      <sheetId val="2"/>
      <sheetId val="3"/>
      <sheetId val="4"/>
      <sheetId val="5"/>
      <sheetId val="6"/>
    </sheetIdMap>
  </header>
  <header guid="{53F6DF01-5295-4445-BCE9-D3C934D383CF}" dateTime="2020-03-12T10:14:50" maxSheetId="8" userName="EXTERNAL Nguyen Kim Thanh (Ban Vien, RBVH/EPS45)" r:id="rId252" minRId="2459" maxRId="2465">
    <sheetIdMap count="7">
      <sheetId val="1"/>
      <sheetId val="7"/>
      <sheetId val="2"/>
      <sheetId val="3"/>
      <sheetId val="4"/>
      <sheetId val="5"/>
      <sheetId val="6"/>
    </sheetIdMap>
  </header>
  <header guid="{FF83634F-FFED-47F1-875C-193EA3DB694B}" dateTime="2020-03-12T10:15:00" maxSheetId="8" userName="EXTERNAL Nguyen Kim Thanh (Ban Vien, RBVH/EPS45)" r:id="rId253" minRId="2469">
    <sheetIdMap count="7">
      <sheetId val="1"/>
      <sheetId val="7"/>
      <sheetId val="2"/>
      <sheetId val="3"/>
      <sheetId val="4"/>
      <sheetId val="5"/>
      <sheetId val="6"/>
    </sheetIdMap>
  </header>
  <header guid="{91D55BAC-ADB9-486A-B568-2FD1D4FD3E82}" dateTime="2020-03-12T10:16:50" maxSheetId="8" userName="EXTERNAL Nguyen Trung Hieu (Ban Vien, RBVH/EPS45)" r:id="rId254">
    <sheetIdMap count="7">
      <sheetId val="1"/>
      <sheetId val="7"/>
      <sheetId val="2"/>
      <sheetId val="3"/>
      <sheetId val="4"/>
      <sheetId val="5"/>
      <sheetId val="6"/>
    </sheetIdMap>
  </header>
  <header guid="{C539D7B5-C696-4453-858D-5E4E3367D135}" dateTime="2020-03-12T10:20:57" maxSheetId="8" userName="EXTERNAL Ly Chung (Ban Vien, RBVH/EPS45)" r:id="rId255" minRId="2475">
    <sheetIdMap count="7">
      <sheetId val="1"/>
      <sheetId val="7"/>
      <sheetId val="2"/>
      <sheetId val="3"/>
      <sheetId val="4"/>
      <sheetId val="5"/>
      <sheetId val="6"/>
    </sheetIdMap>
  </header>
  <header guid="{E3441510-2C0B-4A5B-8B2A-3D1ECE888028}" dateTime="2020-03-12T10:27:57" maxSheetId="8" userName="EXTERNAL Ly Chung (Ban Vien, RBVH/EPS45)" r:id="rId256" minRId="2479">
    <sheetIdMap count="7">
      <sheetId val="1"/>
      <sheetId val="7"/>
      <sheetId val="2"/>
      <sheetId val="3"/>
      <sheetId val="4"/>
      <sheetId val="5"/>
      <sheetId val="6"/>
    </sheetIdMap>
  </header>
  <header guid="{5026939F-C11B-449D-9033-F3DF0C2C6295}" dateTime="2020-03-12T10:29:18" maxSheetId="8" userName="EXTERNAL Ly Chung (Ban Vien, RBVH/EPS45)" r:id="rId257" minRId="2483">
    <sheetIdMap count="7">
      <sheetId val="1"/>
      <sheetId val="7"/>
      <sheetId val="2"/>
      <sheetId val="3"/>
      <sheetId val="4"/>
      <sheetId val="5"/>
      <sheetId val="6"/>
    </sheetIdMap>
  </header>
  <header guid="{BCC72604-8BE3-4EBE-A1CB-0A177AF22EF8}" dateTime="2020-03-12T10:31:16" maxSheetId="8" userName="EXTERNAL Ly Chung (Ban Vien, RBVH/EPS45)" r:id="rId258" minRId="2487" maxRId="2510">
    <sheetIdMap count="7">
      <sheetId val="1"/>
      <sheetId val="7"/>
      <sheetId val="2"/>
      <sheetId val="3"/>
      <sheetId val="4"/>
      <sheetId val="5"/>
      <sheetId val="6"/>
    </sheetIdMap>
  </header>
  <header guid="{FECDE161-1E61-4172-A066-643992B7682E}" dateTime="2020-03-12T10:32:31" maxSheetId="8" userName="EXTERNAL Ly Chung (Ban Vien, RBVH/EPS45)" r:id="rId259" minRId="2514" maxRId="2523">
    <sheetIdMap count="7">
      <sheetId val="1"/>
      <sheetId val="7"/>
      <sheetId val="2"/>
      <sheetId val="3"/>
      <sheetId val="4"/>
      <sheetId val="5"/>
      <sheetId val="6"/>
    </sheetIdMap>
  </header>
  <header guid="{9E7DFF3C-A1EB-44D7-AB5F-DE2026E6601C}" dateTime="2020-03-12T10:40:17" maxSheetId="8" userName="EXTERNAL Ly Chung (Ban Vien, RBVH/EPS45)" r:id="rId260" minRId="2527" maxRId="2530">
    <sheetIdMap count="7">
      <sheetId val="1"/>
      <sheetId val="7"/>
      <sheetId val="2"/>
      <sheetId val="3"/>
      <sheetId val="4"/>
      <sheetId val="5"/>
      <sheetId val="6"/>
    </sheetIdMap>
  </header>
  <header guid="{3926AD0E-70AD-423C-8F49-7DB2CEDF441C}" dateTime="2020-03-12T10:40:33" maxSheetId="8" userName="EXTERNAL Ly Chung (Ban Vien, RBVH/EPS45)" r:id="rId261" minRId="2534" maxRId="2539">
    <sheetIdMap count="7">
      <sheetId val="1"/>
      <sheetId val="7"/>
      <sheetId val="2"/>
      <sheetId val="3"/>
      <sheetId val="4"/>
      <sheetId val="5"/>
      <sheetId val="6"/>
    </sheetIdMap>
  </header>
  <header guid="{375F63DD-7E17-4070-9E67-296AD1721179}" dateTime="2020-03-12T10:41:06" maxSheetId="8" userName="EXTERNAL Ly Chung (Ban Vien, RBVH/EPS45)" r:id="rId262">
    <sheetIdMap count="7">
      <sheetId val="1"/>
      <sheetId val="7"/>
      <sheetId val="2"/>
      <sheetId val="3"/>
      <sheetId val="4"/>
      <sheetId val="5"/>
      <sheetId val="6"/>
    </sheetIdMap>
  </header>
  <header guid="{2C450A12-63FE-4E90-B871-F1F0357CC546}" dateTime="2020-03-12T10:41:11" maxSheetId="8" userName="EXTERNAL Ly Chung (Ban Vien, RBVH/EPS45)" r:id="rId263">
    <sheetIdMap count="7">
      <sheetId val="1"/>
      <sheetId val="7"/>
      <sheetId val="2"/>
      <sheetId val="3"/>
      <sheetId val="4"/>
      <sheetId val="5"/>
      <sheetId val="6"/>
    </sheetIdMap>
  </header>
  <header guid="{C11E2571-0A8D-4DF8-B156-97CBA348C2EE}" dateTime="2020-03-12T11:42:01" maxSheetId="8" userName="EXTERNAL Do Phu Loc (Ban Vien, RBVH/EPS45)" r:id="rId264" minRId="2546" maxRId="2555">
    <sheetIdMap count="7">
      <sheetId val="1"/>
      <sheetId val="7"/>
      <sheetId val="2"/>
      <sheetId val="3"/>
      <sheetId val="4"/>
      <sheetId val="5"/>
      <sheetId val="6"/>
    </sheetIdMap>
  </header>
  <header guid="{A7A00296-012A-4C75-BEB7-4B5ACAF455EF}" dateTime="2020-03-12T11:47:17" maxSheetId="8" userName="EXTERNAL Nguyen Tuan Duong (Ban Vien, RBVH/EPS45)" r:id="rId265" minRId="2559" maxRId="2726">
    <sheetIdMap count="7">
      <sheetId val="1"/>
      <sheetId val="7"/>
      <sheetId val="2"/>
      <sheetId val="3"/>
      <sheetId val="4"/>
      <sheetId val="5"/>
      <sheetId val="6"/>
    </sheetIdMap>
  </header>
  <header guid="{76E3544B-AAB5-4711-A6CA-1A9D4840B37F}" dateTime="2020-03-12T11:47:45" maxSheetId="8" userName="EXTERNAL Do Phu Loc (Ban Vien, RBVH/EPS45)" r:id="rId266" minRId="2731" maxRId="2739">
    <sheetIdMap count="7">
      <sheetId val="1"/>
      <sheetId val="7"/>
      <sheetId val="2"/>
      <sheetId val="3"/>
      <sheetId val="4"/>
      <sheetId val="5"/>
      <sheetId val="6"/>
    </sheetIdMap>
  </header>
  <header guid="{C9416CEC-6D58-43C1-99B8-C67EB592327A}" dateTime="2020-03-12T11:50:28" maxSheetId="8" userName="EXTERNAL Nguyen Tuan Duong (Ban Vien, RBVH/EPS45)" r:id="rId267" minRId="2743" maxRId="2796">
    <sheetIdMap count="7">
      <sheetId val="1"/>
      <sheetId val="7"/>
      <sheetId val="2"/>
      <sheetId val="3"/>
      <sheetId val="4"/>
      <sheetId val="5"/>
      <sheetId val="6"/>
    </sheetIdMap>
  </header>
  <header guid="{7C21E677-7BB3-48EF-8B93-5F2949C5DBEC}" dateTime="2020-03-12T11:52:37" maxSheetId="8" userName="EXTERNAL Do Phu Loc (Ban Vien, RBVH/EPS45)" r:id="rId268" minRId="2801">
    <sheetIdMap count="7">
      <sheetId val="1"/>
      <sheetId val="7"/>
      <sheetId val="2"/>
      <sheetId val="3"/>
      <sheetId val="4"/>
      <sheetId val="5"/>
      <sheetId val="6"/>
    </sheetIdMap>
  </header>
  <header guid="{71CFB659-3077-429C-B704-A89C87C8AF74}" dateTime="2020-03-12T11:55:23" maxSheetId="8" userName="EXTERNAL Nguyen Tuan Duong (Ban Vien, RBVH/EPS45)" r:id="rId269" minRId="2802" maxRId="2806">
    <sheetIdMap count="7">
      <sheetId val="1"/>
      <sheetId val="7"/>
      <sheetId val="2"/>
      <sheetId val="3"/>
      <sheetId val="4"/>
      <sheetId val="5"/>
      <sheetId val="6"/>
    </sheetIdMap>
  </header>
  <header guid="{5A7F8F60-4D11-4060-B99A-33AE8B430C31}" dateTime="2020-03-12T12:34:03" maxSheetId="8" userName="EXTERNAL Ly Chung (Ban Vien, RBVH/EPS45)" r:id="rId270" minRId="2811" maxRId="2814">
    <sheetIdMap count="7">
      <sheetId val="1"/>
      <sheetId val="7"/>
      <sheetId val="2"/>
      <sheetId val="3"/>
      <sheetId val="4"/>
      <sheetId val="5"/>
      <sheetId val="6"/>
    </sheetIdMap>
  </header>
  <header guid="{09258CB8-3721-4D59-8613-31C1BCE1EDAC}" dateTime="2020-03-12T12:42:37" maxSheetId="8" userName="EXTERNAL Nguyen Tuan Duong (Ban Vien, RBVH/EPS45)" r:id="rId271" minRId="2817" maxRId="2819">
    <sheetIdMap count="7">
      <sheetId val="1"/>
      <sheetId val="7"/>
      <sheetId val="2"/>
      <sheetId val="3"/>
      <sheetId val="4"/>
      <sheetId val="5"/>
      <sheetId val="6"/>
    </sheetIdMap>
  </header>
  <header guid="{E567C321-BC08-48F2-8890-A6E150EAFB76}" dateTime="2020-03-12T12:47:52" maxSheetId="8" userName="EXTERNAL Nguyen Tuan Duong (Ban Vien, RBVH/EPS45)" r:id="rId272">
    <sheetIdMap count="7">
      <sheetId val="1"/>
      <sheetId val="7"/>
      <sheetId val="2"/>
      <sheetId val="3"/>
      <sheetId val="4"/>
      <sheetId val="5"/>
      <sheetId val="6"/>
    </sheetIdMap>
  </header>
  <header guid="{3ED34D1C-1B5A-48E4-810B-8D41FF63CAF6}" dateTime="2020-03-12T12:50:33" maxSheetId="8" userName="EXTERNAL Nguyen Tuan Duong (Ban Vien, RBVH/EPS45)" r:id="rId273" minRId="2828" maxRId="2829">
    <sheetIdMap count="7">
      <sheetId val="1"/>
      <sheetId val="7"/>
      <sheetId val="2"/>
      <sheetId val="3"/>
      <sheetId val="4"/>
      <sheetId val="5"/>
      <sheetId val="6"/>
    </sheetIdMap>
  </header>
  <header guid="{6213B497-F02C-46E8-B513-D0CA419385FD}" dateTime="2020-03-12T12:56:16" maxSheetId="8" userName="EXTERNAL Do Phu Loc (Ban Vien, RBVH/EPS45)" r:id="rId274" minRId="2833">
    <sheetIdMap count="7">
      <sheetId val="1"/>
      <sheetId val="7"/>
      <sheetId val="2"/>
      <sheetId val="3"/>
      <sheetId val="4"/>
      <sheetId val="5"/>
      <sheetId val="6"/>
    </sheetIdMap>
  </header>
  <header guid="{33081A99-E0B1-439D-8CF9-F87A26B0E7D1}" dateTime="2020-03-12T13:33:34" maxSheetId="8" userName="EXTERNAL Do Phu Loc (Ban Vien, RBVH/EPS45)" r:id="rId275">
    <sheetIdMap count="7">
      <sheetId val="1"/>
      <sheetId val="7"/>
      <sheetId val="2"/>
      <sheetId val="3"/>
      <sheetId val="4"/>
      <sheetId val="5"/>
      <sheetId val="6"/>
    </sheetIdMap>
  </header>
  <header guid="{EFC93157-98AB-486F-A684-76E4073DE8B3}" dateTime="2020-03-12T14:54:25" maxSheetId="8" userName="EXTERNAL Do Phu Loc (Ban Vien, RBVH/EPS45)" r:id="rId276" minRId="2837" maxRId="2844">
    <sheetIdMap count="7">
      <sheetId val="1"/>
      <sheetId val="7"/>
      <sheetId val="2"/>
      <sheetId val="3"/>
      <sheetId val="4"/>
      <sheetId val="5"/>
      <sheetId val="6"/>
    </sheetIdMap>
  </header>
  <header guid="{90E9ACA4-816A-4618-8992-B9B3D9ABFECA}" dateTime="2020-03-12T15:31:05" maxSheetId="8" userName="EXTERNAL Do Phu Loc (Ban Vien, RBVH/EPS45)" r:id="rId277">
    <sheetIdMap count="7">
      <sheetId val="1"/>
      <sheetId val="7"/>
      <sheetId val="2"/>
      <sheetId val="3"/>
      <sheetId val="4"/>
      <sheetId val="5"/>
      <sheetId val="6"/>
    </sheetIdMap>
  </header>
  <header guid="{F2DA02CD-4785-416D-85DD-3F739E48D74B}" dateTime="2020-03-12T15:50:13" maxSheetId="8" userName="EXTERNAL Nguyen Kim Thanh (Ban Vien, RBVH/EPS45)" r:id="rId278" minRId="2851" maxRId="2852">
    <sheetIdMap count="7">
      <sheetId val="1"/>
      <sheetId val="7"/>
      <sheetId val="2"/>
      <sheetId val="3"/>
      <sheetId val="4"/>
      <sheetId val="5"/>
      <sheetId val="6"/>
    </sheetIdMap>
  </header>
  <header guid="{02253EB0-DAC3-4F3D-95AC-8AC877AF9A52}" dateTime="2020-03-12T15:52:32" maxSheetId="8" userName="EXTERNAL Nguyen Kim Thanh (Ban Vien, RBVH/EPS45)" r:id="rId279" minRId="2856" maxRId="2863">
    <sheetIdMap count="7">
      <sheetId val="1"/>
      <sheetId val="7"/>
      <sheetId val="2"/>
      <sheetId val="3"/>
      <sheetId val="4"/>
      <sheetId val="5"/>
      <sheetId val="6"/>
    </sheetIdMap>
  </header>
  <header guid="{8D557E87-B83A-4F7C-812F-E8714101B7CA}" dateTime="2020-03-12T15:52:45" maxSheetId="8" userName="EXTERNAL Nguyen Kim Thanh (Ban Vien, RBVH/EPS45)" r:id="rId280" minRId="2867">
    <sheetIdMap count="7">
      <sheetId val="1"/>
      <sheetId val="7"/>
      <sheetId val="2"/>
      <sheetId val="3"/>
      <sheetId val="4"/>
      <sheetId val="5"/>
      <sheetId val="6"/>
    </sheetIdMap>
  </header>
  <header guid="{190D934A-8C81-4DD0-A3C3-41F0EBF994D7}" dateTime="2020-03-12T15:53:46" maxSheetId="8" userName="EXTERNAL Nguyen Kim Thanh (Ban Vien, RBVH/EPS45)" r:id="rId281" minRId="2868">
    <sheetIdMap count="7">
      <sheetId val="1"/>
      <sheetId val="7"/>
      <sheetId val="2"/>
      <sheetId val="3"/>
      <sheetId val="4"/>
      <sheetId val="5"/>
      <sheetId val="6"/>
    </sheetIdMap>
  </header>
  <header guid="{48C878E0-7F62-47CC-BBDE-765C3B232FE2}" dateTime="2020-03-12T16:35:12" maxSheetId="8" userName="EXTERNAL Nguyen Tuan Duong (Ban Vien, RBVH/EPS45)" r:id="rId282">
    <sheetIdMap count="7">
      <sheetId val="1"/>
      <sheetId val="7"/>
      <sheetId val="2"/>
      <sheetId val="3"/>
      <sheetId val="4"/>
      <sheetId val="5"/>
      <sheetId val="6"/>
    </sheetIdMap>
  </header>
  <header guid="{B1FFC5E0-4241-4F6E-A930-0B3CF0F2E5EC}" dateTime="2020-03-12T16:42:32" maxSheetId="8" userName="EXTERNAL Nguyen Tuan Duong (Ban Vien, RBVH/EPS45)" r:id="rId283" minRId="2872" maxRId="2901">
    <sheetIdMap count="7">
      <sheetId val="1"/>
      <sheetId val="7"/>
      <sheetId val="2"/>
      <sheetId val="3"/>
      <sheetId val="4"/>
      <sheetId val="5"/>
      <sheetId val="6"/>
    </sheetIdMap>
  </header>
  <header guid="{C6B26313-2A90-42DB-9019-B0F4971E9D39}" dateTime="2020-03-12T16:44:15" maxSheetId="8" userName="EXTERNAL Nguyen Tuan Duong (Ban Vien, RBVH/EPS45)" r:id="rId284" minRId="2905" maxRId="2919">
    <sheetIdMap count="7">
      <sheetId val="1"/>
      <sheetId val="7"/>
      <sheetId val="2"/>
      <sheetId val="3"/>
      <sheetId val="4"/>
      <sheetId val="5"/>
      <sheetId val="6"/>
    </sheetIdMap>
  </header>
  <header guid="{8C97764C-E8AF-4BEF-9C67-09BB82FA4416}" dateTime="2020-03-12T16:46:12" maxSheetId="8" userName="EXTERNAL Nguyen Tuan Duong (Ban Vien, RBVH/EPS45)" r:id="rId285" minRId="2924" maxRId="2938">
    <sheetIdMap count="7">
      <sheetId val="1"/>
      <sheetId val="7"/>
      <sheetId val="2"/>
      <sheetId val="3"/>
      <sheetId val="4"/>
      <sheetId val="5"/>
      <sheetId val="6"/>
    </sheetIdMap>
  </header>
  <header guid="{9F5AE30C-E89F-44CB-BC09-C9880E79EF32}" dateTime="2020-03-12T16:46:22" maxSheetId="8" userName="EXTERNAL Nguyen Tuan Duong (Ban Vien, RBVH/EPS45)" r:id="rId286">
    <sheetIdMap count="7">
      <sheetId val="1"/>
      <sheetId val="7"/>
      <sheetId val="2"/>
      <sheetId val="3"/>
      <sheetId val="4"/>
      <sheetId val="5"/>
      <sheetId val="6"/>
    </sheetIdMap>
  </header>
  <header guid="{828B7D9F-A6F1-4254-A60F-260F9064F0F8}" dateTime="2020-03-12T17:00:07" maxSheetId="8" userName="EXTERNAL Ly Chung (Ban Vien, RBVH/EPS45)" r:id="rId287" minRId="2947">
    <sheetIdMap count="7">
      <sheetId val="1"/>
      <sheetId val="7"/>
      <sheetId val="2"/>
      <sheetId val="3"/>
      <sheetId val="4"/>
      <sheetId val="5"/>
      <sheetId val="6"/>
    </sheetIdMap>
  </header>
  <header guid="{70689744-C55F-493F-8599-EB3349EE5BC4}" dateTime="2020-03-12T17:01:34" maxSheetId="8" userName="EXTERNAL Ly Chung (Ban Vien, RBVH/EPS45)" r:id="rId288" minRId="2950" maxRId="2952">
    <sheetIdMap count="7">
      <sheetId val="1"/>
      <sheetId val="7"/>
      <sheetId val="2"/>
      <sheetId val="3"/>
      <sheetId val="4"/>
      <sheetId val="5"/>
      <sheetId val="6"/>
    </sheetIdMap>
  </header>
  <header guid="{A39D9593-B56C-4CFD-BDCD-65C05F2C3A12}" dateTime="2020-03-12T17:05:18" maxSheetId="8" userName="EXTERNAL Nguyen Kim Thanh (Ban Vien, RBVH/EPS45)" r:id="rId289" minRId="2955" maxRId="2964">
    <sheetIdMap count="7">
      <sheetId val="1"/>
      <sheetId val="7"/>
      <sheetId val="2"/>
      <sheetId val="3"/>
      <sheetId val="4"/>
      <sheetId val="5"/>
      <sheetId val="6"/>
    </sheetIdMap>
  </header>
  <header guid="{E71C6D14-327C-43E0-A804-AB3DC0AAC708}" dateTime="2020-03-12T17:09:00" maxSheetId="8" userName="EXTERNAL Nguyen Tuan Duong (Ban Vien, RBVH/EPS45)" r:id="rId290">
    <sheetIdMap count="7">
      <sheetId val="1"/>
      <sheetId val="7"/>
      <sheetId val="2"/>
      <sheetId val="3"/>
      <sheetId val="4"/>
      <sheetId val="5"/>
      <sheetId val="6"/>
    </sheetIdMap>
  </header>
  <header guid="{A1F393B0-C92C-44FD-8B88-3267CDC6BAD2}" dateTime="2020-03-12T17:19:13" maxSheetId="8" userName="EXTERNAL Nguyen Kim Thanh (Ban Vien, RBVH/EPS45)" r:id="rId291" minRId="2972" maxRId="2983">
    <sheetIdMap count="7">
      <sheetId val="1"/>
      <sheetId val="7"/>
      <sheetId val="2"/>
      <sheetId val="3"/>
      <sheetId val="4"/>
      <sheetId val="5"/>
      <sheetId val="6"/>
    </sheetIdMap>
  </header>
  <header guid="{103713C2-5E48-4998-B161-2B671773B1E8}" dateTime="2020-03-12T17:21:18" maxSheetId="8" userName="EXTERNAL Nguyen Kim Thanh (Ban Vien, RBVH/EPS45)" r:id="rId292" minRId="2987">
    <sheetIdMap count="7">
      <sheetId val="1"/>
      <sheetId val="7"/>
      <sheetId val="2"/>
      <sheetId val="3"/>
      <sheetId val="4"/>
      <sheetId val="5"/>
      <sheetId val="6"/>
    </sheetIdMap>
  </header>
  <header guid="{60A34D5B-617E-4886-9050-03DF49398B7F}" dateTime="2020-03-12T17:21:40" maxSheetId="8" userName="EXTERNAL Ly Chung (Ban Vien, RBVH/EPS45)" r:id="rId293" minRId="2988" maxRId="2993">
    <sheetIdMap count="7">
      <sheetId val="1"/>
      <sheetId val="7"/>
      <sheetId val="2"/>
      <sheetId val="3"/>
      <sheetId val="4"/>
      <sheetId val="5"/>
      <sheetId val="6"/>
    </sheetIdMap>
  </header>
  <header guid="{4A12610A-14C1-48C5-BDB2-E6C8B9F206D1}" dateTime="2020-03-12T17:24:08" maxSheetId="8" userName="EXTERNAL Nguyen Tuan Duong (Ban Vien, RBVH/EPS45)" r:id="rId294" minRId="2996">
    <sheetIdMap count="7">
      <sheetId val="1"/>
      <sheetId val="7"/>
      <sheetId val="2"/>
      <sheetId val="3"/>
      <sheetId val="4"/>
      <sheetId val="5"/>
      <sheetId val="6"/>
    </sheetIdMap>
  </header>
  <header guid="{E3C2B4B7-817F-4C06-80A3-E3E8AD054A61}" dateTime="2020-03-12T17:25:02" maxSheetId="8" userName="EXTERNAL Nguyen Tuan Duong (Ban Vien, RBVH/EPS45)" r:id="rId295" minRId="3001">
    <sheetIdMap count="7">
      <sheetId val="1"/>
      <sheetId val="7"/>
      <sheetId val="2"/>
      <sheetId val="3"/>
      <sheetId val="4"/>
      <sheetId val="5"/>
      <sheetId val="6"/>
    </sheetIdMap>
  </header>
  <header guid="{AD191F52-B42D-418B-BF45-E9DD42D921C1}" dateTime="2020-03-12T17:26:33" maxSheetId="8" userName="EXTERNAL Nguyen Kim Thanh (Ban Vien, RBVH/EPS45)" r:id="rId296" minRId="3006" maxRId="3007">
    <sheetIdMap count="7">
      <sheetId val="1"/>
      <sheetId val="7"/>
      <sheetId val="2"/>
      <sheetId val="3"/>
      <sheetId val="4"/>
      <sheetId val="5"/>
      <sheetId val="6"/>
    </sheetIdMap>
  </header>
  <header guid="{E68B78CD-E65D-4492-8203-F0593831719C}" dateTime="2020-03-12T17:41:54" maxSheetId="8" userName="EXTERNAL Nguyen Kim Thanh (Ban Vien, RBVH/EPS45)" r:id="rId297" minRId="3011" maxRId="3021">
    <sheetIdMap count="7">
      <sheetId val="1"/>
      <sheetId val="7"/>
      <sheetId val="2"/>
      <sheetId val="3"/>
      <sheetId val="4"/>
      <sheetId val="5"/>
      <sheetId val="6"/>
    </sheetIdMap>
  </header>
  <header guid="{F55649BC-CD11-4482-8409-1CBF9DB0388A}" dateTime="2020-03-12T17:41:58" maxSheetId="8" userName="EXTERNAL Nguyen Kim Thanh (Ban Vien, RBVH/EPS45)" r:id="rId298">
    <sheetIdMap count="7">
      <sheetId val="1"/>
      <sheetId val="7"/>
      <sheetId val="2"/>
      <sheetId val="3"/>
      <sheetId val="4"/>
      <sheetId val="5"/>
      <sheetId val="6"/>
    </sheetIdMap>
  </header>
  <header guid="{44B72036-1BE8-46F3-8ACA-3606FD531311}" dateTime="2020-03-12T18:10:07" maxSheetId="8" userName="EXTERNAL Do Phu Loc (Ban Vien, RBVH/EPS45)" r:id="rId299" minRId="3025">
    <sheetIdMap count="7">
      <sheetId val="1"/>
      <sheetId val="7"/>
      <sheetId val="2"/>
      <sheetId val="3"/>
      <sheetId val="4"/>
      <sheetId val="5"/>
      <sheetId val="6"/>
    </sheetIdMap>
  </header>
  <header guid="{38B00F9A-83C5-44B0-B101-344048CE5E2E}" dateTime="2020-03-12T18:11:27" maxSheetId="8" userName="EXTERNAL Do Phu Loc (Ban Vien, RBVH/EPS45)" r:id="rId300" minRId="3029">
    <sheetIdMap count="7">
      <sheetId val="1"/>
      <sheetId val="7"/>
      <sheetId val="2"/>
      <sheetId val="3"/>
      <sheetId val="4"/>
      <sheetId val="5"/>
      <sheetId val="6"/>
    </sheetIdMap>
  </header>
  <header guid="{8012E062-C126-4ED5-A17B-45378824E6E9}" dateTime="2020-03-12T18:12:29" maxSheetId="8" userName="EXTERNAL Do Phu Loc (Ban Vien, RBVH/EPS45)" r:id="rId301" minRId="3033">
    <sheetIdMap count="7">
      <sheetId val="1"/>
      <sheetId val="7"/>
      <sheetId val="2"/>
      <sheetId val="3"/>
      <sheetId val="4"/>
      <sheetId val="5"/>
      <sheetId val="6"/>
    </sheetIdMap>
  </header>
  <header guid="{356F63FA-DAD4-40E4-8D92-116C705C2886}" dateTime="2020-03-12T18:23:17" maxSheetId="8" userName="EXTERNAL Nguyen Kim Thanh (Ban Vien, RBVH/EPS45)" r:id="rId302" minRId="3037" maxRId="3046">
    <sheetIdMap count="7">
      <sheetId val="1"/>
      <sheetId val="7"/>
      <sheetId val="2"/>
      <sheetId val="3"/>
      <sheetId val="4"/>
      <sheetId val="5"/>
      <sheetId val="6"/>
    </sheetIdMap>
  </header>
  <header guid="{A5A73AA1-FAA5-4F94-9E12-C854AB01334D}" dateTime="2020-03-12T18:24:09" maxSheetId="8" userName="EXTERNAL Nguyen Kim Thanh (Ban Vien, RBVH/EPS45)" r:id="rId303" minRId="3050">
    <sheetIdMap count="7">
      <sheetId val="1"/>
      <sheetId val="7"/>
      <sheetId val="2"/>
      <sheetId val="3"/>
      <sheetId val="4"/>
      <sheetId val="5"/>
      <sheetId val="6"/>
    </sheetIdMap>
  </header>
  <header guid="{43669B9E-E6A5-4E30-9F5E-3DE1763AAD41}" dateTime="2020-03-12T18:48:04" maxSheetId="8" userName="EXTERNAL Nguyen Tuan Duong (Ban Vien, RBVH/EPS45)" r:id="rId304" minRId="3054" maxRId="3075">
    <sheetIdMap count="7">
      <sheetId val="1"/>
      <sheetId val="7"/>
      <sheetId val="2"/>
      <sheetId val="3"/>
      <sheetId val="4"/>
      <sheetId val="5"/>
      <sheetId val="6"/>
    </sheetIdMap>
  </header>
  <header guid="{B3225E46-E7EF-48F5-B21A-78AE330F09DC}" dateTime="2020-03-13T09:20:51" maxSheetId="8" userName="EXTERNAL Nguyen Kim Thanh (Ban Vien, RBVH/EPS45)" r:id="rId305" minRId="3080">
    <sheetIdMap count="7">
      <sheetId val="1"/>
      <sheetId val="7"/>
      <sheetId val="2"/>
      <sheetId val="3"/>
      <sheetId val="4"/>
      <sheetId val="5"/>
      <sheetId val="6"/>
    </sheetIdMap>
  </header>
  <header guid="{3D8455C5-6FF6-4EF1-9A9B-A87D4ED3BF9B}" dateTime="2020-03-13T09:21:28" maxSheetId="8" userName="EXTERNAL Nguyen Kim Thanh (Ban Vien, RBVH/EPS45)" r:id="rId306">
    <sheetIdMap count="7">
      <sheetId val="1"/>
      <sheetId val="7"/>
      <sheetId val="2"/>
      <sheetId val="3"/>
      <sheetId val="4"/>
      <sheetId val="5"/>
      <sheetId val="6"/>
    </sheetIdMap>
  </header>
  <header guid="{45C31EAD-C008-45A9-B0CF-05751140453D}" dateTime="2020-03-13T09:56:06" maxSheetId="8" userName="EXTERNAL Ly Chung (Ban Vien, RBVH/EPS45)" r:id="rId307" minRId="3087">
    <sheetIdMap count="7">
      <sheetId val="1"/>
      <sheetId val="7"/>
      <sheetId val="2"/>
      <sheetId val="3"/>
      <sheetId val="4"/>
      <sheetId val="5"/>
      <sheetId val="6"/>
    </sheetIdMap>
  </header>
  <header guid="{1830FE6E-D86B-49D5-8C31-39264B34BF2C}" dateTime="2020-03-13T11:05:50" maxSheetId="8" userName="EXTERNAL Do Phu Loc (Ban Vien, RBVH/EPS45)" r:id="rId308" minRId="3090">
    <sheetIdMap count="7">
      <sheetId val="1"/>
      <sheetId val="7"/>
      <sheetId val="2"/>
      <sheetId val="3"/>
      <sheetId val="4"/>
      <sheetId val="5"/>
      <sheetId val="6"/>
    </sheetIdMap>
  </header>
  <header guid="{0F403352-6140-43C9-9BA9-10C80D0BBBE0}" dateTime="2020-03-13T11:11:42" maxSheetId="8" userName="EXTERNAL Do Phu Loc (Ban Vien, RBVH/EPS45)" r:id="rId309" minRId="3094">
    <sheetIdMap count="7">
      <sheetId val="1"/>
      <sheetId val="7"/>
      <sheetId val="2"/>
      <sheetId val="3"/>
      <sheetId val="4"/>
      <sheetId val="5"/>
      <sheetId val="6"/>
    </sheetIdMap>
  </header>
  <header guid="{7891468E-BD84-45EE-950F-A9F0AC636086}" dateTime="2020-03-13T11:18:19" maxSheetId="8" userName="EXTERNAL Nguyen Kim Thanh (Ban Vien, RBVH/EPS45)" r:id="rId310" minRId="3098" maxRId="3107">
    <sheetIdMap count="7">
      <sheetId val="1"/>
      <sheetId val="7"/>
      <sheetId val="2"/>
      <sheetId val="3"/>
      <sheetId val="4"/>
      <sheetId val="5"/>
      <sheetId val="6"/>
    </sheetIdMap>
  </header>
  <header guid="{33FE793A-E028-47FF-874D-BD8EB9CEEB0B}" dateTime="2020-03-13T11:18:56" maxSheetId="8" userName="EXTERNAL Nguyen Tuan Duong (Ban Vien, RBVH/EPS45)" r:id="rId311">
    <sheetIdMap count="7">
      <sheetId val="1"/>
      <sheetId val="7"/>
      <sheetId val="2"/>
      <sheetId val="3"/>
      <sheetId val="4"/>
      <sheetId val="5"/>
      <sheetId val="6"/>
    </sheetIdMap>
  </header>
  <header guid="{C2404DDC-674C-44A2-9EEA-8C9FD5FBD2CD}" dateTime="2020-03-13T12:01:17" maxSheetId="8" userName="EXTERNAL Do Phu Loc (Ban Vien, RBVH/EPS45)" r:id="rId312" minRId="3115">
    <sheetIdMap count="7">
      <sheetId val="1"/>
      <sheetId val="7"/>
      <sheetId val="2"/>
      <sheetId val="3"/>
      <sheetId val="4"/>
      <sheetId val="5"/>
      <sheetId val="6"/>
    </sheetIdMap>
  </header>
  <header guid="{630CBA70-FF7A-4D16-913B-FB8AE1F7A813}" dateTime="2020-03-13T15:02:55" maxSheetId="8" userName="EXTERNAL Do Phu Loc (Ban Vien, RBVH/EPS45)" r:id="rId313" minRId="3116">
    <sheetIdMap count="7">
      <sheetId val="1"/>
      <sheetId val="7"/>
      <sheetId val="2"/>
      <sheetId val="3"/>
      <sheetId val="4"/>
      <sheetId val="5"/>
      <sheetId val="6"/>
    </sheetIdMap>
  </header>
  <header guid="{3E0E2498-FE33-4E90-A75F-E719EE4C84A5}" dateTime="2020-03-13T16:33:24" maxSheetId="8" userName="EXTERNAL Do Phu Loc (Ban Vien, RBVH/EPS45)" r:id="rId314" minRId="3120">
    <sheetIdMap count="7">
      <sheetId val="1"/>
      <sheetId val="7"/>
      <sheetId val="2"/>
      <sheetId val="3"/>
      <sheetId val="4"/>
      <sheetId val="5"/>
      <sheetId val="6"/>
    </sheetIdMap>
  </header>
  <header guid="{57384DD2-F6C8-4B3B-8116-94D9DF0F9FED}" dateTime="2020-03-13T17:13:31" maxSheetId="8" userName="EXTERNAL Do Phu Loc (Ban Vien, RBVH/EPS45)" r:id="rId315" minRId="3124">
    <sheetIdMap count="7">
      <sheetId val="1"/>
      <sheetId val="7"/>
      <sheetId val="2"/>
      <sheetId val="3"/>
      <sheetId val="4"/>
      <sheetId val="5"/>
      <sheetId val="6"/>
    </sheetIdMap>
  </header>
  <header guid="{51A3CC96-3BFB-450A-9E2F-BF883B8B6427}" dateTime="2020-03-13T18:20:32" maxSheetId="8" userName="EXTERNAL Do Phu Loc (Ban Vien, RBVH/EPS45)" r:id="rId316">
    <sheetIdMap count="7">
      <sheetId val="1"/>
      <sheetId val="7"/>
      <sheetId val="2"/>
      <sheetId val="3"/>
      <sheetId val="4"/>
      <sheetId val="5"/>
      <sheetId val="6"/>
    </sheetIdMap>
  </header>
  <header guid="{D08884CD-BF17-418E-8FB7-329E581FDEE3}" dateTime="2020-03-13T18:20:47" maxSheetId="8" userName="EXTERNAL Do Phu Loc (Ban Vien, RBVH/EPS45)" r:id="rId317" minRId="3125">
    <sheetIdMap count="7">
      <sheetId val="1"/>
      <sheetId val="7"/>
      <sheetId val="2"/>
      <sheetId val="3"/>
      <sheetId val="4"/>
      <sheetId val="5"/>
      <sheetId val="6"/>
    </sheetIdMap>
  </header>
  <header guid="{7C5D05C3-3496-4D00-8C29-6D7F391E82E0}" dateTime="2020-03-13T18:49:40" maxSheetId="8" userName="EXTERNAL Do Phu Loc (Ban Vien, RBVH/EPS45)" r:id="rId318" minRId="3129" maxRId="3130">
    <sheetIdMap count="7">
      <sheetId val="1"/>
      <sheetId val="7"/>
      <sheetId val="2"/>
      <sheetId val="3"/>
      <sheetId val="4"/>
      <sheetId val="5"/>
      <sheetId val="6"/>
    </sheetIdMap>
  </header>
  <header guid="{549860B4-5A75-42DA-AA62-D6661B7AB703}" dateTime="2020-03-13T18:51:32" maxSheetId="8" userName="EXTERNAL Do Phu Loc (Ban Vien, RBVH/EPS45)" r:id="rId319">
    <sheetIdMap count="7">
      <sheetId val="1"/>
      <sheetId val="7"/>
      <sheetId val="2"/>
      <sheetId val="3"/>
      <sheetId val="4"/>
      <sheetId val="5"/>
      <sheetId val="6"/>
    </sheetIdMap>
  </header>
  <header guid="{3690CCCA-17E1-4AAD-89F0-221D2A47DD3E}" dateTime="2020-03-13T21:58:37" maxSheetId="8" userName="EXTERNAL Nguyen Trung Hieu (Ban Vien, RBVH/EPS45)" r:id="rId320" minRId="3137" maxRId="3147">
    <sheetIdMap count="7">
      <sheetId val="1"/>
      <sheetId val="7"/>
      <sheetId val="2"/>
      <sheetId val="3"/>
      <sheetId val="4"/>
      <sheetId val="5"/>
      <sheetId val="6"/>
    </sheetIdMap>
  </header>
  <header guid="{9BA12998-8C4F-4536-A277-2416469ABA4F}" dateTime="2020-03-13T21:58:56" maxSheetId="8" userName="EXTERNAL Nguyen Trung Hieu (Ban Vien, RBVH/EPS45)" r:id="rId321">
    <sheetIdMap count="7">
      <sheetId val="1"/>
      <sheetId val="7"/>
      <sheetId val="2"/>
      <sheetId val="3"/>
      <sheetId val="4"/>
      <sheetId val="5"/>
      <sheetId val="6"/>
    </sheetIdMap>
  </header>
  <header guid="{8AB3C699-746F-422A-8013-9CAA098FFA7F}" dateTime="2020-03-13T21:59:20" maxSheetId="8" userName="EXTERNAL Nguyen Trung Hieu (Ban Vien, RBVH/EPS45)" r:id="rId322" minRId="3152" maxRId="3153">
    <sheetIdMap count="7">
      <sheetId val="1"/>
      <sheetId val="7"/>
      <sheetId val="2"/>
      <sheetId val="3"/>
      <sheetId val="4"/>
      <sheetId val="5"/>
      <sheetId val="6"/>
    </sheetIdMap>
  </header>
  <header guid="{42120D6A-2ED9-477D-AE37-564203F1E766}" dateTime="2020-03-13T22:01:56" maxSheetId="8" userName="EXTERNAL Nguyen Trung Hieu (Ban Vien, RBVH/EPS45)" r:id="rId323">
    <sheetIdMap count="7">
      <sheetId val="1"/>
      <sheetId val="7"/>
      <sheetId val="2"/>
      <sheetId val="3"/>
      <sheetId val="4"/>
      <sheetId val="5"/>
      <sheetId val="6"/>
    </sheetIdMap>
  </header>
  <header guid="{FCC7DB7B-D5B7-42A9-B8F8-847D2A7C610E}" dateTime="2020-03-14T12:11:36" maxSheetId="8" userName="EXTERNAL Nguyen Tuan Duong (Ban Vien, RBVH/EPS45)" r:id="rId324" minRId="3158" maxRId="3160">
    <sheetIdMap count="7">
      <sheetId val="1"/>
      <sheetId val="7"/>
      <sheetId val="2"/>
      <sheetId val="3"/>
      <sheetId val="4"/>
      <sheetId val="5"/>
      <sheetId val="6"/>
    </sheetIdMap>
  </header>
  <header guid="{5C155720-DCBD-4D30-8630-562B99A883AC}" dateTime="2020-03-14T12:11:38" maxSheetId="8" userName="EXTERNAL Nguyen Tuan Duong (Ban Vien, RBVH/EPS45)" r:id="rId325" minRId="3164">
    <sheetIdMap count="7">
      <sheetId val="1"/>
      <sheetId val="7"/>
      <sheetId val="2"/>
      <sheetId val="3"/>
      <sheetId val="4"/>
      <sheetId val="5"/>
      <sheetId val="6"/>
    </sheetIdMap>
  </header>
  <header guid="{E2F8EC82-E39A-4A50-8CAF-B4D3FCCA64D6}" dateTime="2020-03-14T12:11:51" maxSheetId="8" userName="EXTERNAL Nguyen Tuan Duong (Ban Vien, RBVH/EPS45)" r:id="rId326">
    <sheetIdMap count="7">
      <sheetId val="1"/>
      <sheetId val="7"/>
      <sheetId val="2"/>
      <sheetId val="3"/>
      <sheetId val="4"/>
      <sheetId val="5"/>
      <sheetId val="6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Cols" hidden="1" oldHidden="1">
    <formula>COEM_Package_20200302!$M:$N</formula>
    <oldFormula>COEM_Package_20200302!$M:$N</oldFormula>
  </rdn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" sId="1" quotePrefix="1">
    <oc r="F51" t="inlineStr">
      <is>
        <t xml:space="preserve">rb\as\cnms_core\app\dcom\RBAPLCust\src\ESP </t>
      </is>
    </oc>
    <nc r="F51" t="inlineStr">
      <is>
        <t>rb\as\cnms_core\app\dcom\RBAPLCust\src\ESP</t>
      </is>
    </nc>
  </rcc>
  <rcc rId="5" sId="1" quotePrefix="1">
    <oc r="F52" t="inlineStr">
      <is>
        <t xml:space="preserve">rb\as\cnms_core\app\dcom\RBAPLCust\src\ESP </t>
      </is>
    </oc>
    <nc r="F52" t="inlineStr">
      <is>
        <t>rb\as\cnms_core\app\dcom\RBAPLCust\src\ESP</t>
      </is>
    </nc>
  </rcc>
  <rcc rId="6" sId="1" quotePrefix="1">
    <oc r="F53" t="inlineStr">
      <is>
        <t xml:space="preserve">rb\as\cnms_core\app\dcom\RBAPLCust\src\ESP </t>
      </is>
    </oc>
    <nc r="F53" t="inlineStr">
      <is>
        <t>rb\as\cnms_core\app\dcom\RBAPLCust\src\ESP</t>
      </is>
    </nc>
  </rcc>
  <rcc rId="7" sId="1" quotePrefix="1">
    <oc r="F54" t="inlineStr">
      <is>
        <t xml:space="preserve">rb\as\cnms_core\app\dcom\RBAPLCust\src\ESP </t>
      </is>
    </oc>
    <nc r="F54" t="inlineStr">
      <is>
        <t>rb\as\cnms_core\app\dcom\RBAPLCust\src\ESP</t>
      </is>
    </nc>
  </rcc>
  <rcc rId="8" sId="1" quotePrefix="1">
    <oc r="F55" t="inlineStr">
      <is>
        <t xml:space="preserve">rb\as\cnms_core\app\dcom\RBAPLCust\src\ESP </t>
      </is>
    </oc>
    <nc r="F55" t="inlineStr">
      <is>
        <t>rb\as\cnms_core\app\dcom\RBAPLCust\src\ESP</t>
      </is>
    </nc>
  </rcc>
  <rcv guid="{250915DF-0B97-45D7-B29D-7EED4C89C1C1}" action="delete"/>
  <rdn rId="0" localSheetId="1" customView="1" name="Z_250915DF_0B97_45D7_B29D_7EED4C89C1C1_.wvu.FilterData" hidden="1" oldHidden="1">
    <formula>COEM_Package_20200302!$Q$2:$Q$105</formula>
    <oldFormula>COEM_Package_20200302!$B$2:$AH$60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" sId="1">
    <oc r="H20" t="inlineStr">
      <is>
        <t xml:space="preserve">HDC_InvalidThrPos  </t>
      </is>
    </oc>
    <nc r="H20" t="inlineStr">
      <is>
        <t>HDC_InvalidThrPos </t>
      </is>
    </nc>
  </rcc>
  <rcv guid="{250915DF-0B97-45D7-B29D-7EED4C89C1C1}" action="delete"/>
  <rdn rId="0" localSheetId="1" customView="1" name="Z_250915DF_0B97_45D7_B29D_7EED4C89C1C1_.wvu.FilterData" hidden="1" oldHidden="1">
    <formula>COEM_Package_20200302!$Q$2:$Q$105</formula>
    <oldFormula>COEM_Package_20200302!$Q$2:$Q$105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" sId="1">
    <oc r="H20" t="inlineStr">
      <is>
        <t>HDC_InvalidThrPos </t>
      </is>
    </oc>
    <nc r="H20" t="inlineStr">
      <is>
        <t>HDC_InvalidThrPos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" sId="1">
    <oc r="X17" t="inlineStr">
      <is>
        <t>N/A</t>
      </is>
    </oc>
    <nc r="X17" t="inlineStr">
      <is>
        <t>Ready for review</t>
      </is>
    </nc>
  </rcc>
  <rcc rId="16" sId="1">
    <nc r="U17">
      <v>254</v>
    </nc>
  </rcc>
  <rcc rId="17" sId="1">
    <nc r="W17">
      <v>2</v>
    </nc>
  </rcc>
  <rcc rId="18" sId="1" numFmtId="19">
    <nc r="AA17">
      <v>43895</v>
    </nc>
  </rcc>
  <rcc rId="19" sId="1">
    <nc r="AC17" t="inlineStr">
      <is>
        <t>OK</t>
      </is>
    </nc>
  </rcc>
  <rcc rId="20" sId="1">
    <nc r="AD17">
      <v>100</v>
    </nc>
  </rcc>
  <rcc rId="21" sId="1">
    <nc r="AE17">
      <v>100</v>
    </nc>
  </rcc>
  <rcc rId="22" sId="1">
    <nc r="AF17">
      <v>100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" sId="1">
    <oc r="K7" t="inlineStr">
      <is>
        <t>1352219.zip</t>
      </is>
    </oc>
    <nc r="K7">
      <v>1352219</v>
    </nc>
  </rcc>
  <rcc rId="27" sId="1">
    <oc r="K20" t="inlineStr">
      <is>
        <t>1353762.zip</t>
      </is>
    </oc>
    <nc r="K20">
      <v>1353762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" sId="1">
    <oc r="AH11" t="inlineStr">
      <is>
        <t>Wrong path Component Name</t>
      </is>
    </oc>
    <nc r="AH11"/>
  </rcc>
  <rcc rId="29" sId="1">
    <oc r="AH12" t="inlineStr">
      <is>
        <t>Wrong path Component Name</t>
      </is>
    </oc>
    <nc r="AH12"/>
  </rcc>
  <rcc rId="30" sId="1">
    <oc r="AH13" t="inlineStr">
      <is>
        <t>Wrong path Component Name</t>
      </is>
    </oc>
    <nc r="AH13"/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xfDxf="1" sqref="F21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" sId="1" quotePrefix="1">
    <oc r="F21" t="inlineStr">
      <is>
        <t>rb\as\rbcn\core\app\dcom\RBAPLCust\src\ibooster</t>
      </is>
    </oc>
    <nc r="F21" t="inlineStr">
      <is>
        <t>rb\as\rbcn\core\app\dcom\RBAPLCust\src\iBooster</t>
      </is>
    </nc>
  </rcc>
  <rcc rId="35" sId="1" quotePrefix="1">
    <oc r="F22" t="inlineStr">
      <is>
        <t>rb\as\rbcn\core\app\dcom\RBAPLCust\src\ibooster</t>
      </is>
    </oc>
    <nc r="F22" t="inlineStr">
      <is>
        <t>rb\as\rbcn\core\app\dcom\RBAPLCust\src\iBooster</t>
      </is>
    </nc>
  </rcc>
  <rcc rId="36" sId="1" quotePrefix="1">
    <oc r="F23" t="inlineStr">
      <is>
        <t>rb\as\rbcn\core\app\dcom\RBAPLCust\src\ibooster</t>
      </is>
    </oc>
    <nc r="F23" t="inlineStr">
      <is>
        <t>rb\as\rbcn\core\app\dcom\RBAPLCust\src\iBooster</t>
      </is>
    </nc>
  </rcc>
  <rcv guid="{250915DF-0B97-45D7-B29D-7EED4C89C1C1}" action="delete"/>
  <rdn rId="0" localSheetId="1" customView="1" name="Z_250915DF_0B97_45D7_B29D_7EED4C89C1C1_.wvu.FilterData" hidden="1" oldHidden="1">
    <formula>COEM_Package_20200302!$B$2:$AH$60</formula>
    <oldFormula>COEM_Package_20200302!$Q$2:$Q$105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" sId="1" quotePrefix="1">
    <oc r="F46" t="inlineStr">
      <is>
        <t>rb\as\cnms_core\app\dcom\RBAPLCust\src\Common</t>
      </is>
    </oc>
    <nc r="F46" t="inlineStr">
      <is>
        <t>rb\as\cnms_core\app\dcom\RBAPLCust\src\common</t>
      </is>
    </nc>
  </rcc>
  <rcc rId="40" sId="1" quotePrefix="1">
    <oc r="F47" t="inlineStr">
      <is>
        <t>rb\as\cnms_core\app\dcom\RBAPLCust\src\Common</t>
      </is>
    </oc>
    <nc r="F47" t="inlineStr">
      <is>
        <t>rb\as\cnms_core\app\dcom\RBAPLCust\src\common</t>
      </is>
    </nc>
  </rcc>
  <rcc rId="41" sId="1" quotePrefix="1">
    <oc r="F48" t="inlineStr">
      <is>
        <t>rb\as\cnms_core\app\dcom\RBAPLCust\src\Common</t>
      </is>
    </oc>
    <nc r="F48" t="inlineStr">
      <is>
        <t>rb\as\cnms_core\app\dcom\RBAPLCust\src\common</t>
      </is>
    </nc>
  </rcc>
  <rcc rId="42" sId="1" quotePrefix="1">
    <oc r="F49" t="inlineStr">
      <is>
        <t>rb\as\cnms_core\app\dcom\RBAPLCust\src\Common</t>
      </is>
    </oc>
    <nc r="F49" t="inlineStr">
      <is>
        <t>rb\as\cnms_core\app\dcom\RBAPLCust\src\common</t>
      </is>
    </nc>
  </rcc>
  <rcc rId="43" sId="1" quotePrefix="1">
    <oc r="F50" t="inlineStr">
      <is>
        <t>rb\as\cnms_core\app\dcom\RBAPLCust\src\Common</t>
      </is>
    </oc>
    <nc r="F50" t="inlineStr">
      <is>
        <t>rb\as\cnms_core\app\dcom\RBAPLCust\src\common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" sId="1">
    <nc r="P31" t="inlineStr">
      <is>
        <t>loc.do-phu</t>
      </is>
    </nc>
  </rcc>
  <rcc rId="45" sId="1">
    <nc r="P32" t="inlineStr">
      <is>
        <t>loc.do-phu</t>
      </is>
    </nc>
  </rcc>
  <rcc rId="46" sId="1">
    <nc r="P33" t="inlineStr">
      <is>
        <t>loc.do-phu</t>
      </is>
    </nc>
  </rcc>
  <rcc rId="47" sId="1">
    <nc r="P34" t="inlineStr">
      <is>
        <t>loc.do-phu</t>
      </is>
    </nc>
  </rcc>
  <rcc rId="48" sId="1">
    <nc r="P35" t="inlineStr">
      <is>
        <t>loc.do-phu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" sId="1">
    <nc r="P36" t="inlineStr">
      <is>
        <t>loc.do-phu</t>
      </is>
    </nc>
  </rcc>
  <rcc rId="53" sId="1">
    <nc r="P37" t="inlineStr">
      <is>
        <t>loc.do-phu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" sId="1">
    <nc r="U19">
      <v>395</v>
    </nc>
  </rcc>
  <rcc rId="58" sId="1">
    <nc r="W19">
      <v>3</v>
    </nc>
  </rcc>
  <rcc rId="59" sId="1">
    <oc r="X19" t="inlineStr">
      <is>
        <t>N/A</t>
      </is>
    </oc>
    <nc r="X19" t="inlineStr">
      <is>
        <t>Ready for review</t>
      </is>
    </nc>
  </rcc>
  <rcc rId="60" sId="1" numFmtId="19">
    <nc r="AA19">
      <v>43895</v>
    </nc>
  </rcc>
  <rcc rId="61" sId="1" numFmtId="19">
    <nc r="AB19">
      <v>43895</v>
    </nc>
  </rcc>
  <rcc rId="62" sId="1">
    <nc r="AC19" t="inlineStr">
      <is>
        <t>OK</t>
      </is>
    </nc>
  </rcc>
  <rcc rId="63" sId="1">
    <nc r="AD19">
      <v>100</v>
    </nc>
  </rcc>
  <rcc rId="64" sId="1">
    <nc r="AE19">
      <v>100</v>
    </nc>
  </rcc>
  <rcc rId="65" sId="1">
    <nc r="AF19">
      <v>100</v>
    </nc>
  </rcc>
  <rcc rId="66" sId="1" numFmtId="19">
    <nc r="AA18">
      <v>43895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T31" start="0" length="0">
    <dxf>
      <font>
        <sz val="11"/>
        <color rgb="FFFF0000"/>
        <name val="Calibri"/>
        <scheme val="minor"/>
      </font>
      <alignment horizontal="general" vertical="bottom" readingOrder="0"/>
    </dxf>
  </rfmt>
  <rcc rId="70" sId="1" odxf="1" dxf="1">
    <oc r="T32">
      <v>164</v>
    </oc>
    <nc r="T32">
      <v>196</v>
    </nc>
    <odxf>
      <alignment horizontal="left" vertical="top" readingOrder="0"/>
    </odxf>
    <ndxf>
      <alignment horizontal="general" vertical="bottom" readingOrder="0"/>
    </ndxf>
  </rcc>
  <rfmt sheetId="1" sqref="T33" start="0" length="0">
    <dxf>
      <font>
        <sz val="11"/>
        <color rgb="FFFF0000"/>
        <name val="Calibri"/>
        <scheme val="minor"/>
      </font>
      <alignment horizontal="general" vertical="bottom" readingOrder="0"/>
    </dxf>
  </rfmt>
  <rfmt sheetId="1" sqref="T34" start="0" length="0">
    <dxf>
      <alignment horizontal="general" vertical="bottom" readingOrder="0"/>
    </dxf>
  </rfmt>
  <rfmt sheetId="1" sqref="T35" start="0" length="0">
    <dxf>
      <alignment horizontal="general" vertical="bottom" readingOrder="0"/>
    </dxf>
  </rfmt>
  <rfmt sheetId="1" sqref="T36" start="0" length="0">
    <dxf>
      <alignment horizontal="general" vertical="bottom" readingOrder="0"/>
    </dxf>
  </rfmt>
  <rfmt sheetId="1" sqref="T37" start="0" length="0">
    <dxf>
      <font>
        <sz val="11"/>
        <color rgb="FFFF0000"/>
        <name val="Calibri"/>
        <scheme val="minor"/>
      </font>
      <alignment horizontal="general" vertical="bottom" readingOrder="0"/>
    </dxf>
  </rfmt>
  <rfmt sheetId="1" sqref="T38" start="0" length="0">
    <dxf>
      <alignment horizontal="general" vertical="bottom" readingOrder="0"/>
    </dxf>
  </rfmt>
  <rfmt sheetId="1" sqref="T39" start="0" length="0">
    <dxf>
      <alignment horizontal="general" vertical="bottom" readingOrder="0"/>
    </dxf>
  </rfmt>
  <rfmt sheetId="1" sqref="T40" start="0" length="0">
    <dxf>
      <alignment horizontal="general" vertical="bottom" readingOrder="0"/>
    </dxf>
  </rfmt>
  <rfmt sheetId="1" sqref="T41" start="0" length="0">
    <dxf>
      <alignment horizontal="general" vertical="bottom" readingOrder="0"/>
    </dxf>
  </rfmt>
  <rfmt sheetId="1" sqref="T42" start="0" length="0">
    <dxf>
      <alignment horizontal="general" vertical="bottom" readingOrder="0"/>
    </dxf>
  </rfmt>
  <rfmt sheetId="1" sqref="T43" start="0" length="0">
    <dxf>
      <font>
        <sz val="11"/>
        <color rgb="FFFF0000"/>
        <name val="Calibri"/>
        <scheme val="minor"/>
      </font>
      <alignment horizontal="general" vertical="bottom" readingOrder="0"/>
    </dxf>
  </rfmt>
  <rfmt sheetId="1" sqref="T44" start="0" length="0">
    <dxf>
      <alignment horizontal="general" vertical="bottom" readingOrder="0"/>
    </dxf>
  </rfmt>
  <rfmt sheetId="1" sqref="T45" start="0" length="0">
    <dxf>
      <alignment horizontal="general" vertical="bottom" readingOrder="0"/>
    </dxf>
  </rfmt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" sId="1">
    <oc r="X46" t="inlineStr">
      <is>
        <t>N/A</t>
      </is>
    </oc>
    <nc r="X46" t="inlineStr">
      <is>
        <t>Ready for review</t>
      </is>
    </nc>
  </rcc>
  <rcc rId="75" sId="1" numFmtId="19">
    <nc r="Y46">
      <v>43895</v>
    </nc>
  </rcc>
  <rcc rId="76" sId="1" numFmtId="19">
    <nc r="AA46">
      <v>43895</v>
    </nc>
  </rcc>
  <rcc rId="77" sId="1">
    <nc r="P46" t="inlineStr">
      <is>
        <t>thanh.nguyen-kim</t>
      </is>
    </nc>
  </rcc>
  <rcc rId="78" sId="1" numFmtId="19">
    <nc r="AB46">
      <v>43895</v>
    </nc>
  </rcc>
  <rcc rId="79" sId="1">
    <nc r="AD46">
      <v>100</v>
    </nc>
  </rcc>
  <rcc rId="80" sId="1">
    <nc r="AE46">
      <v>100</v>
    </nc>
  </rcc>
  <rcc rId="81" sId="1">
    <nc r="AF46">
      <v>100</v>
    </nc>
  </rcc>
  <rdn rId="0" localSheetId="1" customView="1" name="Z_7ECC2B8E_6A82_42F5_8AB0_4A51C54EA5EC_.wvu.Cols" hidden="1" oldHidden="1">
    <formula>COEM_Package_20200302!$M:$N</formula>
  </rdn>
  <rdn rId="0" localSheetId="1" customView="1" name="Z_7ECC2B8E_6A82_42F5_8AB0_4A51C54EA5EC_.wvu.FilterData" hidden="1" oldHidden="1">
    <formula>COEM_Package_20200302!$B$2:$AH$60</formula>
  </rdn>
  <rdn rId="0" localSheetId="3" customView="1" name="Z_7ECC2B8E_6A82_42F5_8AB0_4A51C54EA5EC_.wvu.FilterData" hidden="1" oldHidden="1">
    <formula>Template!$B$2:$R$14</formula>
  </rdn>
  <rcv guid="{7ECC2B8E-6A82-42F5-8AB0-4A51C54EA5EC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CC2B8E-6A82-42F5-8AB0-4A51C54EA5EC}" action="delete"/>
  <rdn rId="0" localSheetId="1" customView="1" name="Z_7ECC2B8E_6A82_42F5_8AB0_4A51C54EA5EC_.wvu.Cols" hidden="1" oldHidden="1">
    <formula>COEM_Package_20200302!$M:$N</formula>
    <oldFormula>COEM_Package_20200302!$M:$N</oldFormula>
  </rdn>
  <rdn rId="0" localSheetId="1" customView="1" name="Z_7ECC2B8E_6A82_42F5_8AB0_4A51C54EA5EC_.wvu.FilterData" hidden="1" oldHidden="1">
    <formula>COEM_Package_20200302!$B$2:$AH$60</formula>
    <oldFormula>COEM_Package_20200302!$B$2:$AH$60</oldFormula>
  </rdn>
  <rdn rId="0" localSheetId="3" customView="1" name="Z_7ECC2B8E_6A82_42F5_8AB0_4A51C54EA5EC_.wvu.FilterData" hidden="1" oldHidden="1">
    <formula>Template!$B$2:$R$14</formula>
    <oldFormula>Template!$B$2:$R$14</oldFormula>
  </rdn>
  <rcv guid="{7ECC2B8E-6A82-42F5-8AB0-4A51C54EA5EC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" sId="1">
    <nc r="U46">
      <v>204</v>
    </nc>
  </rcc>
  <rcc rId="89" sId="1">
    <nc r="W46">
      <v>2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" sId="1">
    <oc r="W46">
      <v>2</v>
    </oc>
    <nc r="W46">
      <v>3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" sId="1">
    <oc r="X47" t="inlineStr">
      <is>
        <t>N/A</t>
      </is>
    </oc>
    <nc r="X47" t="inlineStr">
      <is>
        <t>Ongoing</t>
      </is>
    </nc>
  </rcc>
  <rcc rId="92" sId="1" numFmtId="19">
    <nc r="Y47">
      <v>43895</v>
    </nc>
  </rcc>
  <rcc rId="93" sId="1" numFmtId="19">
    <nc r="AA47">
      <v>43895</v>
    </nc>
  </rcc>
  <rcv guid="{7ECC2B8E-6A82-42F5-8AB0-4A51C54EA5EC}" action="delete"/>
  <rdn rId="0" localSheetId="1" customView="1" name="Z_7ECC2B8E_6A82_42F5_8AB0_4A51C54EA5EC_.wvu.Cols" hidden="1" oldHidden="1">
    <formula>COEM_Package_20200302!$M:$N</formula>
    <oldFormula>COEM_Package_20200302!$M:$N</oldFormula>
  </rdn>
  <rdn rId="0" localSheetId="1" customView="1" name="Z_7ECC2B8E_6A82_42F5_8AB0_4A51C54EA5EC_.wvu.FilterData" hidden="1" oldHidden="1">
    <formula>COEM_Package_20200302!$B$2:$AH$60</formula>
    <oldFormula>COEM_Package_20200302!$B$2:$AH$60</oldFormula>
  </rdn>
  <rdn rId="0" localSheetId="3" customView="1" name="Z_7ECC2B8E_6A82_42F5_8AB0_4A51C54EA5EC_.wvu.FilterData" hidden="1" oldHidden="1">
    <formula>Template!$B$2:$R$14</formula>
    <oldFormula>Template!$B$2:$R$14</oldFormula>
  </rdn>
  <rcv guid="{7ECC2B8E-6A82-42F5-8AB0-4A51C54EA5EC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" sId="1">
    <nc r="P20" t="inlineStr">
      <is>
        <t>duong.nguyen</t>
      </is>
    </nc>
  </rcc>
  <rcv guid="{250915DF-0B97-45D7-B29D-7EED4C89C1C1}" action="delete"/>
  <rdn rId="0" localSheetId="1" customView="1" name="Z_250915DF_0B97_45D7_B29D_7EED4C89C1C1_.wvu.FilterData" hidden="1" oldHidden="1">
    <formula>COEM_Package_20200302!$B$2:$AH$60</formula>
    <oldFormula>COEM_Package_20200302!$B$2:$AH$60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" sId="1">
    <nc r="P39" t="inlineStr">
      <is>
        <t>hieu.nguyen-trung</t>
      </is>
    </nc>
  </rcc>
  <rcv guid="{250915DF-0B97-45D7-B29D-7EED4C89C1C1}" action="delete"/>
  <rdn rId="0" localSheetId="1" customView="1" name="Z_250915DF_0B97_45D7_B29D_7EED4C89C1C1_.wvu.FilterData" hidden="1" oldHidden="1">
    <formula>COEM_Package_20200302!$B$2:$AH$60</formula>
    <oldFormula>COEM_Package_20200302!$B$2:$AH$60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" sId="1">
    <nc r="W16">
      <v>3</v>
    </nc>
  </rcc>
  <rcc rId="104" sId="1">
    <oc r="X16" t="inlineStr">
      <is>
        <t>N/A</t>
      </is>
    </oc>
    <nc r="X16" t="inlineStr">
      <is>
        <t>Ready for review</t>
      </is>
    </nc>
  </rcc>
  <rcc rId="105" sId="1">
    <oc r="X31" t="inlineStr">
      <is>
        <t>N/A</t>
      </is>
    </oc>
    <nc r="X31" t="inlineStr">
      <is>
        <t>Ongoing</t>
      </is>
    </nc>
  </rcc>
  <rcc rId="106" sId="1" numFmtId="19">
    <nc r="AA16">
      <v>43895</v>
    </nc>
  </rcc>
  <rcc rId="107" sId="1" numFmtId="19">
    <nc r="AB16">
      <v>43895</v>
    </nc>
  </rcc>
  <rcc rId="108" sId="1">
    <nc r="AC16" t="inlineStr">
      <is>
        <t>OK</t>
      </is>
    </nc>
  </rcc>
  <rcc rId="109" sId="1">
    <nc r="AD16">
      <v>100</v>
    </nc>
  </rcc>
  <rcc rId="110" sId="1">
    <nc r="AE16">
      <v>100</v>
    </nc>
  </rcc>
  <rcc rId="111" sId="1">
    <nc r="AF16">
      <v>100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" sId="1">
    <nc r="P43" t="inlineStr">
      <is>
        <t>hieu.nguyen-trung</t>
      </is>
    </nc>
  </rcc>
  <rcc rId="116" sId="1">
    <oc r="P39" t="inlineStr">
      <is>
        <t>hieu.nguyen-trung</t>
      </is>
    </oc>
    <nc r="P39"/>
  </rcc>
  <rcv guid="{250915DF-0B97-45D7-B29D-7EED4C89C1C1}" action="delete"/>
  <rdn rId="0" localSheetId="1" customView="1" name="Z_250915DF_0B97_45D7_B29D_7EED4C89C1C1_.wvu.FilterData" hidden="1" oldHidden="1">
    <formula>COEM_Package_20200302!$B$2:$AH$60</formula>
    <oldFormula>COEM_Package_20200302!$B$2:$AH$60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CC2B8E-6A82-42F5-8AB0-4A51C54EA5EC}" action="delete"/>
  <rdn rId="0" localSheetId="1" customView="1" name="Z_7ECC2B8E_6A82_42F5_8AB0_4A51C54EA5EC_.wvu.Cols" hidden="1" oldHidden="1">
    <formula>COEM_Package_20200302!$M:$N</formula>
    <oldFormula>COEM_Package_20200302!$M:$N</oldFormula>
  </rdn>
  <rdn rId="0" localSheetId="1" customView="1" name="Z_7ECC2B8E_6A82_42F5_8AB0_4A51C54EA5EC_.wvu.FilterData" hidden="1" oldHidden="1">
    <formula>COEM_Package_20200302!$B$2:$AH$60</formula>
    <oldFormula>COEM_Package_20200302!$B$2:$AH$60</oldFormula>
  </rdn>
  <rdn rId="0" localSheetId="3" customView="1" name="Z_7ECC2B8E_6A82_42F5_8AB0_4A51C54EA5EC_.wvu.FilterData" hidden="1" oldHidden="1">
    <formula>Template!$B$2:$R$14</formula>
    <oldFormula>Template!$B$2:$R$14</oldFormula>
  </rdn>
  <rcv guid="{7ECC2B8E-6A82-42F5-8AB0-4A51C54EA5EC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2" sId="1" numFmtId="19">
    <nc r="AB18">
      <v>43895</v>
    </nc>
  </rcc>
  <rcc rId="123" sId="1">
    <nc r="AC18" t="inlineStr">
      <is>
        <t>OK</t>
      </is>
    </nc>
  </rcc>
  <rcc rId="124" sId="1">
    <nc r="AD18">
      <v>100</v>
    </nc>
  </rcc>
  <rcc rId="125" sId="1">
    <nc r="AE18">
      <v>100</v>
    </nc>
  </rcc>
  <rcc rId="126" sId="1">
    <nc r="AF18">
      <v>100</v>
    </nc>
  </rcc>
  <rcc rId="127" sId="1">
    <oc r="X18" t="inlineStr">
      <is>
        <t>Ongoing</t>
      </is>
    </oc>
    <nc r="X18" t="inlineStr">
      <is>
        <t>Ready for review</t>
      </is>
    </nc>
  </rcc>
  <rcc rId="128" sId="1">
    <nc r="W18">
      <v>2</v>
    </nc>
  </rcc>
  <rcc rId="129" sId="1">
    <nc r="U18">
      <v>395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" sId="1">
    <nc r="P52" t="inlineStr">
      <is>
        <t>thanh.nguyen-kim</t>
      </is>
    </nc>
  </rcc>
  <rcc rId="134" sId="1">
    <oc r="X52" t="inlineStr">
      <is>
        <t>N/A</t>
      </is>
    </oc>
    <nc r="X52" t="inlineStr">
      <is>
        <t>Ongoing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" sId="1">
    <nc r="U31">
      <v>129</v>
    </nc>
  </rcc>
  <rcc rId="139" sId="1">
    <nc r="W31">
      <v>2</v>
    </nc>
  </rcc>
  <rcc rId="140" sId="1">
    <oc r="X31" t="inlineStr">
      <is>
        <t>Ongoing</t>
      </is>
    </oc>
    <nc r="X31" t="inlineStr">
      <is>
        <t>Ready for review</t>
      </is>
    </nc>
  </rcc>
  <rcc rId="141" sId="1" numFmtId="19">
    <nc r="AA31">
      <v>43895</v>
    </nc>
  </rcc>
  <rcc rId="142" sId="1" numFmtId="19">
    <nc r="AB17">
      <v>43895</v>
    </nc>
  </rcc>
  <rcc rId="143" sId="1" numFmtId="19">
    <nc r="AB31">
      <v>43895</v>
    </nc>
  </rcc>
  <rcc rId="144" sId="1">
    <nc r="AC31" t="inlineStr">
      <is>
        <t>OK</t>
      </is>
    </nc>
  </rcc>
  <rcc rId="145" sId="1" odxf="1" dxf="1">
    <nc r="AD31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46" sId="1" odxf="1" dxf="1">
    <nc r="AE31">
      <v>100</v>
    </nc>
    <ndxf>
      <font>
        <sz val="11"/>
        <color auto="1"/>
        <name val="Calibri"/>
        <scheme val="minor"/>
      </font>
    </ndxf>
  </rcc>
  <rcc rId="147" sId="1" odxf="1" dxf="1">
    <nc r="AF31">
      <v>100</v>
    </nc>
    <ndxf>
      <font>
        <sz val="11"/>
        <color auto="1"/>
        <name val="Calibri"/>
        <scheme val="minor"/>
      </font>
    </ndxf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" sId="1">
    <nc r="P47" t="inlineStr">
      <is>
        <t>thanh.nguyen-kim</t>
      </is>
    </nc>
  </rcc>
  <rcc rId="152" sId="1">
    <nc r="U47">
      <v>185</v>
    </nc>
  </rcc>
  <rcc rId="153" sId="1">
    <nc r="W47">
      <v>3</v>
    </nc>
  </rcc>
  <rcc rId="154" sId="1">
    <oc r="X47" t="inlineStr">
      <is>
        <t>Ongoing</t>
      </is>
    </oc>
    <nc r="X47" t="inlineStr">
      <is>
        <t>Ready for review</t>
      </is>
    </nc>
  </rcc>
  <rcc rId="155" sId="1" numFmtId="19">
    <nc r="AB47">
      <v>43895</v>
    </nc>
  </rcc>
  <rcc rId="156" sId="1">
    <nc r="AD47">
      <v>100</v>
    </nc>
  </rcc>
  <rcc rId="157" sId="1">
    <nc r="AE47">
      <v>100</v>
    </nc>
  </rcc>
  <rcc rId="158" sId="1">
    <nc r="AF47">
      <v>100</v>
    </nc>
  </rcc>
  <rcv guid="{7ECC2B8E-6A82-42F5-8AB0-4A51C54EA5EC}" action="delete"/>
  <rdn rId="0" localSheetId="1" customView="1" name="Z_7ECC2B8E_6A82_42F5_8AB0_4A51C54EA5EC_.wvu.Cols" hidden="1" oldHidden="1">
    <formula>COEM_Package_20200302!$M:$N</formula>
    <oldFormula>COEM_Package_20200302!$M:$N</oldFormula>
  </rdn>
  <rdn rId="0" localSheetId="1" customView="1" name="Z_7ECC2B8E_6A82_42F5_8AB0_4A51C54EA5EC_.wvu.FilterData" hidden="1" oldHidden="1">
    <formula>COEM_Package_20200302!$Q$2:$Q$105</formula>
    <oldFormula>COEM_Package_20200302!$B$2:$AH$60</oldFormula>
  </rdn>
  <rdn rId="0" localSheetId="3" customView="1" name="Z_7ECC2B8E_6A82_42F5_8AB0_4A51C54EA5EC_.wvu.FilterData" hidden="1" oldHidden="1">
    <formula>Template!$B$2:$R$14</formula>
    <oldFormula>Template!$B$2:$R$14</oldFormula>
  </rdn>
  <rcv guid="{7ECC2B8E-6A82-42F5-8AB0-4A51C54EA5EC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" sId="1">
    <nc r="U52">
      <v>110</v>
    </nc>
  </rcc>
  <rcc rId="163" sId="1">
    <oc r="X52" t="inlineStr">
      <is>
        <t>Ongoing</t>
      </is>
    </oc>
    <nc r="X52" t="inlineStr">
      <is>
        <t>Ready for review</t>
      </is>
    </nc>
  </rcc>
  <rcc rId="164" sId="1">
    <nc r="W52">
      <v>2</v>
    </nc>
  </rcc>
  <rcc rId="165" sId="1" numFmtId="19">
    <nc r="Y52">
      <v>43895</v>
    </nc>
  </rcc>
  <rcc rId="166" sId="1" numFmtId="19">
    <nc r="AA52">
      <v>43895</v>
    </nc>
  </rcc>
  <rcc rId="167" sId="1" numFmtId="19">
    <nc r="AB52">
      <v>43895</v>
    </nc>
  </rcc>
  <rcc rId="168" sId="1">
    <nc r="AD52">
      <v>100</v>
    </nc>
  </rcc>
  <rcc rId="169" sId="1">
    <nc r="AE52">
      <v>100</v>
    </nc>
  </rcc>
  <rcc rId="170" sId="1">
    <nc r="AF52">
      <v>100</v>
    </nc>
  </rcc>
  <rcc rId="171" sId="1">
    <nc r="AC52" t="inlineStr">
      <is>
        <t>OK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" sId="1">
    <oc r="P43" t="inlineStr">
      <is>
        <t>hieu.nguyen-trung</t>
      </is>
    </oc>
    <nc r="P43"/>
  </rcc>
  <rcv guid="{250915DF-0B97-45D7-B29D-7EED4C89C1C1}" action="delete"/>
  <rdn rId="0" localSheetId="1" customView="1" name="Z_250915DF_0B97_45D7_B29D_7EED4C89C1C1_.wvu.FilterData" hidden="1" oldHidden="1">
    <formula>COEM_Package_20200302!$Q$2:$Q$105</formula>
    <oldFormula>COEM_Package_20200302!$B$2:$AH$60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" sId="1">
    <oc r="X32" t="inlineStr">
      <is>
        <t>N/A</t>
      </is>
    </oc>
    <nc r="X32" t="inlineStr">
      <is>
        <t>Ongoing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" sId="1">
    <oc r="AC16" t="inlineStr">
      <is>
        <t>OK</t>
      </is>
    </oc>
    <nc r="AC16" t="inlineStr">
      <is>
        <t>NG</t>
      </is>
    </nc>
  </rcc>
  <rcc rId="183" sId="1">
    <nc r="AG16" t="inlineStr">
      <is>
        <t>Waiting for OPL Answer.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" sId="1">
    <oc r="W31">
      <v>2</v>
    </oc>
    <nc r="W31">
      <v>3</v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" sId="1">
    <nc r="P42" t="inlineStr">
      <is>
        <t>thanh.nguyen-kim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" sId="1" odxf="1" dxf="1">
    <nc r="B61">
      <f>B60+1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93" sId="1" odxf="1" dxf="1">
    <nc r="B62">
      <f>B61+1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94" sId="1" odxf="1" dxf="1">
    <nc r="B63">
      <f>B62+1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95" sId="1" odxf="1" dxf="1">
    <nc r="B64">
      <f>B63+1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96" sId="1" odxf="1" dxf="1">
    <nc r="B65">
      <f>B64+1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97" sId="1" odxf="1" dxf="1">
    <nc r="B66">
      <f>B65+1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fmt sheetId="1" sqref="E61" start="0" length="0">
    <dxf>
      <alignment horizontal="general" vertical="bottom" readingOrder="0"/>
      <border outline="0">
        <left/>
        <right/>
        <top/>
        <bottom/>
      </border>
    </dxf>
  </rfmt>
  <rfmt sheetId="1" xfDxf="1" sqref="E61" start="0" length="0">
    <dxf>
      <font>
        <sz val="10"/>
        <color rgb="FF000000"/>
        <name val="Arial"/>
        <scheme val="none"/>
      </font>
    </dxf>
  </rfmt>
  <rcc rId="198" sId="1" odxf="1" dxf="1">
    <nc r="E61" t="inlineStr">
      <is>
        <t>FAW_C105EV_ESPhev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9" sId="1">
    <nc r="E62" t="inlineStr">
      <is>
        <t>FAW_C105EV_ESPhev</t>
      </is>
    </nc>
  </rcc>
  <rcc rId="200" sId="1">
    <nc r="E63" t="inlineStr">
      <is>
        <t>FAW_C105EV_ESPhev</t>
      </is>
    </nc>
  </rcc>
  <rcc rId="201" sId="1">
    <nc r="E64" t="inlineStr">
      <is>
        <t>FAW_C105EV_ESPhev</t>
      </is>
    </nc>
  </rcc>
  <rcc rId="202" sId="1">
    <nc r="E65" t="inlineStr">
      <is>
        <t>FAW_C105EV_ESPhev</t>
      </is>
    </nc>
  </rcc>
  <rcc rId="203" sId="1">
    <nc r="E66" t="inlineStr">
      <is>
        <t>FAW_C105EV_ESPhev</t>
      </is>
    </nc>
  </rcc>
  <rcc rId="204" sId="1">
    <nc r="D61" t="inlineStr">
      <is>
        <t>PSW</t>
      </is>
    </nc>
  </rcc>
  <rcc rId="205" sId="1">
    <nc r="D62" t="inlineStr">
      <is>
        <t>PSW</t>
      </is>
    </nc>
  </rcc>
  <rcc rId="206" sId="1">
    <nc r="D63" t="inlineStr">
      <is>
        <t>PSW</t>
      </is>
    </nc>
  </rcc>
  <rcc rId="207" sId="1">
    <nc r="D64" t="inlineStr">
      <is>
        <t>PSW</t>
      </is>
    </nc>
  </rcc>
  <rcc rId="208" sId="1">
    <nc r="D65" t="inlineStr">
      <is>
        <t>PSW</t>
      </is>
    </nc>
  </rcc>
  <rcc rId="209" sId="1">
    <nc r="D66" t="inlineStr">
      <is>
        <t>PSW</t>
      </is>
    </nc>
  </rcc>
  <rcc rId="210" sId="1">
    <nc r="C61">
      <v>20200306</v>
    </nc>
  </rcc>
  <rcc rId="211" sId="1">
    <nc r="C62">
      <v>20200306</v>
    </nc>
  </rcc>
  <rcc rId="212" sId="1">
    <nc r="C63">
      <v>20200306</v>
    </nc>
  </rcc>
  <rcc rId="213" sId="1">
    <nc r="C64">
      <v>20200306</v>
    </nc>
  </rcc>
  <rcc rId="214" sId="1">
    <nc r="C65">
      <v>20200306</v>
    </nc>
  </rcc>
  <rcc rId="215" sId="1">
    <nc r="C66">
      <v>20200306</v>
    </nc>
  </rcc>
  <rfmt sheetId="1" sqref="F61" start="0" length="0">
    <dxf>
      <alignment horizontal="general" vertical="bottom" readingOrder="0"/>
      <border outline="0">
        <left/>
        <right/>
        <top/>
        <bottom/>
      </border>
    </dxf>
  </rfmt>
  <rfmt sheetId="1" xfDxf="1" sqref="F61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sqref="F62" start="0" length="0">
    <dxf>
      <font>
        <sz val="10"/>
        <color rgb="FF000000"/>
        <name val="Arial"/>
        <scheme val="none"/>
      </font>
      <alignment horizontal="general" vertical="center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fmt sheetId="1" sqref="F63" start="0" length="0">
    <dxf>
      <font>
        <sz val="10"/>
        <color rgb="FF000000"/>
        <name val="Arial"/>
        <scheme val="none"/>
      </font>
      <alignment horizontal="general" vertical="center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fmt sheetId="1" sqref="F64" start="0" length="0">
    <dxf>
      <font>
        <sz val="10"/>
        <color rgb="FF000000"/>
        <name val="Arial"/>
        <scheme val="none"/>
      </font>
      <alignment horizontal="general" vertical="center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fmt sheetId="1" sqref="F65" start="0" length="0">
    <dxf>
      <font>
        <sz val="10"/>
        <color rgb="FF000000"/>
        <name val="Arial"/>
        <scheme val="none"/>
      </font>
      <alignment horizontal="general" vertical="center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fmt sheetId="1" sqref="F66" start="0" length="0">
    <dxf>
      <font>
        <sz val="10"/>
        <color rgb="FF000000"/>
        <name val="Arial"/>
        <scheme val="none"/>
      </font>
      <alignment horizontal="general" vertical="center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cc rId="216" sId="1" odxf="1" dxf="1" quotePrefix="1">
    <nc r="F61" t="inlineStr">
      <is>
        <t>rb\as\cnms_core\app\net\scl_callout\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7" sId="1" odxf="1" dxf="1" quotePrefix="1">
    <nc r="F62" t="inlineStr">
      <is>
        <t>rb\as\cnms_core\app\net\scl_callout\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8" sId="1" odxf="1" dxf="1" quotePrefix="1">
    <nc r="F63" t="inlineStr">
      <is>
        <t>rb\as\cnms_core\app\net\scl_callout\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9" sId="1" odxf="1" dxf="1" quotePrefix="1">
    <nc r="F64" t="inlineStr">
      <is>
        <t>rb\as\cnms_core\app\net\scl_callout\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" sId="1" odxf="1" dxf="1" quotePrefix="1">
    <nc r="F65" t="inlineStr">
      <is>
        <t>rb\as\cnms_core\app\net\scl_callout\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" sId="1" odxf="1" dxf="1" quotePrefix="1">
    <nc r="F66" t="inlineStr">
      <is>
        <t>rb\as\cnms_core\app\net\scl_callout\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G61" start="0" length="0">
    <dxf>
      <alignment horizontal="general" vertical="bottom" readingOrder="0"/>
      <border outline="0">
        <left/>
        <right/>
        <top/>
        <bottom/>
      </border>
    </dxf>
  </rfmt>
  <rfmt sheetId="1" sqref="G62" start="0" length="0">
    <dxf>
      <alignment horizontal="general" vertical="bottom" readingOrder="0"/>
      <border outline="0">
        <left/>
        <right/>
        <top/>
        <bottom/>
      </border>
    </dxf>
  </rfmt>
  <rfmt sheetId="1" sqref="G63" start="0" length="0">
    <dxf>
      <alignment horizontal="general" vertical="bottom" readingOrder="0"/>
      <border outline="0">
        <left/>
        <right/>
        <top/>
        <bottom/>
      </border>
    </dxf>
  </rfmt>
  <rfmt sheetId="1" sqref="G64" start="0" length="0">
    <dxf>
      <alignment horizontal="general" vertical="bottom" readingOrder="0"/>
      <border outline="0">
        <left/>
        <right/>
        <top/>
        <bottom/>
      </border>
    </dxf>
  </rfmt>
  <rfmt sheetId="1" sqref="G65" start="0" length="0">
    <dxf>
      <alignment horizontal="general" vertical="bottom" readingOrder="0"/>
      <border outline="0">
        <left/>
        <right/>
        <top/>
        <bottom/>
      </border>
    </dxf>
  </rfmt>
  <rfmt sheetId="1" sqref="G66" start="0" length="0">
    <dxf>
      <alignment horizontal="general" vertical="bottom" readingOrder="0"/>
      <border outline="0">
        <left/>
        <right/>
        <top/>
        <bottom/>
      </border>
    </dxf>
  </rfmt>
  <rfmt sheetId="1" xfDxf="1" sqref="G61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G62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G63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G64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G65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G66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cc rId="222" sId="1" odxf="1" dxf="1">
    <nc r="G61">
      <v>1360296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3" sId="1" odxf="1" dxf="1">
    <nc r="G62">
      <v>1360296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4" sId="1" odxf="1" dxf="1">
    <nc r="G63">
      <v>1360296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" sId="1" odxf="1" dxf="1">
    <nc r="G64">
      <v>1360296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" sId="1" odxf="1" dxf="1">
    <nc r="G65">
      <v>1360296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7" sId="1" odxf="1" dxf="1">
    <nc r="G66">
      <v>1360296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H61" start="0" length="0">
    <dxf>
      <alignment horizontal="general" vertical="bottom" readingOrder="0"/>
      <border outline="0">
        <left/>
        <right/>
        <top/>
        <bottom/>
      </border>
    </dxf>
  </rfmt>
  <rfmt sheetId="1" sqref="H62" start="0" length="0">
    <dxf>
      <alignment horizontal="general" vertical="bottom" readingOrder="0"/>
      <border outline="0">
        <left/>
        <right/>
        <top/>
        <bottom/>
      </border>
    </dxf>
  </rfmt>
  <rfmt sheetId="1" sqref="H63" start="0" length="0">
    <dxf>
      <alignment horizontal="general" vertical="bottom" readingOrder="0"/>
      <border outline="0">
        <left/>
        <right/>
        <top/>
        <bottom/>
      </border>
    </dxf>
  </rfmt>
  <rfmt sheetId="1" sqref="H64" start="0" length="0">
    <dxf>
      <alignment horizontal="general" vertical="bottom" readingOrder="0"/>
      <border outline="0">
        <left/>
        <right/>
        <top/>
        <bottom/>
      </border>
    </dxf>
  </rfmt>
  <rfmt sheetId="1" sqref="H65" start="0" length="0">
    <dxf>
      <alignment horizontal="general" vertical="bottom" readingOrder="0"/>
      <border outline="0">
        <left/>
        <right/>
        <top/>
        <bottom/>
      </border>
    </dxf>
  </rfmt>
  <rfmt sheetId="1" sqref="H66" start="0" length="0">
    <dxf>
      <alignment horizontal="general" vertical="bottom" readingOrder="0"/>
      <border outline="0">
        <left/>
        <right/>
        <top/>
        <bottom/>
      </border>
    </dxf>
  </rfmt>
  <rfmt sheetId="1" xfDxf="1" sqref="H61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62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63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64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65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66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cc rId="228" sId="1" odxf="1" dxf="1">
    <nc r="H61" t="inlineStr">
      <is>
        <t>RBA_NDS_ABS_3_Callout.c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" sId="1" odxf="1" dxf="1">
    <nc r="H62" t="inlineStr">
      <is>
        <t>RBA_NDS_APC_1_Callout.c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" sId="1" odxf="1" dxf="1">
    <nc r="H63" t="inlineStr">
      <is>
        <t>RBA_NDS_ESP_3_Callout.c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" sId="1" odxf="1" dxf="1">
    <nc r="H64" t="inlineStr">
      <is>
        <t>RBA_NDS_HCU_PT_10_Callout.c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2" sId="1" odxf="1" dxf="1">
    <nc r="H65" t="inlineStr">
      <is>
        <t>RBA_NDS_HCU_PT_2_Callout.c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" sId="1" odxf="1" dxf="1">
    <nc r="H66" t="inlineStr">
      <is>
        <t>RBA_NDS_SystemInfo.c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4" sId="1" odxf="1" dxf="1">
    <nc r="I61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35" sId="1" odxf="1" dxf="1">
    <nc r="I62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36" sId="1" odxf="1" dxf="1">
    <nc r="I63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37" sId="1" odxf="1" dxf="1">
    <nc r="I64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38" sId="1" odxf="1" dxf="1">
    <nc r="I65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39" sId="1" odxf="1" dxf="1">
    <nc r="I66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fmt sheetId="1" sqref="B61:H66">
    <dxf>
      <fill>
        <patternFill patternType="solid">
          <bgColor rgb="FFFFFF00"/>
        </patternFill>
      </fill>
    </dxf>
  </rfmt>
  <rfmt sheetId="1" sqref="J61" start="0" length="0">
    <dxf>
      <alignment horizontal="general" vertical="bottom" readingOrder="0"/>
      <border outline="0">
        <left/>
        <right/>
        <top/>
        <bottom/>
      </border>
    </dxf>
  </rfmt>
  <rcc rId="240" sId="1" xfDxf="1" dxf="1">
    <nc r="J61">
      <v>99478</v>
    </nc>
  </rcc>
  <rcc rId="241" sId="1" odxf="1" dxf="1">
    <nc r="J62">
      <v>99478</v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cc rId="242" sId="1" odxf="1" dxf="1">
    <nc r="J63">
      <v>99478</v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cc rId="243" sId="1" odxf="1" dxf="1">
    <nc r="J64">
      <v>99478</v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cc rId="244" sId="1" odxf="1" dxf="1">
    <nc r="J65">
      <v>99478</v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cc rId="245" sId="1" odxf="1" dxf="1">
    <nc r="J66">
      <v>99478</v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fmt sheetId="1" sqref="J61:J6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246" sId="1">
    <nc r="K61" t="inlineStr">
      <is>
        <t>FAW_Carbon_TypeF_HevX_Int</t>
      </is>
    </nc>
  </rcc>
  <rcc rId="247" sId="1">
    <nc r="K62" t="inlineStr">
      <is>
        <t>FAW_Carbon_TypeF_HevX_Int</t>
      </is>
    </nc>
  </rcc>
  <rcc rId="248" sId="1">
    <nc r="K63" t="inlineStr">
      <is>
        <t>FAW_Carbon_TypeF_HevX_Int</t>
      </is>
    </nc>
  </rcc>
  <rcc rId="249" sId="1">
    <nc r="K64" t="inlineStr">
      <is>
        <t>FAW_Carbon_TypeF_HevX_Int</t>
      </is>
    </nc>
  </rcc>
  <rcc rId="250" sId="1">
    <nc r="K65" t="inlineStr">
      <is>
        <t>FAW_Carbon_TypeF_HevX_Int</t>
      </is>
    </nc>
  </rcc>
  <rcc rId="251" sId="1">
    <nc r="K66" t="inlineStr">
      <is>
        <t>FAW_Carbon_TypeF_HevX_Int</t>
      </is>
    </nc>
  </rcc>
  <rcc rId="252" sId="1" odxf="1" dxf="1">
    <nc r="L61">
      <f>IF(D61="ASW","PUT_VERSION","-")</f>
    </nc>
    <odxf/>
    <ndxf/>
  </rcc>
  <rcc rId="253" sId="1" odxf="1" dxf="1">
    <nc r="L62">
      <f>IF(D62="ASW","PUT_VERSION","-")</f>
    </nc>
    <odxf/>
    <ndxf/>
  </rcc>
  <rcc rId="254" sId="1" odxf="1" dxf="1">
    <nc r="L63">
      <f>IF(D63="ASW","PUT_VERSION","-")</f>
    </nc>
    <odxf/>
    <ndxf/>
  </rcc>
  <rcc rId="255" sId="1" odxf="1" dxf="1">
    <nc r="L64">
      <f>IF(D64="ASW","PUT_VERSION","-")</f>
    </nc>
    <odxf/>
    <ndxf/>
  </rcc>
  <rcc rId="256" sId="1" odxf="1" dxf="1">
    <nc r="L65">
      <f>IF(D65="ASW","PUT_VERSION","-")</f>
    </nc>
    <odxf/>
    <ndxf/>
  </rcc>
  <rcc rId="257" sId="1" odxf="1" dxf="1">
    <nc r="L66">
      <f>IF(D66="ASW","PUT_VERSION","-")</f>
    </nc>
    <odxf/>
    <ndxf/>
  </rcc>
  <rfmt sheetId="1" sqref="S61" start="0" length="0">
    <dxf>
      <alignment horizontal="general" vertical="bottom" readingOrder="0"/>
      <border outline="0">
        <left/>
        <right/>
        <top/>
        <bottom/>
      </border>
    </dxf>
  </rfmt>
  <rfmt sheetId="1" sqref="S62" start="0" length="0">
    <dxf>
      <alignment horizontal="general" vertical="bottom" readingOrder="0"/>
      <border outline="0">
        <left/>
        <right/>
        <top/>
        <bottom/>
      </border>
    </dxf>
  </rfmt>
  <rfmt sheetId="1" sqref="S63" start="0" length="0">
    <dxf>
      <alignment horizontal="general" vertical="bottom" readingOrder="0"/>
      <border outline="0">
        <left/>
        <right/>
        <top/>
        <bottom/>
      </border>
    </dxf>
  </rfmt>
  <rfmt sheetId="1" sqref="S64" start="0" length="0">
    <dxf>
      <alignment horizontal="general" vertical="bottom" readingOrder="0"/>
      <border outline="0">
        <left/>
        <right/>
        <top/>
        <bottom/>
      </border>
    </dxf>
  </rfmt>
  <rfmt sheetId="1" sqref="S65" start="0" length="0">
    <dxf>
      <alignment horizontal="general" vertical="bottom" readingOrder="0"/>
      <border outline="0">
        <left/>
        <right/>
        <top/>
        <bottom/>
      </border>
    </dxf>
  </rfmt>
  <rfmt sheetId="1" sqref="S66" start="0" length="0">
    <dxf>
      <alignment horizontal="general" vertical="bottom" readingOrder="0"/>
      <border outline="0">
        <left/>
        <right/>
        <top/>
        <bottom/>
      </border>
    </dxf>
  </rfmt>
  <rfmt sheetId="1" xfDxf="1" sqref="S61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62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63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64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65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66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cc rId="258" sId="1" odxf="1" dxf="1">
    <nc r="S61">
      <v>96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9" sId="1" odxf="1" dxf="1">
    <nc r="S62">
      <v>28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0" sId="1" odxf="1" dxf="1">
    <nc r="S63">
      <v>36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" sId="1" odxf="1" dxf="1">
    <nc r="S64">
      <v>80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" sId="1" odxf="1" dxf="1">
    <nc r="S65">
      <v>33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" sId="1" odxf="1" dxf="1">
    <nc r="S66">
      <v>212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" sId="1">
    <nc r="P66" t="inlineStr">
      <is>
        <t>thanh.nguyen-kim</t>
      </is>
    </nc>
  </rcc>
  <rcc rId="265" sId="1">
    <nc r="P61" t="inlineStr">
      <is>
        <t>duong.nguyen</t>
      </is>
    </nc>
  </rcc>
  <rcc rId="266" sId="1">
    <nc r="P62" t="inlineStr">
      <is>
        <t>loc.do-phu</t>
      </is>
    </nc>
  </rcc>
  <rcc rId="267" sId="1">
    <nc r="P63" t="inlineStr">
      <is>
        <t>loc.do-phu</t>
      </is>
    </nc>
  </rcc>
  <rcc rId="268" sId="1">
    <nc r="P64" t="inlineStr">
      <is>
        <t>chung.ly</t>
      </is>
    </nc>
  </rcc>
  <rcc rId="269" sId="1">
    <nc r="P65" t="inlineStr">
      <is>
        <t>loc.do-phu</t>
      </is>
    </nc>
  </rcc>
  <rcv guid="{7E0EA425-A420-4443-B9E0-CDF0AA9E5D09}" action="delete"/>
  <rdn rId="0" localSheetId="1" customView="1" name="Z_7E0EA425_A420_4443_B9E0_CDF0AA9E5D09_.wvu.Cols" hidden="1" oldHidden="1">
    <formula>COEM_Package_20200302!$M:$N</formula>
    <oldFormula>COEM_Package_20200302!$M:$N</oldFormula>
  </rdn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Cols" hidden="1" oldHidden="1">
    <formula>COEM_Package_20200302!$M:$N</formula>
    <oldFormula>COEM_Package_20200302!$M:$N</oldFormula>
  </rdn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7E0EA425_A420_4443_B9E0_CDF0AA9E5D09_.wvu.Cols" hidden="1" oldHidden="1">
    <oldFormula>COEM_Package_20200302!$M:$N</oldFormula>
  </rdn>
  <rcv guid="{7E0EA425-A420-4443-B9E0-CDF0AA9E5D09}" action="delete"/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M61" start="0" length="0">
    <dxf>
      <alignment horizontal="general" vertical="bottom" readingOrder="0"/>
      <border outline="0">
        <left/>
        <right/>
        <top/>
        <bottom/>
      </border>
    </dxf>
  </rfmt>
  <rcc rId="281" sId="1" xfDxf="1" dxf="1">
    <nc r="M61" t="inlineStr">
      <is>
        <t>HU Evan (CC-AS/EVA-SW33-CN)</t>
      </is>
    </nc>
  </rcc>
  <rcc rId="282" sId="1" odxf="1" dxf="1">
    <nc r="M62" t="inlineStr">
      <is>
        <t>HU Evan (CC-AS/EVA-SW33-CN)</t>
      </is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cc rId="283" sId="1" odxf="1" dxf="1">
    <nc r="M63" t="inlineStr">
      <is>
        <t>HU Evan (CC-AS/EVA-SW33-CN)</t>
      </is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cc rId="284" sId="1" odxf="1" dxf="1">
    <nc r="M64" t="inlineStr">
      <is>
        <t>HU Evan (CC-AS/EVA-SW33-CN)</t>
      </is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cc rId="285" sId="1" odxf="1" dxf="1">
    <nc r="M65" t="inlineStr">
      <is>
        <t>HU Evan (CC-AS/EVA-SW33-CN)</t>
      </is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cc rId="286" sId="1" odxf="1" dxf="1">
    <nc r="M66" t="inlineStr">
      <is>
        <t>HU Evan (CC-AS/EVA-SW33-CN)</t>
      </is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Q9" start="0" length="0">
    <dxf>
      <font>
        <sz val="11"/>
        <color theme="1"/>
        <name val="Calibri"/>
        <scheme val="minor"/>
      </font>
    </dxf>
  </rfmt>
  <rfmt sheetId="1" sqref="Q10" start="0" length="0">
    <dxf>
      <font>
        <sz val="11"/>
        <color theme="1"/>
        <name val="Calibri"/>
        <scheme val="minor"/>
      </font>
    </dxf>
  </rfmt>
  <rcv guid="{7E0EA425-A420-4443-B9E0-CDF0AA9E5D09}" action="delete"/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4" sId="1">
    <oc r="X32" t="inlineStr">
      <is>
        <t>Ongoing</t>
      </is>
    </oc>
    <nc r="X32" t="inlineStr">
      <is>
        <t>Ready for review</t>
      </is>
    </nc>
  </rcc>
  <rcc rId="295" sId="1" numFmtId="19">
    <nc r="AA32">
      <v>43896</v>
    </nc>
  </rcc>
  <rcc rId="296" sId="1" numFmtId="19">
    <nc r="AB32">
      <v>43896</v>
    </nc>
  </rcc>
  <rcc rId="297" sId="1">
    <nc r="U32">
      <v>196</v>
    </nc>
  </rcc>
  <rcc rId="298" sId="1">
    <nc r="W32">
      <v>4</v>
    </nc>
  </rcc>
  <rcc rId="299" sId="1">
    <nc r="AC32" t="inlineStr">
      <is>
        <t>OK</t>
      </is>
    </nc>
  </rcc>
  <rcc rId="300" sId="1" odxf="1" dxf="1">
    <nc r="AD32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01" sId="1" odxf="1" dxf="1">
    <nc r="AE32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02" sId="1" odxf="1" dxf="1">
    <nc r="AF32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03" sId="1">
    <oc r="AC16" t="inlineStr">
      <is>
        <t>NG</t>
      </is>
    </oc>
    <nc r="AC16" t="inlineStr">
      <is>
        <t>OK</t>
      </is>
    </nc>
  </rcc>
  <rcc rId="304" sId="1">
    <oc r="AG16" t="inlineStr">
      <is>
        <t>Waiting for OPL Answer.</t>
      </is>
    </oc>
    <nc r="AG16" t="inlineStr">
      <is>
        <t>OPL It does not impact to SW functionality.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COEM_Package_20200302!$B$2:$AH$66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B4" start="0" length="0">
    <dxf>
      <numFmt numFmtId="19" formatCode="m/d/yyyy"/>
    </dxf>
  </rfmt>
  <rcc rId="308" sId="1" numFmtId="19">
    <nc r="AB4">
      <v>43892</v>
    </nc>
  </rcc>
  <rcc rId="309" sId="1" numFmtId="19">
    <nc r="AB9">
      <v>43892</v>
    </nc>
  </rcc>
  <rcc rId="310" sId="1" numFmtId="19">
    <nc r="AB11">
      <v>43893</v>
    </nc>
  </rcc>
  <rcc rId="311" sId="1" numFmtId="19">
    <nc r="AB12">
      <v>43894</v>
    </nc>
  </rcc>
  <rcc rId="312" sId="1" numFmtId="19">
    <nc r="AB14">
      <v>43894</v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3" sId="1">
    <oc r="X15" t="inlineStr">
      <is>
        <t>N/A</t>
      </is>
    </oc>
    <nc r="X15" t="inlineStr">
      <is>
        <t>Ready for review</t>
      </is>
    </nc>
  </rcc>
  <rcc rId="314" sId="1" numFmtId="19">
    <nc r="AA15">
      <v>43894</v>
    </nc>
  </rcc>
  <rcc rId="315" sId="1" numFmtId="19">
    <nc r="AB15">
      <v>43896</v>
    </nc>
  </rcc>
  <rcc rId="316" sId="1">
    <nc r="AC15" t="inlineStr">
      <is>
        <t>NG</t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" sId="1" xfDxf="1" dxf="1" quotePrefix="1">
    <oc r="F15" t="inlineStr">
      <is>
        <t>-</t>
      </is>
    </oc>
    <nc r="F15" t="inlineStr">
      <is>
        <t>rb\as\BYD\ipb\app\net\RBScl\Scl_Callout\src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" sId="1">
    <nc r="AD15">
      <v>100</v>
    </nc>
  </rcc>
  <rcc rId="319" sId="1">
    <nc r="AE15">
      <v>100</v>
    </nc>
  </rcc>
  <rcc rId="320" sId="1">
    <nc r="AF15">
      <v>98</v>
    </nc>
  </rcc>
  <rcc rId="321" sId="1" xfDxf="1" dxf="1">
    <nc r="AG15" t="inlineStr">
      <is>
        <t>Bug (Condition is always TRUE)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COEM_Package_20200302!$Q$2:$Q$105</formula>
    <oldFormula>COEM_Package_20200302!$B$2:$AG$78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5" sId="1">
    <oc r="F104">
      <f>1/8*(SUMIFS($W$3:$W$82,$D$3:$D$82,Table!$D$3,$P$3:$P$82,C104)-SUM(SUMIFS($W$3:$W$82,$D$3:$D$82,Table!$D$3,$P$3:$P$82,C104,$X$3:$X$82,{"Ongoing","N/A"})))</f>
    </oc>
    <nc r="F104">
      <f>1/8*(SUMIFS($W$3:$W$82,$D$3:$D$82,Table!$D$3,$P$3:$P$82,C104)-SUM(SUMIFS($W$3:$W$82,$D$3:$D$82,Table!$D$3,$P$3:$P$82,C104,$X$3:$X$82,{"Ongoing","N/A"})))</f>
    </nc>
  </rcc>
  <rcc rId="326" sId="1">
    <oc r="G105">
      <f>IF(ISERROR(E105/(F105)),"N/A",E105/F105)</f>
    </oc>
    <nc r="G105">
      <f>IF(ISERROR(E105/(F105)),"N/A",E105/F105)</f>
    </nc>
  </rcc>
  <rcc rId="327" sId="1">
    <oc r="F105">
      <v>1</v>
    </oc>
    <nc r="F105">
      <f>1/8*(SUMIFS($W$3:$W$82,$D$3:$D$82,Table!$D$3,$P$3:$P$82,C105)-SUM(SUMIFS($W$3:$W$82,$D$3:$D$82,Table!$D$3,$P$3:$P$82,C105,$X$3:$X$82,{"Ongoing","N/A"})))</f>
    </nc>
  </rcc>
  <rfmt sheetId="1" sqref="W10" start="0" length="0">
    <dxf>
      <font>
        <sz val="11"/>
        <color theme="1"/>
        <name val="Calibri"/>
        <scheme val="minor"/>
      </font>
    </dxf>
  </rfmt>
  <rcc rId="328" sId="1" numFmtId="19">
    <oc r="AA10">
      <v>43893</v>
    </oc>
    <nc r="AA10">
      <v>43894</v>
    </nc>
  </rcc>
  <rcc rId="329" sId="1">
    <nc r="W10">
      <v>1.9</v>
    </nc>
  </rcc>
  <rcc rId="330" sId="1">
    <nc r="W6">
      <v>4</v>
    </nc>
  </rcc>
  <rcc rId="331" sId="1">
    <nc r="W15">
      <v>14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COEM_Package_20200302!$B$2:$AH$66</formula>
    <oldFormula>COEM_Package_20200302!$Q$2:$Q$105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COEM_Package_20200302!$B$2:$AH$66</formula>
    <oldFormula>COEM_Package_20200302!$B$2:$AH$66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8" sId="1">
    <nc r="X62" t="inlineStr">
      <is>
        <t>Ready for review</t>
      </is>
    </nc>
  </rcc>
  <rcc rId="339" sId="1" numFmtId="19">
    <nc r="AA62">
      <v>43896</v>
    </nc>
  </rcc>
  <rcc rId="340" sId="1" numFmtId="19">
    <nc r="AB62">
      <v>43896</v>
    </nc>
  </rcc>
  <rcc rId="341" sId="1">
    <nc r="AC62" t="inlineStr">
      <is>
        <t>OK</t>
      </is>
    </nc>
  </rcc>
  <rcc rId="342" sId="1" odxf="1" dxf="1">
    <nc r="AD62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43" sId="1" odxf="1" dxf="1">
    <nc r="AE62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44" sId="1" odxf="1" dxf="1">
    <nc r="AF62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COEM_Package_20200302!$B$2:$AH$66</formula>
    <oldFormula>COEM_Package_20200302!$B$2:$AH$66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" sId="1">
    <nc r="X63" t="inlineStr">
      <is>
        <t>Ready for review</t>
      </is>
    </nc>
  </rcc>
  <rcc rId="349" sId="1" numFmtId="19">
    <nc r="AA63">
      <v>43896</v>
    </nc>
  </rcc>
  <rcc rId="350" sId="1" numFmtId="19">
    <nc r="AB63">
      <v>43896</v>
    </nc>
  </rcc>
  <rcc rId="351" sId="1">
    <nc r="AC63" t="inlineStr">
      <is>
        <t>OK</t>
      </is>
    </nc>
  </rcc>
  <rcc rId="352" sId="1" odxf="1" dxf="1">
    <nc r="AD63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53" sId="1" odxf="1" dxf="1">
    <nc r="AE63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54" sId="1" odxf="1" dxf="1">
    <nc r="AF63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55" sId="1">
    <nc r="W62">
      <v>1</v>
    </nc>
  </rcc>
  <rcc rId="356" sId="1">
    <nc r="W63">
      <v>1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COEM_Package_20200302!$B$2:$AH$66</formula>
    <oldFormula>COEM_Package_20200302!$B$2:$AH$66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0" sId="1">
    <nc r="X65" t="inlineStr">
      <is>
        <t>Ready for review</t>
      </is>
    </nc>
  </rcc>
  <rcc rId="361" sId="1" numFmtId="19">
    <nc r="AA65">
      <v>43896</v>
    </nc>
  </rcc>
  <rcc rId="362" sId="1" numFmtId="19">
    <nc r="AB65">
      <v>43896</v>
    </nc>
  </rcc>
  <rcc rId="363" sId="1">
    <nc r="AC65" t="inlineStr">
      <is>
        <t>OK</t>
      </is>
    </nc>
  </rcc>
  <rcc rId="364" sId="1" odxf="1" dxf="1">
    <nc r="AD65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65" sId="1" odxf="1" dxf="1">
    <nc r="AE65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66" sId="1" odxf="1" dxf="1">
    <nc r="AF65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67" sId="1">
    <nc r="W65">
      <v>1</v>
    </nc>
  </rcc>
  <rcc rId="368" sId="1">
    <nc r="T62">
      <v>28</v>
    </nc>
  </rcc>
  <rcc rId="369" sId="1">
    <nc r="U62">
      <v>28</v>
    </nc>
  </rcc>
  <rcc rId="370" sId="1">
    <nc r="T63">
      <v>36</v>
    </nc>
  </rcc>
  <rcc rId="371" sId="1">
    <nc r="U63">
      <v>36</v>
    </nc>
  </rcc>
  <rcc rId="372" sId="1">
    <nc r="T65">
      <v>33</v>
    </nc>
  </rcc>
  <rcc rId="373" sId="1">
    <nc r="U65">
      <v>33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COEM_Package_20200302!$B$2:$AH$66</formula>
    <oldFormula>COEM_Package_20200302!$B$2:$AH$66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7" sId="1">
    <oc r="X33" t="inlineStr">
      <is>
        <t>N/A</t>
      </is>
    </oc>
    <nc r="X33" t="inlineStr">
      <is>
        <t>Ongoing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COEM_Package_20200302!$B$2:$AH$66</formula>
    <oldFormula>COEM_Package_20200302!$B$2:$AH$66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1" sId="1">
    <nc r="T61">
      <v>96</v>
    </nc>
  </rcc>
  <rcc rId="382" sId="1">
    <nc r="X61" t="inlineStr">
      <is>
        <t>Ready for review</t>
      </is>
    </nc>
  </rcc>
  <rcc rId="383" sId="1">
    <nc r="V61">
      <v>1.5</v>
    </nc>
  </rcc>
  <rcv guid="{7E0EA425-A420-4443-B9E0-CDF0AA9E5D09}" action="delete"/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6" sId="1">
    <oc r="V61">
      <v>1.5</v>
    </oc>
    <nc r="V61">
      <f>ROUNDDOWN(T61/HLOOKUP(D61,Table!$C$3:$D$4,2,0)*8,2)</f>
    </nc>
  </rcc>
  <rcc rId="387" sId="1">
    <nc r="V62">
      <f>ROUNDDOWN(T62/HLOOKUP(D62,Table!$C$3:$D$4,2,0)*8,2)</f>
    </nc>
  </rcc>
  <rcc rId="388" sId="1">
    <nc r="V63">
      <f>ROUNDDOWN(T63/HLOOKUP(D63,Table!$C$3:$D$4,2,0)*8,2)</f>
    </nc>
  </rcc>
  <rcc rId="389" sId="1">
    <nc r="V64">
      <f>ROUNDDOWN(T64/HLOOKUP(D64,Table!$C$3:$D$4,2,0)*8,2)</f>
    </nc>
  </rcc>
  <rcc rId="390" sId="1">
    <nc r="V65">
      <f>ROUNDDOWN(T65/HLOOKUP(D65,Table!$C$3:$D$4,2,0)*8,2)</f>
    </nc>
  </rcc>
  <rcc rId="391" sId="1">
    <nc r="V66">
      <f>ROUNDDOWN(T66/HLOOKUP(D66,Table!$C$3:$D$4,2,0)*8,2)</f>
    </nc>
  </rcc>
  <rcc rId="392" sId="1">
    <nc r="W61">
      <v>1.5</v>
    </nc>
  </rcc>
  <rcc rId="393" sId="1" numFmtId="19">
    <nc r="AA61">
      <v>43896</v>
    </nc>
  </rcc>
  <rcc rId="394" sId="1" numFmtId="19">
    <nc r="AB61">
      <v>43896</v>
    </nc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5" sId="1">
    <nc r="AC33" t="inlineStr">
      <is>
        <t>NG</t>
      </is>
    </nc>
  </rcc>
  <rcc rId="396" sId="1">
    <nc r="AG33" t="inlineStr">
      <is>
        <t>Waiting for OPL answer.</t>
      </is>
    </nc>
  </rcc>
  <rcc rId="397" sId="1" numFmtId="19">
    <nc r="AA33">
      <v>43896</v>
    </nc>
  </rcc>
  <rcc rId="398" sId="1">
    <nc r="W33">
      <v>1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COEM_Package_20200302!$B$2:$AH$66</formula>
    <oldFormula>COEM_Package_20200302!$B$2:$AH$66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2" sId="1">
    <nc r="AD61">
      <v>97</v>
    </nc>
  </rcc>
  <rcc rId="403" sId="1">
    <nc r="AE61">
      <v>95</v>
    </nc>
  </rcc>
  <rcc rId="404" sId="1">
    <nc r="AF61">
      <v>92</v>
    </nc>
  </rcc>
  <rcc rId="405" sId="1">
    <nc r="AC61" t="inlineStr">
      <is>
        <t>NG</t>
      </is>
    </nc>
  </rcc>
  <rcc rId="406" sId="1">
    <nc r="U20">
      <v>40</v>
    </nc>
  </rcc>
  <rcc rId="407" sId="1">
    <nc r="W20">
      <v>3</v>
    </nc>
  </rcc>
  <rcc rId="408" sId="1" numFmtId="19">
    <nc r="AA20">
      <v>43895</v>
    </nc>
  </rcc>
  <rcv guid="{7E0EA425-A420-4443-B9E0-CDF0AA9E5D09}" action="delete"/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1" sId="1">
    <nc r="AG19" t="inlineStr">
      <is>
        <t>Have issues with database, complexity of code</t>
      </is>
    </nc>
  </rcc>
  <rcc rId="412" sId="1">
    <nc r="AG61" t="inlineStr">
      <is>
        <t>OPL is already feedback, confirm it can be ignore</t>
      </is>
    </nc>
  </rcc>
  <rcv guid="{7E0EA425-A420-4443-B9E0-CDF0AA9E5D09}" action="delete"/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5" sId="1" numFmtId="19">
    <nc r="AB13">
      <v>43894</v>
    </nc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8" sId="1">
    <nc r="T66">
      <v>212</v>
    </nc>
  </rcc>
  <rcc rId="419" sId="1">
    <nc r="U66">
      <v>212</v>
    </nc>
  </rcc>
  <rcc rId="420" sId="1">
    <nc r="W66">
      <v>2</v>
    </nc>
  </rcc>
  <rcc rId="421" sId="1">
    <nc r="X66" t="inlineStr">
      <is>
        <t>Ready for review</t>
      </is>
    </nc>
  </rcc>
  <rcc rId="422" sId="1" numFmtId="19">
    <nc r="AA66">
      <v>43896</v>
    </nc>
  </rcc>
  <rcc rId="423" sId="1" numFmtId="19">
    <nc r="AB66">
      <v>43896</v>
    </nc>
  </rcc>
  <rcc rId="424" sId="1">
    <nc r="AC66" t="inlineStr">
      <is>
        <t>OK</t>
      </is>
    </nc>
  </rcc>
  <rcc rId="425" sId="1">
    <nc r="AD66">
      <v>100</v>
    </nc>
  </rcc>
  <rcc rId="426" sId="1">
    <nc r="AE66">
      <v>100</v>
    </nc>
  </rcc>
  <rcc rId="427" sId="1">
    <nc r="AF66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1" sId="1" odxf="1" dxf="1" numFmtId="19">
    <oc r="AB46">
      <v>43895</v>
    </oc>
    <nc r="AB46">
      <v>43896</v>
    </nc>
    <odxf>
      <numFmt numFmtId="164" formatCode="[$-409]d\-mmm\-yyyy;@"/>
    </odxf>
    <ndxf>
      <numFmt numFmtId="19" formatCode="m/d/yyyy"/>
    </ndxf>
  </rcc>
  <rcc rId="432" sId="1" odxf="1" dxf="1" numFmtId="19">
    <oc r="AB47">
      <v>43895</v>
    </oc>
    <nc r="AB47">
      <v>43896</v>
    </nc>
    <odxf>
      <numFmt numFmtId="164" formatCode="[$-409]d\-mmm\-yyyy;@"/>
    </odxf>
    <ndxf>
      <numFmt numFmtId="19" formatCode="m/d/yyyy"/>
    </ndxf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B46" start="0" length="0">
    <dxf>
      <numFmt numFmtId="164" formatCode="[$-409]d\-mmm\-yyyy;@"/>
    </dxf>
  </rfmt>
  <rfmt sheetId="1" sqref="AB47" start="0" length="0">
    <dxf>
      <numFmt numFmtId="164" formatCode="[$-409]d\-mmm\-yyyy;@"/>
    </dxf>
  </rfmt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6" sId="1">
    <oc r="V63">
      <f>ROUNDDOWN(T63/HLOOKUP(D63,Table!$C$3:$D$4,2,0)*8,2)</f>
    </oc>
    <nc r="V63">
      <f>ROUNDDOWN(T63/HLOOKUP(D63,Table!$C$3:$D$4,2,0)*8,2)</f>
    </nc>
  </rcc>
  <rcc rId="437" sId="1">
    <oc r="V64">
      <f>ROUNDDOWN(T64/HLOOKUP(D64,Table!$C$3:$D$4,2,0)*8,2)</f>
    </oc>
    <nc r="V64">
      <f>ROUNDDOWN(T64/HLOOKUP(D64,Table!$C$3:$D$4,2,0)*8,2)</f>
    </nc>
  </rcc>
  <rcc rId="438" sId="1">
    <oc r="V65">
      <f>ROUNDDOWN(T65/HLOOKUP(D65,Table!$C$3:$D$4,2,0)*8,2)</f>
    </oc>
    <nc r="V65">
      <f>ROUNDDOWN(T65/HLOOKUP(D65,Table!$C$3:$D$4,2,0)*8,2)</f>
    </nc>
  </rcc>
  <rcc rId="439" sId="1">
    <oc r="V66">
      <f>ROUNDDOWN(T66/HLOOKUP(D66,Table!$C$3:$D$4,2,0)*8,2)</f>
    </oc>
    <nc r="V66">
      <f>ROUNDDOWN(T66/HLOOKUP(D66,Table!$C$3:$D$4,2,0)*8,2)</f>
    </nc>
  </rcc>
  <rfmt sheetId="1" sqref="N1:N1048576">
    <dxf>
      <fill>
        <patternFill patternType="none">
          <bgColor auto="1"/>
        </patternFill>
      </fill>
    </dxf>
  </rfmt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4" sId="1">
    <oc r="E90">
      <f>SUMIFS($U$3:$U$82,$D$3:$D$82,Table!$C$3,$P$3:$P$82,C90)-SUM(SUMIFS($U$3:$U$82,$D$3:$D$82,Table!$C$3,$P$3:$P$82,C90,$X$3:$X$82,{"Ongoing","N/A"}))</f>
    </oc>
    <nc r="E90">
      <f>SUMIFS($U$3:$U$82,$D$3:$D$82,Table!$C$3,$P$3:$P$82,C90)-SUM(SUMIFS($U$3:$U$82,$D$3:$D$82,Table!$C$3,$P$3:$P$82,C90,$X$3:$X$82,{"Ongoing","N/A"}))</f>
    </nc>
  </rcc>
  <rcc rId="445" sId="1">
    <oc r="U20">
      <v>40</v>
    </oc>
    <nc r="U20">
      <v>50</v>
    </nc>
  </rcc>
  <rcc rId="446" sId="1">
    <oc r="X20" t="inlineStr">
      <is>
        <t>N/A</t>
      </is>
    </oc>
    <nc r="X20" t="inlineStr">
      <is>
        <t>Ready for review</t>
      </is>
    </nc>
  </rcc>
  <rcc rId="447" sId="1" numFmtId="19">
    <nc r="AB20">
      <v>43896</v>
    </nc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2" sId="1">
    <nc r="Q61" t="inlineStr">
      <is>
        <t>duong.nguyen</t>
      </is>
    </nc>
  </rcc>
  <rcc rId="453" sId="1">
    <nc r="Q62" t="inlineStr">
      <is>
        <t>duong.nguyen</t>
      </is>
    </nc>
  </rcc>
  <rcc rId="454" sId="1">
    <nc r="Q63" t="inlineStr">
      <is>
        <t>duong.nguyen</t>
      </is>
    </nc>
  </rcc>
  <rcc rId="455" sId="1">
    <nc r="Q64" t="inlineStr">
      <is>
        <t>duong.nguyen</t>
      </is>
    </nc>
  </rcc>
  <rcc rId="456" sId="1">
    <nc r="Q65" t="inlineStr">
      <is>
        <t>duong.nguyen</t>
      </is>
    </nc>
  </rcc>
  <rcc rId="457" sId="1">
    <nc r="Q66" t="inlineStr">
      <is>
        <t>duong.nguyen</t>
      </is>
    </nc>
  </rcc>
  <rcc rId="458" sId="1">
    <nc r="R61" t="inlineStr">
      <is>
        <t>Yes</t>
      </is>
    </nc>
  </rcc>
  <rcc rId="459" sId="1">
    <nc r="R62" t="inlineStr">
      <is>
        <t>Yes</t>
      </is>
    </nc>
  </rcc>
  <rcc rId="460" sId="1">
    <nc r="R63" t="inlineStr">
      <is>
        <t>Yes</t>
      </is>
    </nc>
  </rcc>
  <rcc rId="461" sId="1">
    <nc r="R64" t="inlineStr">
      <is>
        <t>Yes</t>
      </is>
    </nc>
  </rcc>
  <rcc rId="462" sId="1">
    <nc r="R65" t="inlineStr">
      <is>
        <t>Yes</t>
      </is>
    </nc>
  </rcc>
  <rcc rId="463" sId="1">
    <nc r="R66" t="inlineStr">
      <is>
        <t>Yes</t>
      </is>
    </nc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6" sId="1">
    <oc r="X61" t="inlineStr">
      <is>
        <t>Ready for review</t>
      </is>
    </oc>
    <nc r="X61" t="inlineStr">
      <is>
        <t>Ready for delivery</t>
      </is>
    </nc>
  </rcc>
  <rcc rId="467" sId="1">
    <oc r="X62" t="inlineStr">
      <is>
        <t>Ready for review</t>
      </is>
    </oc>
    <nc r="X62" t="inlineStr">
      <is>
        <t>Ready for delivery</t>
      </is>
    </nc>
  </rcc>
  <rcc rId="468" sId="1">
    <oc r="X63" t="inlineStr">
      <is>
        <t>Ready for review</t>
      </is>
    </oc>
    <nc r="X63" t="inlineStr">
      <is>
        <t>Ready for delivery</t>
      </is>
    </nc>
  </rcc>
  <rcc rId="469" sId="1">
    <nc r="X64" t="inlineStr">
      <is>
        <t>Ready for delivery</t>
      </is>
    </nc>
  </rcc>
  <rcc rId="470" sId="1">
    <oc r="X65" t="inlineStr">
      <is>
        <t>Ready for review</t>
      </is>
    </oc>
    <nc r="X65" t="inlineStr">
      <is>
        <t>Ready for delivery</t>
      </is>
    </nc>
  </rcc>
  <rcc rId="471" sId="1">
    <oc r="X66" t="inlineStr">
      <is>
        <t>Ready for review</t>
      </is>
    </oc>
    <nc r="X66" t="inlineStr">
      <is>
        <t>Ready for delivery</t>
      </is>
    </nc>
  </rcc>
  <rfmt sheetId="1" sqref="AA63" start="0" length="0">
    <dxf>
      <numFmt numFmtId="164" formatCode="[$-409]d\-mmm\-yyyy;@"/>
    </dxf>
  </rfmt>
  <rfmt sheetId="1" sqref="AB63" start="0" length="0">
    <dxf>
      <numFmt numFmtId="164" formatCode="[$-409]d\-mmm\-yyyy;@"/>
    </dxf>
  </rfmt>
  <rcc rId="472" sId="1" odxf="1" dxf="1" numFmtId="19">
    <nc r="AA64">
      <v>43896</v>
    </nc>
    <odxf>
      <numFmt numFmtId="19" formatCode="m/d/yyyy"/>
    </odxf>
    <ndxf>
      <numFmt numFmtId="164" formatCode="[$-409]d\-mmm\-yyyy;@"/>
    </ndxf>
  </rcc>
  <rcc rId="473" sId="1" odxf="1" dxf="1" numFmtId="19">
    <nc r="AB64">
      <v>43896</v>
    </nc>
    <odxf>
      <numFmt numFmtId="19" formatCode="m/d/yyyy"/>
    </odxf>
    <ndxf>
      <numFmt numFmtId="164" formatCode="[$-409]d\-mmm\-yyyy;@"/>
    </ndxf>
  </rcc>
  <rfmt sheetId="1" sqref="AA65" start="0" length="0">
    <dxf>
      <numFmt numFmtId="164" formatCode="[$-409]d\-mmm\-yyyy;@"/>
    </dxf>
  </rfmt>
  <rfmt sheetId="1" sqref="AB65" start="0" length="0">
    <dxf>
      <numFmt numFmtId="164" formatCode="[$-409]d\-mmm\-yyyy;@"/>
    </dxf>
  </rfmt>
  <rfmt sheetId="1" sqref="AA66" start="0" length="0">
    <dxf>
      <numFmt numFmtId="164" formatCode="[$-409]d\-mmm\-yyyy;@"/>
    </dxf>
  </rfmt>
  <rfmt sheetId="1" sqref="AB66" start="0" length="0">
    <dxf>
      <numFmt numFmtId="164" formatCode="[$-409]d\-mmm\-yyyy;@"/>
    </dxf>
  </rfmt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6" sId="1" numFmtId="19">
    <nc r="Z61">
      <v>43896</v>
    </nc>
  </rcc>
  <rcc rId="477" sId="1" numFmtId="19">
    <nc r="Z62">
      <v>43896</v>
    </nc>
  </rcc>
  <rcc rId="478" sId="1" numFmtId="19">
    <nc r="Z63">
      <v>43896</v>
    </nc>
  </rcc>
  <rcc rId="479" sId="1" numFmtId="19">
    <nc r="Z64">
      <v>43896</v>
    </nc>
  </rcc>
  <rcc rId="480" sId="1" numFmtId="19">
    <nc r="Z65">
      <v>43896</v>
    </nc>
  </rcc>
  <rcc rId="481" sId="1" numFmtId="19">
    <nc r="Z66">
      <v>43896</v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2" sId="1">
    <nc r="AC64" t="inlineStr">
      <is>
        <t>NG</t>
      </is>
    </nc>
  </rcc>
  <rcc rId="483" sId="1">
    <nc r="AD64" t="inlineStr">
      <is>
        <t>?</t>
      </is>
    </nc>
  </rcc>
  <rcc rId="484" sId="1">
    <nc r="AE64" t="inlineStr">
      <is>
        <t>?</t>
      </is>
    </nc>
  </rcc>
  <rcc rId="485" sId="1">
    <nc r="AF64" t="inlineStr">
      <is>
        <t>?</t>
      </is>
    </nc>
  </rcc>
  <rcc rId="486" sId="1">
    <nc r="U61">
      <v>96</v>
    </nc>
  </rcc>
  <rcc rId="487" sId="1">
    <nc r="U13">
      <v>90</v>
    </nc>
  </rcc>
  <rcc rId="488" sId="1">
    <nc r="W13">
      <v>2</v>
    </nc>
  </rcc>
  <rcc rId="489" sId="1">
    <nc r="AC13" t="inlineStr">
      <is>
        <t>NG</t>
      </is>
    </nc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2" sId="1" numFmtId="19">
    <oc r="Z15">
      <v>43896</v>
    </oc>
    <nc r="Z15">
      <v>43899</v>
    </nc>
  </rcc>
  <rcc rId="493" sId="1" numFmtId="19">
    <oc r="Z16">
      <v>43896</v>
    </oc>
    <nc r="Z16">
      <v>43899</v>
    </nc>
  </rcc>
  <rcc rId="494" sId="1" numFmtId="19">
    <oc r="Z17">
      <v>43896</v>
    </oc>
    <nc r="Z17">
      <v>43899</v>
    </nc>
  </rcc>
  <rcc rId="495" sId="1" numFmtId="19">
    <oc r="Z18">
      <v>43896</v>
    </oc>
    <nc r="Z18">
      <v>43899</v>
    </nc>
  </rcc>
  <rcc rId="496" sId="1" numFmtId="19">
    <oc r="Z19">
      <v>43896</v>
    </oc>
    <nc r="Z19">
      <v>43899</v>
    </nc>
  </rcc>
  <rcc rId="497" sId="1" numFmtId="19">
    <oc r="Z20">
      <v>43896</v>
    </oc>
    <nc r="Z20">
      <v>43899</v>
    </nc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500" sheetId="1" source="AG19" destination="AG20" sourceSheetId="1">
    <rfmt sheetId="1" sqref="AG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3" sId="1">
    <nc r="T64">
      <v>80</v>
    </nc>
  </rcc>
  <rcc rId="504" sId="1">
    <nc r="U64">
      <v>80</v>
    </nc>
  </rcc>
  <rcc rId="505" sId="1">
    <oc r="E102">
      <f>SUMIFS($T$3:$T$82,$D$3:$D$82,Table!$D$3,$P$3:$P$82,C102)-SUM(SUMIFS($T$3:$T$82,$D$3:$D$82,Table!$D$3,$P$3:$P$82,C102,$X$3:$X$82,{"Ongoing","N/A"}))</f>
    </oc>
    <nc r="E102">
      <f>SUMIFS($T$3:$T$82,$D$3:$D$82,Table!$D$3,$P$3:$P$82,C102)-SUM(SUMIFS($T$3:$T$82,$D$3:$D$82,Table!$D$3,$P$3:$P$82,C102,$X$3:$X$82,{"Ongoing","N/A"}))</f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6" sId="1">
    <oc r="X42" t="inlineStr">
      <is>
        <t>N/A</t>
      </is>
    </oc>
    <nc r="X42" t="inlineStr">
      <is>
        <t>Ongoing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0" sId="1" numFmtId="19">
    <nc r="AA42">
      <v>43899</v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1" sId="1">
    <nc r="P25" t="inlineStr">
      <is>
        <t>chung.ly</t>
      </is>
    </nc>
  </rcc>
  <rcc rId="512" sId="1">
    <nc r="P26" t="inlineStr">
      <is>
        <t>chung.ly</t>
      </is>
    </nc>
  </rcc>
  <rcc rId="513" sId="1">
    <nc r="P51" t="inlineStr">
      <is>
        <t>chung.ly</t>
      </is>
    </nc>
  </rcc>
  <rcc rId="514" sId="1">
    <nc r="P53" t="inlineStr">
      <is>
        <t>chung.ly</t>
      </is>
    </nc>
  </rcc>
  <rcc rId="515" sId="1">
    <nc r="P27" t="inlineStr">
      <is>
        <t>chung.ly</t>
      </is>
    </nc>
  </rcc>
  <rcc rId="516" sId="1">
    <nc r="P28" t="inlineStr">
      <is>
        <t>chung.ly</t>
      </is>
    </nc>
  </rcc>
  <rcc rId="517" sId="1">
    <oc r="W6">
      <v>4</v>
    </oc>
    <nc r="W6">
      <v>10</v>
    </nc>
  </rcc>
  <rcc rId="518" sId="1">
    <oc r="W10">
      <v>1.9</v>
    </oc>
    <nc r="W10">
      <v>4</v>
    </nc>
  </rcc>
  <rcc rId="519" sId="1">
    <oc r="W15">
      <v>14</v>
    </oc>
    <nc r="W15">
      <v>16</v>
    </nc>
  </rcc>
  <rcc rId="520" sId="1">
    <nc r="W64">
      <v>2</v>
    </nc>
  </rcc>
  <rcc rId="521" sId="1">
    <oc r="AD64" t="inlineStr">
      <is>
        <t>?</t>
      </is>
    </oc>
    <nc r="AD64">
      <v>100</v>
    </nc>
  </rcc>
  <rcc rId="522" sId="1">
    <oc r="AE64" t="inlineStr">
      <is>
        <t>?</t>
      </is>
    </oc>
    <nc r="AE64">
      <v>100</v>
    </nc>
  </rcc>
  <rcc rId="523" sId="1">
    <oc r="AF64" t="inlineStr">
      <is>
        <t>?</t>
      </is>
    </oc>
    <nc r="AF64">
      <v>75</v>
    </nc>
  </rcc>
  <rcc rId="524" sId="1">
    <nc r="AG64" t="inlineStr">
      <is>
        <t>Bug, con not cover MCDC beacause this is true case for above condition</t>
      </is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COEM_Package_20200302!$B$2:$AH$66</formula>
    <oldFormula>COEM_Package_20200302!$B$2:$AH$66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8" sId="1" xfDxf="1" dxf="1">
    <oc r="X25" t="inlineStr">
      <is>
        <t>N/A</t>
      </is>
    </oc>
    <nc r="X25" t="inlineStr">
      <is>
        <t>Ready for review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9" sId="1" numFmtId="19">
    <nc r="AA25">
      <v>43899</v>
    </nc>
  </rcc>
  <rcc rId="530" sId="1" numFmtId="19">
    <nc r="AB25">
      <v>43899</v>
    </nc>
  </rcc>
  <rcc rId="531" sId="1">
    <nc r="AC25" t="inlineStr">
      <is>
        <t>OK</t>
      </is>
    </nc>
  </rcc>
  <rcc rId="532" sId="1">
    <nc r="AD25">
      <v>100</v>
    </nc>
  </rcc>
  <rcc rId="533" sId="1">
    <nc r="AE25">
      <v>100</v>
    </nc>
  </rcc>
  <rcc rId="534" sId="1">
    <nc r="AF25">
      <v>100</v>
    </nc>
  </rcc>
  <rcc rId="535" sId="1">
    <nc r="W25">
      <v>1</v>
    </nc>
  </rcc>
  <rcc rId="536" sId="1">
    <nc r="AD26">
      <v>100</v>
    </nc>
  </rcc>
  <rcc rId="537" sId="1">
    <nc r="AE26">
      <v>100</v>
    </nc>
  </rcc>
  <rcc rId="538" sId="1">
    <nc r="AF26">
      <v>100</v>
    </nc>
  </rcc>
  <rcc rId="539" sId="1" numFmtId="19">
    <nc r="AA26">
      <v>43899</v>
    </nc>
  </rcc>
  <rcc rId="540" sId="1" numFmtId="19">
    <nc r="AB26">
      <v>43899</v>
    </nc>
  </rcc>
  <rcc rId="541" sId="1">
    <nc r="AC26" t="inlineStr">
      <is>
        <t>OK</t>
      </is>
    </nc>
  </rcc>
  <rcc rId="542" sId="1">
    <nc r="W26">
      <v>0.75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COEM_Package_20200302!$B$2:$AH$66</formula>
    <oldFormula>COEM_Package_20200302!$B$2:$AH$66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6" sId="1">
    <oc r="X26" t="inlineStr">
      <is>
        <t>N/A</t>
      </is>
    </oc>
    <nc r="X26" t="inlineStr">
      <is>
        <t>Ready for review</t>
      </is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COEM_Package_20200302!$B$2:$AH$66</formula>
    <oldFormula>COEM_Package_20200302!$B$2:$AH$66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0" sId="1" numFmtId="19">
    <nc r="AA27">
      <v>43899</v>
    </nc>
  </rcc>
  <rcc rId="551" sId="1" numFmtId="19">
    <nc r="AB27">
      <v>43899</v>
    </nc>
  </rcc>
  <rcc rId="552" sId="1" odxf="1" dxf="1" quotePrefix="1">
    <nc r="AD27" t="inlineStr">
      <is>
        <t>-</t>
      </is>
    </nc>
    <odxf/>
    <ndxf/>
  </rcc>
  <rcc rId="553" sId="1" odxf="1" dxf="1" quotePrefix="1">
    <nc r="AE27" t="inlineStr">
      <is>
        <t>-</t>
      </is>
    </nc>
    <odxf/>
    <ndxf/>
  </rcc>
  <rcc rId="554" sId="1" odxf="1" dxf="1" quotePrefix="1">
    <nc r="AF27" t="inlineStr">
      <is>
        <t>-</t>
      </is>
    </nc>
    <odxf/>
    <ndxf/>
  </rcc>
  <rcc rId="555" sId="1">
    <nc r="AG27" t="inlineStr">
      <is>
        <t>No code</t>
      </is>
    </nc>
  </rcc>
  <rcc rId="556" sId="1">
    <nc r="W27">
      <v>0.2</v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7" sId="1" xfDxf="1" dxf="1">
    <oc r="X27" t="inlineStr">
      <is>
        <t>N/A</t>
      </is>
    </oc>
    <nc r="X27" t="inlineStr">
      <is>
        <t>Ready for review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8" sId="1">
    <oc r="X28" t="inlineStr">
      <is>
        <t>N/A</t>
      </is>
    </oc>
    <nc r="X28" t="inlineStr">
      <is>
        <t>Ongoing</t>
      </is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COEM_Package_20200302!$B$2:$AH$66</formula>
    <oldFormula>COEM_Package_20200302!$B$2:$AH$66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2" sId="1">
    <nc r="W28">
      <v>1</v>
    </nc>
  </rcc>
  <rcc rId="563" sId="1" numFmtId="19">
    <nc r="AA28">
      <v>43899</v>
    </nc>
  </rcc>
  <rcc rId="564" sId="1" numFmtId="19">
    <nc r="AB28">
      <v>43899</v>
    </nc>
  </rcc>
  <rcc rId="565" sId="1">
    <nc r="AC28" t="inlineStr">
      <is>
        <t>OK</t>
      </is>
    </nc>
  </rcc>
  <rcc rId="566" sId="1">
    <nc r="AD28">
      <v>100</v>
    </nc>
  </rcc>
  <rcc rId="567" sId="1">
    <nc r="AE28">
      <v>100</v>
    </nc>
  </rcc>
  <rcc rId="568" sId="1">
    <nc r="AF28">
      <v>100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COEM_Package_20200302!$B$2:$AH$66</formula>
    <oldFormula>COEM_Package_20200302!$B$2:$AH$66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2" sId="1" xfDxf="1" dxf="1">
    <oc r="X28" t="inlineStr">
      <is>
        <t>Ongoing</t>
      </is>
    </oc>
    <nc r="X28" t="inlineStr">
      <is>
        <t>Ready for review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COEM_Package_20200302!$B$2:$AH$66</formula>
    <oldFormula>COEM_Package_20200302!$B$2:$AH$66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6" sId="1">
    <oc r="X51" t="inlineStr">
      <is>
        <t>N/A</t>
      </is>
    </oc>
    <nc r="X51" t="inlineStr">
      <is>
        <t>Ongoing</t>
      </is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COEM_Package_20200302!$B$2:$AH$66</formula>
    <oldFormula>COEM_Package_20200302!$B$2:$AH$66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0" sId="1">
    <oc r="X42" t="inlineStr">
      <is>
        <t>Ongoing</t>
      </is>
    </oc>
    <nc r="X42" t="inlineStr">
      <is>
        <t>Ready for review</t>
      </is>
    </nc>
  </rcc>
  <rcc rId="581" sId="1">
    <nc r="W42">
      <v>4</v>
    </nc>
  </rcc>
  <rcc rId="582" sId="1" numFmtId="19">
    <nc r="AB42">
      <v>43899</v>
    </nc>
  </rcc>
  <rcc rId="583" sId="1">
    <nc r="AC42" t="inlineStr">
      <is>
        <t>NG</t>
      </is>
    </nc>
  </rcc>
  <rcc rId="584" sId="1">
    <nc r="AD42">
      <v>66</v>
    </nc>
  </rcc>
  <rcc rId="585" sId="1">
    <nc r="AE42">
      <v>100</v>
    </nc>
  </rcc>
  <rcc rId="586" sId="1">
    <nc r="AF42">
      <v>100</v>
    </nc>
  </rcc>
  <rcc rId="587" sId="1">
    <nc r="AG42" t="inlineStr">
      <is>
        <t>Waiting for OPL answer.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1" sId="1">
    <nc r="P43" t="inlineStr">
      <is>
        <t>thanh.nguyen-kim</t>
      </is>
    </nc>
  </rcc>
  <rcc rId="592" sId="1">
    <nc r="P44" t="inlineStr">
      <is>
        <t>thanh.nguyen-kim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6" sId="1">
    <oc r="X51" t="inlineStr">
      <is>
        <t>Ongoing</t>
      </is>
    </oc>
    <nc r="X51" t="inlineStr">
      <is>
        <t>Ready for review</t>
      </is>
    </nc>
  </rcc>
  <rcc rId="597" sId="1" numFmtId="19">
    <nc r="AA51">
      <v>43899</v>
    </nc>
  </rcc>
  <rcc rId="598" sId="1" numFmtId="19">
    <nc r="AB51">
      <v>43899</v>
    </nc>
  </rcc>
  <rcc rId="599" sId="1">
    <nc r="AC51" t="inlineStr">
      <is>
        <t>OK</t>
      </is>
    </nc>
  </rcc>
  <rcc rId="600" sId="1">
    <nc r="AD51">
      <v>100</v>
    </nc>
  </rcc>
  <rcc rId="601" sId="1">
    <nc r="AE51">
      <v>100</v>
    </nc>
  </rcc>
  <rcc rId="602" sId="1">
    <nc r="AF51">
      <v>100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COEM_Package_20200302!$B$2:$AH$66</formula>
    <oldFormula>COEM_Package_20200302!$B$2:$AH$66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6" sId="1">
    <nc r="W51">
      <v>2.4</v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7" sId="1" numFmtId="19">
    <nc r="AA53">
      <v>43899</v>
    </nc>
  </rcc>
  <rcc rId="608" sId="1" numFmtId="19">
    <nc r="AB53">
      <v>43899</v>
    </nc>
  </rcc>
  <rcc rId="609" sId="1">
    <nc r="AC53" t="inlineStr">
      <is>
        <t>OK</t>
      </is>
    </nc>
  </rcc>
  <rcc rId="610" sId="1">
    <nc r="AD53">
      <v>100</v>
    </nc>
  </rcc>
  <rcc rId="611" sId="1">
    <nc r="AE53">
      <v>100</v>
    </nc>
  </rcc>
  <rcc rId="612" sId="1">
    <nc r="AF53">
      <v>100</v>
    </nc>
  </rcc>
  <rcc rId="613" sId="1" xfDxf="1" dxf="1">
    <oc r="X53" t="inlineStr">
      <is>
        <t>N/A</t>
      </is>
    </oc>
    <nc r="X53" t="inlineStr">
      <is>
        <t>Ready for review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4" sId="1">
    <nc r="W53">
      <v>1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COEM_Package_20200302!$B$2:$AH$66</formula>
    <oldFormula>COEM_Package_20200302!$B$2:$AH$66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8" sId="1">
    <nc r="P38" t="inlineStr">
      <is>
        <t>chung.ly</t>
      </is>
    </nc>
  </rcc>
  <rcc rId="619" sId="1">
    <nc r="P39" t="inlineStr">
      <is>
        <t>chung.ly</t>
      </is>
    </nc>
  </rcc>
  <rcc rId="620" sId="1">
    <nc r="P40" t="inlineStr">
      <is>
        <t>chung.ly</t>
      </is>
    </nc>
  </rcc>
  <rcc rId="621" sId="1">
    <nc r="P41" t="inlineStr">
      <is>
        <t>chung.ly</t>
      </is>
    </nc>
  </rcc>
  <rcc rId="622" sId="1">
    <nc r="P45" t="inlineStr">
      <is>
        <t>chung.ly</t>
      </is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COEM_Package_20200302!$B$2:$AH$66</formula>
    <oldFormula>COEM_Package_20200302!$B$2:$AH$66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COEM_Package_20200302!$B$2:$AH$66</formula>
    <oldFormula>COEM_Package_20200302!$B$2:$AH$66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" sId="1" numFmtId="19">
    <nc r="AA38">
      <v>43899</v>
    </nc>
  </rcc>
  <rcc rId="630" sId="1" numFmtId="19">
    <nc r="AB38">
      <v>43899</v>
    </nc>
  </rcc>
  <rcc rId="631" sId="1">
    <nc r="AC38" t="inlineStr">
      <is>
        <t>NG</t>
      </is>
    </nc>
  </rcc>
  <rcc rId="632" sId="1">
    <nc r="AD38">
      <v>100</v>
    </nc>
  </rcc>
  <rcc rId="633" sId="1">
    <nc r="AE38">
      <v>100</v>
    </nc>
  </rcc>
  <rcc rId="634" sId="1">
    <nc r="W38">
      <v>2</v>
    </nc>
  </rcc>
  <rcc rId="635" sId="1">
    <nc r="AF38">
      <v>91</v>
    </nc>
  </rcc>
  <rcc rId="636" sId="1">
    <nc r="AG38" t="inlineStr">
      <is>
        <t>Bug, con not cover MCDC beacause this is true case for above condition</t>
      </is>
    </nc>
  </rcc>
  <rcc rId="637" sId="1" xfDxf="1" dxf="1">
    <oc r="X38" t="inlineStr">
      <is>
        <t>N/A</t>
      </is>
    </oc>
    <nc r="X38" t="inlineStr">
      <is>
        <t>Ready for review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COEM_Package_20200302!$B$2:$AH$66</formula>
    <oldFormula>COEM_Package_20200302!$B$2:$AH$66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" sId="1">
    <nc r="W43">
      <v>1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5" sId="1">
    <nc r="W44">
      <v>3</v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6" sId="1">
    <oc r="X43" t="inlineStr">
      <is>
        <t>N/A</t>
      </is>
    </oc>
    <nc r="X43" t="inlineStr">
      <is>
        <t>Ready for review</t>
      </is>
    </nc>
  </rcc>
  <rcc rId="647" sId="1" numFmtId="19">
    <nc r="AA43">
      <v>43899</v>
    </nc>
  </rcc>
  <rcc rId="648" sId="1" numFmtId="19">
    <nc r="AB43">
      <v>43899</v>
    </nc>
  </rcc>
  <rcc rId="649" sId="1" numFmtId="19">
    <nc r="AA44">
      <v>43899</v>
    </nc>
  </rcc>
  <rcc rId="650" sId="1" numFmtId="19">
    <nc r="AB44">
      <v>43899</v>
    </nc>
  </rcc>
  <rcc rId="651" sId="1">
    <nc r="AC43" t="inlineStr">
      <is>
        <t>NG</t>
      </is>
    </nc>
  </rcc>
  <rcc rId="652" sId="1">
    <nc r="AC44" t="inlineStr">
      <is>
        <t>NG</t>
      </is>
    </nc>
  </rcc>
  <rcc rId="653" sId="1">
    <nc r="AD44">
      <v>99</v>
    </nc>
  </rcc>
  <rcc rId="654" sId="1">
    <nc r="AE44">
      <v>97</v>
    </nc>
  </rcc>
  <rcc rId="655" sId="1">
    <nc r="AF44">
      <v>100</v>
    </nc>
  </rcc>
  <rcc rId="656" sId="1">
    <oc r="AG42" t="inlineStr">
      <is>
        <t>Waiting for OPL answer.</t>
      </is>
    </oc>
    <nc r="AG42" t="inlineStr">
      <is>
        <t>OPL It does not impact to SW functionality.</t>
      </is>
    </nc>
  </rcc>
  <rcc rId="657" sId="1">
    <nc r="AG43" t="inlineStr">
      <is>
        <t>OPL It does not impact to SW functionality.</t>
      </is>
    </nc>
  </rcc>
  <rcc rId="658" sId="1">
    <nc r="AD43">
      <v>99</v>
    </nc>
  </rcc>
  <rcc rId="659" sId="1">
    <nc r="AE43">
      <v>96</v>
    </nc>
  </rcc>
  <rcc rId="660" sId="1">
    <nc r="AF43">
      <v>100</v>
    </nc>
  </rcc>
  <rcc rId="661" sId="1">
    <nc r="AG44" t="inlineStr">
      <is>
        <t>Waiting for OPL answer.</t>
      </is>
    </nc>
  </rcc>
  <rcc rId="662" sId="1">
    <oc r="X44" t="inlineStr">
      <is>
        <t>N/A</t>
      </is>
    </oc>
    <nc r="X44" t="inlineStr">
      <is>
        <t>Pending for OPL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6" sId="1">
    <nc r="U42">
      <v>190</v>
    </nc>
  </rcc>
  <rcc rId="667" sId="1">
    <nc r="U43">
      <v>107</v>
    </nc>
  </rcc>
  <rcc rId="668" sId="1">
    <nc r="U44">
      <v>269</v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25">
    <dxf>
      <fill>
        <patternFill patternType="solid">
          <bgColor rgb="FFFFFF00"/>
        </patternFill>
      </fill>
    </dxf>
  </rfmt>
  <rfmt sheetId="1" sqref="H24">
    <dxf>
      <fill>
        <patternFill patternType="solid">
          <bgColor rgb="FFFFFF00"/>
        </patternFill>
      </fill>
    </dxf>
  </rfmt>
  <rfmt sheetId="1" sqref="H26">
    <dxf>
      <fill>
        <patternFill patternType="solid">
          <bgColor rgb="FFFFFF00"/>
        </patternFill>
      </fill>
    </dxf>
  </rfmt>
  <rfmt sheetId="1" sqref="H28">
    <dxf>
      <fill>
        <patternFill patternType="solid">
          <bgColor rgb="FFFFFF00"/>
        </patternFill>
      </fill>
    </dxf>
  </rfmt>
  <rfmt sheetId="1" sqref="H38">
    <dxf>
      <fill>
        <patternFill patternType="solid">
          <bgColor rgb="FFFFFF00"/>
        </patternFill>
      </fill>
    </dxf>
  </rfmt>
  <rfmt sheetId="1" sqref="H42">
    <dxf>
      <fill>
        <patternFill patternType="solid">
          <bgColor rgb="FFFFFF00"/>
        </patternFill>
      </fill>
    </dxf>
  </rfmt>
  <rfmt sheetId="1" sqref="H43">
    <dxf>
      <fill>
        <patternFill patternType="solid">
          <bgColor rgb="FFFFFF00"/>
        </patternFill>
      </fill>
    </dxf>
  </rfmt>
  <rfmt sheetId="1" sqref="H44">
    <dxf>
      <fill>
        <patternFill patternType="solid">
          <bgColor rgb="FFFFFF00"/>
        </patternFill>
      </fill>
    </dxf>
  </rfmt>
  <rcc rId="669" sId="1">
    <nc r="U24">
      <v>622</v>
    </nc>
  </rcc>
  <rcc rId="670" sId="1">
    <nc r="W24">
      <v>8</v>
    </nc>
  </rcc>
  <rcc rId="671" sId="1">
    <oc r="X24" t="inlineStr">
      <is>
        <t>N/A</t>
      </is>
    </oc>
    <nc r="X24" t="inlineStr">
      <is>
        <t>Ready for review</t>
      </is>
    </nc>
  </rcc>
  <rcc rId="672" sId="1" numFmtId="19">
    <nc r="AA24">
      <v>43899</v>
    </nc>
  </rcc>
  <rcc rId="673" sId="1" numFmtId="19">
    <nc r="AB24">
      <v>43899</v>
    </nc>
  </rcc>
  <rcc rId="674" sId="1">
    <nc r="AD24">
      <v>100</v>
    </nc>
  </rcc>
  <rcc rId="675" sId="1">
    <nc r="AE24">
      <v>100</v>
    </nc>
  </rcc>
  <rcc rId="676" sId="1">
    <nc r="AF24">
      <v>100</v>
    </nc>
  </rcc>
  <rcc rId="677" sId="1">
    <nc r="AC24" t="inlineStr">
      <is>
        <t>OK</t>
      </is>
    </nc>
  </rcc>
  <rcc rId="678" sId="1">
    <nc r="U23">
      <v>210</v>
    </nc>
  </rcc>
  <rcc rId="679" sId="1">
    <nc r="W23">
      <v>2</v>
    </nc>
  </rcc>
  <rcc rId="680" sId="1">
    <nc r="AG23" t="inlineStr">
      <is>
        <t>No code</t>
      </is>
    </nc>
  </rcc>
  <rcc rId="681" sId="1" numFmtId="19">
    <nc r="AA23">
      <v>43899</v>
    </nc>
  </rcc>
  <rcc rId="682" sId="1" numFmtId="19">
    <nc r="AB23">
      <v>43899</v>
    </nc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85" sId="1" ref="A20:XFD25" action="insertRow">
    <undo index="0" exp="area" ref3D="1" dr="$M$1:$N$1048576" dn="Z_72A6EB0A_84D5_4B8A_AC51_54CCD061630B_.wvu.Cols" sId="1"/>
    <undo index="0" exp="area" ref3D="1" dr="$M$1:$N$1048576" dn="Z_60D2C030_4E31_4E07_8E1C_44D2EE84B177_.wvu.Cols" sId="1"/>
    <undo index="0" exp="area" ref3D="1" dr="$M$1:$N$1048576" dn="Z_7ECC2B8E_6A82_42F5_8AB0_4A51C54EA5EC_.wvu.Cols" sId="1"/>
    <undo index="0" exp="area" ref3D="1" dr="$M$1:$N$1048576" dn="Z_4E06BDBF_2CED_473B_850B_2A6C7311FF41_.wvu.Cols" sId="1"/>
  </rrc>
  <rm rId="686" sheetId="1" source="A67:XFD72" destination="A20:XFD25" sourceSheetId="1">
    <undo index="0" exp="area" ref3D="1" dr="$B$2:$AH$72" dn="Z_7E0EA425_A420_4443_B9E0_CDF0AA9E5D09_.wvu.FilterData" sId="1"/>
    <undo index="0" exp="area" ref3D="1" dr="$B$2:$AH$72" dn="Z_B156AFFA_16DF_4425_86DA_8148471DAEFC_.wvu.FilterData" sId="1"/>
    <undo index="0" exp="area" ref3D="1" dr="$B$2:$AH$72" dn="Z_60D2C030_4E31_4E07_8E1C_44D2EE84B177_.wvu.FilterData" sId="1"/>
    <undo index="0" exp="area" ref3D="1" dr="$B$2:$AH$72" dn="Z_72A6EB0A_84D5_4B8A_AC51_54CCD061630B_.wvu.FilterData" sId="1"/>
    <undo index="0" exp="area" ref3D="1" dr="$B$2:$AH$72" dn="_FilterDatabase" sId="1"/>
    <rfmt sheetId="1" xfDxf="1" sqref="A20:XFD20" start="0" length="0"/>
    <rfmt sheetId="1" xfDxf="1" sqref="A21:XFD21" start="0" length="0"/>
    <rfmt sheetId="1" xfDxf="1" sqref="A22:XFD22" start="0" length="0"/>
    <rfmt sheetId="1" xfDxf="1" sqref="A23:XFD23" start="0" length="0"/>
    <rfmt sheetId="1" xfDxf="1" sqref="A24:XFD24" start="0" length="0"/>
    <rfmt sheetId="1" xfDxf="1" sqref="A25:XFD25" start="0" length="0"/>
    <rfmt sheetId="1" sqref="B20" start="0" length="0">
      <dxf>
        <font>
          <sz val="11"/>
          <color auto="1"/>
          <name val="Calibri"/>
          <scheme val="minor"/>
        </font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R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20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20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A20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B20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C20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D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E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F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H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1" start="0" length="0">
      <dxf>
        <font>
          <sz val="11"/>
          <color auto="1"/>
          <name val="Calibri"/>
          <scheme val="minor"/>
        </font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R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21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21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A21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B21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C21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D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E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F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H2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2" start="0" length="0">
      <dxf>
        <font>
          <sz val="11"/>
          <color auto="1"/>
          <name val="Calibri"/>
          <scheme val="minor"/>
        </font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R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22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22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A22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B22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C22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D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E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F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H2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3" start="0" length="0">
      <dxf>
        <font>
          <sz val="11"/>
          <color auto="1"/>
          <name val="Calibri"/>
          <scheme val="minor"/>
        </font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R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23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23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A23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B23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C23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D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E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F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H2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4" start="0" length="0">
      <dxf>
        <font>
          <sz val="11"/>
          <color auto="1"/>
          <name val="Calibri"/>
          <scheme val="minor"/>
        </font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R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24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24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A24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B24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C24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D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E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F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H2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5" start="0" length="0">
      <dxf>
        <font>
          <sz val="11"/>
          <color auto="1"/>
          <name val="Calibri"/>
          <scheme val="minor"/>
        </font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R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25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25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A25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B25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C25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D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E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F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H2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rc rId="687" sId="1" ref="A67:XFD67" action="deleteRow">
    <undo index="0" exp="area" ref3D="1" dr="$M$1:$N$1048576" dn="Z_72A6EB0A_84D5_4B8A_AC51_54CCD061630B_.wvu.Cols" sId="1"/>
    <undo index="0" exp="area" ref3D="1" dr="$M$1:$N$1048576" dn="Z_60D2C030_4E31_4E07_8E1C_44D2EE84B177_.wvu.Cols" sId="1"/>
    <undo index="0" exp="area" ref3D="1" dr="$M$1:$N$1048576" dn="Z_7ECC2B8E_6A82_42F5_8AB0_4A51C54EA5EC_.wvu.Cols" sId="1"/>
    <undo index="0" exp="area" ref3D="1" dr="$M$1:$N$1048576" dn="Z_4E06BDBF_2CED_473B_850B_2A6C7311FF41_.wvu.Cols" sId="1"/>
    <rfmt sheetId="1" xfDxf="1" sqref="A67:XFD67" start="0" length="0"/>
  </rrc>
  <rrc rId="688" sId="1" ref="A67:XFD67" action="deleteRow">
    <undo index="0" exp="area" ref3D="1" dr="$M$1:$N$1048576" dn="Z_72A6EB0A_84D5_4B8A_AC51_54CCD061630B_.wvu.Cols" sId="1"/>
    <undo index="0" exp="area" ref3D="1" dr="$M$1:$N$1048576" dn="Z_60D2C030_4E31_4E07_8E1C_44D2EE84B177_.wvu.Cols" sId="1"/>
    <undo index="0" exp="area" ref3D="1" dr="$M$1:$N$1048576" dn="Z_7ECC2B8E_6A82_42F5_8AB0_4A51C54EA5EC_.wvu.Cols" sId="1"/>
    <undo index="0" exp="area" ref3D="1" dr="$M$1:$N$1048576" dn="Z_4E06BDBF_2CED_473B_850B_2A6C7311FF41_.wvu.Cols" sId="1"/>
    <rfmt sheetId="1" xfDxf="1" sqref="A67:XFD67" start="0" length="0"/>
  </rrc>
  <rrc rId="689" sId="1" ref="A67:XFD67" action="deleteRow">
    <undo index="0" exp="area" ref3D="1" dr="$M$1:$N$1048576" dn="Z_72A6EB0A_84D5_4B8A_AC51_54CCD061630B_.wvu.Cols" sId="1"/>
    <undo index="0" exp="area" ref3D="1" dr="$M$1:$N$1048576" dn="Z_60D2C030_4E31_4E07_8E1C_44D2EE84B177_.wvu.Cols" sId="1"/>
    <undo index="0" exp="area" ref3D="1" dr="$M$1:$N$1048576" dn="Z_7ECC2B8E_6A82_42F5_8AB0_4A51C54EA5EC_.wvu.Cols" sId="1"/>
    <undo index="0" exp="area" ref3D="1" dr="$M$1:$N$1048576" dn="Z_4E06BDBF_2CED_473B_850B_2A6C7311FF41_.wvu.Cols" sId="1"/>
    <rfmt sheetId="1" xfDxf="1" sqref="A67:XFD67" start="0" length="0"/>
  </rrc>
  <rrc rId="690" sId="1" ref="A67:XFD67" action="deleteRow">
    <undo index="0" exp="area" ref3D="1" dr="$M$1:$N$1048576" dn="Z_72A6EB0A_84D5_4B8A_AC51_54CCD061630B_.wvu.Cols" sId="1"/>
    <undo index="0" exp="area" ref3D="1" dr="$M$1:$N$1048576" dn="Z_60D2C030_4E31_4E07_8E1C_44D2EE84B177_.wvu.Cols" sId="1"/>
    <undo index="0" exp="area" ref3D="1" dr="$M$1:$N$1048576" dn="Z_7ECC2B8E_6A82_42F5_8AB0_4A51C54EA5EC_.wvu.Cols" sId="1"/>
    <undo index="0" exp="area" ref3D="1" dr="$M$1:$N$1048576" dn="Z_4E06BDBF_2CED_473B_850B_2A6C7311FF41_.wvu.Cols" sId="1"/>
    <rfmt sheetId="1" xfDxf="1" sqref="A67:XFD67" start="0" length="0"/>
  </rrc>
  <rrc rId="691" sId="1" ref="A67:XFD67" action="deleteRow">
    <undo index="0" exp="area" ref3D="1" dr="$M$1:$N$1048576" dn="Z_72A6EB0A_84D5_4B8A_AC51_54CCD061630B_.wvu.Cols" sId="1"/>
    <undo index="0" exp="area" ref3D="1" dr="$M$1:$N$1048576" dn="Z_60D2C030_4E31_4E07_8E1C_44D2EE84B177_.wvu.Cols" sId="1"/>
    <undo index="0" exp="area" ref3D="1" dr="$M$1:$N$1048576" dn="Z_7ECC2B8E_6A82_42F5_8AB0_4A51C54EA5EC_.wvu.Cols" sId="1"/>
    <undo index="0" exp="area" ref3D="1" dr="$M$1:$N$1048576" dn="Z_4E06BDBF_2CED_473B_850B_2A6C7311FF41_.wvu.Cols" sId="1"/>
    <rfmt sheetId="1" xfDxf="1" sqref="A67:XFD67" start="0" length="0"/>
  </rrc>
  <rrc rId="692" sId="1" ref="A67:XFD67" action="deleteRow">
    <undo index="0" exp="area" ref3D="1" dr="$M$1:$N$1048576" dn="Z_72A6EB0A_84D5_4B8A_AC51_54CCD061630B_.wvu.Cols" sId="1"/>
    <undo index="0" exp="area" ref3D="1" dr="$M$1:$N$1048576" dn="Z_60D2C030_4E31_4E07_8E1C_44D2EE84B177_.wvu.Cols" sId="1"/>
    <undo index="0" exp="area" ref3D="1" dr="$M$1:$N$1048576" dn="Z_7ECC2B8E_6A82_42F5_8AB0_4A51C54EA5EC_.wvu.Cols" sId="1"/>
    <undo index="0" exp="area" ref3D="1" dr="$M$1:$N$1048576" dn="Z_4E06BDBF_2CED_473B_850B_2A6C7311FF41_.wvu.Cols" sId="1"/>
    <rfmt sheetId="1" xfDxf="1" sqref="A67:XFD67" start="0" length="0"/>
  </rrc>
  <rfmt sheetId="1" sqref="B5" start="0" length="0">
    <dxf>
      <font>
        <sz val="11"/>
        <color theme="1"/>
        <name val="Calibri"/>
        <scheme val="minor"/>
      </font>
    </dxf>
  </rfmt>
  <rfmt sheetId="1" sqref="B20" start="0" length="0">
    <dxf>
      <fill>
        <patternFill patternType="none">
          <bgColor indexed="65"/>
        </patternFill>
      </fill>
    </dxf>
  </rfmt>
  <rfmt sheetId="1" sqref="B21" start="0" length="0">
    <dxf>
      <fill>
        <patternFill patternType="none">
          <bgColor indexed="65"/>
        </patternFill>
      </fill>
    </dxf>
  </rfmt>
  <rfmt sheetId="1" sqref="B22" start="0" length="0">
    <dxf>
      <fill>
        <patternFill patternType="none">
          <bgColor indexed="65"/>
        </patternFill>
      </fill>
    </dxf>
  </rfmt>
  <rfmt sheetId="1" sqref="B23" start="0" length="0">
    <dxf>
      <fill>
        <patternFill patternType="none">
          <bgColor indexed="65"/>
        </patternFill>
      </fill>
    </dxf>
  </rfmt>
  <rfmt sheetId="1" sqref="B24" start="0" length="0">
    <dxf>
      <fill>
        <patternFill patternType="none">
          <bgColor indexed="65"/>
        </patternFill>
      </fill>
    </dxf>
  </rfmt>
  <rfmt sheetId="1" sqref="B25" start="0" length="0">
    <dxf>
      <fill>
        <patternFill patternType="none">
          <bgColor indexed="65"/>
        </patternFill>
      </fill>
    </dxf>
  </rfmt>
  <rcc rId="693" sId="1">
    <oc r="B4">
      <f>B3+1</f>
    </oc>
    <nc r="B4">
      <f>B3+1</f>
    </nc>
  </rcc>
  <rcc rId="694" sId="1" odxf="1" dxf="1">
    <oc r="B5">
      <f>B4+1</f>
    </oc>
    <nc r="B5">
      <f>B4+1</f>
    </nc>
    <ndxf>
      <font>
        <sz val="11"/>
        <color auto="1"/>
        <name val="Calibri"/>
        <scheme val="minor"/>
      </font>
    </ndxf>
  </rcc>
  <rcc rId="695" sId="1">
    <oc r="B6">
      <f>B5+1</f>
    </oc>
    <nc r="B6">
      <f>B5+1</f>
    </nc>
  </rcc>
  <rcc rId="696" sId="1">
    <oc r="B7">
      <f>B6+1</f>
    </oc>
    <nc r="B7">
      <f>B6+1</f>
    </nc>
  </rcc>
  <rcc rId="697" sId="1">
    <oc r="B8">
      <f>B7+1</f>
    </oc>
    <nc r="B8">
      <f>B7+1</f>
    </nc>
  </rcc>
  <rcc rId="698" sId="1">
    <oc r="B9">
      <f>B8+1</f>
    </oc>
    <nc r="B9">
      <f>B8+1</f>
    </nc>
  </rcc>
  <rcc rId="699" sId="1">
    <oc r="B10">
      <f>B9+1</f>
    </oc>
    <nc r="B10">
      <f>B9+1</f>
    </nc>
  </rcc>
  <rcc rId="700" sId="1">
    <oc r="B11">
      <f>B10+1</f>
    </oc>
    <nc r="B11">
      <f>B10+1</f>
    </nc>
  </rcc>
  <rcc rId="701" sId="1">
    <oc r="B12">
      <f>B11+1</f>
    </oc>
    <nc r="B12">
      <f>B11+1</f>
    </nc>
  </rcc>
  <rcc rId="702" sId="1">
    <oc r="B13">
      <f>B12+1</f>
    </oc>
    <nc r="B13">
      <f>B12+1</f>
    </nc>
  </rcc>
  <rcc rId="703" sId="1">
    <oc r="B14">
      <f>B13+1</f>
    </oc>
    <nc r="B14">
      <f>B13+1</f>
    </nc>
  </rcc>
  <rcc rId="704" sId="1">
    <oc r="B15">
      <f>B14+1</f>
    </oc>
    <nc r="B15">
      <f>B14+1</f>
    </nc>
  </rcc>
  <rcc rId="705" sId="1">
    <oc r="B16">
      <f>B15+1</f>
    </oc>
    <nc r="B16">
      <f>B15+1</f>
    </nc>
  </rcc>
  <rcc rId="706" sId="1">
    <oc r="B17">
      <f>B16+1</f>
    </oc>
    <nc r="B17">
      <f>B16+1</f>
    </nc>
  </rcc>
  <rcc rId="707" sId="1">
    <oc r="B18">
      <f>B17+1</f>
    </oc>
    <nc r="B18">
      <f>B17+1</f>
    </nc>
  </rcc>
  <rcc rId="708" sId="1">
    <oc r="B19">
      <f>B18+1</f>
    </oc>
    <nc r="B19">
      <f>B18+1</f>
    </nc>
  </rcc>
  <rcc rId="709" sId="1">
    <oc r="B20">
      <f>B66+1</f>
    </oc>
    <nc r="B20">
      <f>B19+1</f>
    </nc>
  </rcc>
  <rcc rId="710" sId="1">
    <oc r="B21">
      <f>B20+1</f>
    </oc>
    <nc r="B21">
      <f>B20+1</f>
    </nc>
  </rcc>
  <rcc rId="711" sId="1">
    <oc r="B22">
      <f>B21+1</f>
    </oc>
    <nc r="B22">
      <f>B21+1</f>
    </nc>
  </rcc>
  <rcc rId="712" sId="1">
    <oc r="B23">
      <f>B22+1</f>
    </oc>
    <nc r="B23">
      <f>B22+1</f>
    </nc>
  </rcc>
  <rcc rId="713" sId="1">
    <oc r="B24">
      <f>B23+1</f>
    </oc>
    <nc r="B24">
      <f>B23+1</f>
    </nc>
  </rcc>
  <rcc rId="714" sId="1">
    <oc r="B25">
      <f>B24+1</f>
    </oc>
    <nc r="B25">
      <f>B24+1</f>
    </nc>
  </rcc>
  <rcc rId="715" sId="1">
    <oc r="B26">
      <f>B19+1</f>
    </oc>
    <nc r="B26">
      <f>B25+1</f>
    </nc>
  </rcc>
  <rcc rId="716" sId="1">
    <oc r="B27">
      <f>B26+1</f>
    </oc>
    <nc r="B27">
      <f>B26+1</f>
    </nc>
  </rcc>
  <rcc rId="717" sId="1">
    <oc r="B28">
      <f>B27+1</f>
    </oc>
    <nc r="B28">
      <f>B27+1</f>
    </nc>
  </rcc>
  <rcc rId="718" sId="1">
    <oc r="B29">
      <f>B28+1</f>
    </oc>
    <nc r="B29">
      <f>B28+1</f>
    </nc>
  </rcc>
  <rcc rId="719" sId="1">
    <oc r="B30">
      <f>B29+1</f>
    </oc>
    <nc r="B30">
      <f>B29+1</f>
    </nc>
  </rcc>
  <rcc rId="720" sId="1">
    <oc r="B31">
      <f>B30+1</f>
    </oc>
    <nc r="B31">
      <f>B30+1</f>
    </nc>
  </rcc>
  <rcc rId="721" sId="1">
    <oc r="B32">
      <f>B31+1</f>
    </oc>
    <nc r="B32">
      <f>B31+1</f>
    </nc>
  </rcc>
  <rcc rId="722" sId="1">
    <oc r="B33">
      <f>B32+1</f>
    </oc>
    <nc r="B33">
      <f>B32+1</f>
    </nc>
  </rcc>
  <rcc rId="723" sId="1">
    <oc r="B34">
      <f>B33+1</f>
    </oc>
    <nc r="B34">
      <f>B33+1</f>
    </nc>
  </rcc>
  <rcc rId="724" sId="1">
    <oc r="B35">
      <f>B34+1</f>
    </oc>
    <nc r="B35">
      <f>B34+1</f>
    </nc>
  </rcc>
  <rcc rId="725" sId="1">
    <oc r="B36">
      <f>B35+1</f>
    </oc>
    <nc r="B36">
      <f>B35+1</f>
    </nc>
  </rcc>
  <rcc rId="726" sId="1">
    <oc r="B37">
      <f>B36+1</f>
    </oc>
    <nc r="B37">
      <f>B36+1</f>
    </nc>
  </rcc>
  <rcc rId="727" sId="1">
    <oc r="B38">
      <f>B37+1</f>
    </oc>
    <nc r="B38">
      <f>B37+1</f>
    </nc>
  </rcc>
  <rcc rId="728" sId="1">
    <oc r="B39">
      <f>B38+1</f>
    </oc>
    <nc r="B39">
      <f>B38+1</f>
    </nc>
  </rcc>
  <rcc rId="729" sId="1">
    <oc r="B40">
      <f>B39+1</f>
    </oc>
    <nc r="B40">
      <f>B39+1</f>
    </nc>
  </rcc>
  <rcc rId="730" sId="1">
    <oc r="B41">
      <f>B40+1</f>
    </oc>
    <nc r="B41">
      <f>B40+1</f>
    </nc>
  </rcc>
  <rcc rId="731" sId="1">
    <oc r="B42">
      <f>B41+1</f>
    </oc>
    <nc r="B42">
      <f>B41+1</f>
    </nc>
  </rcc>
  <rcc rId="732" sId="1">
    <oc r="B43">
      <f>B42+1</f>
    </oc>
    <nc r="B43">
      <f>B42+1</f>
    </nc>
  </rcc>
  <rcc rId="733" sId="1">
    <oc r="B44">
      <f>B43+1</f>
    </oc>
    <nc r="B44">
      <f>B43+1</f>
    </nc>
  </rcc>
  <rcc rId="734" sId="1">
    <oc r="B45">
      <f>B44+1</f>
    </oc>
    <nc r="B45">
      <f>B44+1</f>
    </nc>
  </rcc>
  <rcc rId="735" sId="1">
    <oc r="B46">
      <f>B45+1</f>
    </oc>
    <nc r="B46">
      <f>B45+1</f>
    </nc>
  </rcc>
  <rcc rId="736" sId="1">
    <oc r="B47">
      <f>B46+1</f>
    </oc>
    <nc r="B47">
      <f>B46+1</f>
    </nc>
  </rcc>
  <rcc rId="737" sId="1">
    <oc r="B48">
      <f>B47+1</f>
    </oc>
    <nc r="B48">
      <f>B47+1</f>
    </nc>
  </rcc>
  <rcc rId="738" sId="1">
    <oc r="B49">
      <f>B48+1</f>
    </oc>
    <nc r="B49">
      <f>B48+1</f>
    </nc>
  </rcc>
  <rcc rId="739" sId="1">
    <oc r="B50">
      <f>B49+1</f>
    </oc>
    <nc r="B50">
      <f>B49+1</f>
    </nc>
  </rcc>
  <rcc rId="740" sId="1">
    <oc r="B51">
      <f>B50+1</f>
    </oc>
    <nc r="B51">
      <f>B50+1</f>
    </nc>
  </rcc>
  <rcc rId="741" sId="1">
    <oc r="B52">
      <f>B51+1</f>
    </oc>
    <nc r="B52">
      <f>B51+1</f>
    </nc>
  </rcc>
  <rcc rId="742" sId="1">
    <oc r="B53">
      <f>B52+1</f>
    </oc>
    <nc r="B53">
      <f>B52+1</f>
    </nc>
  </rcc>
  <rcc rId="743" sId="1">
    <oc r="B54">
      <f>B53+1</f>
    </oc>
    <nc r="B54">
      <f>B53+1</f>
    </nc>
  </rcc>
  <rcc rId="744" sId="1">
    <oc r="B55">
      <f>B54+1</f>
    </oc>
    <nc r="B55">
      <f>B54+1</f>
    </nc>
  </rcc>
  <rcc rId="745" sId="1">
    <oc r="B56">
      <f>B55+1</f>
    </oc>
    <nc r="B56">
      <f>B55+1</f>
    </nc>
  </rcc>
  <rcc rId="746" sId="1">
    <oc r="B57">
      <f>B56+1</f>
    </oc>
    <nc r="B57">
      <f>B56+1</f>
    </nc>
  </rcc>
  <rcc rId="747" sId="1">
    <oc r="B58">
      <f>B57+1</f>
    </oc>
    <nc r="B58">
      <f>B57+1</f>
    </nc>
  </rcc>
  <rcc rId="748" sId="1">
    <oc r="B59">
      <f>B58+1</f>
    </oc>
    <nc r="B59">
      <f>B58+1</f>
    </nc>
  </rcc>
  <rcc rId="749" sId="1">
    <oc r="B60">
      <f>B59+1</f>
    </oc>
    <nc r="B60">
      <f>B59+1</f>
    </nc>
  </rcc>
  <rcc rId="750" sId="1">
    <oc r="B61">
      <f>B60+1</f>
    </oc>
    <nc r="B61">
      <f>B60+1</f>
    </nc>
  </rcc>
  <rcc rId="751" sId="1">
    <oc r="B62">
      <f>B61+1</f>
    </oc>
    <nc r="B62">
      <f>B61+1</f>
    </nc>
  </rcc>
  <rcc rId="752" sId="1">
    <oc r="B63">
      <f>B62+1</f>
    </oc>
    <nc r="B63">
      <f>B62+1</f>
    </nc>
  </rcc>
  <rcc rId="753" sId="1">
    <oc r="B64">
      <f>B63+1</f>
    </oc>
    <nc r="B64">
      <f>B63+1</f>
    </nc>
  </rcc>
  <rcc rId="754" sId="1">
    <oc r="B65">
      <f>B64+1</f>
    </oc>
    <nc r="B65">
      <f>B64+1</f>
    </nc>
  </rcc>
  <rcc rId="755" sId="1">
    <oc r="B66">
      <f>B65+1</f>
    </oc>
    <nc r="B66">
      <f>B65+1</f>
    </nc>
  </rcc>
  <rfmt sheetId="1" sqref="C20:H25">
    <dxf>
      <fill>
        <patternFill patternType="none">
          <bgColor auto="1"/>
        </patternFill>
      </fill>
    </dxf>
  </rfmt>
  <rcc rId="756" sId="1" odxf="1" dxf="1" quotePrefix="1">
    <nc r="AG30" t="inlineStr">
      <is>
        <t>-</t>
      </is>
    </nc>
    <odxf/>
    <ndxf/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67" start="0" length="0">
    <dxf>
      <alignment horizontal="general" vertical="bottom" readingOrder="0"/>
      <border outline="0">
        <left/>
        <right/>
        <top/>
        <bottom/>
      </border>
    </dxf>
  </rfmt>
  <rfmt sheetId="1" sqref="E68" start="0" length="0">
    <dxf>
      <alignment horizontal="general" vertical="bottom" readingOrder="0"/>
      <border outline="0">
        <left/>
        <right/>
        <top/>
        <bottom/>
      </border>
    </dxf>
  </rfmt>
  <rfmt sheetId="1" sqref="E69" start="0" length="0">
    <dxf>
      <alignment horizontal="general" vertical="bottom" readingOrder="0"/>
      <border outline="0">
        <left/>
        <right/>
        <top/>
        <bottom/>
      </border>
    </dxf>
  </rfmt>
  <rfmt sheetId="1" sqref="E70" start="0" length="0">
    <dxf>
      <alignment horizontal="general" vertical="bottom" readingOrder="0"/>
      <border outline="0">
        <left/>
        <right/>
        <top/>
        <bottom/>
      </border>
    </dxf>
  </rfmt>
  <rfmt sheetId="1" sqref="E71" start="0" length="0">
    <dxf>
      <alignment horizontal="general" vertical="bottom" readingOrder="0"/>
      <border outline="0">
        <left/>
        <right/>
        <top/>
        <bottom/>
      </border>
    </dxf>
  </rfmt>
  <rfmt sheetId="1" sqref="E72" start="0" length="0">
    <dxf>
      <alignment horizontal="general" vertical="bottom" readingOrder="0"/>
      <border outline="0">
        <left/>
        <right/>
        <top/>
        <bottom/>
      </border>
    </dxf>
  </rfmt>
  <rfmt sheetId="1" sqref="E73" start="0" length="0">
    <dxf>
      <alignment horizontal="general" vertical="bottom" readingOrder="0"/>
      <border outline="0">
        <left/>
        <right/>
        <top/>
        <bottom/>
      </border>
    </dxf>
  </rfmt>
  <rfmt sheetId="1" xfDxf="1" sqref="E67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68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69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70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71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72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73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sqref="E67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9" sId="1" odxf="1" dxf="1">
    <nc r="E68" t="inlineStr">
      <is>
        <t>MC_232534_SGMW_CN202C_ESP9.3CPi_ACC_BSS04_SP02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0" sId="1" odxf="1" dxf="1">
    <nc r="E69" t="inlineStr">
      <is>
        <t>MC_232534_SGMW_CN202C_ESP9.3CPi_ACC_BSS04_SP02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1" sId="1" odxf="1" dxf="1">
    <nc r="E70" t="inlineStr">
      <is>
        <t>MC_232534_SGMW_CN202C_ESP9.3CPi_ACC_BSS04_SP02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2" sId="1" odxf="1" dxf="1">
    <nc r="E71" t="inlineStr">
      <is>
        <t>MC_232534_SGMW_CN202C_ESP9.3CPi_ACC_BSS04_SP02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3" sId="1" odxf="1" dxf="1">
    <nc r="E72" t="inlineStr">
      <is>
        <t>MC_232534_SGMW_CN202C_ESP9.3CPi_ACC_BSS04_SP02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4" sId="1" odxf="1" dxf="1">
    <nc r="E73" t="inlineStr">
      <is>
        <t>MC_232534_SGMW_CN202C_ESP9.3CPi_ACC_BSS04_SP02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5" sId="1">
    <nc r="D67" t="inlineStr">
      <is>
        <t>PSW</t>
      </is>
    </nc>
  </rcc>
  <rcc rId="766" sId="1">
    <nc r="D68" t="inlineStr">
      <is>
        <t>PSW</t>
      </is>
    </nc>
  </rcc>
  <rcc rId="767" sId="1">
    <nc r="D69" t="inlineStr">
      <is>
        <t>PSW</t>
      </is>
    </nc>
  </rcc>
  <rcc rId="768" sId="1">
    <nc r="D70" t="inlineStr">
      <is>
        <t>PSW</t>
      </is>
    </nc>
  </rcc>
  <rcc rId="769" sId="1">
    <nc r="D71" t="inlineStr">
      <is>
        <t>PSW</t>
      </is>
    </nc>
  </rcc>
  <rcc rId="770" sId="1">
    <nc r="D72" t="inlineStr">
      <is>
        <t>PSW</t>
      </is>
    </nc>
  </rcc>
  <rcc rId="771" sId="1">
    <nc r="D73" t="inlineStr">
      <is>
        <t>PSW</t>
      </is>
    </nc>
  </rcc>
  <rcc rId="772" sId="1">
    <nc r="C67">
      <v>20200305</v>
    </nc>
  </rcc>
  <rcc rId="773" sId="1">
    <nc r="C68">
      <v>20200305</v>
    </nc>
  </rcc>
  <rcc rId="774" sId="1">
    <nc r="C69">
      <v>20200305</v>
    </nc>
  </rcc>
  <rcc rId="775" sId="1">
    <nc r="C70">
      <v>20200305</v>
    </nc>
  </rcc>
  <rcc rId="776" sId="1">
    <nc r="C71">
      <v>20200305</v>
    </nc>
  </rcc>
  <rcc rId="777" sId="1">
    <nc r="C72">
      <v>20200305</v>
    </nc>
  </rcc>
  <rcc rId="778" sId="1">
    <nc r="C73">
      <v>20200305</v>
    </nc>
  </rcc>
  <rcc rId="779" sId="1" odxf="1" dxf="1">
    <nc r="B67">
      <f>B66+1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780" sId="1" odxf="1" dxf="1">
    <nc r="B68">
      <f>B67+1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781" sId="1" odxf="1" dxf="1">
    <nc r="B69">
      <f>B68+1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782" sId="1" odxf="1" dxf="1">
    <nc r="B70">
      <f>B69+1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783" sId="1" odxf="1" dxf="1">
    <nc r="B71">
      <f>B70+1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784" sId="1" odxf="1" dxf="1">
    <nc r="B72">
      <f>B71+1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785" sId="1" odxf="1" dxf="1">
    <nc r="B73">
      <f>B72+1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fmt sheetId="1" sqref="F67" start="0" length="0">
    <dxf>
      <alignment horizontal="general" vertical="bottom" readingOrder="0"/>
      <border outline="0">
        <left/>
        <right/>
        <top/>
        <bottom/>
      </border>
    </dxf>
  </rfmt>
  <rfmt sheetId="1" sqref="F68" start="0" length="0">
    <dxf>
      <alignment horizontal="general" vertical="bottom" readingOrder="0"/>
      <border outline="0">
        <left/>
        <right/>
        <top/>
        <bottom/>
      </border>
    </dxf>
  </rfmt>
  <rfmt sheetId="1" sqref="F69" start="0" length="0">
    <dxf>
      <alignment horizontal="general" vertical="bottom" readingOrder="0"/>
      <border outline="0">
        <left/>
        <right/>
        <top/>
        <bottom/>
      </border>
    </dxf>
  </rfmt>
  <rfmt sheetId="1" sqref="F70" start="0" length="0">
    <dxf>
      <alignment horizontal="general" vertical="bottom" readingOrder="0"/>
      <border outline="0">
        <left/>
        <right/>
        <top/>
        <bottom/>
      </border>
    </dxf>
  </rfmt>
  <rfmt sheetId="1" sqref="F71" start="0" length="0">
    <dxf>
      <alignment horizontal="general" vertical="bottom" readingOrder="0"/>
      <border outline="0">
        <left/>
        <right/>
        <top/>
        <bottom/>
      </border>
    </dxf>
  </rfmt>
  <rfmt sheetId="1" sqref="F72" start="0" length="0">
    <dxf>
      <alignment horizontal="general" vertical="bottom" readingOrder="0"/>
      <border outline="0">
        <left/>
        <right/>
        <top/>
        <bottom/>
      </border>
    </dxf>
  </rfmt>
  <rfmt sheetId="1" sqref="F73" start="0" length="0">
    <dxf>
      <alignment horizontal="general" vertical="bottom" readingOrder="0"/>
      <border outline="0">
        <left/>
        <right/>
        <top/>
        <bottom/>
      </border>
    </dxf>
  </rfmt>
  <rfmt sheetId="1" xfDxf="1" sqref="F67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68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69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70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71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72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73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sqref="F67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8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9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0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1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2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3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6" sId="1" quotePrefix="1">
    <nc r="F67" t="inlineStr">
      <is>
        <t>rb\as\core\app\asw\apbmi\host\PDM\APBPbcVariantItem_C\SRC\</t>
      </is>
    </nc>
  </rcc>
  <rcc rId="787" sId="1" quotePrefix="1">
    <nc r="F68" t="inlineStr">
      <is>
        <t>\rb\as\sgmw\CN210S\app\net\RbNetPrj\RBNet_Can\src\</t>
      </is>
    </nc>
  </rcc>
  <rcc rId="788" sId="1" quotePrefix="1">
    <nc r="F69" t="inlineStr">
      <is>
        <t xml:space="preserve">\rb\as\sgmw\CN210S\app\net\RBScl\RBScl_SGMW\src\  </t>
      </is>
    </nc>
  </rcc>
  <rcc rId="789" sId="1" quotePrefix="1">
    <nc r="F70" t="inlineStr">
      <is>
        <t xml:space="preserve">\rb\as\sgmw\CN210S\app\net\RBScl\RBScl_SGMW\src\  </t>
      </is>
    </nc>
  </rcc>
  <rcc rId="790" sId="1" quotePrefix="1">
    <nc r="F71" t="inlineStr">
      <is>
        <t xml:space="preserve">\rb\as\sgmw\CN210S\app\net\RBScl\RBScl_SGMW\src\  </t>
      </is>
    </nc>
  </rcc>
  <rcc rId="791" sId="1" quotePrefix="1">
    <nc r="F72" t="inlineStr">
      <is>
        <t xml:space="preserve">\rb\as\sgmw\CN210S\app\net\RBScl\RBScl_SGMW\src\  </t>
      </is>
    </nc>
  </rcc>
  <rcc rId="792" sId="1" quotePrefix="1">
    <nc r="F73" t="inlineStr">
      <is>
        <t>\rb\as\sgmw\CN210S\app\net\RBScl\RBScl_SGMW\src\</t>
      </is>
    </nc>
  </rcc>
  <rfmt sheetId="1" sqref="G67" start="0" length="0">
    <dxf>
      <alignment horizontal="general" vertical="bottom" readingOrder="0"/>
      <border outline="0">
        <left/>
        <right/>
        <top/>
        <bottom/>
      </border>
    </dxf>
  </rfmt>
  <rfmt sheetId="1" xfDxf="1" sqref="G67" start="0" length="0">
    <dxf>
      <font>
        <sz val="10"/>
        <color rgb="FF000000"/>
        <name val="Arial"/>
        <scheme val="none"/>
      </font>
    </dxf>
  </rfmt>
  <rfmt sheetId="1" sqref="G68" start="0" length="0">
    <dxf>
      <alignment horizontal="general" vertical="bottom" readingOrder="0"/>
      <border outline="0">
        <left/>
        <right/>
        <top/>
        <bottom/>
      </border>
    </dxf>
  </rfmt>
  <rfmt sheetId="1" xfDxf="1" sqref="G68" start="0" length="0">
    <dxf>
      <font>
        <sz val="10"/>
        <color rgb="FF9C0006"/>
        <name val="Arial"/>
        <scheme val="none"/>
      </font>
    </dxf>
  </rfmt>
  <rcc rId="793" sId="1" odxf="1" dxf="1">
    <nc r="G67">
      <v>1359400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94" sId="1" odxf="1" dxf="1">
    <nc r="G68">
      <v>1357606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95" sId="1">
    <nc r="G69">
      <v>1357606</v>
    </nc>
  </rcc>
  <rcc rId="796" sId="1">
    <nc r="G70">
      <v>1357606</v>
    </nc>
  </rcc>
  <rcc rId="797" sId="1">
    <nc r="G71">
      <v>1357606</v>
    </nc>
  </rcc>
  <rcc rId="798" sId="1">
    <nc r="G72">
      <v>1357606</v>
    </nc>
  </rcc>
  <rcc rId="799" sId="1">
    <nc r="G73">
      <v>1357606</v>
    </nc>
  </rcc>
  <rcc rId="800" sId="1">
    <nc r="E67" t="inlineStr">
      <is>
        <r>
          <t>MC_</t>
        </r>
        <r>
          <rPr>
            <b/>
            <sz val="11"/>
            <color rgb="FFFF0000"/>
            <rFont val="Calibri"/>
            <family val="2"/>
          </rPr>
          <t>227282</t>
        </r>
        <r>
          <rPr>
            <sz val="11"/>
            <color theme="1"/>
            <rFont val="Calibri"/>
            <family val="2"/>
          </rPr>
          <t>_SGMW_E200_Plus_ESPCPiGen9.3_BSS04_SP02</t>
        </r>
      </is>
    </nc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67" start="0" length="0">
    <dxf>
      <alignment horizontal="general" vertical="bottom" readingOrder="0"/>
      <border outline="0">
        <left/>
        <right/>
        <top/>
        <bottom/>
      </border>
    </dxf>
  </rfmt>
  <rfmt sheetId="1" sqref="H68" start="0" length="0">
    <dxf>
      <alignment horizontal="general" vertical="bottom" readingOrder="0"/>
      <border outline="0">
        <left/>
        <right/>
        <top/>
        <bottom/>
      </border>
    </dxf>
  </rfmt>
  <rfmt sheetId="1" sqref="H69" start="0" length="0">
    <dxf>
      <alignment horizontal="general" vertical="bottom" readingOrder="0"/>
      <border outline="0">
        <left/>
        <right/>
        <top/>
        <bottom/>
      </border>
    </dxf>
  </rfmt>
  <rfmt sheetId="1" sqref="H70" start="0" length="0">
    <dxf>
      <alignment horizontal="general" vertical="bottom" readingOrder="0"/>
      <border outline="0">
        <left/>
        <right/>
        <top/>
        <bottom/>
      </border>
    </dxf>
  </rfmt>
  <rfmt sheetId="1" sqref="H71" start="0" length="0">
    <dxf>
      <alignment horizontal="general" vertical="bottom" readingOrder="0"/>
      <border outline="0">
        <left/>
        <right/>
        <top/>
        <bottom/>
      </border>
    </dxf>
  </rfmt>
  <rfmt sheetId="1" sqref="H72" start="0" length="0">
    <dxf>
      <alignment horizontal="general" vertical="bottom" readingOrder="0"/>
      <border outline="0">
        <left/>
        <right/>
        <top/>
        <bottom/>
      </border>
    </dxf>
  </rfmt>
  <rfmt sheetId="1" sqref="H73" start="0" length="0">
    <dxf>
      <alignment horizontal="general" vertical="bottom" readingOrder="0"/>
      <border outline="0">
        <left/>
        <right/>
        <top/>
        <bottom/>
      </border>
    </dxf>
  </rfmt>
  <rfmt sheetId="1" xfDxf="1" sqref="H67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68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69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70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71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72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73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cc rId="803" sId="1" odxf="1" dxf="1">
    <nc r="H67" t="inlineStr">
      <is>
        <t>PbcVariantItem_PersistentData.c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4" sId="1" odxf="1" dxf="1">
    <nc r="H68" t="inlineStr">
      <is>
        <t>NET_CheckSumLib_CNMS.c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5" sId="1" odxf="1" dxf="1">
    <nc r="H69" t="inlineStr">
      <is>
        <t>NET_SCL_Tx_SGMW_AyCompensationExport.c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6" sId="1" odxf="1" dxf="1">
    <nc r="H70" t="inlineStr">
      <is>
        <t>NET_SCL_Tx_SGMW_TPMF.c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7" sId="1" odxf="1" dxf="1">
    <nc r="H71" t="inlineStr">
      <is>
        <t>SGMW_RBA_NDS_Belt_Door_Callout.c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8" sId="1" odxf="1" dxf="1">
    <nc r="H72" t="inlineStr">
      <is>
        <t>SGMW_RBA_NDS_HBCRequest_Callout.c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9" sId="1" odxf="1" dxf="1">
    <nc r="H73" t="inlineStr">
      <is>
        <t>SGMW_RBA_NDS_SystemInfo_Callout.c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M67" start="0" length="0">
    <dxf>
      <alignment horizontal="general" vertical="bottom" readingOrder="0"/>
      <border outline="0">
        <left/>
        <right/>
        <top/>
        <bottom/>
      </border>
    </dxf>
  </rfmt>
  <rfmt sheetId="1" xfDxf="1" sqref="M67" start="0" length="0">
    <dxf>
      <font>
        <sz val="10"/>
        <color rgb="FF000000"/>
        <name val="Arial"/>
        <scheme val="none"/>
      </font>
    </dxf>
  </rfmt>
  <rcc rId="810" sId="1" odxf="1" dxf="1" quotePrefix="1">
    <nc r="M67" t="inlineStr">
      <is>
        <t>XU Sherry (CC-AS/EVA-SW2-CN)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M68" start="0" length="0">
    <dxf>
      <alignment horizontal="general" vertical="bottom" readingOrder="0"/>
      <border outline="0">
        <left/>
        <right/>
        <top/>
        <bottom/>
      </border>
    </dxf>
  </rfmt>
  <rfmt sheetId="1" xfDxf="1" sqref="M68" start="0" length="0">
    <dxf>
      <font>
        <sz val="10"/>
        <color rgb="FF000000"/>
        <name val="Arial"/>
        <scheme val="none"/>
      </font>
    </dxf>
  </rfmt>
  <rfmt sheetId="1" sqref="M69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70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71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72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73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cc rId="811" sId="1" odxf="1" dxf="1" quotePrefix="1">
    <nc r="M68" t="inlineStr">
      <is>
        <t>BAO Eric (CC-AS/EVA-SW32-CN)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2" sId="1" odxf="1" dxf="1" quotePrefix="1">
    <nc r="M69" t="inlineStr">
      <is>
        <t>BAO Eric (CC-AS/EVA-SW32-CN)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3" sId="1" odxf="1" dxf="1" quotePrefix="1">
    <nc r="M70" t="inlineStr">
      <is>
        <t>BAO Eric (CC-AS/EVA-SW32-CN)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4" sId="1" odxf="1" dxf="1" quotePrefix="1">
    <nc r="M71" t="inlineStr">
      <is>
        <t>BAO Eric (CC-AS/EVA-SW32-CN)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5" sId="1" odxf="1" dxf="1" quotePrefix="1">
    <nc r="M72" t="inlineStr">
      <is>
        <t>BAO Eric (CC-AS/EVA-SW32-CN)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6" sId="1" odxf="1" dxf="1" quotePrefix="1">
    <nc r="M73" t="inlineStr">
      <is>
        <t>BAO Eric (CC-AS/EVA-SW32-CN)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K67" start="0" length="0">
    <dxf>
      <alignment horizontal="general" vertical="bottom" readingOrder="0"/>
      <border outline="0">
        <left/>
        <right/>
        <top/>
        <bottom/>
      </border>
    </dxf>
  </rfmt>
  <rfmt sheetId="1" xfDxf="1" sqref="K67" start="0" length="0">
    <dxf>
      <font>
        <sz val="10"/>
        <color rgb="FF9C0006"/>
        <name val="Arial"/>
        <scheme val="none"/>
      </font>
    </dxf>
  </rfmt>
  <rcc rId="817" sId="1" odxf="1" dxf="1">
    <nc r="K67" t="inlineStr">
      <is>
        <t>SGMW_ESP93_Carbon_Int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8" sId="1">
    <nc r="K68" t="inlineStr">
      <is>
        <t>SGMW_ESP93_Carbon_Int</t>
      </is>
    </nc>
  </rcc>
  <rcc rId="819" sId="1">
    <nc r="K69" t="inlineStr">
      <is>
        <t>SGMW_ESP93_Carbon_Int</t>
      </is>
    </nc>
  </rcc>
  <rcc rId="820" sId="1">
    <nc r="K70" t="inlineStr">
      <is>
        <t>SGMW_ESP93_Carbon_Int</t>
      </is>
    </nc>
  </rcc>
  <rcc rId="821" sId="1">
    <nc r="K71" t="inlineStr">
      <is>
        <t>SGMW_ESP93_Carbon_Int</t>
      </is>
    </nc>
  </rcc>
  <rcc rId="822" sId="1">
    <nc r="K72" t="inlineStr">
      <is>
        <t>SGMW_ESP93_Carbon_Int</t>
      </is>
    </nc>
  </rcc>
  <rcc rId="823" sId="1">
    <nc r="K73" t="inlineStr">
      <is>
        <t>SGMW_ESP93_Carbon_Int</t>
      </is>
    </nc>
  </rcc>
  <rfmt sheetId="1" sqref="K8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824" sId="1">
    <nc r="I67" t="inlineStr">
      <is>
        <t>Auto</t>
      </is>
    </nc>
  </rcc>
  <rcc rId="825" sId="1">
    <nc r="I68" t="inlineStr">
      <is>
        <t>Auto</t>
      </is>
    </nc>
  </rcc>
  <rcc rId="826" sId="1">
    <nc r="I69" t="inlineStr">
      <is>
        <t>Auto</t>
      </is>
    </nc>
  </rcc>
  <rcc rId="827" sId="1">
    <nc r="I70" t="inlineStr">
      <is>
        <t>Auto</t>
      </is>
    </nc>
  </rcc>
  <rcc rId="828" sId="1">
    <nc r="I71" t="inlineStr">
      <is>
        <t>Auto</t>
      </is>
    </nc>
  </rcc>
  <rcc rId="829" sId="1">
    <nc r="I72" t="inlineStr">
      <is>
        <t>Auto</t>
      </is>
    </nc>
  </rcc>
  <rcc rId="830" sId="1">
    <nc r="I73" t="inlineStr">
      <is>
        <t>Auto</t>
      </is>
    </nc>
  </rcc>
  <rcc rId="831" sId="1">
    <nc r="J67" t="inlineStr">
      <is>
        <t>-</t>
      </is>
    </nc>
  </rcc>
  <rcc rId="832" sId="1">
    <nc r="J68" t="inlineStr">
      <is>
        <t>-</t>
      </is>
    </nc>
  </rcc>
  <rcc rId="833" sId="1">
    <nc r="J69" t="inlineStr">
      <is>
        <t>-</t>
      </is>
    </nc>
  </rcc>
  <rcc rId="834" sId="1">
    <nc r="J70" t="inlineStr">
      <is>
        <t>-</t>
      </is>
    </nc>
  </rcc>
  <rcc rId="835" sId="1">
    <nc r="J71" t="inlineStr">
      <is>
        <t>-</t>
      </is>
    </nc>
  </rcc>
  <rcc rId="836" sId="1">
    <nc r="J72" t="inlineStr">
      <is>
        <t>-</t>
      </is>
    </nc>
  </rcc>
  <rcc rId="837" sId="1">
    <nc r="J73" t="inlineStr">
      <is>
        <t>-</t>
      </is>
    </nc>
  </rcc>
  <rcc rId="838" sId="1" odxf="1" dxf="1">
    <nc r="L67">
      <f>IF(D67="ASW","PUT_VERSION","-")</f>
    </nc>
    <odxf/>
    <ndxf/>
  </rcc>
  <rcc rId="839" sId="1" odxf="1" dxf="1">
    <nc r="L68">
      <f>IF(D68="ASW","PUT_VERSION","-")</f>
    </nc>
    <odxf/>
    <ndxf/>
  </rcc>
  <rcc rId="840" sId="1" odxf="1" dxf="1">
    <nc r="L69">
      <f>IF(D69="ASW","PUT_VERSION","-")</f>
    </nc>
    <odxf/>
    <ndxf/>
  </rcc>
  <rcc rId="841" sId="1" odxf="1" dxf="1">
    <nc r="L70">
      <f>IF(D70="ASW","PUT_VERSION","-")</f>
    </nc>
    <odxf/>
    <ndxf/>
  </rcc>
  <rcc rId="842" sId="1" odxf="1" dxf="1">
    <nc r="L71">
      <f>IF(D71="ASW","PUT_VERSION","-")</f>
    </nc>
    <odxf/>
    <ndxf/>
  </rcc>
  <rcc rId="843" sId="1" odxf="1" dxf="1">
    <nc r="L72">
      <f>IF(D72="ASW","PUT_VERSION","-")</f>
    </nc>
    <odxf/>
    <ndxf/>
  </rcc>
  <rcc rId="844" sId="1" odxf="1" dxf="1">
    <nc r="L73">
      <f>IF(D73="ASW","PUT_VERSION","-")</f>
    </nc>
    <odxf/>
    <ndxf/>
  </rcc>
  <rcc rId="845" sId="1">
    <oc r="O26" t="inlineStr">
      <is>
        <t>T01</t>
      </is>
    </oc>
    <nc r="O26"/>
  </rcc>
  <rcc rId="846" sId="1">
    <oc r="O27" t="inlineStr">
      <is>
        <t>T02</t>
      </is>
    </oc>
    <nc r="O27"/>
  </rcc>
  <rcc rId="847" sId="1">
    <oc r="O28" t="inlineStr">
      <is>
        <t>T02</t>
      </is>
    </oc>
    <nc r="O28"/>
  </rcc>
  <rcc rId="848" sId="1">
    <oc r="O29" t="inlineStr">
      <is>
        <t>T02</t>
      </is>
    </oc>
    <nc r="O29"/>
  </rcc>
  <rcc rId="849" sId="1">
    <oc r="O30" t="inlineStr">
      <is>
        <t>T03</t>
      </is>
    </oc>
    <nc r="O30"/>
  </rcc>
  <rcc rId="850" sId="1">
    <oc r="O31" t="inlineStr">
      <is>
        <t>T03</t>
      </is>
    </oc>
    <nc r="O31"/>
  </rcc>
  <rcc rId="851" sId="1">
    <oc r="O32" t="inlineStr">
      <is>
        <t>T03</t>
      </is>
    </oc>
    <nc r="O32"/>
  </rcc>
  <rcc rId="852" sId="1">
    <oc r="O33" t="inlineStr">
      <is>
        <t>T03</t>
      </is>
    </oc>
    <nc r="O33"/>
  </rcc>
  <rcc rId="853" sId="1">
    <oc r="O34" t="inlineStr">
      <is>
        <t>T03</t>
      </is>
    </oc>
    <nc r="O34"/>
  </rcc>
  <rcc rId="854" sId="1">
    <oc r="O35" t="inlineStr">
      <is>
        <t>T03</t>
      </is>
    </oc>
    <nc r="O35"/>
  </rcc>
  <rcc rId="855" sId="1">
    <oc r="O36" t="inlineStr">
      <is>
        <t>T03</t>
      </is>
    </oc>
    <nc r="O36"/>
  </rcc>
  <rcc rId="856" sId="1">
    <oc r="O37" t="inlineStr">
      <is>
        <t>T03</t>
      </is>
    </oc>
    <nc r="O37"/>
  </rcc>
  <rcc rId="857" sId="1">
    <oc r="O38" t="inlineStr">
      <is>
        <t>T03</t>
      </is>
    </oc>
    <nc r="O38"/>
  </rcc>
  <rcc rId="858" sId="1">
    <oc r="O39" t="inlineStr">
      <is>
        <t>T03</t>
      </is>
    </oc>
    <nc r="O39"/>
  </rcc>
  <rcc rId="859" sId="1">
    <oc r="O40" t="inlineStr">
      <is>
        <t>T03</t>
      </is>
    </oc>
    <nc r="O40"/>
  </rcc>
  <rcc rId="860" sId="1">
    <oc r="O41" t="inlineStr">
      <is>
        <t>T03</t>
      </is>
    </oc>
    <nc r="O41"/>
  </rcc>
  <rcc rId="861" sId="1">
    <oc r="O42" t="inlineStr">
      <is>
        <t>T03</t>
      </is>
    </oc>
    <nc r="O42"/>
  </rcc>
  <rcc rId="862" sId="1">
    <oc r="O43" t="inlineStr">
      <is>
        <t>T03</t>
      </is>
    </oc>
    <nc r="O43"/>
  </rcc>
  <rcc rId="863" sId="1">
    <oc r="O44" t="inlineStr">
      <is>
        <t>T03</t>
      </is>
    </oc>
    <nc r="O44"/>
  </rcc>
  <rcc rId="864" sId="1">
    <oc r="O45" t="inlineStr">
      <is>
        <t>T03</t>
      </is>
    </oc>
    <nc r="O45"/>
  </rcc>
  <rcc rId="865" sId="1">
    <oc r="O46" t="inlineStr">
      <is>
        <t>T03</t>
      </is>
    </oc>
    <nc r="O46"/>
  </rcc>
  <rcc rId="866" sId="1">
    <oc r="O47" t="inlineStr">
      <is>
        <t>T03</t>
      </is>
    </oc>
    <nc r="O47"/>
  </rcc>
  <rcc rId="867" sId="1">
    <oc r="O48" t="inlineStr">
      <is>
        <t>T03</t>
      </is>
    </oc>
    <nc r="O48"/>
  </rcc>
  <rcc rId="868" sId="1">
    <oc r="O49" t="inlineStr">
      <is>
        <t>T03</t>
      </is>
    </oc>
    <nc r="O49"/>
  </rcc>
  <rcc rId="869" sId="1">
    <oc r="O50" t="inlineStr">
      <is>
        <t>T03</t>
      </is>
    </oc>
    <nc r="O50"/>
  </rcc>
  <rcc rId="870" sId="1">
    <oc r="O51" t="inlineStr">
      <is>
        <t>T03</t>
      </is>
    </oc>
    <nc r="O51"/>
  </rcc>
  <rcc rId="871" sId="1">
    <oc r="O52" t="inlineStr">
      <is>
        <t>T04</t>
      </is>
    </oc>
    <nc r="O52"/>
  </rcc>
  <rcc rId="872" sId="1">
    <oc r="O53" t="inlineStr">
      <is>
        <t>T04</t>
      </is>
    </oc>
    <nc r="O53"/>
  </rcc>
  <rcc rId="873" sId="1">
    <oc r="O54" t="inlineStr">
      <is>
        <t>T04</t>
      </is>
    </oc>
    <nc r="O54"/>
  </rcc>
  <rcc rId="874" sId="1">
    <oc r="O55" t="inlineStr">
      <is>
        <t>T04</t>
      </is>
    </oc>
    <nc r="O55"/>
  </rcc>
  <rcc rId="875" sId="1">
    <oc r="O56" t="inlineStr">
      <is>
        <t>T04</t>
      </is>
    </oc>
    <nc r="O56"/>
  </rcc>
  <rcc rId="876" sId="1">
    <oc r="O57" t="inlineStr">
      <is>
        <t>T05</t>
      </is>
    </oc>
    <nc r="O57"/>
  </rcc>
  <rcc rId="877" sId="1">
    <oc r="O58" t="inlineStr">
      <is>
        <t>T05</t>
      </is>
    </oc>
    <nc r="O58"/>
  </rcc>
  <rcc rId="878" sId="1">
    <oc r="O59" t="inlineStr">
      <is>
        <t>T05</t>
      </is>
    </oc>
    <nc r="O59"/>
  </rcc>
  <rcc rId="879" sId="1">
    <oc r="O60" t="inlineStr">
      <is>
        <t>T05</t>
      </is>
    </oc>
    <nc r="O60"/>
  </rcc>
  <rcc rId="880" sId="1">
    <oc r="O61" t="inlineStr">
      <is>
        <t>T05</t>
      </is>
    </oc>
    <nc r="O61"/>
  </rcc>
  <rcc rId="881" sId="1">
    <oc r="O62" t="inlineStr">
      <is>
        <t>T06</t>
      </is>
    </oc>
    <nc r="O62"/>
  </rcc>
  <rcc rId="882" sId="1">
    <oc r="O63" t="inlineStr">
      <is>
        <t>T06</t>
      </is>
    </oc>
    <nc r="O63"/>
  </rcc>
  <rcc rId="883" sId="1">
    <oc r="O64" t="inlineStr">
      <is>
        <t>T06</t>
      </is>
    </oc>
    <nc r="O64"/>
  </rcc>
  <rcc rId="884" sId="1">
    <oc r="O65" t="inlineStr">
      <is>
        <t>T06</t>
      </is>
    </oc>
    <nc r="O65"/>
  </rcc>
  <rcc rId="885" sId="1">
    <oc r="O66" t="inlineStr">
      <is>
        <t>T06</t>
      </is>
    </oc>
    <nc r="O66"/>
  </rcc>
  <rfmt sheetId="1" sqref="S67" start="0" length="0">
    <dxf>
      <alignment horizontal="general" vertical="bottom" readingOrder="0"/>
      <border outline="0">
        <left/>
        <right/>
        <top/>
        <bottom/>
      </border>
    </dxf>
  </rfmt>
  <rfmt sheetId="1" sqref="S68" start="0" length="0">
    <dxf>
      <alignment horizontal="general" vertical="bottom" readingOrder="0"/>
      <border outline="0">
        <left/>
        <right/>
        <top/>
        <bottom/>
      </border>
    </dxf>
  </rfmt>
  <rfmt sheetId="1" sqref="S69" start="0" length="0">
    <dxf>
      <alignment horizontal="general" vertical="bottom" readingOrder="0"/>
      <border outline="0">
        <left/>
        <right/>
        <top/>
        <bottom/>
      </border>
    </dxf>
  </rfmt>
  <rfmt sheetId="1" sqref="S70" start="0" length="0">
    <dxf>
      <alignment horizontal="general" vertical="bottom" readingOrder="0"/>
      <border outline="0">
        <left/>
        <right/>
        <top/>
        <bottom/>
      </border>
    </dxf>
  </rfmt>
  <rfmt sheetId="1" sqref="S71" start="0" length="0">
    <dxf>
      <alignment horizontal="general" vertical="bottom" readingOrder="0"/>
      <border outline="0">
        <left/>
        <right/>
        <top/>
        <bottom/>
      </border>
    </dxf>
  </rfmt>
  <rfmt sheetId="1" sqref="S72" start="0" length="0">
    <dxf>
      <alignment horizontal="general" vertical="bottom" readingOrder="0"/>
      <border outline="0">
        <left/>
        <right/>
        <top/>
        <bottom/>
      </border>
    </dxf>
  </rfmt>
  <rfmt sheetId="1" sqref="S73" start="0" length="0">
    <dxf>
      <alignment horizontal="general" vertical="bottom" readingOrder="0"/>
      <border outline="0">
        <left/>
        <right/>
        <top/>
        <bottom/>
      </border>
    </dxf>
  </rfmt>
  <rfmt sheetId="1" xfDxf="1" sqref="S67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68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69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70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71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72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73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cc rId="886" sId="1" odxf="1" dxf="1">
    <nc r="S67">
      <v>117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7" sId="1" odxf="1" dxf="1">
    <nc r="S68">
      <v>55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8" sId="1" odxf="1" dxf="1">
    <nc r="S69">
      <v>60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9" sId="1" odxf="1" dxf="1">
    <nc r="S70">
      <v>30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0" sId="1" odxf="1" dxf="1">
    <nc r="S71">
      <v>34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1" sId="1" odxf="1" dxf="1">
    <nc r="S72">
      <v>357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2" sId="1" odxf="1" dxf="1">
    <nc r="S73">
      <v>431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3" sId="1" numFmtId="19">
    <nc r="Z67">
      <v>43902</v>
    </nc>
  </rcc>
  <rcc rId="894" sId="1" numFmtId="19">
    <nc r="Z68">
      <v>43903</v>
    </nc>
  </rcc>
  <rcc rId="895" sId="1" numFmtId="19">
    <nc r="Z69">
      <v>43904</v>
    </nc>
  </rcc>
  <rcc rId="896" sId="1" numFmtId="19">
    <nc r="Z70">
      <v>43905</v>
    </nc>
  </rcc>
  <rcc rId="897" sId="1" numFmtId="19">
    <nc r="Z71">
      <v>43906</v>
    </nc>
  </rcc>
  <rcc rId="898" sId="1" numFmtId="19">
    <nc r="Z72">
      <v>43907</v>
    </nc>
  </rcc>
  <rcc rId="899" sId="1" numFmtId="19">
    <nc r="Z73">
      <v>43908</v>
    </nc>
  </rcc>
  <rcmt sheetId="1" cell="K69" guid="{91446CA3-52C6-49A3-A35F-E8CD3FB16450}" alwaysShow="1" author="EXTERNAL Nguyen Tuan Duong (Ban Vien, RBVH/EPS45)" newLength="97"/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2" sId="1" numFmtId="19">
    <oc r="Z67">
      <v>43902</v>
    </oc>
    <nc r="Z67">
      <v>43901</v>
    </nc>
  </rcc>
  <rcc rId="903" sId="1" numFmtId="19">
    <oc r="Z68">
      <v>43903</v>
    </oc>
    <nc r="Z68">
      <v>43901</v>
    </nc>
  </rcc>
  <rcc rId="904" sId="1" numFmtId="19">
    <oc r="Z69">
      <v>43904</v>
    </oc>
    <nc r="Z69">
      <v>43901</v>
    </nc>
  </rcc>
  <rcc rId="905" sId="1" numFmtId="19">
    <oc r="Z70">
      <v>43905</v>
    </oc>
    <nc r="Z70">
      <v>43901</v>
    </nc>
  </rcc>
  <rcc rId="906" sId="1" numFmtId="19">
    <oc r="Z71">
      <v>43906</v>
    </oc>
    <nc r="Z71">
      <v>43901</v>
    </nc>
  </rcc>
  <rcc rId="907" sId="1" numFmtId="19">
    <oc r="Z72">
      <v>43907</v>
    </oc>
    <nc r="Z72">
      <v>43901</v>
    </nc>
  </rcc>
  <rcc rId="908" sId="1" numFmtId="19">
    <oc r="Z73">
      <v>43908</v>
    </oc>
    <nc r="Z73">
      <v>43901</v>
    </nc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09" sId="1" ref="A74:XFD82" action="insertRow">
    <undo index="0" exp="area" ref3D="1" dr="$M$1:$N$1048576" dn="Z_72A6EB0A_84D5_4B8A_AC51_54CCD061630B_.wvu.Cols" sId="1"/>
    <undo index="0" exp="area" ref3D="1" dr="$M$1:$N$1048576" dn="Z_60D2C030_4E31_4E07_8E1C_44D2EE84B177_.wvu.Cols" sId="1"/>
    <undo index="0" exp="area" ref3D="1" dr="$M$1:$N$1048576" dn="Z_7ECC2B8E_6A82_42F5_8AB0_4A51C54EA5EC_.wvu.Cols" sId="1"/>
    <undo index="0" exp="area" ref3D="1" dr="$M$1:$N$1048576" dn="Z_4E06BDBF_2CED_473B_850B_2A6C7311FF41_.wvu.Cols" sId="1"/>
  </rrc>
  <rrc rId="910" sId="1" ref="A74:XFD91" action="insertRow">
    <undo index="0" exp="area" ref3D="1" dr="$M$1:$N$1048576" dn="Z_72A6EB0A_84D5_4B8A_AC51_54CCD061630B_.wvu.Cols" sId="1"/>
    <undo index="0" exp="area" ref3D="1" dr="$M$1:$N$1048576" dn="Z_60D2C030_4E31_4E07_8E1C_44D2EE84B177_.wvu.Cols" sId="1"/>
    <undo index="0" exp="area" ref3D="1" dr="$M$1:$N$1048576" dn="Z_7ECC2B8E_6A82_42F5_8AB0_4A51C54EA5EC_.wvu.Cols" sId="1"/>
    <undo index="0" exp="area" ref3D="1" dr="$M$1:$N$1048576" dn="Z_4E06BDBF_2CED_473B_850B_2A6C7311FF41_.wvu.Cols" sId="1"/>
  </rrc>
  <rcmt sheetId="1" cell="K69" guid="{9E98D8F5-1D91-4716-99DD-1FC3BABA2ADA}" alwaysShow="1" author="EXTERNAL Nguyen Tuan Duong (Ban Vien, RBVH/EPS45)" oldLength="97" newLength="2"/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74" start="0" length="0">
    <dxf>
      <alignment horizontal="general" vertical="bottom" readingOrder="0"/>
      <border outline="0">
        <left/>
        <right/>
        <top/>
        <bottom/>
      </border>
    </dxf>
  </rfmt>
  <rfmt sheetId="1" sqref="E75" start="0" length="0">
    <dxf>
      <alignment horizontal="general" vertical="bottom" readingOrder="0"/>
      <border outline="0">
        <left/>
        <right/>
        <top/>
        <bottom/>
      </border>
    </dxf>
  </rfmt>
  <rfmt sheetId="1" sqref="E76" start="0" length="0">
    <dxf>
      <alignment horizontal="general" vertical="bottom" readingOrder="0"/>
      <border outline="0">
        <left/>
        <right/>
        <top/>
        <bottom/>
      </border>
    </dxf>
  </rfmt>
  <rfmt sheetId="1" sqref="E77" start="0" length="0">
    <dxf>
      <alignment horizontal="general" vertical="bottom" readingOrder="0"/>
      <border outline="0">
        <left/>
        <right/>
        <top/>
        <bottom/>
      </border>
    </dxf>
  </rfmt>
  <rfmt sheetId="1" sqref="E78" start="0" length="0">
    <dxf>
      <alignment horizontal="general" vertical="bottom" readingOrder="0"/>
      <border outline="0">
        <left/>
        <right/>
        <top/>
        <bottom/>
      </border>
    </dxf>
  </rfmt>
  <rfmt sheetId="1" sqref="E79" start="0" length="0">
    <dxf>
      <alignment horizontal="general" vertical="bottom" readingOrder="0"/>
      <border outline="0">
        <left/>
        <right/>
        <top/>
        <bottom/>
      </border>
    </dxf>
  </rfmt>
  <rfmt sheetId="1" sqref="E80" start="0" length="0">
    <dxf>
      <alignment horizontal="general" vertical="bottom" readingOrder="0"/>
      <border outline="0">
        <left/>
        <right/>
        <top/>
        <bottom/>
      </border>
    </dxf>
  </rfmt>
  <rfmt sheetId="1" sqref="E81" start="0" length="0">
    <dxf>
      <alignment horizontal="general" vertical="bottom" readingOrder="0"/>
      <border outline="0">
        <left/>
        <right/>
        <top/>
        <bottom/>
      </border>
    </dxf>
  </rfmt>
  <rfmt sheetId="1" sqref="E82" start="0" length="0">
    <dxf>
      <alignment horizontal="general" vertical="bottom" readingOrder="0"/>
      <border outline="0">
        <left/>
        <right/>
        <top/>
        <bottom/>
      </border>
    </dxf>
  </rfmt>
  <rfmt sheetId="1" sqref="E83" start="0" length="0">
    <dxf>
      <alignment horizontal="general" vertical="bottom" readingOrder="0"/>
      <border outline="0">
        <left/>
        <right/>
        <top/>
        <bottom/>
      </border>
    </dxf>
  </rfmt>
  <rfmt sheetId="1" sqref="E84" start="0" length="0">
    <dxf>
      <alignment horizontal="general" vertical="bottom" readingOrder="0"/>
      <border outline="0">
        <left/>
        <right/>
        <top/>
        <bottom/>
      </border>
    </dxf>
  </rfmt>
  <rfmt sheetId="1" sqref="E85" start="0" length="0">
    <dxf>
      <alignment horizontal="general" vertical="bottom" readingOrder="0"/>
      <border outline="0">
        <left/>
        <right/>
        <top/>
        <bottom/>
      </border>
    </dxf>
  </rfmt>
  <rfmt sheetId="1" sqref="E86" start="0" length="0">
    <dxf>
      <alignment horizontal="general" vertical="bottom" readingOrder="0"/>
      <border outline="0">
        <left/>
        <right/>
        <top/>
        <bottom/>
      </border>
    </dxf>
  </rfmt>
  <rfmt sheetId="1" sqref="E87" start="0" length="0">
    <dxf>
      <alignment horizontal="general" vertical="bottom" readingOrder="0"/>
      <border outline="0">
        <left/>
        <right/>
        <top/>
        <bottom/>
      </border>
    </dxf>
  </rfmt>
  <rfmt sheetId="1" sqref="E88" start="0" length="0">
    <dxf>
      <alignment horizontal="general" vertical="bottom" readingOrder="0"/>
      <border outline="0">
        <left/>
        <right/>
        <top/>
        <bottom/>
      </border>
    </dxf>
  </rfmt>
  <rfmt sheetId="1" xfDxf="1" sqref="E74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75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76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77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78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79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80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81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82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83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84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85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86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87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88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cc rId="913" sId="1" odxf="1" dxf="1">
    <nc r="E74" t="inlineStr">
      <is>
        <t>225378_FAW_D357_High_BL31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14" sId="1" odxf="1" dxf="1">
    <nc r="E75" t="inlineStr">
      <is>
        <t>225378_FAW_D357_High_BL31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15" sId="1" odxf="1" dxf="1">
    <nc r="E76" t="inlineStr">
      <is>
        <t>225378_FAW_D357_High_BL31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16" sId="1" odxf="1" dxf="1">
    <nc r="E77" t="inlineStr">
      <is>
        <t>225378_FAW_D357_High_BL31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17" sId="1" odxf="1" dxf="1">
    <nc r="E78" t="inlineStr">
      <is>
        <t>225378_FAW_D357_High_BL31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18" sId="1" odxf="1" dxf="1">
    <nc r="E79" t="inlineStr">
      <is>
        <t>225378_FAW_D357_High_BL31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19" sId="1" odxf="1" dxf="1">
    <nc r="E80" t="inlineStr">
      <is>
        <t>225378_FAW_D357_High_BL31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0" sId="1" odxf="1" dxf="1">
    <nc r="E81" t="inlineStr">
      <is>
        <t>225378_FAW_D357_High_BL31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1" sId="1" odxf="1" dxf="1">
    <nc r="E82" t="inlineStr">
      <is>
        <t>225378_FAW_D357_High_BL31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2" sId="1" odxf="1" dxf="1">
    <nc r="E83" t="inlineStr">
      <is>
        <t>225378_FAW_D357_High_BL31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3" sId="1" odxf="1" dxf="1">
    <nc r="E84" t="inlineStr">
      <is>
        <t>225378_FAW_D357_High_BL31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4" sId="1" odxf="1" dxf="1">
    <nc r="E85" t="inlineStr">
      <is>
        <t>225378_FAW_D357_High_BL31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5" sId="1" odxf="1" dxf="1">
    <nc r="E86" t="inlineStr">
      <is>
        <t>225378_FAW_D357_High_BL31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6" sId="1" odxf="1" dxf="1">
    <nc r="E87" t="inlineStr">
      <is>
        <t>225378_FAW_D357_High_BL31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7" sId="1" odxf="1" dxf="1">
    <nc r="E88" t="inlineStr">
      <is>
        <t>225378_FAW_D357_High_BL31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8" sId="1">
    <nc r="D74" t="inlineStr">
      <is>
        <t>PSW</t>
      </is>
    </nc>
  </rcc>
  <rcc rId="929" sId="1">
    <nc r="D75" t="inlineStr">
      <is>
        <t>PSW</t>
      </is>
    </nc>
  </rcc>
  <rcc rId="930" sId="1">
    <nc r="D76" t="inlineStr">
      <is>
        <t>PSW</t>
      </is>
    </nc>
  </rcc>
  <rcc rId="931" sId="1">
    <nc r="D77" t="inlineStr">
      <is>
        <t>PSW</t>
      </is>
    </nc>
  </rcc>
  <rcc rId="932" sId="1">
    <nc r="D78" t="inlineStr">
      <is>
        <t>PSW</t>
      </is>
    </nc>
  </rcc>
  <rcc rId="933" sId="1">
    <nc r="D79" t="inlineStr">
      <is>
        <t>PSW</t>
      </is>
    </nc>
  </rcc>
  <rcc rId="934" sId="1">
    <nc r="D80" t="inlineStr">
      <is>
        <t>PSW</t>
      </is>
    </nc>
  </rcc>
  <rcc rId="935" sId="1">
    <nc r="D81" t="inlineStr">
      <is>
        <t>PSW</t>
      </is>
    </nc>
  </rcc>
  <rcc rId="936" sId="1">
    <nc r="D82" t="inlineStr">
      <is>
        <t>PSW</t>
      </is>
    </nc>
  </rcc>
  <rcc rId="937" sId="1">
    <nc r="D83" t="inlineStr">
      <is>
        <t>PSW</t>
      </is>
    </nc>
  </rcc>
  <rcc rId="938" sId="1">
    <nc r="D84" t="inlineStr">
      <is>
        <t>PSW</t>
      </is>
    </nc>
  </rcc>
  <rcc rId="939" sId="1">
    <nc r="D85" t="inlineStr">
      <is>
        <t>PSW</t>
      </is>
    </nc>
  </rcc>
  <rcc rId="940" sId="1">
    <nc r="D86" t="inlineStr">
      <is>
        <t>PSW</t>
      </is>
    </nc>
  </rcc>
  <rcc rId="941" sId="1">
    <nc r="D87" t="inlineStr">
      <is>
        <t>PSW</t>
      </is>
    </nc>
  </rcc>
  <rcc rId="942" sId="1">
    <nc r="D88" t="inlineStr">
      <is>
        <t>PSW</t>
      </is>
    </nc>
  </rcc>
  <rfmt sheetId="1" sqref="F74" start="0" length="0">
    <dxf>
      <alignment horizontal="general" vertical="bottom" readingOrder="0"/>
      <border outline="0">
        <left/>
        <right/>
        <top/>
        <bottom/>
      </border>
    </dxf>
  </rfmt>
  <rfmt sheetId="1" sqref="F75" start="0" length="0">
    <dxf>
      <alignment horizontal="general" vertical="bottom" readingOrder="0"/>
      <border outline="0">
        <left/>
        <right/>
        <top/>
        <bottom/>
      </border>
    </dxf>
  </rfmt>
  <rfmt sheetId="1" sqref="F76" start="0" length="0">
    <dxf>
      <alignment horizontal="general" vertical="bottom" readingOrder="0"/>
      <border outline="0">
        <left/>
        <right/>
        <top/>
        <bottom/>
      </border>
    </dxf>
  </rfmt>
  <rfmt sheetId="1" sqref="F77" start="0" length="0">
    <dxf>
      <alignment horizontal="general" vertical="bottom" readingOrder="0"/>
      <border outline="0">
        <left/>
        <right/>
        <top/>
        <bottom/>
      </border>
    </dxf>
  </rfmt>
  <rfmt sheetId="1" sqref="F78" start="0" length="0">
    <dxf>
      <alignment horizontal="general" vertical="bottom" readingOrder="0"/>
      <border outline="0">
        <left/>
        <right/>
        <top/>
        <bottom/>
      </border>
    </dxf>
  </rfmt>
  <rfmt sheetId="1" sqref="F79" start="0" length="0">
    <dxf>
      <alignment horizontal="general" vertical="bottom" readingOrder="0"/>
      <border outline="0">
        <left/>
        <right/>
        <top/>
        <bottom/>
      </border>
    </dxf>
  </rfmt>
  <rfmt sheetId="1" sqref="F80" start="0" length="0">
    <dxf>
      <alignment horizontal="general" vertical="bottom" readingOrder="0"/>
      <border outline="0">
        <left/>
        <right/>
        <top/>
        <bottom/>
      </border>
    </dxf>
  </rfmt>
  <rfmt sheetId="1" sqref="F81" start="0" length="0">
    <dxf>
      <alignment horizontal="general" vertical="bottom" readingOrder="0"/>
      <border outline="0">
        <left/>
        <right/>
        <top/>
        <bottom/>
      </border>
    </dxf>
  </rfmt>
  <rfmt sheetId="1" sqref="F82" start="0" length="0">
    <dxf>
      <alignment horizontal="general" vertical="bottom" readingOrder="0"/>
      <border outline="0">
        <left/>
        <right/>
        <top/>
        <bottom/>
      </border>
    </dxf>
  </rfmt>
  <rfmt sheetId="1" sqref="F83" start="0" length="0">
    <dxf>
      <alignment horizontal="general" vertical="bottom" readingOrder="0"/>
      <border outline="0">
        <left/>
        <right/>
        <top/>
        <bottom/>
      </border>
    </dxf>
  </rfmt>
  <rfmt sheetId="1" sqref="F84" start="0" length="0">
    <dxf>
      <alignment horizontal="general" vertical="bottom" readingOrder="0"/>
      <border outline="0">
        <left/>
        <right/>
        <top/>
        <bottom/>
      </border>
    </dxf>
  </rfmt>
  <rfmt sheetId="1" sqref="F85" start="0" length="0">
    <dxf>
      <alignment horizontal="general" vertical="bottom" readingOrder="0"/>
      <border outline="0">
        <left/>
        <right/>
        <top/>
        <bottom/>
      </border>
    </dxf>
  </rfmt>
  <rfmt sheetId="1" sqref="F86" start="0" length="0">
    <dxf>
      <alignment horizontal="general" vertical="bottom" readingOrder="0"/>
      <border outline="0">
        <left/>
        <right/>
        <top/>
        <bottom/>
      </border>
    </dxf>
  </rfmt>
  <rfmt sheetId="1" sqref="F87" start="0" length="0">
    <dxf>
      <alignment horizontal="general" vertical="bottom" readingOrder="0"/>
      <border outline="0">
        <left/>
        <right/>
        <top/>
        <bottom/>
      </border>
    </dxf>
  </rfmt>
  <rfmt sheetId="1" sqref="F88" start="0" length="0">
    <dxf>
      <alignment horizontal="general" vertical="bottom" readingOrder="0"/>
      <border outline="0">
        <left/>
        <right/>
        <top/>
        <bottom/>
      </border>
    </dxf>
  </rfmt>
  <rfmt sheetId="1" xfDxf="1" sqref="F74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75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76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77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78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79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80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81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82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83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84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85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86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87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88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cc rId="943" sId="1" odxf="1" dxf="1" quotePrefix="1">
    <nc r="F74" t="inlineStr">
      <is>
        <t>rb.as.fawMP.fawcore.app.tpms\MW\Common\src\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4" sId="1" odxf="1" dxf="1" quotePrefix="1">
    <nc r="F75" t="inlineStr">
      <is>
        <t>rb.as.fawMP.fawcore.app.tpms\MW\Common\src\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5" sId="1" odxf="1" dxf="1" quotePrefix="1">
    <nc r="F76" t="inlineStr">
      <is>
        <t>rb.as.fawMP.fawcore.app.tpms\MW\Common\src\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6" sId="1" odxf="1" dxf="1" quotePrefix="1">
    <nc r="F77" t="inlineStr">
      <is>
        <t xml:space="preserve">rb.as.fawMP.fawcore.app.dsm\RBWarningIndicator\src\              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7" sId="1" odxf="1" dxf="1" quotePrefix="1">
    <nc r="F78" t="inlineStr">
      <is>
        <t xml:space="preserve">rb.as.fawMP.prjConf.app.asw.apbmi\host\PDM\APBHostData_Project_C\SRC\  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8" sId="1" odxf="1" dxf="1" quotePrefix="1">
    <nc r="F79" t="inlineStr">
      <is>
        <t xml:space="preserve">rb.as.fawMP.prjConf.app.net\RbNetPrj\RBNet_Can\src\              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9" sId="1" odxf="1" dxf="1" quotePrefix="1">
    <nc r="F80" t="inlineStr">
      <is>
        <t xml:space="preserve">rb.as.fawMP.prjConf.app.net\RbNetPrj\RBNet_Can\src\              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0" sId="1" odxf="1" dxf="1" quotePrefix="1">
    <nc r="F81" t="inlineStr">
      <is>
        <t xml:space="preserve">rb.as.fawMP.prjConf.app.net\RbNetPrj\RBNet_Can\src\              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1" sId="1" odxf="1" dxf="1" quotePrefix="1">
    <nc r="F82" t="inlineStr">
      <is>
        <t xml:space="preserve">rb.as.fawMP.prjConf.app.net\RbNetPrj\RBNet_Can\src\              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2" sId="1" odxf="1" dxf="1" quotePrefix="1">
    <nc r="F83" t="inlineStr">
      <is>
        <t xml:space="preserve">rb.as.fawMP.prjConf.app.obd\ObdCvnCalId\src\                     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3" sId="1" odxf="1" dxf="1" quotePrefix="1">
    <nc r="F84" t="inlineStr">
      <is>
        <t xml:space="preserve">rb.as.fawMP.prjConf.dsmpr\src\Cubas\ESM\EcuM\src\              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4" sId="1" odxf="1" dxf="1" quotePrefix="1">
    <nc r="F85" t="inlineStr">
      <is>
        <t xml:space="preserve">rb.as.fawMP.prjConf.dsmpr\src\                                 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5" sId="1" odxf="1" dxf="1" quotePrefix="1">
    <nc r="F86" t="inlineStr">
      <is>
        <t xml:space="preserve">rb.as.fawMP.prjConf.hswpr\tst\hswsim\src\                      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6" sId="1" odxf="1" dxf="1" quotePrefix="1">
    <nc r="F87" t="inlineStr">
      <is>
        <t>rb.as.fawMP.prjConf.varcode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7" sId="1" odxf="1" dxf="1" quotePrefix="1">
    <nc r="F88" t="inlineStr">
      <is>
        <t>rb.as.fawMP.prjConf.varcode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G74" start="0" length="0">
    <dxf>
      <alignment horizontal="general" vertical="bottom" readingOrder="0"/>
      <border outline="0">
        <left/>
        <right/>
        <top/>
        <bottom/>
      </border>
    </dxf>
  </rfmt>
  <rfmt sheetId="1" sqref="G75" start="0" length="0">
    <dxf>
      <alignment horizontal="general" vertical="bottom" readingOrder="0"/>
      <border outline="0">
        <left/>
        <right/>
        <top/>
        <bottom/>
      </border>
    </dxf>
  </rfmt>
  <rfmt sheetId="1" sqref="G76" start="0" length="0">
    <dxf>
      <alignment horizontal="general" vertical="bottom" readingOrder="0"/>
      <border outline="0">
        <left/>
        <right/>
        <top/>
        <bottom/>
      </border>
    </dxf>
  </rfmt>
  <rfmt sheetId="1" sqref="G77" start="0" length="0">
    <dxf>
      <alignment horizontal="general" vertical="bottom" readingOrder="0"/>
      <border outline="0">
        <left/>
        <right/>
        <top/>
        <bottom/>
      </border>
    </dxf>
  </rfmt>
  <rfmt sheetId="1" sqref="G78" start="0" length="0">
    <dxf>
      <alignment horizontal="general" vertical="bottom" readingOrder="0"/>
      <border outline="0">
        <left/>
        <right/>
        <top/>
        <bottom/>
      </border>
    </dxf>
  </rfmt>
  <rfmt sheetId="1" sqref="G79" start="0" length="0">
    <dxf>
      <alignment horizontal="general" vertical="bottom" readingOrder="0"/>
      <border outline="0">
        <left/>
        <right/>
        <top/>
        <bottom/>
      </border>
    </dxf>
  </rfmt>
  <rfmt sheetId="1" sqref="G80" start="0" length="0">
    <dxf>
      <alignment horizontal="general" vertical="bottom" readingOrder="0"/>
      <border outline="0">
        <left/>
        <right/>
        <top/>
        <bottom/>
      </border>
    </dxf>
  </rfmt>
  <rfmt sheetId="1" sqref="G81" start="0" length="0">
    <dxf>
      <alignment horizontal="general" vertical="bottom" readingOrder="0"/>
      <border outline="0">
        <left/>
        <right/>
        <top/>
        <bottom/>
      </border>
    </dxf>
  </rfmt>
  <rfmt sheetId="1" sqref="G82" start="0" length="0">
    <dxf>
      <alignment horizontal="general" vertical="bottom" readingOrder="0"/>
      <border outline="0">
        <left/>
        <right/>
        <top/>
        <bottom/>
      </border>
    </dxf>
  </rfmt>
  <rfmt sheetId="1" sqref="G83" start="0" length="0">
    <dxf>
      <alignment horizontal="general" vertical="bottom" readingOrder="0"/>
      <border outline="0">
        <left/>
        <right/>
        <top/>
        <bottom/>
      </border>
    </dxf>
  </rfmt>
  <rfmt sheetId="1" sqref="G84" start="0" length="0">
    <dxf>
      <alignment horizontal="general" vertical="bottom" readingOrder="0"/>
      <border outline="0">
        <left/>
        <right/>
        <top/>
        <bottom/>
      </border>
    </dxf>
  </rfmt>
  <rfmt sheetId="1" sqref="G85" start="0" length="0">
    <dxf>
      <alignment horizontal="general" vertical="bottom" readingOrder="0"/>
      <border outline="0">
        <left/>
        <right/>
        <top/>
        <bottom/>
      </border>
    </dxf>
  </rfmt>
  <rfmt sheetId="1" sqref="G86" start="0" length="0">
    <dxf>
      <alignment horizontal="general" vertical="bottom" readingOrder="0"/>
      <border outline="0">
        <left/>
        <right/>
        <top/>
        <bottom/>
      </border>
    </dxf>
  </rfmt>
  <rfmt sheetId="1" sqref="G87" start="0" length="0">
    <dxf>
      <alignment horizontal="general" vertical="bottom" readingOrder="0"/>
      <border outline="0">
        <left/>
        <right/>
        <top/>
        <bottom/>
      </border>
    </dxf>
  </rfmt>
  <rfmt sheetId="1" sqref="G88" start="0" length="0">
    <dxf>
      <alignment horizontal="general" vertical="bottom" readingOrder="0"/>
      <border outline="0">
        <left/>
        <right/>
        <top/>
        <bottom/>
      </border>
    </dxf>
  </rfmt>
  <rcc rId="958" sId="1" xfDxf="1" dxf="1">
    <nc r="G74">
      <v>1357257</v>
    </nc>
    <ndxf>
      <font>
        <sz val="10"/>
        <color rgb="FF800080"/>
        <name val="Arial"/>
        <scheme val="none"/>
      </font>
      <fill>
        <patternFill patternType="solid">
          <bgColor rgb="FFFF99CC"/>
        </patternFill>
      </fill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59" sId="1" xfDxf="1" dxf="1">
    <nc r="G75">
      <v>1357257</v>
    </nc>
    <ndxf>
      <font>
        <sz val="10"/>
        <color rgb="FF800080"/>
        <name val="Arial"/>
        <scheme val="none"/>
      </font>
      <fill>
        <patternFill patternType="solid">
          <bgColor rgb="FFFF99CC"/>
        </patternFill>
      </fill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60" sId="1" xfDxf="1" dxf="1">
    <nc r="G76">
      <v>1357257</v>
    </nc>
    <ndxf>
      <font>
        <sz val="10"/>
        <color rgb="FF800080"/>
        <name val="Arial"/>
        <scheme val="none"/>
      </font>
      <fill>
        <patternFill patternType="solid">
          <bgColor rgb="FFFF99CC"/>
        </patternFill>
      </fill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61" sId="1" xfDxf="1" dxf="1">
    <nc r="G77">
      <v>1357355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62" sId="1" xfDxf="1" dxf="1">
    <nc r="G78">
      <v>1357355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63" sId="1" xfDxf="1" dxf="1">
    <nc r="G79">
      <v>1357355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64" sId="1" xfDxf="1" dxf="1">
    <nc r="G80">
      <v>1357355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65" sId="1" xfDxf="1" dxf="1">
    <nc r="G81">
      <v>1357355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66" sId="1" xfDxf="1" dxf="1">
    <nc r="G82">
      <v>1357355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67" sId="1" xfDxf="1" dxf="1">
    <nc r="G83">
      <v>1357355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68" sId="1" xfDxf="1" dxf="1">
    <nc r="G84">
      <v>1357355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69" sId="1" xfDxf="1" dxf="1">
    <nc r="G85">
      <v>1357355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70" sId="1" xfDxf="1" dxf="1">
    <nc r="G86">
      <v>1357355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71" sId="1" xfDxf="1" dxf="1">
    <nc r="G87">
      <v>1357355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72" sId="1" xfDxf="1" dxf="1">
    <nc r="G88">
      <v>1357355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fmt sheetId="1" sqref="H74" start="0" length="0">
    <dxf>
      <alignment horizontal="general" vertical="bottom" readingOrder="0"/>
      <border outline="0">
        <left/>
        <right/>
        <top/>
        <bottom/>
      </border>
    </dxf>
  </rfmt>
  <rfmt sheetId="1" sqref="H75" start="0" length="0">
    <dxf>
      <alignment horizontal="general" vertical="bottom" readingOrder="0"/>
      <border outline="0">
        <left/>
        <right/>
        <top/>
        <bottom/>
      </border>
    </dxf>
  </rfmt>
  <rfmt sheetId="1" sqref="H76" start="0" length="0">
    <dxf>
      <alignment horizontal="general" vertical="bottom" readingOrder="0"/>
      <border outline="0">
        <left/>
        <right/>
        <top/>
        <bottom/>
      </border>
    </dxf>
  </rfmt>
  <rfmt sheetId="1" sqref="H77" start="0" length="0">
    <dxf>
      <alignment horizontal="general" vertical="bottom" readingOrder="0"/>
      <border outline="0">
        <left/>
        <right/>
        <top/>
        <bottom/>
      </border>
    </dxf>
  </rfmt>
  <rfmt sheetId="1" sqref="H78" start="0" length="0">
    <dxf>
      <alignment horizontal="general" vertical="bottom" readingOrder="0"/>
      <border outline="0">
        <left/>
        <right/>
        <top/>
        <bottom/>
      </border>
    </dxf>
  </rfmt>
  <rfmt sheetId="1" sqref="H79" start="0" length="0">
    <dxf>
      <alignment horizontal="general" vertical="bottom" readingOrder="0"/>
      <border outline="0">
        <left/>
        <right/>
        <top/>
        <bottom/>
      </border>
    </dxf>
  </rfmt>
  <rfmt sheetId="1" sqref="H80" start="0" length="0">
    <dxf>
      <alignment horizontal="general" vertical="bottom" readingOrder="0"/>
      <border outline="0">
        <left/>
        <right/>
        <top/>
        <bottom/>
      </border>
    </dxf>
  </rfmt>
  <rfmt sheetId="1" sqref="H81" start="0" length="0">
    <dxf>
      <alignment horizontal="general" vertical="bottom" readingOrder="0"/>
      <border outline="0">
        <left/>
        <right/>
        <top/>
        <bottom/>
      </border>
    </dxf>
  </rfmt>
  <rfmt sheetId="1" sqref="H82" start="0" length="0">
    <dxf>
      <alignment horizontal="general" vertical="bottom" readingOrder="0"/>
      <border outline="0">
        <left/>
        <right/>
        <top/>
        <bottom/>
      </border>
    </dxf>
  </rfmt>
  <rfmt sheetId="1" sqref="H83" start="0" length="0">
    <dxf>
      <alignment horizontal="general" vertical="bottom" readingOrder="0"/>
      <border outline="0">
        <left/>
        <right/>
        <top/>
        <bottom/>
      </border>
    </dxf>
  </rfmt>
  <rfmt sheetId="1" sqref="H84" start="0" length="0">
    <dxf>
      <alignment horizontal="general" vertical="bottom" readingOrder="0"/>
      <border outline="0">
        <left/>
        <right/>
        <top/>
        <bottom/>
      </border>
    </dxf>
  </rfmt>
  <rfmt sheetId="1" sqref="H85" start="0" length="0">
    <dxf>
      <alignment horizontal="general" vertical="bottom" readingOrder="0"/>
      <border outline="0">
        <left/>
        <right/>
        <top/>
        <bottom/>
      </border>
    </dxf>
  </rfmt>
  <rfmt sheetId="1" sqref="H86" start="0" length="0">
    <dxf>
      <alignment horizontal="general" vertical="bottom" readingOrder="0"/>
      <border outline="0">
        <left/>
        <right/>
        <top/>
        <bottom/>
      </border>
    </dxf>
  </rfmt>
  <rfmt sheetId="1" sqref="H87" start="0" length="0">
    <dxf>
      <alignment horizontal="general" vertical="bottom" readingOrder="0"/>
      <border outline="0">
        <left/>
        <right/>
        <top/>
        <bottom/>
      </border>
    </dxf>
  </rfmt>
  <rfmt sheetId="1" sqref="H88" start="0" length="0">
    <dxf>
      <alignment horizontal="general" vertical="bottom" readingOrder="0"/>
      <border outline="0">
        <left/>
        <right/>
        <top/>
        <bottom/>
      </border>
    </dxf>
  </rfmt>
  <rcc rId="973" sId="1" xfDxf="1" dxf="1">
    <nc r="H74" t="inlineStr">
      <is>
        <t>TPMS_Handler_COMMON_CN.c</t>
      </is>
    </nc>
    <n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74" sId="1" xfDxf="1" dxf="1">
    <nc r="H75" t="inlineStr">
      <is>
        <t>TPMS_NvM_COMMON_CN.c</t>
      </is>
    </nc>
    <n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75" sId="1" xfDxf="1" dxf="1">
    <nc r="H76" t="inlineStr">
      <is>
        <t>TPMS_PSW_Interface_COMMON_CN.c</t>
      </is>
    </nc>
    <n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76" sId="1" xfDxf="1" dxf="1">
    <nc r="H77" t="inlineStr">
      <is>
        <t>Dem_PrjSpecificIndiHandling.c</t>
      </is>
    </nc>
    <n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77" sId="1" xfDxf="1" dxf="1">
    <nc r="H78" t="inlineStr">
      <is>
        <t>ApbHostData_Project.c</t>
      </is>
    </nc>
    <n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78" sId="1" xfDxf="1" dxf="1">
    <nc r="H79" t="inlineStr">
      <is>
        <t>NET_AliveCounterLib_CNMS.c</t>
      </is>
    </nc>
    <n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79" sId="1" xfDxf="1" dxf="1">
    <nc r="H80" t="inlineStr">
      <is>
        <t>NET_CheckSumLib_CNMS.c</t>
      </is>
    </nc>
    <n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80" sId="1" xfDxf="1" dxf="1">
    <nc r="H81" t="inlineStr">
      <is>
        <t>NET_ChecksumLib_CNMS_Crc1850.c</t>
      </is>
    </nc>
    <n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81" sId="1" xfDxf="1" dxf="1">
    <nc r="H82" t="inlineStr">
      <is>
        <t>NET_MonitoringClasses_F30.c</t>
      </is>
    </nc>
    <n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82" sId="1" xfDxf="1" dxf="1">
    <nc r="H83" t="inlineStr">
      <is>
        <t>Obd_CalId.c</t>
      </is>
    </nc>
    <n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83" sId="1" xfDxf="1" dxf="1">
    <nc r="H84" t="inlineStr">
      <is>
        <t>EcuM_stub.c</t>
      </is>
    </nc>
    <n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84" sId="1" xfDxf="1" dxf="1">
    <nc r="H85" t="inlineStr">
      <is>
        <t>RBPduHandler_Callouts.c</t>
      </is>
    </nc>
    <n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85" sId="1" xfDxf="1" dxf="1">
    <nc r="H86" t="inlineStr">
      <is>
        <t>TestEnvironment_Fee_EV711101.c</t>
      </is>
    </nc>
    <n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86" sId="1" xfDxf="1" dxf="1">
    <nc r="H87" t="inlineStr">
      <is>
        <t>CNMS_Var_DcmRead.c</t>
      </is>
    </nc>
    <n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87" sId="1" xfDxf="1" dxf="1">
    <nc r="H88" t="inlineStr">
      <is>
        <t>CNMS_Var_Global.c</t>
      </is>
    </nc>
    <n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988" sId="1" odxf="1" dxf="1">
    <nc r="I74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989" sId="1" odxf="1" dxf="1">
    <nc r="I75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990" sId="1" odxf="1" dxf="1">
    <nc r="I76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991" sId="1" odxf="1" dxf="1">
    <nc r="I77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992" sId="1" odxf="1" dxf="1">
    <nc r="I78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993" sId="1" odxf="1" dxf="1">
    <nc r="I79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994" sId="1" odxf="1" dxf="1">
    <nc r="I80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995" sId="1" odxf="1" dxf="1">
    <nc r="I81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996" sId="1" odxf="1" dxf="1">
    <nc r="I82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997" sId="1" odxf="1" dxf="1">
    <nc r="I83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998" sId="1" odxf="1" dxf="1">
    <nc r="I84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999" sId="1" odxf="1" dxf="1">
    <nc r="I85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1000" sId="1" odxf="1" dxf="1">
    <nc r="I86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1001" sId="1" odxf="1" dxf="1">
    <nc r="I87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1002" sId="1" odxf="1" dxf="1">
    <nc r="I88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1003" sId="1">
    <nc r="J74" t="inlineStr">
      <is>
        <t>-</t>
      </is>
    </nc>
  </rcc>
  <rcc rId="1004" sId="1">
    <nc r="J75" t="inlineStr">
      <is>
        <t>-</t>
      </is>
    </nc>
  </rcc>
  <rcc rId="1005" sId="1">
    <nc r="J76" t="inlineStr">
      <is>
        <t>-</t>
      </is>
    </nc>
  </rcc>
  <rcc rId="1006" sId="1">
    <nc r="J77" t="inlineStr">
      <is>
        <t>-</t>
      </is>
    </nc>
  </rcc>
  <rcc rId="1007" sId="1">
    <nc r="J78" t="inlineStr">
      <is>
        <t>-</t>
      </is>
    </nc>
  </rcc>
  <rcc rId="1008" sId="1">
    <nc r="J79" t="inlineStr">
      <is>
        <t>-</t>
      </is>
    </nc>
  </rcc>
  <rcc rId="1009" sId="1">
    <nc r="J80" t="inlineStr">
      <is>
        <t>-</t>
      </is>
    </nc>
  </rcc>
  <rcc rId="1010" sId="1">
    <nc r="J81" t="inlineStr">
      <is>
        <t>-</t>
      </is>
    </nc>
  </rcc>
  <rcc rId="1011" sId="1">
    <nc r="J82" t="inlineStr">
      <is>
        <t>-</t>
      </is>
    </nc>
  </rcc>
  <rcc rId="1012" sId="1">
    <nc r="J83" t="inlineStr">
      <is>
        <t>-</t>
      </is>
    </nc>
  </rcc>
  <rcc rId="1013" sId="1">
    <nc r="J84" t="inlineStr">
      <is>
        <t>-</t>
      </is>
    </nc>
  </rcc>
  <rcc rId="1014" sId="1">
    <nc r="J85" t="inlineStr">
      <is>
        <t>-</t>
      </is>
    </nc>
  </rcc>
  <rcc rId="1015" sId="1">
    <nc r="J86" t="inlineStr">
      <is>
        <t>-</t>
      </is>
    </nc>
  </rcc>
  <rcc rId="1016" sId="1">
    <nc r="J87" t="inlineStr">
      <is>
        <t>-</t>
      </is>
    </nc>
  </rcc>
  <rcc rId="1017" sId="1">
    <nc r="J88" t="inlineStr">
      <is>
        <t>-</t>
      </is>
    </nc>
  </rcc>
  <rfmt sheetId="1" sqref="S74" start="0" length="0">
    <dxf>
      <alignment horizontal="general" vertical="bottom" readingOrder="0"/>
      <border outline="0">
        <left/>
        <right/>
        <top/>
        <bottom/>
      </border>
    </dxf>
  </rfmt>
  <rfmt sheetId="1" sqref="S75" start="0" length="0">
    <dxf>
      <alignment horizontal="general" vertical="bottom" readingOrder="0"/>
      <border outline="0">
        <left/>
        <right/>
        <top/>
        <bottom/>
      </border>
    </dxf>
  </rfmt>
  <rfmt sheetId="1" sqref="S76" start="0" length="0">
    <dxf>
      <alignment horizontal="general" vertical="bottom" readingOrder="0"/>
      <border outline="0">
        <left/>
        <right/>
        <top/>
        <bottom/>
      </border>
    </dxf>
  </rfmt>
  <rfmt sheetId="1" sqref="S77" start="0" length="0">
    <dxf>
      <alignment horizontal="general" vertical="bottom" readingOrder="0"/>
      <border outline="0">
        <left/>
        <right/>
        <top/>
        <bottom/>
      </border>
    </dxf>
  </rfmt>
  <rfmt sheetId="1" sqref="S78" start="0" length="0">
    <dxf>
      <alignment horizontal="general" vertical="bottom" readingOrder="0"/>
      <border outline="0">
        <left/>
        <right/>
        <top/>
        <bottom/>
      </border>
    </dxf>
  </rfmt>
  <rfmt sheetId="1" sqref="S79" start="0" length="0">
    <dxf>
      <alignment horizontal="general" vertical="bottom" readingOrder="0"/>
      <border outline="0">
        <left/>
        <right/>
        <top/>
        <bottom/>
      </border>
    </dxf>
  </rfmt>
  <rfmt sheetId="1" sqref="S80" start="0" length="0">
    <dxf>
      <alignment horizontal="general" vertical="bottom" readingOrder="0"/>
      <border outline="0">
        <left/>
        <right/>
        <top/>
        <bottom/>
      </border>
    </dxf>
  </rfmt>
  <rfmt sheetId="1" sqref="S81" start="0" length="0">
    <dxf>
      <alignment horizontal="general" vertical="bottom" readingOrder="0"/>
      <border outline="0">
        <left/>
        <right/>
        <top/>
        <bottom/>
      </border>
    </dxf>
  </rfmt>
  <rfmt sheetId="1" sqref="S82" start="0" length="0">
    <dxf>
      <alignment horizontal="general" vertical="bottom" readingOrder="0"/>
      <border outline="0">
        <left/>
        <right/>
        <top/>
        <bottom/>
      </border>
    </dxf>
  </rfmt>
  <rfmt sheetId="1" sqref="S83" start="0" length="0">
    <dxf>
      <alignment horizontal="general" vertical="bottom" readingOrder="0"/>
      <border outline="0">
        <left/>
        <right/>
        <top/>
        <bottom/>
      </border>
    </dxf>
  </rfmt>
  <rfmt sheetId="1" sqref="S84" start="0" length="0">
    <dxf>
      <alignment horizontal="general" vertical="bottom" readingOrder="0"/>
      <border outline="0">
        <left/>
        <right/>
        <top/>
        <bottom/>
      </border>
    </dxf>
  </rfmt>
  <rfmt sheetId="1" sqref="S85" start="0" length="0">
    <dxf>
      <alignment horizontal="general" vertical="bottom" readingOrder="0"/>
      <border outline="0">
        <left/>
        <right/>
        <top/>
        <bottom/>
      </border>
    </dxf>
  </rfmt>
  <rfmt sheetId="1" sqref="S86" start="0" length="0">
    <dxf>
      <alignment horizontal="general" vertical="bottom" readingOrder="0"/>
      <border outline="0">
        <left/>
        <right/>
        <top/>
        <bottom/>
      </border>
    </dxf>
  </rfmt>
  <rfmt sheetId="1" sqref="S87" start="0" length="0">
    <dxf>
      <alignment horizontal="general" vertical="bottom" readingOrder="0"/>
      <border outline="0">
        <left/>
        <right/>
        <top/>
        <bottom/>
      </border>
    </dxf>
  </rfmt>
  <rfmt sheetId="1" sqref="S88" start="0" length="0">
    <dxf>
      <alignment horizontal="general" vertical="bottom" readingOrder="0"/>
      <border outline="0">
        <left/>
        <right/>
        <top/>
        <bottom/>
      </border>
    </dxf>
  </rfmt>
  <rcc rId="1018" sId="1" xfDxf="1" dxf="1">
    <nc r="S74">
      <v>1993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019" sId="1" xfDxf="1" dxf="1">
    <nc r="S75">
      <v>489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020" sId="1" xfDxf="1" dxf="1">
    <nc r="S76">
      <v>593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021" sId="1" xfDxf="1" dxf="1">
    <nc r="S77">
      <v>165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022" sId="1" xfDxf="1" dxf="1">
    <nc r="S78">
      <v>8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023" sId="1" xfDxf="1" dxf="1">
    <nc r="S79">
      <v>71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024" sId="1" xfDxf="1" dxf="1">
    <nc r="S80">
      <v>55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025" sId="1" xfDxf="1" dxf="1">
    <nc r="S81">
      <v>64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026" sId="1" xfDxf="1" dxf="1">
    <nc r="S82">
      <v>69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027" sId="1" xfDxf="1" dxf="1">
    <nc r="S83">
      <v>5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028" sId="1" xfDxf="1" dxf="1">
    <nc r="S84">
      <v>3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029" sId="1" xfDxf="1" dxf="1">
    <nc r="S85">
      <v>220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030" sId="1" xfDxf="1" dxf="1">
    <nc r="S86">
      <v>4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031" sId="1" xfDxf="1" dxf="1">
    <nc r="S87">
      <v>12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032" sId="1" xfDxf="1" dxf="1">
    <nc r="S88">
      <v>37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fmt sheetId="1" sqref="K74" start="0" length="0">
    <dxf>
      <alignment horizontal="general" vertical="bottom" readingOrder="0"/>
      <border outline="0">
        <left/>
        <right/>
        <top/>
        <bottom/>
      </border>
    </dxf>
  </rfmt>
  <rfmt sheetId="1" xfDxf="1" sqref="K74" start="0" length="0">
    <dxf>
      <font>
        <sz val="10"/>
        <color rgb="FF800080"/>
        <name val="Arial"/>
        <scheme val="none"/>
      </font>
    </dxf>
  </rfmt>
  <rfmt sheetId="1" sqref="K75" start="0" length="0">
    <dxf>
      <font>
        <sz val="10"/>
        <color rgb="FF80008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76" start="0" length="0">
    <dxf>
      <font>
        <sz val="10"/>
        <color rgb="FF80008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77" start="0" length="0">
    <dxf>
      <font>
        <sz val="10"/>
        <color rgb="FF80008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78" start="0" length="0">
    <dxf>
      <font>
        <sz val="10"/>
        <color rgb="FF80008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79" start="0" length="0">
    <dxf>
      <font>
        <sz val="10"/>
        <color rgb="FF80008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80" start="0" length="0">
    <dxf>
      <font>
        <sz val="10"/>
        <color rgb="FF80008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81" start="0" length="0">
    <dxf>
      <font>
        <sz val="10"/>
        <color rgb="FF80008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82" start="0" length="0">
    <dxf>
      <font>
        <sz val="10"/>
        <color rgb="FF80008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83" start="0" length="0">
    <dxf>
      <font>
        <sz val="10"/>
        <color rgb="FF80008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84" start="0" length="0">
    <dxf>
      <font>
        <sz val="10"/>
        <color rgb="FF80008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85" start="0" length="0">
    <dxf>
      <font>
        <sz val="10"/>
        <color rgb="FF80008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86" start="0" length="0">
    <dxf>
      <font>
        <sz val="10"/>
        <color rgb="FF80008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87" start="0" length="0">
    <dxf>
      <font>
        <sz val="10"/>
        <color rgb="FF80008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88" start="0" length="0">
    <dxf>
      <font>
        <sz val="10"/>
        <color rgb="FF80008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cc rId="1033" sId="1" odxf="1" dxf="1">
    <nc r="K74" t="inlineStr">
      <is>
        <t>FAW_MainPath_V2.0_Int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4" sId="1" odxf="1" dxf="1">
    <nc r="K75" t="inlineStr">
      <is>
        <t>FAW_MainPath_V2.0_Int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5" sId="1" odxf="1" dxf="1">
    <nc r="K76" t="inlineStr">
      <is>
        <t>FAW_MainPath_V2.0_Int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6" sId="1" odxf="1" dxf="1">
    <nc r="K77" t="inlineStr">
      <is>
        <t>FAW_MainPath_V2.0_Int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7" sId="1" odxf="1" dxf="1">
    <nc r="K78" t="inlineStr">
      <is>
        <t>FAW_MainPath_V2.0_Int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8" sId="1" odxf="1" dxf="1">
    <nc r="K79" t="inlineStr">
      <is>
        <t>FAW_MainPath_V2.0_Int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9" sId="1" odxf="1" dxf="1">
    <nc r="K80" t="inlineStr">
      <is>
        <t>FAW_MainPath_V2.0_Int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0" sId="1" odxf="1" dxf="1">
    <nc r="K81" t="inlineStr">
      <is>
        <t>FAW_MainPath_V2.0_Int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1" sId="1" odxf="1" dxf="1">
    <nc r="K82" t="inlineStr">
      <is>
        <t>FAW_MainPath_V2.0_Int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2" sId="1" odxf="1" dxf="1">
    <nc r="K83" t="inlineStr">
      <is>
        <t>FAW_MainPath_V2.0_Int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3" sId="1" odxf="1" dxf="1">
    <nc r="K84" t="inlineStr">
      <is>
        <t>FAW_MainPath_V2.0_Int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4" sId="1" odxf="1" dxf="1">
    <nc r="K85" t="inlineStr">
      <is>
        <t>FAW_MainPath_V2.0_Int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5" sId="1" odxf="1" dxf="1">
    <nc r="K86" t="inlineStr">
      <is>
        <t>FAW_MainPath_V2.0_Int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6" sId="1" odxf="1" dxf="1">
    <nc r="K87" t="inlineStr">
      <is>
        <t>FAW_MainPath_V2.0_Int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7" sId="1" odxf="1" dxf="1">
    <nc r="K88" t="inlineStr">
      <is>
        <t>FAW_MainPath_V2.0_Int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8" sId="1">
    <nc r="L74">
      <f>IF(D74="ASW","PUT_VERSION","-")</f>
    </nc>
  </rcc>
  <rcc rId="1049" sId="1">
    <nc r="L75">
      <f>IF(D75="ASW","PUT_VERSION","-")</f>
    </nc>
  </rcc>
  <rcc rId="1050" sId="1">
    <nc r="L76">
      <f>IF(D76="ASW","PUT_VERSION","-")</f>
    </nc>
  </rcc>
  <rcc rId="1051" sId="1">
    <nc r="L77">
      <f>IF(D77="ASW","PUT_VERSION","-")</f>
    </nc>
  </rcc>
  <rcc rId="1052" sId="1">
    <nc r="L78">
      <f>IF(D78="ASW","PUT_VERSION","-")</f>
    </nc>
  </rcc>
  <rcc rId="1053" sId="1">
    <nc r="L79">
      <f>IF(D79="ASW","PUT_VERSION","-")</f>
    </nc>
  </rcc>
  <rcc rId="1054" sId="1">
    <nc r="L80">
      <f>IF(D80="ASW","PUT_VERSION","-")</f>
    </nc>
  </rcc>
  <rcc rId="1055" sId="1">
    <nc r="L81">
      <f>IF(D81="ASW","PUT_VERSION","-")</f>
    </nc>
  </rcc>
  <rcc rId="1056" sId="1">
    <nc r="L82">
      <f>IF(D82="ASW","PUT_VERSION","-")</f>
    </nc>
  </rcc>
  <rcc rId="1057" sId="1">
    <nc r="L83">
      <f>IF(D83="ASW","PUT_VERSION","-")</f>
    </nc>
  </rcc>
  <rcc rId="1058" sId="1">
    <nc r="L84">
      <f>IF(D84="ASW","PUT_VERSION","-")</f>
    </nc>
  </rcc>
  <rcc rId="1059" sId="1">
    <nc r="L85">
      <f>IF(D85="ASW","PUT_VERSION","-")</f>
    </nc>
  </rcc>
  <rcc rId="1060" sId="1">
    <nc r="L86">
      <f>IF(D86="ASW","PUT_VERSION","-")</f>
    </nc>
  </rcc>
  <rcc rId="1061" sId="1">
    <nc r="L87">
      <f>IF(D87="ASW","PUT_VERSION","-")</f>
    </nc>
  </rcc>
  <rcc rId="1062" sId="1">
    <nc r="L88">
      <f>IF(D88="ASW","PUT_VERSION","-")</f>
    </nc>
  </rcc>
  <rcc rId="1063" sId="1" quotePrefix="1">
    <nc r="M74" t="inlineStr">
      <is>
        <t>JIN Li (CC-AS/EVA-SW33-CN)</t>
      </is>
    </nc>
  </rcc>
  <rcc rId="1064" sId="1" quotePrefix="1">
    <nc r="M75" t="inlineStr">
      <is>
        <t>JIN Li (CC-AS/EVA-SW33-CN)</t>
      </is>
    </nc>
  </rcc>
  <rcc rId="1065" sId="1" quotePrefix="1">
    <nc r="M76" t="inlineStr">
      <is>
        <t>JIN Li (CC-AS/EVA-SW33-CN)</t>
      </is>
    </nc>
  </rcc>
  <rfmt sheetId="1" sqref="M77" start="0" length="0">
    <dxf>
      <alignment horizontal="general" vertical="bottom" readingOrder="0"/>
      <border outline="0">
        <left/>
        <right/>
        <top/>
        <bottom/>
      </border>
    </dxf>
  </rfmt>
  <rfmt sheetId="1" xfDxf="1" sqref="M77" start="0" length="0">
    <dxf>
      <font>
        <sz val="10"/>
        <color rgb="FF000000"/>
        <name val="Arial"/>
        <scheme val="none"/>
      </font>
    </dxf>
  </rfmt>
  <rfmt sheetId="1" sqref="M78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79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80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81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82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83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84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85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86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87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88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cc rId="1066" sId="1" odxf="1" dxf="1" quotePrefix="1">
    <nc r="M77" t="inlineStr">
      <is>
        <t>SUN Nan (CC-AS/EVA-SW1-CN)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7" sId="1" odxf="1" dxf="1" quotePrefix="1">
    <nc r="M78" t="inlineStr">
      <is>
        <t>SUN Nan (CC-AS/EVA-SW1-CN)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8" sId="1" odxf="1" dxf="1" quotePrefix="1">
    <nc r="M79" t="inlineStr">
      <is>
        <t>SUN Nan (CC-AS/EVA-SW1-CN)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9" sId="1" odxf="1" dxf="1" quotePrefix="1">
    <nc r="M80" t="inlineStr">
      <is>
        <t>SUN Nan (CC-AS/EVA-SW1-CN)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0" sId="1" odxf="1" dxf="1" quotePrefix="1">
    <nc r="M81" t="inlineStr">
      <is>
        <t>SUN Nan (CC-AS/EVA-SW1-CN)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1" sId="1" odxf="1" dxf="1" quotePrefix="1">
    <nc r="M82" t="inlineStr">
      <is>
        <t>SUN Nan (CC-AS/EVA-SW1-CN)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2" sId="1" odxf="1" dxf="1" quotePrefix="1">
    <nc r="M83" t="inlineStr">
      <is>
        <t>SUN Nan (CC-AS/EVA-SW1-CN)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3" sId="1" odxf="1" dxf="1" quotePrefix="1">
    <nc r="M84" t="inlineStr">
      <is>
        <t>SUN Nan (CC-AS/EVA-SW1-CN)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4" sId="1" odxf="1" dxf="1" quotePrefix="1">
    <nc r="M85" t="inlineStr">
      <is>
        <t>SUN Nan (CC-AS/EVA-SW1-CN)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5" sId="1" odxf="1" dxf="1" quotePrefix="1">
    <nc r="M86" t="inlineStr">
      <is>
        <t>SUN Nan (CC-AS/EVA-SW1-CN)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6" sId="1" odxf="1" dxf="1" quotePrefix="1">
    <nc r="M87" t="inlineStr">
      <is>
        <t>SUN Nan (CC-AS/EVA-SW1-CN)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7" sId="1" odxf="1" dxf="1" quotePrefix="1">
    <nc r="M88" t="inlineStr">
      <is>
        <t>SUN Nan (CC-AS/EVA-SW1-CN)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8" sId="1" numFmtId="19">
    <nc r="Z74">
      <v>43902</v>
    </nc>
  </rcc>
  <rcc rId="1079" sId="1" numFmtId="19">
    <nc r="Z75">
      <v>43902</v>
    </nc>
  </rcc>
  <rcc rId="1080" sId="1" numFmtId="19">
    <nc r="Z76">
      <v>43902</v>
    </nc>
  </rcc>
  <rcc rId="1081" sId="1" numFmtId="19">
    <nc r="Z77">
      <v>43902</v>
    </nc>
  </rcc>
  <rcc rId="1082" sId="1" numFmtId="19">
    <nc r="Z78">
      <v>43902</v>
    </nc>
  </rcc>
  <rcc rId="1083" sId="1" numFmtId="19">
    <nc r="Z79">
      <v>43902</v>
    </nc>
  </rcc>
  <rcc rId="1084" sId="1" numFmtId="19">
    <nc r="Z80">
      <v>43902</v>
    </nc>
  </rcc>
  <rcc rId="1085" sId="1" numFmtId="19">
    <nc r="Z81">
      <v>43902</v>
    </nc>
  </rcc>
  <rcc rId="1086" sId="1" numFmtId="19">
    <nc r="Z82">
      <v>43902</v>
    </nc>
  </rcc>
  <rcc rId="1087" sId="1" numFmtId="19">
    <nc r="Z83">
      <v>43902</v>
    </nc>
  </rcc>
  <rcc rId="1088" sId="1" numFmtId="19">
    <nc r="Z84">
      <v>43902</v>
    </nc>
  </rcc>
  <rcc rId="1089" sId="1" numFmtId="19">
    <nc r="Z85">
      <v>43902</v>
    </nc>
  </rcc>
  <rcc rId="1090" sId="1" numFmtId="19">
    <nc r="Z86">
      <v>43902</v>
    </nc>
  </rcc>
  <rcc rId="1091" sId="1" numFmtId="19">
    <nc r="Z87">
      <v>43902</v>
    </nc>
  </rcc>
  <rcc rId="1092" sId="1" numFmtId="19">
    <nc r="Z88">
      <v>43902</v>
    </nc>
  </rcc>
  <rcc rId="1093" sId="1">
    <nc r="C74">
      <v>20200304</v>
    </nc>
  </rcc>
  <rcc rId="1094" sId="1">
    <nc r="C75">
      <v>20200304</v>
    </nc>
  </rcc>
  <rcc rId="1095" sId="1">
    <nc r="C76">
      <v>20200304</v>
    </nc>
  </rcc>
  <rcc rId="1096" sId="1">
    <nc r="C77">
      <v>20200304</v>
    </nc>
  </rcc>
  <rcc rId="1097" sId="1">
    <nc r="C78">
      <v>20200304</v>
    </nc>
  </rcc>
  <rcc rId="1098" sId="1">
    <nc r="C79">
      <v>20200304</v>
    </nc>
  </rcc>
  <rcc rId="1099" sId="1">
    <nc r="C80">
      <v>20200304</v>
    </nc>
  </rcc>
  <rcc rId="1100" sId="1">
    <nc r="C81">
      <v>20200304</v>
    </nc>
  </rcc>
  <rcc rId="1101" sId="1">
    <nc r="C82">
      <v>20200304</v>
    </nc>
  </rcc>
  <rcc rId="1102" sId="1">
    <nc r="C83">
      <v>20200304</v>
    </nc>
  </rcc>
  <rcc rId="1103" sId="1">
    <nc r="C84">
      <v>20200304</v>
    </nc>
  </rcc>
  <rcc rId="1104" sId="1">
    <nc r="C85">
      <v>20200304</v>
    </nc>
  </rcc>
  <rcc rId="1105" sId="1">
    <nc r="C86">
      <v>20200304</v>
    </nc>
  </rcc>
  <rcc rId="1106" sId="1">
    <nc r="C87">
      <v>20200304</v>
    </nc>
  </rcc>
  <rcc rId="1107" sId="1">
    <nc r="C88">
      <v>20200304</v>
    </nc>
  </rcc>
  <rcc rId="1108" sId="1">
    <nc r="B74">
      <f>B73+1</f>
    </nc>
  </rcc>
  <rcc rId="1109" sId="1">
    <nc r="B75">
      <f>B74+1</f>
    </nc>
  </rcc>
  <rcc rId="1110" sId="1">
    <nc r="B76">
      <f>B75+1</f>
    </nc>
  </rcc>
  <rcc rId="1111" sId="1">
    <nc r="B77">
      <f>B76+1</f>
    </nc>
  </rcc>
  <rcc rId="1112" sId="1">
    <nc r="B78">
      <f>B77+1</f>
    </nc>
  </rcc>
  <rcc rId="1113" sId="1">
    <nc r="B79">
      <f>B78+1</f>
    </nc>
  </rcc>
  <rcc rId="1114" sId="1">
    <nc r="B80">
      <f>B79+1</f>
    </nc>
  </rcc>
  <rcc rId="1115" sId="1">
    <nc r="B81">
      <f>B80+1</f>
    </nc>
  </rcc>
  <rcc rId="1116" sId="1">
    <nc r="B82">
      <f>B81+1</f>
    </nc>
  </rcc>
  <rcc rId="1117" sId="1">
    <nc r="B83">
      <f>B82+1</f>
    </nc>
  </rcc>
  <rcc rId="1118" sId="1">
    <nc r="B84">
      <f>B83+1</f>
    </nc>
  </rcc>
  <rcc rId="1119" sId="1">
    <nc r="B85">
      <f>B84+1</f>
    </nc>
  </rcc>
  <rcc rId="1120" sId="1">
    <nc r="B86">
      <f>B85+1</f>
    </nc>
  </rcc>
  <rcc rId="1121" sId="1">
    <nc r="B87">
      <f>B86+1</f>
    </nc>
  </rcc>
  <rcc rId="1122" sId="1">
    <nc r="B88">
      <f>B87+1</f>
    </nc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" cell="K74" guid="{C207DAE2-6DE3-49C2-BA9E-834311A59297}" alwaysShow="1" author="EXTERNAL Nguyen Tuan Duong (Ban Vien, RBVH/EPS45)" newLength="95"/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S74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75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76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77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78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79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80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81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82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83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84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85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86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87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88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27" sId="1">
    <nc r="X67" t="inlineStr">
      <is>
        <t>N/A</t>
      </is>
    </nc>
  </rcc>
  <rcc rId="1128" sId="1">
    <nc r="X68" t="inlineStr">
      <is>
        <t>N/A</t>
      </is>
    </nc>
  </rcc>
  <rcc rId="1129" sId="1">
    <nc r="X69" t="inlineStr">
      <is>
        <t>N/A</t>
      </is>
    </nc>
  </rcc>
  <rcc rId="1130" sId="1">
    <nc r="X70" t="inlineStr">
      <is>
        <t>N/A</t>
      </is>
    </nc>
  </rcc>
  <rcc rId="1131" sId="1">
    <nc r="X71" t="inlineStr">
      <is>
        <t>N/A</t>
      </is>
    </nc>
  </rcc>
  <rcc rId="1132" sId="1">
    <nc r="X72" t="inlineStr">
      <is>
        <t>N/A</t>
      </is>
    </nc>
  </rcc>
  <rcc rId="1133" sId="1">
    <nc r="X73" t="inlineStr">
      <is>
        <t>N/A</t>
      </is>
    </nc>
  </rcc>
  <rcc rId="1134" sId="1">
    <nc r="X74" t="inlineStr">
      <is>
        <t>N/A</t>
      </is>
    </nc>
  </rcc>
  <rcc rId="1135" sId="1">
    <nc r="X75" t="inlineStr">
      <is>
        <t>N/A</t>
      </is>
    </nc>
  </rcc>
  <rcc rId="1136" sId="1">
    <nc r="X76" t="inlineStr">
      <is>
        <t>N/A</t>
      </is>
    </nc>
  </rcc>
  <rcc rId="1137" sId="1">
    <nc r="X77" t="inlineStr">
      <is>
        <t>N/A</t>
      </is>
    </nc>
  </rcc>
  <rcc rId="1138" sId="1">
    <nc r="X78" t="inlineStr">
      <is>
        <t>N/A</t>
      </is>
    </nc>
  </rcc>
  <rcc rId="1139" sId="1">
    <nc r="X79" t="inlineStr">
      <is>
        <t>N/A</t>
      </is>
    </nc>
  </rcc>
  <rcc rId="1140" sId="1">
    <nc r="X80" t="inlineStr">
      <is>
        <t>N/A</t>
      </is>
    </nc>
  </rcc>
  <rcc rId="1141" sId="1">
    <nc r="X81" t="inlineStr">
      <is>
        <t>N/A</t>
      </is>
    </nc>
  </rcc>
  <rcc rId="1142" sId="1">
    <nc r="X82" t="inlineStr">
      <is>
        <t>N/A</t>
      </is>
    </nc>
  </rcc>
  <rcc rId="1143" sId="1">
    <nc r="X83" t="inlineStr">
      <is>
        <t>N/A</t>
      </is>
    </nc>
  </rcc>
  <rcc rId="1144" sId="1">
    <nc r="X84" t="inlineStr">
      <is>
        <t>N/A</t>
      </is>
    </nc>
  </rcc>
  <rcc rId="1145" sId="1">
    <nc r="X85" t="inlineStr">
      <is>
        <t>N/A</t>
      </is>
    </nc>
  </rcc>
  <rcc rId="1146" sId="1">
    <nc r="X86" t="inlineStr">
      <is>
        <t>N/A</t>
      </is>
    </nc>
  </rcc>
  <rcc rId="1147" sId="1">
    <nc r="X87" t="inlineStr">
      <is>
        <t>N/A</t>
      </is>
    </nc>
  </rcc>
  <rcc rId="1148" sId="1">
    <nc r="X88" t="inlineStr">
      <is>
        <t>N/A</t>
      </is>
    </nc>
  </rcc>
  <rcmt sheetId="1" cell="I76" guid="{A3A0BBC4-800B-400B-8ED3-526E4537FEB3}" alwaysShow="1" author="EXTERNAL Nguyen Tuan Duong (Ban Vien, RBVH/EPS45)" newLength="78"/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Z27:Z73">
    <dxf>
      <fill>
        <patternFill patternType="solid">
          <bgColor rgb="FF7030A0"/>
        </patternFill>
      </fill>
    </dxf>
  </rfmt>
  <rfmt sheetId="1" sqref="B26:B73">
    <dxf>
      <fill>
        <patternFill patternType="solid">
          <bgColor rgb="FF7030A0"/>
        </patternFill>
      </fill>
    </dxf>
  </rfmt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3" sId="1" quotePrefix="1">
    <oc r="F74" t="inlineStr">
      <is>
        <t>rb.as.fawMP.fawcore.app.tpms\MW\Common\src\</t>
      </is>
    </oc>
    <nc r="F74" t="inlineStr">
      <is>
        <t>rb\as\fawMP\fawcore\app\tpms\MW\Common\src\</t>
      </is>
    </nc>
  </rcc>
  <rcc rId="1154" sId="1" quotePrefix="1">
    <oc r="F75" t="inlineStr">
      <is>
        <t>rb.as.fawMP.fawcore.app.tpms\MW\Common\src\</t>
      </is>
    </oc>
    <nc r="F75" t="inlineStr">
      <is>
        <t>rb\as\fawMP\fawcore\app\tpms\MW\Common\src\</t>
      </is>
    </nc>
  </rcc>
  <rcc rId="1155" sId="1" quotePrefix="1">
    <oc r="F76" t="inlineStr">
      <is>
        <t>rb.as.fawMP.fawcore.app.tpms\MW\Common\src\</t>
      </is>
    </oc>
    <nc r="F76" t="inlineStr">
      <is>
        <t>rb\as\fawMP\fawcore\app\tpms\MW\Common\src\</t>
      </is>
    </nc>
  </rcc>
  <rcc rId="1156" sId="1" quotePrefix="1">
    <oc r="F77" t="inlineStr">
      <is>
        <t xml:space="preserve">rb.as.fawMP.fawcore.app.dsm\RBWarningIndicator\src\              </t>
      </is>
    </oc>
    <nc r="F77" t="inlineStr">
      <is>
        <t xml:space="preserve">rb\as\fawMP\fawcore\app\dsm\RBWarningIndicator\src\              </t>
      </is>
    </nc>
  </rcc>
  <rcc rId="1157" sId="1" quotePrefix="1">
    <oc r="F78" t="inlineStr">
      <is>
        <t xml:space="preserve">rb.as.fawMP.prjConf.app.asw.apbmi\host\PDM\APBHostData_Project_C\SRC\  </t>
      </is>
    </oc>
    <nc r="F78" t="inlineStr">
      <is>
        <t xml:space="preserve">rb\as\fawMP\prjConf\app\asw\apbmi\host\PDM\APBHostData_Project_C\SRC\  </t>
      </is>
    </nc>
  </rcc>
  <rcc rId="1158" sId="1" quotePrefix="1">
    <oc r="F79" t="inlineStr">
      <is>
        <t xml:space="preserve">rb.as.fawMP.prjConf.app.net\RbNetPrj\RBNet_Can\src\              </t>
      </is>
    </oc>
    <nc r="F79" t="inlineStr">
      <is>
        <t xml:space="preserve">rb\as\fawMP\prjConf\app\net\RbNetPrj\RBNet_Can\src\              </t>
      </is>
    </nc>
  </rcc>
  <rcc rId="1159" sId="1" quotePrefix="1">
    <oc r="F80" t="inlineStr">
      <is>
        <t xml:space="preserve">rb.as.fawMP.prjConf.app.net\RbNetPrj\RBNet_Can\src\              </t>
      </is>
    </oc>
    <nc r="F80" t="inlineStr">
      <is>
        <t xml:space="preserve">rb\as\fawMP\prjConf\app\net\RbNetPrj\RBNet_Can\src\              </t>
      </is>
    </nc>
  </rcc>
  <rcc rId="1160" sId="1" quotePrefix="1">
    <oc r="F81" t="inlineStr">
      <is>
        <t xml:space="preserve">rb.as.fawMP.prjConf.app.net\RbNetPrj\RBNet_Can\src\              </t>
      </is>
    </oc>
    <nc r="F81" t="inlineStr">
      <is>
        <t xml:space="preserve">rb\as\fawMP\prjConf\app\net\RbNetPrj\RBNet_Can\src\              </t>
      </is>
    </nc>
  </rcc>
  <rcc rId="1161" sId="1" quotePrefix="1">
    <oc r="F82" t="inlineStr">
      <is>
        <t xml:space="preserve">rb.as.fawMP.prjConf.app.net\RbNetPrj\RBNet_Can\src\              </t>
      </is>
    </oc>
    <nc r="F82" t="inlineStr">
      <is>
        <t xml:space="preserve">rb\as\fawMP\prjConf\app\net\RbNetPrj\RBNet_Can\src\              </t>
      </is>
    </nc>
  </rcc>
  <rcc rId="1162" sId="1" quotePrefix="1">
    <oc r="F83" t="inlineStr">
      <is>
        <t xml:space="preserve">rb.as.fawMP.prjConf.app.obd\ObdCvnCalId\src\                     </t>
      </is>
    </oc>
    <nc r="F83" t="inlineStr">
      <is>
        <t xml:space="preserve">rb\as\fawMP\prjConf\app\obd\ObdCvnCalId\src\                     </t>
      </is>
    </nc>
  </rcc>
  <rcc rId="1163" sId="1" quotePrefix="1">
    <oc r="F84" t="inlineStr">
      <is>
        <t xml:space="preserve">rb.as.fawMP.prjConf.dsmpr\src\Cubas\ESM\EcuM\src\              </t>
      </is>
    </oc>
    <nc r="F84" t="inlineStr">
      <is>
        <t xml:space="preserve">rb\as\fawMP\prjConf\dsmpr\src\Cubas\ESM\EcuM\src\              </t>
      </is>
    </nc>
  </rcc>
  <rcc rId="1164" sId="1" quotePrefix="1">
    <oc r="F85" t="inlineStr">
      <is>
        <t xml:space="preserve">rb.as.fawMP.prjConf.dsmpr\src\                                 </t>
      </is>
    </oc>
    <nc r="F85" t="inlineStr">
      <is>
        <t xml:space="preserve">rb\as\fawMP\prjConf\dsmpr\src\                                 </t>
      </is>
    </nc>
  </rcc>
  <rcc rId="1165" sId="1" quotePrefix="1">
    <oc r="F86" t="inlineStr">
      <is>
        <t xml:space="preserve">rb.as.fawMP.prjConf.hswpr\tst\hswsim\src\                      </t>
      </is>
    </oc>
    <nc r="F86" t="inlineStr">
      <is>
        <t xml:space="preserve">rb\as\fawMP\prjConf\hswpr\tst\hswsim\src\                      </t>
      </is>
    </nc>
  </rcc>
  <rcc rId="1166" sId="1" quotePrefix="1">
    <oc r="F87" t="inlineStr">
      <is>
        <t>rb.as.fawMP.prjConf.varcode</t>
      </is>
    </oc>
    <nc r="F87" t="inlineStr">
      <is>
        <t>rb\as\fawMP\prjConf\varcode</t>
      </is>
    </nc>
  </rcc>
  <rcc rId="1167" sId="1" quotePrefix="1">
    <oc r="F88" t="inlineStr">
      <is>
        <t>rb.as.fawMP.prjConf.varcode</t>
      </is>
    </oc>
    <nc r="F88" t="inlineStr">
      <is>
        <t>rb\as\fawMP\prjConf\varcode</t>
      </is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68" sId="1" ref="A99:XFD109" action="insertRow">
    <undo index="0" exp="area" ref3D="1" dr="$M$1:$N$1048576" dn="Z_4E06BDBF_2CED_473B_850B_2A6C7311FF41_.wvu.Cols" sId="1"/>
    <undo index="0" exp="area" ref3D="1" dr="$M$1:$N$1048576" dn="Z_60D2C030_4E31_4E07_8E1C_44D2EE84B177_.wvu.Cols" sId="1"/>
    <undo index="0" exp="area" ref3D="1" dr="$M$1:$N$1048576" dn="Z_7ECC2B8E_6A82_42F5_8AB0_4A51C54EA5EC_.wvu.Cols" sId="1"/>
    <undo index="0" exp="area" ref3D="1" dr="$M$1:$N$1048576" dn="Z_72A6EB0A_84D5_4B8A_AC51_54CCD061630B_.wvu.Cols" sId="1"/>
  </rrc>
  <rrc rId="1169" sId="1" ref="A99:XFD120" action="insertRow">
    <undo index="0" exp="area" ref3D="1" dr="$M$1:$N$1048576" dn="Z_4E06BDBF_2CED_473B_850B_2A6C7311FF41_.wvu.Cols" sId="1"/>
    <undo index="0" exp="area" ref3D="1" dr="$M$1:$N$1048576" dn="Z_60D2C030_4E31_4E07_8E1C_44D2EE84B177_.wvu.Cols" sId="1"/>
    <undo index="0" exp="area" ref3D="1" dr="$M$1:$N$1048576" dn="Z_7ECC2B8E_6A82_42F5_8AB0_4A51C54EA5EC_.wvu.Cols" sId="1"/>
    <undo index="0" exp="area" ref3D="1" dr="$M$1:$N$1048576" dn="Z_72A6EB0A_84D5_4B8A_AC51_54CCD061630B_.wvu.Cols" sId="1"/>
  </rrc>
  <rcc rId="1170" sId="1">
    <nc r="B89">
      <f>B88+1</f>
    </nc>
  </rcc>
  <rcc rId="1171" sId="1">
    <nc r="B90">
      <f>B89+1</f>
    </nc>
  </rcc>
  <rcc rId="1172" sId="1">
    <nc r="B91">
      <f>B90+1</f>
    </nc>
  </rcc>
  <rcc rId="1173" sId="1">
    <nc r="B92">
      <f>B91+1</f>
    </nc>
  </rcc>
  <rcc rId="1174" sId="1">
    <nc r="B93">
      <f>B92+1</f>
    </nc>
  </rcc>
  <rcc rId="1175" sId="1">
    <nc r="B94">
      <f>B93+1</f>
    </nc>
  </rcc>
  <rcc rId="1176" sId="1">
    <nc r="B95">
      <f>B94+1</f>
    </nc>
  </rcc>
  <rcc rId="1177" sId="1">
    <nc r="B96">
      <f>B95+1</f>
    </nc>
  </rcc>
  <rcc rId="1178" sId="1">
    <nc r="B97">
      <f>B96+1</f>
    </nc>
  </rcc>
  <rcc rId="1179" sId="1">
    <nc r="B98">
      <f>B97+1</f>
    </nc>
  </rcc>
  <rcc rId="1180" sId="1">
    <nc r="B99">
      <f>B98+1</f>
    </nc>
  </rcc>
  <rcc rId="1181" sId="1">
    <nc r="B100">
      <f>B99+1</f>
    </nc>
  </rcc>
  <rcc rId="1182" sId="1">
    <nc r="B101">
      <f>B100+1</f>
    </nc>
  </rcc>
  <rcc rId="1183" sId="1">
    <nc r="B102">
      <f>B101+1</f>
    </nc>
  </rcc>
  <rcc rId="1184" sId="1">
    <nc r="B103">
      <f>B102+1</f>
    </nc>
  </rcc>
  <rcc rId="1185" sId="1">
    <nc r="B104">
      <f>B103+1</f>
    </nc>
  </rcc>
  <rcc rId="1186" sId="1">
    <nc r="B105">
      <f>B104+1</f>
    </nc>
  </rcc>
  <rcc rId="1187" sId="1">
    <nc r="B106">
      <f>B105+1</f>
    </nc>
  </rcc>
  <rcc rId="1188" sId="1">
    <nc r="B107">
      <f>B106+1</f>
    </nc>
  </rcc>
  <rcc rId="1189" sId="1">
    <nc r="B108">
      <f>B107+1</f>
    </nc>
  </rcc>
  <rcc rId="1190" sId="1">
    <nc r="B109">
      <f>B108+1</f>
    </nc>
  </rcc>
  <rcc rId="1191" sId="1">
    <nc r="B110">
      <f>B109+1</f>
    </nc>
  </rcc>
  <rcc rId="1192" sId="1">
    <nc r="B111">
      <f>B110+1</f>
    </nc>
  </rcc>
  <rcc rId="1193" sId="1">
    <nc r="B112">
      <f>B111+1</f>
    </nc>
  </rcc>
  <rcc rId="1194" sId="1">
    <nc r="B113">
      <f>B112+1</f>
    </nc>
  </rcc>
  <rcc rId="1195" sId="1">
    <nc r="B114">
      <f>B113+1</f>
    </nc>
  </rcc>
  <rcc rId="1196" sId="1">
    <nc r="B115">
      <f>B114+1</f>
    </nc>
  </rcc>
  <rcc rId="1197" sId="1">
    <nc r="B116">
      <f>B115+1</f>
    </nc>
  </rcc>
  <rcc rId="1198" sId="1">
    <nc r="B117">
      <f>B116+1</f>
    </nc>
  </rcc>
  <rcc rId="1199" sId="1">
    <nc r="B118">
      <f>B117+1</f>
    </nc>
  </rcc>
  <rcc rId="1200" sId="1">
    <nc r="B119">
      <f>B118+1</f>
    </nc>
  </rcc>
  <rcc rId="1201" sId="1">
    <nc r="B120">
      <f>B119+1</f>
    </nc>
  </rcc>
  <rcc rId="1202" sId="1">
    <nc r="B121">
      <f>B120+1</f>
    </nc>
  </rcc>
  <rcc rId="1203" sId="1">
    <nc r="B122">
      <f>B121+1</f>
    </nc>
  </rcc>
  <rcc rId="1204" sId="1">
    <nc r="B123">
      <f>B122+1</f>
    </nc>
  </rcc>
  <rcc rId="1205" sId="1">
    <nc r="B124">
      <f>B123+1</f>
    </nc>
  </rcc>
  <rcc rId="1206" sId="1">
    <nc r="B125">
      <f>B124+1</f>
    </nc>
  </rcc>
  <rcc rId="1207" sId="1">
    <nc r="B126">
      <f>B125+1</f>
    </nc>
  </rcc>
  <rcc rId="1208" sId="1">
    <nc r="B127">
      <f>B126+1</f>
    </nc>
  </rcc>
  <rcc rId="1209" sId="1">
    <nc r="B128">
      <f>B127+1</f>
    </nc>
  </rcc>
  <rcc rId="1210" sId="1">
    <nc r="B129">
      <f>B128+1</f>
    </nc>
  </rcc>
  <rcc rId="1211" sId="1">
    <nc r="B130">
      <f>B129+1</f>
    </nc>
  </rcc>
  <rcc rId="1212" sId="1">
    <nc r="B131">
      <f>B130+1</f>
    </nc>
  </rcc>
  <rcc rId="1213" sId="1">
    <nc r="B132">
      <f>B131+1</f>
    </nc>
  </rcc>
  <rcc rId="1214" sId="1">
    <nc r="B133">
      <f>B132+1</f>
    </nc>
  </rcc>
  <rcc rId="1215" sId="1" odxf="1" dxf="1">
    <nc r="B134">
      <f>B133+1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216" sId="1" odxf="1" dxf="1">
    <nc r="B135">
      <f>B134+1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217" sId="1" odxf="1" dxf="1">
    <nc r="B136">
      <f>B135+1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218" sId="1" odxf="1" dxf="1">
    <nc r="B137">
      <f>B136+1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219" sId="1" odxf="1" dxf="1">
    <nc r="B138">
      <f>B137+1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220" sId="1" odxf="1" dxf="1">
    <nc r="B139">
      <f>B138+1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221" sId="1" odxf="1" dxf="1">
    <nc r="B140">
      <f>B139+1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222" sId="1" odxf="1" dxf="1">
    <nc r="B141">
      <f>B140+1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223" sId="1" odxf="1" dxf="1">
    <nc r="B142">
      <f>B141+1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fmt sheetId="1" sqref="E89" start="0" length="0">
    <dxf>
      <alignment horizontal="general" vertical="bottom" readingOrder="0"/>
      <border outline="0">
        <left/>
        <right/>
        <top/>
        <bottom/>
      </border>
    </dxf>
  </rfmt>
  <rfmt sheetId="1" sqref="E90" start="0" length="0">
    <dxf>
      <alignment horizontal="general" vertical="bottom" readingOrder="0"/>
      <border outline="0">
        <left/>
        <right/>
        <top/>
        <bottom/>
      </border>
    </dxf>
  </rfmt>
  <rfmt sheetId="1" sqref="E91" start="0" length="0">
    <dxf>
      <alignment horizontal="general" vertical="bottom" readingOrder="0"/>
      <border outline="0">
        <left/>
        <right/>
        <top/>
        <bottom/>
      </border>
    </dxf>
  </rfmt>
  <rfmt sheetId="1" sqref="E92" start="0" length="0">
    <dxf>
      <alignment horizontal="general" vertical="bottom" readingOrder="0"/>
      <border outline="0">
        <left/>
        <right/>
        <top/>
        <bottom/>
      </border>
    </dxf>
  </rfmt>
  <rfmt sheetId="1" sqref="E93" start="0" length="0">
    <dxf>
      <alignment horizontal="general" vertical="bottom" readingOrder="0"/>
      <border outline="0">
        <left/>
        <right/>
        <top/>
        <bottom/>
      </border>
    </dxf>
  </rfmt>
  <rfmt sheetId="1" sqref="E94" start="0" length="0">
    <dxf>
      <alignment horizontal="general" vertical="bottom" readingOrder="0"/>
      <border outline="0">
        <left/>
        <right/>
        <top/>
        <bottom/>
      </border>
    </dxf>
  </rfmt>
  <rfmt sheetId="1" sqref="E95" start="0" length="0">
    <dxf>
      <alignment horizontal="general" vertical="bottom" readingOrder="0"/>
      <border outline="0">
        <left/>
        <right/>
        <top/>
        <bottom/>
      </border>
    </dxf>
  </rfmt>
  <rfmt sheetId="1" sqref="E96" start="0" length="0">
    <dxf>
      <alignment horizontal="general" vertical="bottom" readingOrder="0"/>
      <border outline="0">
        <left/>
        <right/>
        <top/>
        <bottom/>
      </border>
    </dxf>
  </rfmt>
  <rfmt sheetId="1" sqref="E97" start="0" length="0">
    <dxf>
      <alignment horizontal="general" vertical="bottom" readingOrder="0"/>
      <border outline="0">
        <left/>
        <right/>
        <top/>
        <bottom/>
      </border>
    </dxf>
  </rfmt>
  <rfmt sheetId="1" sqref="E98" start="0" length="0">
    <dxf>
      <alignment horizontal="general" vertical="bottom" readingOrder="0"/>
      <border outline="0">
        <left/>
        <right/>
        <top/>
        <bottom/>
      </border>
    </dxf>
  </rfmt>
  <rfmt sheetId="1" sqref="E99" start="0" length="0">
    <dxf>
      <alignment horizontal="general" vertical="bottom" readingOrder="0"/>
      <border outline="0">
        <left/>
        <right/>
        <top/>
        <bottom/>
      </border>
    </dxf>
  </rfmt>
  <rfmt sheetId="1" sqref="E100" start="0" length="0">
    <dxf>
      <alignment horizontal="general" vertical="bottom" readingOrder="0"/>
      <border outline="0">
        <left/>
        <right/>
        <top/>
        <bottom/>
      </border>
    </dxf>
  </rfmt>
  <rfmt sheetId="1" sqref="E101" start="0" length="0">
    <dxf>
      <alignment horizontal="general" vertical="bottom" readingOrder="0"/>
      <border outline="0">
        <left/>
        <right/>
        <top/>
        <bottom/>
      </border>
    </dxf>
  </rfmt>
  <rfmt sheetId="1" sqref="E102" start="0" length="0">
    <dxf>
      <alignment horizontal="general" vertical="bottom" readingOrder="0"/>
      <border outline="0">
        <left/>
        <right/>
        <top/>
        <bottom/>
      </border>
    </dxf>
  </rfmt>
  <rfmt sheetId="1" xfDxf="1" sqref="E89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90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91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92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93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94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95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96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97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98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99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00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01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02" start="0" length="0">
    <dxf>
      <font>
        <sz val="10"/>
        <color rgb="FF000000"/>
        <name val="Arial"/>
        <scheme val="none"/>
      </font>
      <alignment vertical="center" wrapText="1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cc rId="1224" sId="1" odxf="1" dxf="1">
    <nc r="E90" t="inlineStr">
      <is>
        <t>FAW_Carbon_TypeF_IBooster_Int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5" sId="1" odxf="1" dxf="1">
    <nc r="E91" t="inlineStr">
      <is>
        <t>SAIC EP22 M2 withDA ESP9.3 BSS02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6" sId="1" odxf="1" dxf="1">
    <nc r="E92" t="inlineStr">
      <is>
        <t>SAIC EP22 M2 withDA ESP9.3 BSS02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7" sId="1" odxf="1" dxf="1">
    <nc r="E93" t="inlineStr">
      <is>
        <t>SAIC EP22 M2 withDA ESP9.3 BSS02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8" sId="1" odxf="1" dxf="1">
    <nc r="E94" t="inlineStr">
      <is>
        <t>SAIC EP22 M2 withDA ESP9.3 BSS02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9" sId="1" odxf="1" dxf="1">
    <nc r="E95" t="inlineStr">
      <is>
        <t>SAIC EP22 M2 withDA ESP9.3 BSS02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0" sId="1" odxf="1" dxf="1">
    <nc r="E96" t="inlineStr">
      <is>
        <t>SAIC EP22 M2 withDA ESP9.3 BSS02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1" sId="1" odxf="1" dxf="1">
    <nc r="E97" t="inlineStr">
      <is>
        <t>MC_228919_SGMW_CN202C_ABS9.3CBi_Carbon_BSS02_SP02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2" sId="1" odxf="1" dxf="1">
    <nc r="E98" t="inlineStr">
      <is>
        <t>MC_228919_SGMW_CN202C_ABS9.3CBi_Carbon_BSS02_SP02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3" sId="1" odxf="1" dxf="1">
    <nc r="E99" t="inlineStr">
      <is>
        <t>MC_228919_SGMW_CN202C_ABS9.3CBi_Carbon_BSS02_SP02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4" sId="1" odxf="1" dxf="1">
    <nc r="E100" t="inlineStr">
      <is>
        <t>SAIC EP22 M2 withDA ESP9.3 BSS02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5" sId="1" odxf="1" dxf="1">
    <nc r="E101" t="inlineStr">
      <is>
        <t>SAIC EP22 M2 withDA ESP9.3 BSS02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6" sId="1" odxf="1" dxf="1">
    <nc r="E102" t="inlineStr">
      <is>
        <t>MC_227282_SGMW_E200_Plus_ESPCPiGen9.3_BSS04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7" sId="1" odxf="1" dxf="1">
    <nc r="E89" t="inlineStr">
      <is>
        <t>221259_FAW_C105EV_L2_ESPhev_BL62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8" sId="1">
    <nc r="D89" t="inlineStr">
      <is>
        <t>PSW</t>
      </is>
    </nc>
  </rcc>
  <rcc rId="1239" sId="1">
    <nc r="D90" t="inlineStr">
      <is>
        <t>PSW</t>
      </is>
    </nc>
  </rcc>
  <rcc rId="1240" sId="1">
    <nc r="D91" t="inlineStr">
      <is>
        <t>PSW</t>
      </is>
    </nc>
  </rcc>
  <rcc rId="1241" sId="1">
    <nc r="D92" t="inlineStr">
      <is>
        <t>PSW</t>
      </is>
    </nc>
  </rcc>
  <rcc rId="1242" sId="1">
    <nc r="D93" t="inlineStr">
      <is>
        <t>PSW</t>
      </is>
    </nc>
  </rcc>
  <rcc rId="1243" sId="1">
    <nc r="D94" t="inlineStr">
      <is>
        <t>PSW</t>
      </is>
    </nc>
  </rcc>
  <rcc rId="1244" sId="1">
    <nc r="D95" t="inlineStr">
      <is>
        <t>PSW</t>
      </is>
    </nc>
  </rcc>
  <rcc rId="1245" sId="1">
    <nc r="D96" t="inlineStr">
      <is>
        <t>PSW</t>
      </is>
    </nc>
  </rcc>
  <rcc rId="1246" sId="1">
    <nc r="D97" t="inlineStr">
      <is>
        <t>PSW</t>
      </is>
    </nc>
  </rcc>
  <rcc rId="1247" sId="1">
    <nc r="D98" t="inlineStr">
      <is>
        <t>PSW</t>
      </is>
    </nc>
  </rcc>
  <rcc rId="1248" sId="1">
    <nc r="D99" t="inlineStr">
      <is>
        <t>PSW</t>
      </is>
    </nc>
  </rcc>
  <rcc rId="1249" sId="1">
    <nc r="D100" t="inlineStr">
      <is>
        <t>PSW</t>
      </is>
    </nc>
  </rcc>
  <rcc rId="1250" sId="1">
    <nc r="D101" t="inlineStr">
      <is>
        <t>PSW</t>
      </is>
    </nc>
  </rcc>
  <rcc rId="1251" sId="1">
    <nc r="D102" t="inlineStr">
      <is>
        <t>PSW</t>
      </is>
    </nc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F89" start="0" length="0">
    <dxf>
      <alignment horizontal="general" vertical="bottom" readingOrder="0"/>
      <border outline="0">
        <left/>
        <right/>
        <top/>
        <bottom/>
      </border>
    </dxf>
  </rfmt>
  <rfmt sheetId="1" sqref="F90" start="0" length="0">
    <dxf>
      <alignment horizontal="general" vertical="bottom" readingOrder="0"/>
      <border outline="0">
        <left/>
        <right/>
        <top/>
        <bottom/>
      </border>
    </dxf>
  </rfmt>
  <rfmt sheetId="1" sqref="F91" start="0" length="0">
    <dxf>
      <alignment horizontal="general" vertical="bottom" readingOrder="0"/>
      <border outline="0">
        <left/>
        <right/>
        <top/>
        <bottom/>
      </border>
    </dxf>
  </rfmt>
  <rfmt sheetId="1" sqref="F92" start="0" length="0">
    <dxf>
      <alignment horizontal="general" vertical="bottom" readingOrder="0"/>
      <border outline="0">
        <left/>
        <right/>
        <top/>
        <bottom/>
      </border>
    </dxf>
  </rfmt>
  <rfmt sheetId="1" sqref="F93" start="0" length="0">
    <dxf>
      <alignment horizontal="general" vertical="bottom" readingOrder="0"/>
      <border outline="0">
        <left/>
        <right/>
        <top/>
        <bottom/>
      </border>
    </dxf>
  </rfmt>
  <rfmt sheetId="1" sqref="F94" start="0" length="0">
    <dxf>
      <alignment horizontal="general" vertical="bottom" readingOrder="0"/>
      <border outline="0">
        <left/>
        <right/>
        <top/>
        <bottom/>
      </border>
    </dxf>
  </rfmt>
  <rfmt sheetId="1" sqref="F95" start="0" length="0">
    <dxf>
      <alignment horizontal="general" vertical="bottom" readingOrder="0"/>
      <border outline="0">
        <left/>
        <right/>
        <top/>
        <bottom/>
      </border>
    </dxf>
  </rfmt>
  <rfmt sheetId="1" sqref="F96" start="0" length="0">
    <dxf>
      <alignment horizontal="general" vertical="bottom" readingOrder="0"/>
      <border outline="0">
        <left/>
        <right/>
        <top/>
        <bottom/>
      </border>
    </dxf>
  </rfmt>
  <rfmt sheetId="1" sqref="F97" start="0" length="0">
    <dxf>
      <alignment horizontal="general" vertical="bottom" readingOrder="0"/>
      <border outline="0">
        <left/>
        <right/>
        <top/>
        <bottom/>
      </border>
    </dxf>
  </rfmt>
  <rfmt sheetId="1" sqref="F98" start="0" length="0">
    <dxf>
      <alignment horizontal="general" vertical="bottom" readingOrder="0"/>
      <border outline="0">
        <left/>
        <right/>
        <top/>
        <bottom/>
      </border>
    </dxf>
  </rfmt>
  <rfmt sheetId="1" sqref="F99" start="0" length="0">
    <dxf>
      <alignment horizontal="general" vertical="bottom" readingOrder="0"/>
      <border outline="0">
        <left/>
        <right/>
        <top/>
        <bottom/>
      </border>
    </dxf>
  </rfmt>
  <rfmt sheetId="1" sqref="F100" start="0" length="0">
    <dxf>
      <alignment horizontal="general" vertical="bottom" readingOrder="0"/>
      <border outline="0">
        <left/>
        <right/>
        <top/>
        <bottom/>
      </border>
    </dxf>
  </rfmt>
  <rfmt sheetId="1" sqref="F101" start="0" length="0">
    <dxf>
      <alignment horizontal="general" vertical="bottom" readingOrder="0"/>
      <border outline="0">
        <left/>
        <right/>
        <top/>
        <bottom/>
      </border>
    </dxf>
  </rfmt>
  <rfmt sheetId="1" sqref="F102" start="0" length="0">
    <dxf>
      <alignment horizontal="general" vertical="bottom" readingOrder="0"/>
      <border outline="0">
        <left/>
        <right/>
        <top/>
        <bottom/>
      </border>
    </dxf>
  </rfmt>
  <rfmt sheetId="1" xfDxf="1" sqref="F89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90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91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92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93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94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95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96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97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98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99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00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01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02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sqref="F89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0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1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2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3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4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5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6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7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8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9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0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1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2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54" sId="1" quotePrefix="1">
    <nc r="F89" t="inlineStr">
      <is>
        <t>rb\as\fawhevx\fawcore\app\net\RBScl\src\</t>
      </is>
    </nc>
  </rcc>
  <rcc rId="1255" sId="1" quotePrefix="1">
    <nc r="F90" t="inlineStr">
      <is>
        <t>rb\as\faw\core\app\net\net_OBD_Off\RBScl\src\</t>
      </is>
    </nc>
  </rcc>
  <rcc rId="1256" sId="1" quotePrefix="1">
    <nc r="F96" t="inlineStr">
      <is>
        <t>\RBVAR\src\</t>
      </is>
    </nc>
  </rcc>
  <rcc rId="1257" sId="1" quotePrefix="1">
    <nc r="F97" t="inlineStr">
      <is>
        <t xml:space="preserve">\RBScl\RBScl_BB80507\src\     </t>
      </is>
    </nc>
  </rcc>
  <rcc rId="1258" sId="1" quotePrefix="1">
    <nc r="F98" t="inlineStr">
      <is>
        <t>\RBScl\RBScl_SGMW\src\src_xmt\</t>
      </is>
    </nc>
  </rcc>
  <rcc rId="1259" sId="1" quotePrefix="1">
    <nc r="F99" t="inlineStr">
      <is>
        <t>\src\</t>
      </is>
    </nc>
  </rcc>
  <rcc rId="1260" sId="1" quotePrefix="1">
    <nc r="F100" t="inlineStr">
      <is>
        <t>rb\as\saic\CpiwAPB\app\dsm\RBHMI\src\</t>
      </is>
    </nc>
  </rcc>
  <rcc rId="1261" sId="1" quotePrefix="1">
    <nc r="F102" t="inlineStr">
      <is>
        <t>rb\as\sgmw\CN210S\app\dsm\RBVAR\src\</t>
      </is>
    </nc>
  </rcc>
  <rcc rId="1262" sId="1" quotePrefix="1">
    <nc r="F91" t="inlineStr">
      <is>
        <t xml:space="preserve">rb\as\core\app\dcom\rbapleol\src\             </t>
      </is>
    </nc>
  </rcc>
  <rcc rId="1263" sId="1" quotePrefix="1">
    <nc r="F92" t="inlineStr">
      <is>
        <t xml:space="preserve">rb\as\saic\core\app\dcom\RBAPLCust\src\ESP\   </t>
      </is>
    </nc>
  </rcc>
  <rcc rId="1264" sId="1" quotePrefix="1">
    <nc r="F93" t="inlineStr">
      <is>
        <t>rb\as\saic\core\app\dcom\RBAPLCust\src\common\</t>
      </is>
    </nc>
  </rcc>
  <rcc rId="1265" sId="1" quotePrefix="1">
    <nc r="F94" t="inlineStr">
      <is>
        <t xml:space="preserve">rb\as\saic\CpiwAPB\app\asw\aswif\src\         </t>
      </is>
    </nc>
  </rcc>
  <rcc rId="1266" sId="1" quotePrefix="1">
    <nc r="F95" t="inlineStr">
      <is>
        <t>rb\as\saic\core\app\dcom\RBAPLCust\src\common\</t>
      </is>
    </nc>
  </rcc>
  <rcc rId="1267" sId="1" quotePrefix="1">
    <nc r="F101" t="inlineStr">
      <is>
        <t>rb\as\saic\core\app\dcom\RBAPLCust\src\common\</t>
      </is>
    </nc>
  </rcc>
  <rfmt sheetId="1" sqref="G77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8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9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0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1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2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3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4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5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6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7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8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74" start="0" length="0">
    <dxf>
      <font>
        <sz val="10"/>
        <color auto="1"/>
        <name val="Arial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5" start="0" length="0">
    <dxf>
      <font>
        <sz val="10"/>
        <color auto="1"/>
        <name val="Arial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6" start="0" length="0">
    <dxf>
      <font>
        <sz val="10"/>
        <color auto="1"/>
        <name val="Arial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7" start="0" length="0">
    <dxf>
      <font>
        <sz val="10"/>
        <color auto="1"/>
        <name val="Arial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8" start="0" length="0">
    <dxf>
      <font>
        <sz val="10"/>
        <color auto="1"/>
        <name val="Arial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9" start="0" length="0">
    <dxf>
      <font>
        <sz val="10"/>
        <color auto="1"/>
        <name val="Arial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0" start="0" length="0">
    <dxf>
      <font>
        <sz val="10"/>
        <color auto="1"/>
        <name val="Arial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1" start="0" length="0">
    <dxf>
      <font>
        <sz val="10"/>
        <color auto="1"/>
        <name val="Arial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2" start="0" length="0">
    <dxf>
      <font>
        <sz val="10"/>
        <color auto="1"/>
        <name val="Arial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3" start="0" length="0">
    <dxf>
      <font>
        <sz val="10"/>
        <color auto="1"/>
        <name val="Arial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4" start="0" length="0">
    <dxf>
      <font>
        <sz val="10"/>
        <color auto="1"/>
        <name val="Arial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G89" start="0" length="0">
    <dxf>
      <alignment horizontal="general" vertical="bottom" readingOrder="0"/>
      <border outline="0">
        <left/>
        <right/>
        <top/>
        <bottom/>
      </border>
    </dxf>
  </rfmt>
  <rfmt sheetId="1" sqref="G90" start="0" length="0">
    <dxf>
      <alignment horizontal="general" vertical="bottom" readingOrder="0"/>
      <border outline="0">
        <left/>
        <right/>
        <top/>
        <bottom/>
      </border>
    </dxf>
  </rfmt>
  <rfmt sheetId="1" sqref="G91" start="0" length="0">
    <dxf>
      <alignment horizontal="general" vertical="bottom" readingOrder="0"/>
      <border outline="0">
        <left/>
        <right/>
        <top/>
        <bottom/>
      </border>
    </dxf>
  </rfmt>
  <rfmt sheetId="1" sqref="G92" start="0" length="0">
    <dxf>
      <alignment horizontal="general" vertical="bottom" readingOrder="0"/>
      <border outline="0">
        <left/>
        <right/>
        <top/>
        <bottom/>
      </border>
    </dxf>
  </rfmt>
  <rfmt sheetId="1" sqref="G93" start="0" length="0">
    <dxf>
      <alignment horizontal="general" vertical="bottom" readingOrder="0"/>
      <border outline="0">
        <left/>
        <right/>
        <top/>
        <bottom/>
      </border>
    </dxf>
  </rfmt>
  <rfmt sheetId="1" sqref="G94" start="0" length="0">
    <dxf>
      <alignment horizontal="general" vertical="bottom" readingOrder="0"/>
      <border outline="0">
        <left/>
        <right/>
        <top/>
        <bottom/>
      </border>
    </dxf>
  </rfmt>
  <rfmt sheetId="1" sqref="G95" start="0" length="0">
    <dxf>
      <alignment horizontal="general" vertical="bottom" readingOrder="0"/>
      <border outline="0">
        <left/>
        <right/>
        <top/>
        <bottom/>
      </border>
    </dxf>
  </rfmt>
  <rfmt sheetId="1" sqref="G96" start="0" length="0">
    <dxf>
      <alignment horizontal="general" vertical="bottom" readingOrder="0"/>
      <border outline="0">
        <left/>
        <right/>
        <top/>
        <bottom/>
      </border>
    </dxf>
  </rfmt>
  <rfmt sheetId="1" sqref="G97" start="0" length="0">
    <dxf>
      <alignment horizontal="general" vertical="bottom" readingOrder="0"/>
      <border outline="0">
        <left/>
        <right/>
        <top/>
        <bottom/>
      </border>
    </dxf>
  </rfmt>
  <rfmt sheetId="1" sqref="G98" start="0" length="0">
    <dxf>
      <alignment horizontal="general" vertical="bottom" readingOrder="0"/>
      <border outline="0">
        <left/>
        <right/>
        <top/>
        <bottom/>
      </border>
    </dxf>
  </rfmt>
  <rfmt sheetId="1" sqref="G99" start="0" length="0">
    <dxf>
      <alignment horizontal="general" vertical="bottom" readingOrder="0"/>
      <border outline="0">
        <left/>
        <right/>
        <top/>
        <bottom/>
      </border>
    </dxf>
  </rfmt>
  <rfmt sheetId="1" sqref="G100" start="0" length="0">
    <dxf>
      <alignment horizontal="general" vertical="bottom" readingOrder="0"/>
      <border outline="0">
        <left/>
        <right/>
        <top/>
        <bottom/>
      </border>
    </dxf>
  </rfmt>
  <rfmt sheetId="1" sqref="G101" start="0" length="0">
    <dxf>
      <alignment horizontal="general" vertical="bottom" readingOrder="0"/>
      <border outline="0">
        <left/>
        <right/>
        <top/>
        <bottom/>
      </border>
    </dxf>
  </rfmt>
  <rfmt sheetId="1" sqref="G102" start="0" length="0">
    <dxf>
      <alignment horizontal="general" vertical="bottom" readingOrder="0"/>
      <border outline="0">
        <left/>
        <right/>
        <top/>
        <bottom/>
      </border>
    </dxf>
  </rfmt>
  <rcc rId="1270" sId="1" xfDxf="1" dxf="1">
    <nc r="G89">
      <v>1364387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271" sId="1" xfDxf="1" dxf="1">
    <nc r="G90">
      <v>1362438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272" sId="1" xfDxf="1" dxf="1">
    <nc r="G91">
      <v>1362431</v>
    </nc>
    <ndxf>
      <font>
        <sz val="10"/>
        <color rgb="FF800080"/>
        <name val="Arial"/>
        <scheme val="none"/>
      </font>
      <fill>
        <patternFill patternType="solid">
          <bgColor rgb="FFFF99CC"/>
        </patternFill>
      </fill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273" sId="1" xfDxf="1" dxf="1">
    <nc r="G92">
      <v>1362431</v>
    </nc>
    <ndxf>
      <font>
        <sz val="10"/>
        <color rgb="FF800080"/>
        <name val="Arial"/>
        <scheme val="none"/>
      </font>
      <fill>
        <patternFill patternType="solid">
          <bgColor rgb="FFFF99CC"/>
        </patternFill>
      </fill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274" sId="1" xfDxf="1" dxf="1">
    <nc r="G93">
      <v>1362431</v>
    </nc>
    <ndxf>
      <font>
        <sz val="10"/>
        <color rgb="FF800080"/>
        <name val="Arial"/>
        <scheme val="none"/>
      </font>
      <fill>
        <patternFill patternType="solid">
          <bgColor rgb="FFFF99CC"/>
        </patternFill>
      </fill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275" sId="1" xfDxf="1" dxf="1">
    <nc r="G94">
      <v>1362431</v>
    </nc>
    <ndxf>
      <font>
        <sz val="10"/>
        <color rgb="FF800080"/>
        <name val="Arial"/>
        <scheme val="none"/>
      </font>
      <fill>
        <patternFill patternType="solid">
          <bgColor rgb="FFFF99CC"/>
        </patternFill>
      </fill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276" sId="1" xfDxf="1" dxf="1">
    <nc r="G95">
      <v>1362431</v>
    </nc>
    <ndxf>
      <font>
        <sz val="10"/>
        <color rgb="FF800080"/>
        <name val="Arial"/>
        <scheme val="none"/>
      </font>
      <fill>
        <patternFill patternType="solid">
          <bgColor rgb="FFFF99CC"/>
        </patternFill>
      </fill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277" sId="1" xfDxf="1" dxf="1">
    <nc r="G96">
      <v>1362409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278" sId="1" xfDxf="1" dxf="1">
    <nc r="G97">
      <v>1362280</v>
    </nc>
    <ndxf>
      <font>
        <sz val="10"/>
        <color rgb="FF800080"/>
        <name val="Arial"/>
        <scheme val="none"/>
      </font>
      <fill>
        <patternFill patternType="solid">
          <bgColor rgb="FFFF99CC"/>
        </patternFill>
      </fill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279" sId="1" xfDxf="1" dxf="1">
    <nc r="G98">
      <v>1362280</v>
    </nc>
    <ndxf>
      <font>
        <sz val="10"/>
        <color rgb="FF800080"/>
        <name val="Arial"/>
        <scheme val="none"/>
      </font>
      <fill>
        <patternFill patternType="solid">
          <bgColor rgb="FFFF99CC"/>
        </patternFill>
      </fill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280" sId="1" xfDxf="1" dxf="1">
    <nc r="G99">
      <v>1362280</v>
    </nc>
    <ndxf>
      <font>
        <sz val="10"/>
        <color rgb="FF800080"/>
        <name val="Arial"/>
        <scheme val="none"/>
      </font>
      <fill>
        <patternFill patternType="solid">
          <bgColor rgb="FFFF99CC"/>
        </patternFill>
      </fill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281" sId="1" xfDxf="1" dxf="1">
    <nc r="G100">
      <v>1362197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282" sId="1" xfDxf="1" dxf="1">
    <nc r="G101">
      <v>1362163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  <rcc rId="1283" sId="1" xfDxf="1" dxf="1">
    <nc r="G102">
      <v>1360524</v>
    </nc>
    <n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ndxf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84" sId="1" odxf="1" dxf="1">
    <oc r="T9">
      <v>59</v>
    </oc>
    <nc r="T9">
      <v>286</v>
    </nc>
    <odxf>
      <font>
        <color auto="1"/>
      </font>
      <fill>
        <patternFill patternType="solid">
          <bgColor rgb="FFFF0000"/>
        </patternFill>
      </fill>
    </odxf>
    <ndxf>
      <font>
        <sz val="11"/>
        <color theme="1"/>
        <name val="Calibri"/>
        <scheme val="minor"/>
      </font>
      <fill>
        <patternFill patternType="none">
          <bgColor indexed="65"/>
        </patternFill>
      </fill>
    </ndxf>
  </rcc>
  <rcc rId="1285" sId="1" odxf="1" dxf="1">
    <oc r="U9">
      <v>59</v>
    </oc>
    <nc r="U9">
      <v>286</v>
    </nc>
    <odxf>
      <font>
        <color auto="1"/>
      </font>
    </odxf>
    <ndxf>
      <font>
        <sz val="11"/>
        <color theme="1"/>
        <name val="Calibri"/>
        <scheme val="minor"/>
      </font>
    </ndxf>
  </rcc>
  <rcc rId="1286" sId="1">
    <oc r="AG9" t="inlineStr">
      <is>
        <t>Tool collect 286 ELOC, but the real is 59</t>
      </is>
    </oc>
    <nc r="AG9"/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COEM_Package_20200302!$B$2:$AH$142</formula>
    <oldFormula>COEM_Package_20200302!$B$2:$AH$66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0" sId="1">
    <oc r="AG39" t="inlineStr">
      <is>
        <t>Waiting for OPL answer.</t>
      </is>
    </oc>
    <nc r="AG39" t="inlineStr">
      <is>
        <t>Cant cover 100%. Owner said that's fine.</t>
      </is>
    </nc>
  </rcc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G89:G102">
    <dxf>
      <alignment horizontal="left" readingOrder="0"/>
    </dxf>
  </rfmt>
  <rfmt sheetId="1" sqref="H89" start="0" length="0">
    <dxf>
      <alignment horizontal="general" vertical="bottom" readingOrder="0"/>
      <border outline="0">
        <left/>
        <right/>
        <top/>
        <bottom/>
      </border>
    </dxf>
  </rfmt>
  <rfmt sheetId="1" sqref="H90" start="0" length="0">
    <dxf>
      <alignment horizontal="general" vertical="bottom" readingOrder="0"/>
      <border outline="0">
        <left/>
        <right/>
        <top/>
        <bottom/>
      </border>
    </dxf>
  </rfmt>
  <rfmt sheetId="1" sqref="H91" start="0" length="0">
    <dxf>
      <alignment horizontal="general" vertical="bottom" readingOrder="0"/>
      <border outline="0">
        <left/>
        <right/>
        <top/>
        <bottom/>
      </border>
    </dxf>
  </rfmt>
  <rfmt sheetId="1" sqref="H92" start="0" length="0">
    <dxf>
      <alignment horizontal="general" vertical="bottom" readingOrder="0"/>
      <border outline="0">
        <left/>
        <right/>
        <top/>
        <bottom/>
      </border>
    </dxf>
  </rfmt>
  <rfmt sheetId="1" sqref="H93" start="0" length="0">
    <dxf>
      <alignment horizontal="general" vertical="bottom" readingOrder="0"/>
      <border outline="0">
        <left/>
        <right/>
        <top/>
        <bottom/>
      </border>
    </dxf>
  </rfmt>
  <rfmt sheetId="1" sqref="H94" start="0" length="0">
    <dxf>
      <alignment horizontal="general" vertical="bottom" readingOrder="0"/>
      <border outline="0">
        <left/>
        <right/>
        <top/>
        <bottom/>
      </border>
    </dxf>
  </rfmt>
  <rfmt sheetId="1" sqref="H95" start="0" length="0">
    <dxf>
      <alignment horizontal="general" vertical="bottom" readingOrder="0"/>
      <border outline="0">
        <left/>
        <right/>
        <top/>
        <bottom/>
      </border>
    </dxf>
  </rfmt>
  <rfmt sheetId="1" sqref="H96" start="0" length="0">
    <dxf>
      <alignment horizontal="general" vertical="bottom" readingOrder="0"/>
      <border outline="0">
        <left/>
        <right/>
        <top/>
        <bottom/>
      </border>
    </dxf>
  </rfmt>
  <rfmt sheetId="1" sqref="H97" start="0" length="0">
    <dxf>
      <alignment horizontal="general" vertical="bottom" readingOrder="0"/>
      <border outline="0">
        <left/>
        <right/>
        <top/>
        <bottom/>
      </border>
    </dxf>
  </rfmt>
  <rfmt sheetId="1" sqref="H98" start="0" length="0">
    <dxf>
      <alignment horizontal="general" vertical="bottom" readingOrder="0"/>
      <border outline="0">
        <left/>
        <right/>
        <top/>
        <bottom/>
      </border>
    </dxf>
  </rfmt>
  <rfmt sheetId="1" sqref="H99" start="0" length="0">
    <dxf>
      <alignment horizontal="general" vertical="bottom" readingOrder="0"/>
      <border outline="0">
        <left/>
        <right/>
        <top/>
        <bottom/>
      </border>
    </dxf>
  </rfmt>
  <rfmt sheetId="1" sqref="H100" start="0" length="0">
    <dxf>
      <alignment horizontal="general" vertical="bottom" readingOrder="0"/>
      <border outline="0">
        <left/>
        <right/>
        <top/>
        <bottom/>
      </border>
    </dxf>
  </rfmt>
  <rfmt sheetId="1" sqref="H101" start="0" length="0">
    <dxf>
      <alignment horizontal="general" vertical="bottom" readingOrder="0"/>
      <border outline="0">
        <left/>
        <right/>
        <top/>
        <bottom/>
      </border>
    </dxf>
  </rfmt>
  <rfmt sheetId="1" sqref="H102" start="0" length="0">
    <dxf>
      <alignment horizontal="general" vertical="bottom" readingOrder="0"/>
      <border outline="0">
        <left/>
        <right/>
        <top/>
        <bottom/>
      </border>
    </dxf>
  </rfmt>
  <rfmt sheetId="1" xfDxf="1" sqref="H89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90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91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92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93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94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95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96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97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98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99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00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01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02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sqref="H85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6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7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8" start="0" length="0">
    <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91" sId="1" odxf="1" dxf="1">
    <nc r="H89" t="inlineStr">
      <is>
        <t>ComScl_Scl_Complex_proc.c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2" sId="1" odxf="1" dxf="1">
    <nc r="H90" t="inlineStr">
      <is>
        <t>NET_Monitoring.c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3" sId="1" odxf="1" dxf="1">
    <nc r="H91" t="inlineStr">
      <is>
        <t>RBAPLEOL_ValvesToggling.c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4" sId="1" odxf="1" dxf="1">
    <nc r="H92" t="inlineStr">
      <is>
        <t>RBAPLCUST_RDBI_IOCtrlState.c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5" sId="1" odxf="1" dxf="1">
    <nc r="H93" t="inlineStr">
      <is>
        <t>RBAPLCUST_RDBI_SnapshotRead.c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6" sId="1" odxf="1" dxf="1">
    <nc r="H94" t="inlineStr">
      <is>
        <t>DNCIF_DTCOnCan.c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7" sId="1" odxf="1" dxf="1">
    <nc r="H95" t="inlineStr">
      <is>
        <t>RBAPLCUST_DTCOnCan.c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8" sId="1" odxf="1" dxf="1">
    <nc r="H96" t="inlineStr">
      <is>
        <t>RBVAR_SystemStateManagement_COMMON.c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9" sId="1" odxf="1" dxf="1">
    <nc r="H97" t="inlineStr">
      <is>
        <t>ComScl_Scl_ComplexProc_BB80507.c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0" sId="1" odxf="1" dxf="1">
    <nc r="H98" t="inlineStr">
      <is>
        <t>NET_SCL_Tx_SystemInfo.c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1" sId="1" odxf="1" dxf="1">
    <nc r="H99" t="inlineStr">
      <is>
        <t>RBAPLCUST_ReadDTC.c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2" sId="1" odxf="1" dxf="1">
    <nc r="H100" t="inlineStr">
      <is>
        <t>RBHMI_ConfigOutputDriver_PRJ.c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3" sId="1" odxf="1" dxf="1">
    <nc r="H101" t="inlineStr">
      <is>
        <t>RBAPLCUST_DiagnosticSessionControl.c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4" sId="1" odxf="1" dxf="1">
    <nc r="H102" t="inlineStr">
      <is>
        <t>RBVAR_SystemStateManagement_PROJECT.c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5" sId="1">
    <nc r="I89" t="inlineStr">
      <is>
        <t>Auto</t>
      </is>
    </nc>
  </rcc>
  <rcc rId="1306" sId="1">
    <nc r="I90" t="inlineStr">
      <is>
        <t>Auto</t>
      </is>
    </nc>
  </rcc>
  <rcc rId="1307" sId="1">
    <nc r="I91" t="inlineStr">
      <is>
        <t>Auto</t>
      </is>
    </nc>
  </rcc>
  <rcc rId="1308" sId="1">
    <nc r="I92" t="inlineStr">
      <is>
        <t>Auto</t>
      </is>
    </nc>
  </rcc>
  <rcc rId="1309" sId="1">
    <nc r="I93" t="inlineStr">
      <is>
        <t>Auto</t>
      </is>
    </nc>
  </rcc>
  <rcc rId="1310" sId="1">
    <nc r="I94" t="inlineStr">
      <is>
        <t>Auto</t>
      </is>
    </nc>
  </rcc>
  <rcc rId="1311" sId="1">
    <nc r="I95" t="inlineStr">
      <is>
        <t>Auto</t>
      </is>
    </nc>
  </rcc>
  <rcc rId="1312" sId="1">
    <nc r="I96" t="inlineStr">
      <is>
        <t>Auto</t>
      </is>
    </nc>
  </rcc>
  <rcc rId="1313" sId="1">
    <nc r="I97" t="inlineStr">
      <is>
        <t>Auto</t>
      </is>
    </nc>
  </rcc>
  <rcc rId="1314" sId="1">
    <nc r="I98" t="inlineStr">
      <is>
        <t>Auto</t>
      </is>
    </nc>
  </rcc>
  <rcc rId="1315" sId="1">
    <nc r="I99" t="inlineStr">
      <is>
        <t>Auto</t>
      </is>
    </nc>
  </rcc>
  <rcc rId="1316" sId="1">
    <nc r="I100" t="inlineStr">
      <is>
        <t>Auto</t>
      </is>
    </nc>
  </rcc>
  <rcc rId="1317" sId="1">
    <nc r="I101" t="inlineStr">
      <is>
        <t>Auto</t>
      </is>
    </nc>
  </rcc>
  <rcc rId="1318" sId="1">
    <nc r="I102" t="inlineStr">
      <is>
        <t>Auto</t>
      </is>
    </nc>
  </rcc>
  <rfmt sheetId="1" sqref="I89:I102">
    <dxf>
      <fill>
        <patternFill patternType="solid">
          <bgColor rgb="FF00B0F0"/>
        </patternFill>
      </fill>
    </dxf>
  </rfmt>
  <rfmt sheetId="1" sqref="J89" start="0" length="0">
    <dxf>
      <alignment horizontal="general" vertical="bottom" readingOrder="0"/>
      <border outline="0">
        <left/>
        <right/>
        <top/>
        <bottom/>
      </border>
    </dxf>
  </rfmt>
  <rfmt sheetId="1" xfDxf="1" sqref="J89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sqref="J90" start="0" length="0">
    <dxf>
      <alignment horizontal="general" vertical="bottom" readingOrder="0"/>
      <border outline="0">
        <left/>
        <right/>
        <top/>
        <bottom/>
      </border>
    </dxf>
  </rfmt>
  <rfmt sheetId="1" xfDxf="1" sqref="J90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sqref="J91" start="0" length="0">
    <dxf>
      <alignment horizontal="general" vertical="bottom" readingOrder="0"/>
      <border outline="0">
        <left/>
        <right/>
        <top/>
        <bottom/>
      </border>
    </dxf>
  </rfmt>
  <rfmt sheetId="1" xfDxf="1" sqref="J91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sqref="J92" start="0" length="0">
    <dxf>
      <font>
        <sz val="10"/>
        <color rgb="FF000000"/>
        <name val="Arial"/>
        <scheme val="none"/>
      </font>
      <alignment horizontal="general" vertical="center" wrapText="1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fmt sheetId="1" sqref="J93" start="0" length="0">
    <dxf>
      <font>
        <sz val="10"/>
        <color rgb="FF000000"/>
        <name val="Arial"/>
        <scheme val="none"/>
      </font>
      <alignment horizontal="general" vertical="center" wrapText="1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fmt sheetId="1" sqref="J94" start="0" length="0">
    <dxf>
      <font>
        <sz val="10"/>
        <color rgb="FF000000"/>
        <name val="Arial"/>
        <scheme val="none"/>
      </font>
      <alignment horizontal="general" vertical="center" wrapText="1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fmt sheetId="1" sqref="J95" start="0" length="0">
    <dxf>
      <font>
        <sz val="10"/>
        <color rgb="FF000000"/>
        <name val="Arial"/>
        <scheme val="none"/>
      </font>
      <alignment horizontal="general" vertical="center" wrapText="1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fmt sheetId="1" sqref="J96" start="0" length="0">
    <dxf>
      <alignment horizontal="general" vertical="bottom" readingOrder="0"/>
      <border outline="0">
        <left/>
        <right/>
        <top/>
        <bottom/>
      </border>
    </dxf>
  </rfmt>
  <rfmt sheetId="1" xfDxf="1" sqref="J96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sqref="J97" start="0" length="0">
    <dxf>
      <alignment horizontal="general" vertical="bottom" readingOrder="0"/>
      <border outline="0">
        <left/>
        <right/>
        <top/>
        <bottom/>
      </border>
    </dxf>
  </rfmt>
  <rfmt sheetId="1" xfDxf="1" sqref="J97" start="0" length="0">
    <dxf>
      <font>
        <b/>
        <sz val="10"/>
        <color rgb="FF000000"/>
        <name val="Arial"/>
        <scheme val="none"/>
      </font>
    </dxf>
  </rfmt>
  <rfmt sheetId="1" sqref="J98" start="0" length="0">
    <dxf>
      <font>
        <b/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J99" start="0" length="0">
    <dxf>
      <font>
        <b/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J100" start="0" length="0">
    <dxf>
      <alignment horizontal="general" vertical="bottom" readingOrder="0"/>
      <border outline="0">
        <left/>
        <right/>
        <top/>
        <bottom/>
      </border>
    </dxf>
  </rfmt>
  <rfmt sheetId="1" xfDxf="1" sqref="J100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sqref="J101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fmt sheetId="1" sqref="J102" start="0" length="0">
    <dxf>
      <alignment horizontal="general" vertical="bottom" readingOrder="0"/>
      <border outline="0">
        <left/>
        <right/>
        <top/>
        <bottom/>
      </border>
    </dxf>
  </rfmt>
  <rfmt sheetId="1" xfDxf="1" sqref="J102" start="0" length="0">
    <dxf>
      <font>
        <sz val="10"/>
        <color rgb="FF000000"/>
        <name val="Arial"/>
        <scheme val="none"/>
      </font>
    </dxf>
  </rfmt>
  <rcc rId="1319" sId="1" odxf="1" dxf="1">
    <nc r="J89">
      <v>99478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0" sId="1" odxf="1" dxf="1">
    <nc r="J90" t="inlineStr">
      <is>
        <t>BB97499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1" sId="1" odxf="1" dxf="1">
    <nc r="J91" t="inlineStr">
      <is>
        <t>BB81433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2" sId="1" odxf="1" dxf="1">
    <nc r="J92" t="inlineStr">
      <is>
        <t>BB81434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3" sId="1" odxf="1" dxf="1">
    <nc r="J93" t="inlineStr">
      <is>
        <t>BB81435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4" sId="1" odxf="1" dxf="1">
    <nc r="J94" t="inlineStr">
      <is>
        <t>BB81436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5" sId="1" odxf="1" dxf="1">
    <nc r="J95" t="inlineStr">
      <is>
        <t>BB81437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6" sId="1" odxf="1" dxf="1">
    <nc r="J96" t="inlineStr">
      <is>
        <t>BB81033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7" sId="1" odxf="1" dxf="1">
    <nc r="J97">
      <v>80507</v>
    </nc>
    <ndxf>
      <font>
        <b val="0"/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8" sId="1" odxf="1" dxf="1">
    <nc r="J98">
      <v>80507</v>
    </nc>
    <ndxf>
      <font>
        <b val="0"/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9" sId="1" odxf="1" dxf="1">
    <nc r="J99">
      <v>80507</v>
    </nc>
    <ndxf>
      <font>
        <b val="0"/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0" sId="1" odxf="1" dxf="1">
    <nc r="J100">
      <v>81033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1" sId="1" odxf="1" dxf="1">
    <nc r="J101">
      <v>81033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2" sId="1" odxf="1" dxf="1">
    <nc r="J102" t="inlineStr">
      <is>
        <t>none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K89" start="0" length="0">
    <dxf>
      <alignment horizontal="general" vertical="bottom" readingOrder="0"/>
      <border outline="0">
        <left/>
        <right/>
        <top/>
        <bottom/>
      </border>
    </dxf>
  </rfmt>
  <rfmt sheetId="1" sqref="K90" start="0" length="0">
    <dxf>
      <alignment horizontal="general" vertical="bottom" readingOrder="0"/>
      <border outline="0">
        <left/>
        <right/>
        <top/>
        <bottom/>
      </border>
    </dxf>
  </rfmt>
  <rfmt sheetId="1" xfDxf="1" sqref="K89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K90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sqref="K91" start="0" length="0">
    <dxf>
      <alignment horizontal="general" vertical="bottom" readingOrder="0"/>
      <border outline="0">
        <left/>
        <right/>
        <top/>
        <bottom/>
      </border>
    </dxf>
  </rfmt>
  <rfmt sheetId="1" xfDxf="1" sqref="K91" start="0" length="0">
    <dxf>
      <font>
        <sz val="10"/>
        <color rgb="FF000000"/>
        <name val="Arial"/>
        <scheme val="none"/>
      </font>
    </dxf>
  </rfmt>
  <rfmt sheetId="1" sqref="K92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93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94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95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96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97" start="0" length="0">
    <dxf>
      <alignment horizontal="general" vertical="bottom" readingOrder="0"/>
      <border outline="0">
        <left/>
        <right/>
        <top/>
        <bottom/>
      </border>
    </dxf>
  </rfmt>
  <rfmt sheetId="1" xfDxf="1" sqref="K97" start="0" length="0">
    <dxf>
      <font>
        <b/>
        <sz val="10"/>
        <color rgb="FF000000"/>
        <name val="Arial"/>
        <scheme val="none"/>
      </font>
    </dxf>
  </rfmt>
  <rfmt sheetId="1" sqref="K98" start="0" length="0">
    <dxf>
      <font>
        <b/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99" start="0" length="0">
    <dxf>
      <font>
        <b/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100" start="0" length="0">
    <dxf>
      <alignment horizontal="general" vertical="bottom" readingOrder="0"/>
      <border outline="0">
        <left/>
        <right/>
        <top/>
        <bottom/>
      </border>
    </dxf>
  </rfmt>
  <rfmt sheetId="1" sqref="K101" start="0" length="0">
    <dxf>
      <alignment horizontal="general" vertical="bottom" readingOrder="0"/>
      <border outline="0">
        <left/>
        <right/>
        <top/>
        <bottom/>
      </border>
    </dxf>
  </rfmt>
  <rfmt sheetId="1" xfDxf="1" sqref="K100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K101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sqref="K102" start="0" length="0">
    <dxf>
      <alignment horizontal="general" vertical="bottom" readingOrder="0"/>
      <border outline="0">
        <left/>
        <right/>
        <top/>
        <bottom/>
      </border>
    </dxf>
  </rfmt>
  <rfmt sheetId="1" xfDxf="1" sqref="K102" start="0" length="0">
    <dxf>
      <font>
        <sz val="10"/>
        <color rgb="FF000000"/>
        <name val="Arial"/>
        <scheme val="none"/>
      </font>
    </dxf>
  </rfmt>
  <rcc rId="1333" sId="1" odxf="1" dxf="1">
    <nc r="K91" t="inlineStr">
      <is>
        <t>SAIC_A_ARCH_CMP_ESP93_Carbon_Int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4" sId="1" odxf="1" dxf="1">
    <nc r="K92" t="inlineStr">
      <is>
        <t>SAIC_A_ARCH_CMP_ESP93_Carbon_Int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5" sId="1" odxf="1" dxf="1">
    <nc r="K93" t="inlineStr">
      <is>
        <t>SAIC_A_ARCH_CMP_ESP93_Carbon_Int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6" sId="1" odxf="1" dxf="1">
    <nc r="K94" t="inlineStr">
      <is>
        <t>SAIC_A_ARCH_CMP_ESP93_Carbon_Int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7" sId="1" odxf="1" dxf="1">
    <nc r="K95" t="inlineStr">
      <is>
        <t>SAIC_A_ARCH_CMP_ESP93_Carbon_Int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8" sId="1" odxf="1" dxf="1">
    <nc r="K96" t="inlineStr">
      <is>
        <t>SAIC_A_ARCH_CMP_ESP93_Carbon_Int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9" sId="1" odxf="1" dxf="1">
    <nc r="K97" t="inlineStr">
      <is>
        <t>SGMW_ABS93_MS_Int</t>
      </is>
    </nc>
    <ndxf>
      <font>
        <b val="0"/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0" sId="1" odxf="1" dxf="1">
    <nc r="K98" t="inlineStr">
      <is>
        <t>SGMW_ABS93_MS_Int</t>
      </is>
    </nc>
    <ndxf>
      <font>
        <b val="0"/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1" sId="1" odxf="1" dxf="1">
    <nc r="K99" t="inlineStr">
      <is>
        <t>SGMW_ABS93_MS_Int</t>
      </is>
    </nc>
    <ndxf>
      <font>
        <b val="0"/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2" sId="1" odxf="1" dxf="1">
    <nc r="K100" t="inlineStr">
      <is>
        <t>SAIC_A_ARCH_CMP_ESP93_Carbon_Int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3" sId="1" odxf="1" dxf="1">
    <nc r="K101" t="inlineStr">
      <is>
        <t>SAIC_A_ARCH_CMP_ESP93_Carbon_Int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4" sId="1" odxf="1" dxf="1">
    <nc r="K102" t="inlineStr">
      <is>
        <t>SGMW_ESP93_Carbon_Int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5" sId="1" odxf="1" dxf="1">
    <nc r="K89" t="inlineStr">
      <is>
        <t>FAW_Carbon_TypeF_Hevx_Int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6" sId="1" odxf="1" dxf="1">
    <nc r="K90" t="inlineStr">
      <is>
        <t>FAW_Carbon_TypeF_IBooster_Int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9" sId="1">
    <nc r="L89">
      <f>IF(D89="ASW","PUT_VERSION","-")</f>
    </nc>
  </rcc>
  <rcc rId="1350" sId="1">
    <nc r="L90">
      <f>IF(D90="ASW","PUT_VERSION","-")</f>
    </nc>
  </rcc>
  <rcc rId="1351" sId="1">
    <nc r="L91">
      <f>IF(D91="ASW","PUT_VERSION","-")</f>
    </nc>
  </rcc>
  <rcc rId="1352" sId="1">
    <nc r="L92">
      <f>IF(D92="ASW","PUT_VERSION","-")</f>
    </nc>
  </rcc>
  <rcc rId="1353" sId="1">
    <nc r="L93">
      <f>IF(D93="ASW","PUT_VERSION","-")</f>
    </nc>
  </rcc>
  <rcc rId="1354" sId="1">
    <nc r="L94">
      <f>IF(D94="ASW","PUT_VERSION","-")</f>
    </nc>
  </rcc>
  <rcc rId="1355" sId="1">
    <nc r="L95">
      <f>IF(D95="ASW","PUT_VERSION","-")</f>
    </nc>
  </rcc>
  <rcc rId="1356" sId="1">
    <nc r="L96">
      <f>IF(D96="ASW","PUT_VERSION","-")</f>
    </nc>
  </rcc>
  <rcc rId="1357" sId="1">
    <nc r="L97">
      <f>IF(D97="ASW","PUT_VERSION","-")</f>
    </nc>
  </rcc>
  <rcc rId="1358" sId="1">
    <nc r="L98">
      <f>IF(D98="ASW","PUT_VERSION","-")</f>
    </nc>
  </rcc>
  <rcc rId="1359" sId="1">
    <nc r="L99">
      <f>IF(D99="ASW","PUT_VERSION","-")</f>
    </nc>
  </rcc>
  <rcc rId="1360" sId="1">
    <nc r="L100">
      <f>IF(D100="ASW","PUT_VERSION","-")</f>
    </nc>
  </rcc>
  <rcc rId="1361" sId="1">
    <nc r="L101">
      <f>IF(D101="ASW","PUT_VERSION","-")</f>
    </nc>
  </rcc>
  <rcc rId="1362" sId="1">
    <nc r="L102">
      <f>IF(D102="ASW","PUT_VERSION","-")</f>
    </nc>
  </rcc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M89" start="0" length="0">
    <dxf>
      <alignment horizontal="general" vertical="bottom" readingOrder="0"/>
      <border outline="0">
        <left/>
        <right/>
        <top/>
        <bottom/>
      </border>
    </dxf>
  </rfmt>
  <rcc rId="1363" sId="1" xfDxf="1" dxf="1">
    <nc r="M89" t="inlineStr">
      <is>
        <t>HU Evan (CC-AS/EVA-SW33-CN)</t>
      </is>
    </nc>
    <ndxf>
      <font>
        <sz val="10"/>
        <color rgb="FF000000"/>
        <name val="Arial"/>
        <scheme val="none"/>
      </font>
    </ndxf>
  </rcc>
  <rcc rId="1364" sId="1" odxf="1" dxf="1">
    <nc r="M90" t="inlineStr">
      <is>
        <t>HU Evan (CC-AS/EVA-SW33-CN)</t>
      </is>
    </nc>
    <o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ndxf>
  </rcc>
  <rfmt sheetId="1" sqref="M91" start="0" length="0">
    <dxf>
      <alignment horizontal="general" vertical="bottom" readingOrder="0"/>
      <border outline="0">
        <left/>
        <right/>
        <top/>
        <bottom/>
      </border>
    </dxf>
  </rfmt>
  <rcc rId="1365" sId="1" xfDxf="1" dxf="1">
    <nc r="M91" t="inlineStr">
      <is>
        <t>FANG Amanda (CC-AS/EVA-SW31-CN)</t>
      </is>
    </nc>
    <ndxf>
      <font>
        <sz val="10"/>
        <color rgb="FF000000"/>
        <name val="Arial"/>
        <scheme val="none"/>
      </font>
    </ndxf>
  </rcc>
  <rcc rId="1366" sId="1" odxf="1" dxf="1">
    <nc r="M92" t="inlineStr">
      <is>
        <t>FANG Amanda (CC-AS/EVA-SW31-CN)</t>
      </is>
    </nc>
    <o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ndxf>
  </rcc>
  <rcc rId="1367" sId="1" odxf="1" dxf="1">
    <nc r="M93" t="inlineStr">
      <is>
        <t>FANG Amanda (CC-AS/EVA-SW31-CN)</t>
      </is>
    </nc>
    <o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ndxf>
  </rcc>
  <rcc rId="1368" sId="1" odxf="1" dxf="1">
    <nc r="M94" t="inlineStr">
      <is>
        <t>FANG Amanda (CC-AS/EVA-SW31-CN)</t>
      </is>
    </nc>
    <o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ndxf>
  </rcc>
  <rcc rId="1369" sId="1" odxf="1" dxf="1">
    <nc r="M95" t="inlineStr">
      <is>
        <t>FANG Amanda (CC-AS/EVA-SW31-CN)</t>
      </is>
    </nc>
    <o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ndxf>
  </rcc>
  <rcc rId="1370" sId="1" odxf="1" dxf="1">
    <nc r="M96" t="inlineStr">
      <is>
        <t>FANG Amanda (CC-AS/EVA-SW31-CN)</t>
      </is>
    </nc>
    <o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ndxf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M97" start="0" length="0">
    <dxf>
      <alignment horizontal="general" vertical="bottom" readingOrder="0"/>
      <border outline="0">
        <left/>
        <right/>
        <top/>
        <bottom/>
      </border>
    </dxf>
  </rfmt>
  <rfmt sheetId="1" xfDxf="1" sqref="M97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sqref="M98" start="0" length="0">
    <dxf>
      <font>
        <sz val="10"/>
        <color rgb="FF000000"/>
        <name val="Arial"/>
        <scheme val="none"/>
      </font>
      <alignment horizontal="general" vertical="center" wrapText="1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fmt sheetId="1" sqref="M99" start="0" length="0">
    <dxf>
      <font>
        <sz val="10"/>
        <color rgb="FF000000"/>
        <name val="Arial"/>
        <scheme val="none"/>
      </font>
      <alignment horizontal="general" vertical="center" wrapText="1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fmt sheetId="1" sqref="M100" start="0" length="0">
    <dxf>
      <alignment horizontal="general" vertical="bottom" readingOrder="0"/>
      <border outline="0">
        <left/>
        <right/>
        <top/>
        <bottom/>
      </border>
    </dxf>
  </rfmt>
  <rfmt sheetId="1" sqref="M101" start="0" length="0">
    <dxf>
      <alignment horizontal="general" vertical="bottom" readingOrder="0"/>
      <border outline="0">
        <left/>
        <right/>
        <top/>
        <bottom/>
      </border>
    </dxf>
  </rfmt>
  <rfmt sheetId="1" sqref="M102" start="0" length="0">
    <dxf>
      <alignment horizontal="general" vertical="bottom" readingOrder="0"/>
      <border outline="0">
        <left/>
        <right/>
        <top/>
        <bottom/>
      </border>
    </dxf>
  </rfmt>
  <rfmt sheetId="1" xfDxf="1" sqref="M100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M101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M102" start="0" length="0">
    <dxf>
      <font>
        <sz val="10"/>
        <color rgb="FF000000"/>
        <name val="Arial"/>
        <scheme val="none"/>
      </font>
      <alignment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sqref="M89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90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91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92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93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94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95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96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71" sId="1" odxf="1" dxf="1" quotePrefix="1">
    <nc r="M97" t="inlineStr">
      <is>
        <t>Pham Duc Trung (RBVH/EAS11)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2" sId="1" odxf="1" dxf="1" quotePrefix="1">
    <nc r="M98" t="inlineStr">
      <is>
        <t>Pham Duc Trung (RBVH/EAS11)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3" sId="1" odxf="1" dxf="1" quotePrefix="1">
    <nc r="M99" t="inlineStr">
      <is>
        <t>Pham Duc Trung (RBVH/EAS11)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4" sId="1" odxf="1" dxf="1" quotePrefix="1">
    <nc r="M100" t="inlineStr">
      <is>
        <t>LI Xiaoyu (CC-AS/EVA-SW2-CN)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5" sId="1" odxf="1" dxf="1" quotePrefix="1">
    <nc r="M101" t="inlineStr">
      <is>
        <t>LESLIE PUTHOOR Milda (CC-AS/EVA-SW31-CN)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6" sId="1" odxf="1" dxf="1" quotePrefix="1">
    <nc r="M102" t="inlineStr">
      <is>
        <t>DIAO Aimei (CC-AS/EVA-SW32-CN)</t>
      </is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7" sId="1">
    <nc r="C89">
      <v>20200309</v>
    </nc>
  </rcc>
  <rcc rId="1378" sId="1">
    <nc r="C90">
      <v>20200309</v>
    </nc>
  </rcc>
  <rcc rId="1379" sId="1">
    <nc r="C91">
      <v>20200309</v>
    </nc>
  </rcc>
  <rcc rId="1380" sId="1">
    <nc r="C92">
      <v>20200309</v>
    </nc>
  </rcc>
  <rcc rId="1381" sId="1">
    <nc r="C93">
      <v>20200309</v>
    </nc>
  </rcc>
  <rcc rId="1382" sId="1">
    <nc r="C94">
      <v>20200309</v>
    </nc>
  </rcc>
  <rcc rId="1383" sId="1">
    <nc r="C95">
      <v>20200309</v>
    </nc>
  </rcc>
  <rcc rId="1384" sId="1">
    <nc r="C96">
      <v>20200309</v>
    </nc>
  </rcc>
  <rcc rId="1385" sId="1">
    <nc r="C97">
      <v>20200309</v>
    </nc>
  </rcc>
  <rcc rId="1386" sId="1">
    <nc r="C98">
      <v>20200309</v>
    </nc>
  </rcc>
  <rcc rId="1387" sId="1">
    <nc r="C99">
      <v>20200309</v>
    </nc>
  </rcc>
  <rcc rId="1388" sId="1">
    <nc r="C100">
      <v>20200309</v>
    </nc>
  </rcc>
  <rcc rId="1389" sId="1">
    <nc r="C101">
      <v>20200309</v>
    </nc>
  </rcc>
  <rcc rId="1390" sId="1">
    <nc r="C102">
      <v>20200309</v>
    </nc>
  </rcc>
  <rfmt sheetId="1" sqref="B74:B88">
    <dxf>
      <fill>
        <patternFill patternType="solid">
          <bgColor rgb="FFFFFF00"/>
        </patternFill>
      </fill>
    </dxf>
  </rfmt>
  <rcmt sheetId="1" cell="A27" guid="{FDA402DF-2C9E-4CAF-A915-58C9185E003A}" alwaysShow="1" author="EXTERNAL Nguyen Tuan Duong (Ban Vien, RBVH/EPS45)" newLength="88"/>
  <rcmt sheetId="1" cell="A74" guid="{7AC8B859-8629-4FE5-8331-3275EFE088EA}" alwaysShow="1" author="EXTERNAL Nguyen Tuan Duong (Ban Vien, RBVH/EPS45)" newLength="88"/>
  <rcv guid="{7E0EA425-A420-4443-B9E0-CDF0AA9E5D09}" action="delete"/>
  <rdn rId="0" localSheetId="1" customView="1" name="Z_7E0EA425_A420_4443_B9E0_CDF0AA9E5D09_.wvu.Cols" hidden="1" oldHidden="1">
    <formula>COEM_Package_20200302!$H:$K</formula>
  </rdn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4" sId="1">
    <nc r="U39">
      <v>104</v>
    </nc>
  </rcc>
  <rcc rId="1395" sId="1">
    <oc r="X39" t="inlineStr">
      <is>
        <t>Ongoing</t>
      </is>
    </oc>
    <nc r="X39" t="inlineStr">
      <is>
        <t>Ready for review</t>
      </is>
    </nc>
  </rcc>
  <rcc rId="1396" sId="1" numFmtId="19">
    <nc r="AB39">
      <v>43900</v>
    </nc>
  </rcc>
  <rcc rId="1397" sId="1">
    <nc r="AD39">
      <v>97</v>
    </nc>
  </rcc>
  <rcc rId="1398" sId="1">
    <nc r="AE39">
      <v>95</v>
    </nc>
  </rcc>
  <rcc rId="1399" sId="1">
    <nc r="AF39">
      <v>100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COEM_Package_20200302!$B$2:$AH$142</formula>
    <oldFormula>COEM_Package_20200302!$B$2:$AH$142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67:C73">
    <dxf>
      <fill>
        <patternFill patternType="solid">
          <bgColor theme="2" tint="-0.499984740745262"/>
        </patternFill>
      </fill>
    </dxf>
  </rfmt>
  <rcv guid="{7E0EA425-A420-4443-B9E0-CDF0AA9E5D09}" action="delete"/>
  <rdn rId="0" localSheetId="1" customView="1" name="Z_7E0EA425_A420_4443_B9E0_CDF0AA9E5D09_.wvu.Cols" hidden="1" oldHidden="1">
    <formula>COEM_Package_20200302!$H:$K</formula>
    <oldFormula>COEM_Package_20200302!$H:$K</oldFormula>
  </rdn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7E0EA425_A420_4443_B9E0_CDF0AA9E5D09_.wvu.Cols" hidden="1" oldHidden="1">
    <oldFormula>COEM_Package_20200302!$H:$K</oldFormula>
  </rdn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09" sId="1" odxf="1" dxf="1">
    <oc r="B26">
      <f>B25+1</f>
    </oc>
    <nc r="B26">
      <f>B25+1</f>
    </nc>
    <odxf>
      <fill>
        <patternFill patternType="solid">
          <bgColor rgb="FF7030A0"/>
        </patternFill>
      </fill>
    </odxf>
    <ndxf>
      <fill>
        <patternFill patternType="none">
          <bgColor indexed="65"/>
        </patternFill>
      </fill>
    </ndxf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33">
    <dxf>
      <fill>
        <patternFill patternType="solid">
          <bgColor theme="2" tint="-0.499984740745262"/>
        </patternFill>
      </fill>
    </dxf>
  </rfmt>
  <rcc rId="1412" sId="1">
    <oc r="AG33" t="inlineStr">
      <is>
        <t>No code</t>
      </is>
    </oc>
    <nc r="AG33" t="inlineStr">
      <is>
        <t>No code, already confirmed with Mr.Hai</t>
      </is>
    </nc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5" sId="1">
    <nc r="P35" t="inlineStr">
      <is>
        <t>thanh.nguyen-kim</t>
      </is>
    </nc>
  </rcc>
  <rcc rId="1416" sId="1">
    <nc r="P36" t="inlineStr">
      <is>
        <t>thanh.nguyen-kim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COEM_Package_20200302!$Q$2:$Q$165</formula>
    <oldFormula>COEM_Package_20200302!$Q$2:$Q$165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Cols" hidden="1" oldHidden="1">
    <formula>COEM_Package_20200302!$J:$O,COEM_Package_20200302!$R:$R</formula>
  </rdn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23" sId="1">
    <oc r="X45" t="inlineStr">
      <is>
        <t>N/A</t>
      </is>
    </oc>
    <nc r="X45" t="inlineStr">
      <is>
        <t>Ready for review</t>
      </is>
    </nc>
  </rcc>
  <rcc rId="1424" sId="1" numFmtId="19">
    <nc r="AA45">
      <v>43900</v>
    </nc>
  </rcc>
  <rcc rId="1425" sId="1" numFmtId="19">
    <nc r="AB45">
      <v>43900</v>
    </nc>
  </rcc>
  <rcc rId="1426" sId="1">
    <nc r="W45">
      <v>3</v>
    </nc>
  </rcc>
  <rcc rId="1427" sId="1">
    <nc r="AC45" t="inlineStr">
      <is>
        <t>OK</t>
      </is>
    </nc>
  </rcc>
  <rcc rId="1428" sId="1">
    <nc r="AD45">
      <v>100</v>
    </nc>
  </rcc>
  <rcc rId="1429" sId="1">
    <nc r="AE45">
      <v>100</v>
    </nc>
  </rcc>
  <rcc rId="1430" sId="1">
    <nc r="AF45">
      <v>100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COEM_Package_20200302!$B$2:$AH$142</formula>
    <oldFormula>COEM_Package_20200302!$B$2:$AH$66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COEM_Package_20200302!$B$2:$AH$142</formula>
    <oldFormula>COEM_Package_20200302!$B$2:$AH$142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COEM_Package_20200302!$B$2:$AH$142</formula>
    <oldFormula>COEM_Package_20200302!$B$2:$AH$142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40" sId="1" ref="A27:XFD27" action="insertRow">
    <undo index="0" exp="area" ref3D="1" dr="$M$1:$N$1048576" dn="Z_60D2C030_4E31_4E07_8E1C_44D2EE84B177_.wvu.Cols" sId="1"/>
    <undo index="0" exp="area" ref3D="1" dr="$M$1:$N$1048576" dn="Z_72A6EB0A_84D5_4B8A_AC51_54CCD061630B_.wvu.Cols" sId="1"/>
    <undo index="0" exp="area" ref3D="1" dr="$M$1:$N$1048576" dn="Z_7ECC2B8E_6A82_42F5_8AB0_4A51C54EA5EC_.wvu.Cols" sId="1"/>
    <undo index="0" exp="area" ref3D="1" dr="$M$1:$N$1048576" dn="Z_4E06BDBF_2CED_473B_850B_2A6C7311FF41_.wvu.Cols" sId="1"/>
    <undo index="2" exp="area" ref3D="1" dr="$R$1:$R$1048576" dn="Z_7E0EA425_A420_4443_B9E0_CDF0AA9E5D09_.wvu.Cols" sId="1"/>
    <undo index="1" exp="area" ref3D="1" dr="$J$1:$O$1048576" dn="Z_7E0EA425_A420_4443_B9E0_CDF0AA9E5D09_.wvu.Cols" sId="1"/>
  </rrc>
  <rrc rId="1441" sId="1" ref="A27:XFD27" action="insertRow">
    <undo index="0" exp="area" ref3D="1" dr="$M$1:$N$1048576" dn="Z_60D2C030_4E31_4E07_8E1C_44D2EE84B177_.wvu.Cols" sId="1"/>
    <undo index="0" exp="area" ref3D="1" dr="$M$1:$N$1048576" dn="Z_72A6EB0A_84D5_4B8A_AC51_54CCD061630B_.wvu.Cols" sId="1"/>
    <undo index="0" exp="area" ref3D="1" dr="$M$1:$N$1048576" dn="Z_7ECC2B8E_6A82_42F5_8AB0_4A51C54EA5EC_.wvu.Cols" sId="1"/>
    <undo index="0" exp="area" ref3D="1" dr="$M$1:$N$1048576" dn="Z_4E06BDBF_2CED_473B_850B_2A6C7311FF41_.wvu.Cols" sId="1"/>
    <undo index="2" exp="area" ref3D="1" dr="$R$1:$R$1048576" dn="Z_7E0EA425_A420_4443_B9E0_CDF0AA9E5D09_.wvu.Cols" sId="1"/>
    <undo index="1" exp="area" ref3D="1" dr="$J$1:$O$1048576" dn="Z_7E0EA425_A420_4443_B9E0_CDF0AA9E5D09_.wvu.Cols" sId="1"/>
  </rrc>
  <rcv guid="{7E0EA425-A420-4443-B9E0-CDF0AA9E5D09}" action="delete"/>
  <rdn rId="0" localSheetId="1" customView="1" name="Z_7E0EA425_A420_4443_B9E0_CDF0AA9E5D09_.wvu.Cols" hidden="1" oldHidden="1">
    <formula>COEM_Package_20200302!$J:$O,COEM_Package_20200302!$R:$R</formula>
    <oldFormula>COEM_Package_20200302!$J:$O,COEM_Package_20200302!$R:$R</oldFormula>
  </rdn>
  <rdn rId="0" localSheetId="1" customView="1" name="Z_7E0EA425_A420_4443_B9E0_CDF0AA9E5D09_.wvu.FilterData" hidden="1" oldHidden="1">
    <formula>COEM_Package_20200302!$B$2:$AH$68</formula>
    <oldFormula>COEM_Package_20200302!$B$2:$AH$68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39:H41">
    <dxf>
      <fill>
        <patternFill patternType="solid">
          <bgColor rgb="FFFFFF00"/>
        </patternFill>
      </fill>
    </dxf>
  </rfmt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Cols" hidden="1" oldHidden="1">
    <formula>COEM_Package_20200302!$J:$O,COEM_Package_20200302!$Q:$R</formula>
    <oldFormula>COEM_Package_20200302!$J:$O,COEM_Package_20200302!$R:$R</oldFormula>
  </rdn>
  <rdn rId="0" localSheetId="1" customView="1" name="Z_7E0EA425_A420_4443_B9E0_CDF0AA9E5D09_.wvu.FilterData" hidden="1" oldHidden="1">
    <formula>COEM_Package_20200302!$B$2:$AH$68</formula>
    <oldFormula>COEM_Package_20200302!$B$2:$AH$68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1" sId="1">
    <oc r="X42" t="inlineStr">
      <is>
        <t>N/A</t>
      </is>
    </oc>
    <nc r="X42" t="inlineStr">
      <is>
        <t>Ongoing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COEM_Package_20200302!$B$2:$AH$144</formula>
    <oldFormula>COEM_Package_20200302!$B$2:$AH$144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5" sId="1">
    <nc r="P56" t="inlineStr">
      <is>
        <t>duong.nguyen</t>
      </is>
    </nc>
  </rcc>
  <rcc rId="1456" sId="1">
    <nc r="P57" t="inlineStr">
      <is>
        <t>duong.nguyen</t>
      </is>
    </nc>
  </rcc>
  <rcv guid="{7E0EA425-A420-4443-B9E0-CDF0AA9E5D09}" action="delete"/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COEM_Package_20200302!$B$2:$AH$68</formula>
    <oldFormula>COEM_Package_20200302!$B$2:$AH$68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91:B104">
    <dxf>
      <fill>
        <patternFill patternType="solid">
          <bgColor theme="9" tint="0.39997558519241921"/>
        </patternFill>
      </fill>
    </dxf>
  </rfmt>
  <rcmt sheetId="1" cell="A91" guid="{16CB9283-FB38-4534-8E58-1DC3168BC104}" alwaysShow="1" author="EXTERNAL Nguyen Tuan Duong (Ban Vien, RBVH/EPS45)" newLength="89"/>
  <rcv guid="{7E0EA425-A420-4443-B9E0-CDF0AA9E5D09}" action="delete"/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COEM_Package_20200302!$B$2:$AH$68</formula>
    <oldFormula>COEM_Package_20200302!$B$2:$AH$68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3" sId="1">
    <nc r="W37">
      <v>0.3</v>
    </nc>
  </rcc>
  <rcc rId="1464" sId="1">
    <oc r="X37" t="inlineStr">
      <is>
        <t>N/A</t>
      </is>
    </oc>
    <nc r="X37" t="inlineStr">
      <is>
        <t>Ready for review</t>
      </is>
    </nc>
  </rcc>
  <rcc rId="1465" sId="1" numFmtId="19">
    <nc r="AA37">
      <v>43900</v>
    </nc>
  </rcc>
  <rcc rId="1466" sId="1" numFmtId="19">
    <nc r="AB37">
      <v>43900</v>
    </nc>
  </rcc>
  <rcc rId="1467" sId="1">
    <nc r="AC37" t="inlineStr">
      <is>
        <t>OK</t>
      </is>
    </nc>
  </rcc>
  <rcc rId="1468" sId="1">
    <nc r="AD37">
      <v>100</v>
    </nc>
  </rcc>
  <rcc rId="1469" sId="1">
    <nc r="AE37">
      <v>100</v>
    </nc>
  </rcc>
  <rcc rId="1470" sId="1">
    <nc r="AF37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COEM_Package_20200302!$Q$2:$Q$167</formula>
    <oldFormula>COEM_Package_20200302!$Q$2:$Q$167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4" sId="1">
    <oc r="X38" t="inlineStr">
      <is>
        <t>N/A</t>
      </is>
    </oc>
    <nc r="X38" t="inlineStr">
      <is>
        <t>Ready for review</t>
      </is>
    </nc>
  </rcc>
  <rcc rId="1475" sId="1">
    <nc r="W38">
      <v>0.3</v>
    </nc>
  </rcc>
  <rcc rId="1476" sId="1" numFmtId="19">
    <nc r="AA38">
      <v>43900</v>
    </nc>
  </rcc>
  <rcc rId="1477" sId="1" numFmtId="19">
    <nc r="AB38">
      <v>43900</v>
    </nc>
  </rcc>
  <rcc rId="1478" sId="1">
    <nc r="AC38" t="inlineStr">
      <is>
        <t>OK</t>
      </is>
    </nc>
  </rcc>
  <rcc rId="1479" sId="1">
    <nc r="AD38">
      <v>100</v>
    </nc>
  </rcc>
  <rcc rId="1480" sId="1">
    <nc r="AE38">
      <v>100</v>
    </nc>
  </rcc>
  <rcc rId="1481" sId="1">
    <nc r="AF38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COEM_Package_20200302!$Q$2:$Q$167</formula>
    <oldFormula>COEM_Package_20200302!$Q$2:$Q$167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5" sId="1">
    <nc r="P64" t="inlineStr">
      <is>
        <t>thanh.nguyen-kim</t>
      </is>
    </nc>
  </rcc>
  <rcc rId="1486" sId="1">
    <nc r="P65" t="inlineStr">
      <is>
        <t>thanh.nguyen-kim</t>
      </is>
    </nc>
  </rcc>
  <rcc rId="1487" sId="1">
    <nc r="P66" t="inlineStr">
      <is>
        <t>thanh.nguyen-kim</t>
      </is>
    </nc>
  </rcc>
  <rcc rId="1488" sId="1">
    <nc r="P67" t="inlineStr">
      <is>
        <t>thanh.nguyen-kim</t>
      </is>
    </nc>
  </rcc>
  <rcc rId="1489" sId="1">
    <nc r="P68" t="inlineStr">
      <is>
        <t>thanh.nguyen-kim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COEM_Package_20200302!$Q$2:$Q$167</formula>
    <oldFormula>COEM_Package_20200302!$Q$2:$Q$167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3" sId="1">
    <oc r="P64" t="inlineStr">
      <is>
        <t>thanh.nguyen-kim</t>
      </is>
    </oc>
    <nc r="P64"/>
  </rcc>
  <rfmt sheetId="1" sqref="A64:XFD64 B64">
    <dxf>
      <fill>
        <patternFill>
          <bgColor theme="1" tint="0.249977111117893"/>
        </patternFill>
      </fill>
    </dxf>
  </rfmt>
  <rfmt sheetId="1" sqref="AG64">
    <dxf>
      <fill>
        <patternFill patternType="none">
          <bgColor auto="1"/>
        </patternFill>
      </fill>
    </dxf>
  </rfmt>
  <rcc rId="1494" sId="1">
    <nc r="AG64" t="inlineStr">
      <is>
        <t xml:space="preserve">dupplicate </t>
      </is>
    </nc>
  </rcc>
  <rcc rId="1495" sId="1">
    <oc r="X68" t="inlineStr">
      <is>
        <t>N/A</t>
      </is>
    </oc>
    <nc r="X68" t="inlineStr">
      <is>
        <t>Ongoing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COEM_Package_20200302!$Q$2:$Q$167</formula>
    <oldFormula>COEM_Package_20200302!$Q$2:$Q$167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9" sId="1">
    <oc r="X48" t="inlineStr">
      <is>
        <t>N/A</t>
      </is>
    </oc>
    <nc r="X48" t="inlineStr">
      <is>
        <t>Ready for review</t>
      </is>
    </nc>
  </rcc>
  <rcc rId="1500" sId="1">
    <nc r="W48">
      <v>1</v>
    </nc>
  </rcc>
  <rcc rId="1501" sId="1" numFmtId="19">
    <nc r="AA48">
      <v>43900</v>
    </nc>
  </rcc>
  <rcc rId="1502" sId="1" numFmtId="19">
    <nc r="AB48">
      <v>43900</v>
    </nc>
  </rcc>
  <rcc rId="1503" sId="1">
    <nc r="AC48" t="inlineStr">
      <is>
        <t>OK</t>
      </is>
    </nc>
  </rcc>
  <rcc rId="1504" sId="1">
    <nc r="AD48">
      <v>100</v>
    </nc>
  </rcc>
  <rcc rId="1505" sId="1">
    <nc r="AE48">
      <v>100</v>
    </nc>
  </rcc>
  <rcc rId="1506" sId="1">
    <nc r="AF48">
      <v>100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513" sheetId="7" name="[Summary_COEM.xlsx]Sheet1" sheetPosition="1"/>
  <rcc rId="1514" sId="7" odxf="1" dxf="1">
    <nc r="A2" t="inlineStr">
      <is>
        <t>ComponentName</t>
      </is>
    </nc>
    <odxf>
      <font>
        <b val="0"/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b/>
        <sz val="11"/>
        <color theme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5" sId="7" odxf="1" dxf="1">
    <nc r="A3" t="inlineStr">
      <is>
        <t>rb\as\gaig\prj\dsmpr\src\RBVoltageHandler\src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6" sId="7" odxf="1" dxf="1">
    <nc r="A4" t="inlineStr">
      <is>
        <t>rb\as\sgmw\CN210S\app\net\RBScl\RBScl_SGMW\src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7" sId="7" odxf="1" dxf="1">
    <nc r="A5" t="inlineStr">
      <is>
        <t>rb\as\gaig\A10\dsmpr\src\RBHMI\src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8" sId="7" odxf="1" dxf="1">
    <nc r="A6" t="inlineStr">
      <is>
        <t>rb\as\cnms_core\app\obd\ObdCyclesHandler\src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9" sId="7" odxf="1" dxf="1" quotePrefix="1">
    <nc r="A7" t="inlineStr">
      <is>
        <t>-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0" sId="7" odxf="1" dxf="1" quotePrefix="1">
    <nc r="A8" t="inlineStr">
      <is>
        <t>rb\as\cnms_core\app\dcom\RBAPLCust\src\ESP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1" sId="7" odxf="1" dxf="1" quotePrefix="1">
    <nc r="A9" t="inlineStr">
      <is>
        <t>rb\as\sgmw\core\app\dcom\RBAPLCust\src\ESP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2" sId="7" odxf="1" dxf="1" quotePrefix="1">
    <nc r="A10" t="inlineStr">
      <is>
        <t>rb\as\sgmw\core\app\dcom\RBAPLCust\src\ESP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3" sId="7" odxf="1" dxf="1" quotePrefix="1">
    <nc r="A11" t="inlineStr">
      <is>
        <t>rb\as\gaig\A10\app\net\RBScl\RBSclGAC\src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4" sId="7" odxf="1" dxf="1" quotePrefix="1">
    <nc r="A12" t="inlineStr">
      <is>
        <t>rb\as\gaig\A10\app\net\RBScl\RBSclGAC\src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5" sId="7" odxf="1" dxf="1" quotePrefix="1">
    <nc r="A13" t="inlineStr">
      <is>
        <t>rb\as\cnms_core\app\net\scl\LDMFunctions\ACC\src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6" sId="7" odxf="1" dxf="1" quotePrefix="1">
    <nc r="A14" t="inlineStr">
      <is>
        <t>rb\as\cnms_core\app\net\scl\LDMFunctions\APA\src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7" sId="7" odxf="1" dxf="1" quotePrefix="1">
    <nc r="A15" t="inlineStr">
      <is>
        <t>rb\as\BYD\ipb\app\net\RBScl\Scl_Callout\src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8" sId="7" odxf="1" dxf="1" quotePrefix="1">
    <nc r="A16" t="inlineStr">
      <is>
        <t>rb\as\gwm\core\app\dcom\RBAPLCust\src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9" sId="7" odxf="1" dxf="1" quotePrefix="1">
    <nc r="A17" t="inlineStr">
      <is>
        <t>rb\as\gwm\core\app\dcom\RBAPLCust\src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0" sId="7" odxf="1" dxf="1" quotePrefix="1">
    <nc r="A18" t="inlineStr">
      <is>
        <t>rb\as\gwm\core\app\net\scl\Callout\src\ATMwithoutSportPlus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1" sId="7" odxf="1" dxf="1" quotePrefix="1">
    <nc r="A19" t="inlineStr">
      <is>
        <t>rb\as\gwm\core\app\net\scl\Callout\src\ATMwithSportPlus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2" sId="7" odxf="1" dxf="1" quotePrefix="1">
    <nc r="A20" t="inlineStr">
      <is>
        <t>rb\as\cnms_core\app\net\scl_callout\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3" sId="7" odxf="1" dxf="1" quotePrefix="1">
    <nc r="A21" t="inlineStr">
      <is>
        <t>rb\as\cnms_core\app\net\scl_callout\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4" sId="7" odxf="1" dxf="1" quotePrefix="1">
    <nc r="A22" t="inlineStr">
      <is>
        <t>rb\as\cnms_core\app\net\scl_callout\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5" sId="7" odxf="1" dxf="1" quotePrefix="1">
    <nc r="A23" t="inlineStr">
      <is>
        <t>rb\as\cnms_core\app\net\scl_callout\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6" sId="7" odxf="1" dxf="1" quotePrefix="1">
    <nc r="A24" t="inlineStr">
      <is>
        <t>rb\as\cnms_core\app\net\scl_callout\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7" sId="7" odxf="1" dxf="1" quotePrefix="1">
    <nc r="A25" t="inlineStr">
      <is>
        <t>rb\as\cnms_core\app\net\scl_callout\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8" sId="7" odxf="1" dxf="1" quotePrefix="1">
    <nc r="A26" t="inlineStr">
      <is>
        <t>-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A27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28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39" sId="7" odxf="1" dxf="1" quotePrefix="1">
    <nc r="A29" t="inlineStr">
      <is>
        <t>rb\as\rbcn\core\app\dcom\RBAPLCust\src\iBooster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0" sId="7" odxf="1" dxf="1" quotePrefix="1">
    <nc r="A30" t="inlineStr">
      <is>
        <t>rb\as\rbcn\core\app\dcom\RBAPLCust\src\iBooster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1" sId="7" odxf="1" dxf="1" quotePrefix="1">
    <nc r="A31" t="inlineStr">
      <is>
        <t>rb\as\rbcn\core\app\dcom\RBAPLCust\src\iBooster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2" sId="7" odxf="1" dxf="1" quotePrefix="1">
    <nc r="A32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3" sId="7" odxf="1" dxf="1" quotePrefix="1">
    <nc r="A33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4" sId="7" odxf="1" dxf="1" quotePrefix="1">
    <nc r="A34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5" sId="7" odxf="1" dxf="1" quotePrefix="1">
    <nc r="A35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6" sId="7" odxf="1" dxf="1" quotePrefix="1">
    <nc r="A36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7" sId="7" odxf="1" dxf="1" quotePrefix="1">
    <nc r="A37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8" sId="7" odxf="1" dxf="1" quotePrefix="1">
    <nc r="A38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9" sId="7" odxf="1" dxf="1" quotePrefix="1">
    <nc r="A39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0" sId="7" odxf="1" dxf="1" quotePrefix="1">
    <nc r="A40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1" sId="7" odxf="1" dxf="1" quotePrefix="1">
    <nc r="A41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2" sId="7" odxf="1" dxf="1" quotePrefix="1">
    <nc r="A42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3" sId="7" odxf="1" dxf="1" quotePrefix="1">
    <nc r="A43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4" sId="7" odxf="1" dxf="1" quotePrefix="1">
    <nc r="A44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5" sId="7" odxf="1" dxf="1" quotePrefix="1">
    <nc r="A45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6" sId="7" odxf="1" dxf="1" quotePrefix="1">
    <nc r="A46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7" sId="7" odxf="1" dxf="1" quotePrefix="1">
    <nc r="A47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8" sId="7" odxf="1" dxf="1" quotePrefix="1">
    <nc r="A48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9" sId="7" odxf="1" dxf="1" quotePrefix="1">
    <nc r="A49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0" sId="7" odxf="1" dxf="1" quotePrefix="1">
    <nc r="A50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1" sId="7" odxf="1" dxf="1" quotePrefix="1">
    <nc r="A51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2" sId="7" odxf="1" dxf="1" quotePrefix="1">
    <nc r="A52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3" sId="7" odxf="1" dxf="1" quotePrefix="1">
    <nc r="A53" t="inlineStr">
      <is>
        <t>rb\as\rbcn\core\app\dcom\RBAPLCust\src\IPB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4" sId="7" odxf="1" dxf="1" quotePrefix="1">
    <nc r="A54" t="inlineStr">
      <is>
        <t>rb\as\cnms_core\app\dcom\RBAPLCust\src\common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5" sId="7" odxf="1" dxf="1" quotePrefix="1">
    <nc r="A55" t="inlineStr">
      <is>
        <t>rb\as\cnms_core\app\dcom\RBAPLCust\src\common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6" sId="7" odxf="1" dxf="1" quotePrefix="1">
    <nc r="A56" t="inlineStr">
      <is>
        <t>rb\as\cnms_core\app\dcom\RBAPLCust\src\common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7" sId="7" odxf="1" dxf="1" quotePrefix="1">
    <nc r="A57" t="inlineStr">
      <is>
        <t>rb\as\cnms_core\app\dcom\RBAPLCust\src\common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8" sId="7" odxf="1" dxf="1" quotePrefix="1">
    <nc r="A58" t="inlineStr">
      <is>
        <t>rb\as\cnms_core\app\dcom\RBAPLCust\src\common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9" sId="7" odxf="1" dxf="1" quotePrefix="1">
    <nc r="A59" t="inlineStr">
      <is>
        <t>rb\as\cnms_core\app\dcom\RBAPLCust\src\ESP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0" sId="7" odxf="1" dxf="1" quotePrefix="1">
    <nc r="A60" t="inlineStr">
      <is>
        <t>rb\as\cnms_core\app\dcom\RBAPLCust\src\ESP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1" sId="7" odxf="1" dxf="1" quotePrefix="1">
    <nc r="A61" t="inlineStr">
      <is>
        <t>rb\as\cnms_core\app\dcom\RBAPLCust\src\ESP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2" sId="7" odxf="1" dxf="1" quotePrefix="1">
    <nc r="A62" t="inlineStr">
      <is>
        <t>rb\as\cnms_core\app\dcom\RBAPLCust\src\ESP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3" sId="7" odxf="1" dxf="1" quotePrefix="1">
    <nc r="A63" t="inlineStr">
      <is>
        <t>rb\as\cnms_core\app\dcom\RBAPLCust\src\ESP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4" sId="7" odxf="1" dxf="1" quotePrefix="1">
    <nc r="A64" t="inlineStr">
      <is>
        <t>rb\as\cnms_core\app\dcom\RBAPLCust\src\IPB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theme="1" tint="0.249977111117893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5" sId="7" odxf="1" dxf="1" quotePrefix="1">
    <nc r="A65" t="inlineStr">
      <is>
        <t>rb\as\cnms_core\app\dcom\RBAPLCust\src\IPB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6" sId="7" odxf="1" dxf="1" quotePrefix="1">
    <nc r="A66" t="inlineStr">
      <is>
        <t>rb\as\cnms_core\app\dcom\RBAPLCust\src\IPB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7" sId="7" odxf="1" dxf="1" quotePrefix="1">
    <nc r="A67" t="inlineStr">
      <is>
        <t>rb\as\cnms_core\app\dcom\RBAPLCust\src\IPB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8" sId="7" odxf="1" dxf="1" quotePrefix="1">
    <nc r="A68" t="inlineStr">
      <is>
        <t>rb\as\cnms_core\app\dcom\RBAPLCust\src\IPB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9" sId="7" odxf="1" dxf="1" quotePrefix="1">
    <nc r="A69" t="inlineStr">
      <is>
        <t>rb\as\core\app\asw\apbmi\host\PDM\APBPbcVariantItem_C\SRC\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0" sId="7" odxf="1" dxf="1" quotePrefix="1">
    <nc r="A70" t="inlineStr">
      <is>
        <t>\rb\as\sgmw\CN210S\app\net\RbNetPrj\RBNet_Can\src\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1" sId="7" odxf="1" dxf="1" quotePrefix="1">
    <nc r="A71" t="inlineStr">
      <is>
        <t xml:space="preserve">\rb\as\sgmw\CN210S\app\net\RBScl\RBScl_SGMW\src\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2" sId="7" odxf="1" dxf="1" quotePrefix="1">
    <nc r="A72" t="inlineStr">
      <is>
        <t xml:space="preserve">\rb\as\sgmw\CN210S\app\net\RBScl\RBScl_SGMW\src\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3" sId="7" odxf="1" dxf="1" quotePrefix="1">
    <nc r="A73" t="inlineStr">
      <is>
        <t xml:space="preserve">\rb\as\sgmw\CN210S\app\net\RBScl\RBScl_SGMW\src\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4" sId="7" odxf="1" dxf="1" quotePrefix="1">
    <nc r="A74" t="inlineStr">
      <is>
        <t xml:space="preserve">\rb\as\sgmw\CN210S\app\net\RBScl\RBScl_SGMW\src\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5" sId="7" odxf="1" dxf="1" quotePrefix="1">
    <nc r="A75" t="inlineStr">
      <is>
        <t>\rb\as\sgmw\CN210S\app\net\RBScl\RBScl_SGMW\src\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6" sId="7" odxf="1" dxf="1" quotePrefix="1">
    <nc r="A76" t="inlineStr">
      <is>
        <t>rb\as\fawMP\fawcore\app\tpms\MW\Common\src\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7" sId="7" odxf="1" dxf="1" quotePrefix="1">
    <nc r="A77" t="inlineStr">
      <is>
        <t>rb\as\fawMP\fawcore\app\tpms\MW\Common\src\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8" sId="7" odxf="1" dxf="1" quotePrefix="1">
    <nc r="A78" t="inlineStr">
      <is>
        <t>rb\as\fawMP\fawcore\app\tpms\MW\Common\src\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9" sId="7" odxf="1" dxf="1" quotePrefix="1">
    <nc r="A79" t="inlineStr">
      <is>
        <t xml:space="preserve">rb\as\fawMP\fawcore\app\dsm\RBWarningIndicator\src\            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0" sId="7" odxf="1" dxf="1" quotePrefix="1">
    <nc r="A80" t="inlineStr">
      <is>
        <t xml:space="preserve">rb\as\fawMP\prjConf\app\asw\apbmi\host\PDM\APBHostData_Project_C\SRC\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1" sId="7" odxf="1" dxf="1" quotePrefix="1">
    <nc r="A81" t="inlineStr">
      <is>
        <t xml:space="preserve">rb\as\fawMP\prjConf\app\net\RbNetPrj\RBNet_Can\src\            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2" sId="7" odxf="1" dxf="1" quotePrefix="1">
    <nc r="A82" t="inlineStr">
      <is>
        <t xml:space="preserve">rb\as\fawMP\prjConf\app\net\RbNetPrj\RBNet_Can\src\            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3" sId="7" odxf="1" dxf="1" quotePrefix="1">
    <nc r="A83" t="inlineStr">
      <is>
        <t xml:space="preserve">rb\as\fawMP\prjConf\app\net\RbNetPrj\RBNet_Can\src\            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4" sId="7" odxf="1" dxf="1" quotePrefix="1">
    <nc r="A84" t="inlineStr">
      <is>
        <t xml:space="preserve">rb\as\fawMP\prjConf\app\net\RbNetPrj\RBNet_Can\src\            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5" sId="7" odxf="1" dxf="1" quotePrefix="1">
    <nc r="A85" t="inlineStr">
      <is>
        <t xml:space="preserve">rb\as\fawMP\prjConf\app\obd\ObdCvnCalId\src\                   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6" sId="7" odxf="1" dxf="1" quotePrefix="1">
    <nc r="A86" t="inlineStr">
      <is>
        <t xml:space="preserve">rb\as\fawMP\prjConf\dsmpr\src\Cubas\ESM\EcuM\src\            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7" sId="7" odxf="1" dxf="1" quotePrefix="1">
    <nc r="A87" t="inlineStr">
      <is>
        <t xml:space="preserve">rb\as\fawMP\prjConf\dsmpr\src\                               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8" sId="7" odxf="1" dxf="1" quotePrefix="1">
    <nc r="A88" t="inlineStr">
      <is>
        <t xml:space="preserve">rb\as\fawMP\prjConf\hswpr\tst\hswsim\src\                    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9" sId="7" odxf="1" dxf="1" quotePrefix="1">
    <nc r="A89" t="inlineStr">
      <is>
        <t>rb\as\fawMP\prjConf\varcode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00" sId="7" odxf="1" dxf="1" quotePrefix="1">
    <nc r="A90" t="inlineStr">
      <is>
        <t>rb\as\fawMP\prjConf\varcode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01" sId="7" odxf="1" dxf="1" quotePrefix="1">
    <nc r="A91" t="inlineStr">
      <is>
        <t>rb\as\fawhevx\fawcore\app\net\RBScl\src\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02" sId="7" odxf="1" dxf="1" quotePrefix="1">
    <nc r="A92" t="inlineStr">
      <is>
        <t>rb\as\faw\core\app\net\net_OBD_Off\RBScl\src\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03" sId="7" odxf="1" dxf="1" quotePrefix="1">
    <nc r="A93" t="inlineStr">
      <is>
        <t xml:space="preserve">rb\as\core\app\dcom\rbapleol\src\           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04" sId="7" odxf="1" dxf="1" quotePrefix="1">
    <nc r="A94" t="inlineStr">
      <is>
        <t xml:space="preserve">rb\as\saic\core\app\dcom\RBAPLCust\src\ESP\ 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05" sId="7" odxf="1" dxf="1" quotePrefix="1">
    <nc r="A95" t="inlineStr">
      <is>
        <t>rb\as\saic\core\app\dcom\RBAPLCust\src\common\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06" sId="7" odxf="1" dxf="1" quotePrefix="1">
    <nc r="A96" t="inlineStr">
      <is>
        <t xml:space="preserve">rb\as\saic\CpiwAPB\app\asw\aswif\src\       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07" sId="7" odxf="1" dxf="1" quotePrefix="1">
    <nc r="A97" t="inlineStr">
      <is>
        <t>rb\as\saic\core\app\dcom\RBAPLCust\src\common\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08" sId="7" odxf="1" dxf="1" quotePrefix="1">
    <nc r="A98" t="inlineStr">
      <is>
        <t>\RBVAR\src\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09" sId="7" odxf="1" dxf="1" quotePrefix="1">
    <nc r="A99" t="inlineStr">
      <is>
        <t xml:space="preserve">\RBScl\RBScl_BB80507\src\     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0" sId="7" odxf="1" dxf="1" quotePrefix="1">
    <nc r="A100" t="inlineStr">
      <is>
        <t>\RBScl\RBScl_SGMW\src\src_xmt\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1" sId="7" odxf="1" dxf="1" quotePrefix="1">
    <nc r="A101" t="inlineStr">
      <is>
        <t>\src\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2" sId="7" odxf="1" dxf="1" quotePrefix="1">
    <nc r="A102" t="inlineStr">
      <is>
        <t>rb\as\saic\CpiwAPB\app\dsm\RBHMI\src\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3" sId="7" odxf="1" dxf="1" quotePrefix="1">
    <nc r="A103" t="inlineStr">
      <is>
        <t>rb\as\saic\core\app\dcom\RBAPLCust\src\common\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4" sId="7" odxf="1" dxf="1" quotePrefix="1">
    <nc r="A104" t="inlineStr">
      <is>
        <t>rb\as\sgmw\CN210S\app\dsm\RBVAR\src\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A105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06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07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08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09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10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11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12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13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14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15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16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17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18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19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20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21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22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23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24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25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26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27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28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29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30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31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32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33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34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35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36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37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38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39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40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41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42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43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44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145" start="0" length="0">
    <dxf/>
  </rfmt>
  <rcc rId="1615" sId="7" odxf="1" dxf="1">
    <nc r="A147" t="inlineStr">
      <is>
        <t>Total Day</t>
      </is>
    </nc>
    <odxf>
      <font>
        <b val="0"/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b/>
        <sz val="11"/>
        <color theme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6" sId="7" odxf="1" dxf="1">
    <nc r="A148">
      <f>1/8*(SUMIFS($W$3:$W$144,$D$3:$D$144,Table!$C$3,$P$3:$P$144,#REF!)-SUM(SUMIFS($W$3:$W$144,$D$3:$D$144,Table!$C$3,$P$3:$P$144,#REF!,$X$3:$X$144,{"Ongoing","N/A"})))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7" sId="7" odxf="1" dxf="1">
    <nc r="A149">
      <f>1/8*(SUMIFS($W$3:$W$144,$D$3:$D$144,Table!$C$3,$P$3:$P$144,#REF!)-SUM(SUMIFS($W$3:$W$144,$D$3:$D$144,Table!$C$3,$P$3:$P$144,#REF!,$X$3:$X$144,{"Ongoing","N/A"})))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8" sId="7" odxf="1" dxf="1">
    <nc r="A150">
      <f>1/8*(SUMIFS($W$3:$W$144,$D$3:$D$144,Table!$C$3,$P$3:$P$144,#REF!)-SUM(SUMIFS($W$3:$W$144,$D$3:$D$144,Table!$C$3,$P$3:$P$144,#REF!,$X$3:$X$144,{"Ongoing","N/A"})))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9" sId="7" odxf="1" dxf="1">
    <nc r="A151">
      <f>1/8*(SUMIFS($W$3:$W$144,$D$3:$D$144,Table!$C$3,$P$3:$P$144,#REF!)-SUM(SUMIFS($W$3:$W$144,$D$3:$D$144,Table!$C$3,$P$3:$P$144,#REF!,$X$3:$X$144,{"Ongoing","N/A"})))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0" sId="7" odxf="1" dxf="1">
    <nc r="A152">
      <f>1/8*(SUMIFS($W$3:$W$144,$D$3:$D$144,Table!$C$3,$P$3:$P$144,#REF!)-SUM(SUMIFS($W$3:$W$144,$D$3:$D$144,Table!$C$3,$P$3:$P$144,#REF!,$X$3:$X$144,{"Ongoing","N/A"})))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1" sId="7" odxf="1" dxf="1">
    <nc r="A153">
      <f>1/8*(SUMIFS($W$3:$W$144,$D$3:$D$144,Table!$C$3,$P$3:$P$144,#REF!)-SUM(SUMIFS($W$3:$W$144,$D$3:$D$144,Table!$C$3,$P$3:$P$144,#REF!,$X$3:$X$144,{"Ongoing","N/A"})))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2" sId="7" odxf="1" dxf="1">
    <nc r="A154">
      <f>1/8*(SUMIFS($W$3:$W$144,$D$3:$D$144,Table!$C$3,$P$3:$P$144,#REF!)-SUM(SUMIFS($W$3:$W$144,$D$3:$D$144,Table!$C$3,$P$3:$P$144,#REF!,$X$3:$X$144,{"Ongoing","N/A"})))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3" sId="7" odxf="1" dxf="1">
    <nc r="A155">
      <f>1/8*(SUMIFS($W$3:$W$144,$D$3:$D$144,Table!$C$3,$P$3:$P$144,#REF!)-SUM(SUMIFS($W$3:$W$144,$D$3:$D$144,Table!$C$3,$P$3:$P$144,#REF!,$X$3:$X$144,{"Ongoing","N/A"})))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4" sId="7" odxf="1" dxf="1">
    <nc r="A159" t="inlineStr">
      <is>
        <t>Total Day</t>
      </is>
    </nc>
    <odxf>
      <font>
        <b val="0"/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b/>
        <sz val="11"/>
        <color theme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5" sId="7" odxf="1" dxf="1">
    <nc r="A160">
      <f>1/8*(SUMIFS($W$3:$W$144,$D$3:$D$144,Table!$D$3,$P$3:$P$144,#REF!)-SUM(SUMIFS($W$3:$W$144,$D$3:$D$144,Table!$D$3,$P$3:$P$144,#REF!,$X$3:$X$144,{"Ongoing","N/A"})))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6" sId="7" odxf="1" dxf="1">
    <nc r="A161">
      <f>1/8*(SUMIFS($W$3:$W$144,$D$3:$D$144,Table!$D$3,$P$3:$P$144,#REF!)-SUM(SUMIFS($W$3:$W$144,$D$3:$D$144,Table!$D$3,$P$3:$P$144,#REF!,$X$3:$X$144,{"Ongoing","N/A"})))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7" sId="7" odxf="1" dxf="1">
    <nc r="A162">
      <f>1/8*(SUMIFS($W$3:$W$144,$D$3:$D$144,Table!$D$3,$P$3:$P$144,#REF!)-SUM(SUMIFS($W$3:$W$144,$D$3:$D$144,Table!$D$3,$P$3:$P$144,#REF!,$X$3:$X$144,{"Ongoing","N/A"})))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8" sId="7" odxf="1" dxf="1">
    <nc r="A163">
      <f>1/8*(SUMIFS($W$3:$W$144,$D$3:$D$144,Table!$D$3,$P$3:$P$144,#REF!)-SUM(SUMIFS($W$3:$W$144,$D$3:$D$144,Table!$D$3,$P$3:$P$144,#REF!,$X$3:$X$144,{"Ongoing","N/A"})))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9" sId="7" odxf="1" dxf="1">
    <nc r="A164">
      <f>1/8*(SUMIFS($W$3:$W$144,$D$3:$D$144,Table!$D$3,$P$3:$P$144,#REF!)-SUM(SUMIFS($W$3:$W$144,$D$3:$D$144,Table!$D$3,$P$3:$P$144,#REF!,$X$3:$X$144,{"Ongoing","N/A"})))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0" sId="7" odxf="1" dxf="1">
    <nc r="A165">
      <f>1/8*(SUMIFS($W$3:$W$144,$D$3:$D$144,Table!$D$3,$P$3:$P$144,#REF!)-SUM(SUMIFS($W$3:$W$144,$D$3:$D$144,Table!$D$3,$P$3:$P$144,#REF!,$X$3:$X$144,{"Ongoing","N/A"})))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1" sId="7" odxf="1" dxf="1">
    <nc r="A166">
      <f>1/8*(SUMIFS($W$3:$W$144,$D$3:$D$144,Table!$D$3,$P$3:$P$144,#REF!)-SUM(SUMIFS($W$3:$W$144,$D$3:$D$144,Table!$D$3,$P$3:$P$144,#REF!,$X$3:$X$144,{"Ongoing","N/A"})))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2" sId="7" odxf="1" dxf="1">
    <nc r="A167">
      <f>1/8*(SUMIFS($W$3:$W$144,$D$3:$D$144,Table!$D$3,$P$3:$P$144,#REF!)-SUM(SUMIFS($W$3:$W$144,$D$3:$D$144,Table!$D$3,$P$3:$P$144,#REF!,$X$3:$X$144,{"Ongoing","N/A"})))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3" sId="7" odxf="1" dxf="1">
    <nc r="B2" t="inlineStr">
      <is>
        <t>ItemName</t>
      </is>
    </nc>
    <odxf>
      <font>
        <b val="0"/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b/>
        <sz val="11"/>
        <color theme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4" sId="7" odxf="1" dxf="1">
    <nc r="B3" t="inlineStr">
      <is>
        <t>RBVoltageHandler_Suppression.c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5" sId="7" odxf="1" dxf="1">
    <nc r="B4" t="inlineStr">
      <is>
        <t>SGMW_RBA_NDS_HBCRequest_Callout.c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6" sId="7" odxf="1" dxf="1">
    <nc r="B5" t="inlineStr">
      <is>
        <t>RBHMI_LDMLamp_CNMS.c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7" sId="7" odxf="1" dxf="1">
    <nc r="B6" t="inlineStr">
      <is>
        <t>ObdCyclesHandler.c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8" sId="7" odxf="1" dxf="1">
    <nc r="B7" t="inlineStr">
      <is>
        <t>PAP_Odometry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9" sId="7" odxf="1" dxf="1">
    <nc r="B8" t="inlineStr">
      <is>
        <t>RBAPLCUST_EOLDelayCtrlOrAPBMi.c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0" sId="7" odxf="1" dxf="1">
    <nc r="B9" t="inlineStr">
      <is>
        <t>RBAPLCUST_RDBI_TPMS.c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1" sId="7" odxf="1" dxf="1">
    <nc r="B10" t="inlineStr">
      <is>
        <t>RBAPLCUST_RoutineControl_TPMSReset.c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2" sId="7" odxf="1" dxf="1">
    <nc r="B11" t="inlineStr">
      <is>
        <t>RB_SCL_GAC_RX.c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3" sId="7" odxf="1" dxf="1">
    <nc r="B12" t="inlineStr">
      <is>
        <t>RB_SCL_GAC_TX.c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4" sId="7" odxf="1" dxf="1">
    <nc r="B13" t="inlineStr">
      <is>
        <t>NET_SCL_Tx_AEB.c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5" sId="7" odxf="1" dxf="1">
    <nc r="B14" t="inlineStr">
      <is>
        <t>NET_SCL_Tx_APAInformSts.c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6" sId="7" odxf="1" dxf="1">
    <nc r="B15" t="inlineStr">
      <is>
        <t>RBA_NDS_Complex_Callout.c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7" sId="7" odxf="1" dxf="1">
    <nc r="B16" t="inlineStr">
      <is>
        <t>RBAPLCUST_RBDI_NVMData.c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8" sId="7" odxf="1" dxf="1">
    <nc r="B17" t="inlineStr">
      <is>
        <t>RBAPLCUST_RDBI_PBCData.c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9" sId="7" odxf="1" dxf="1">
    <nc r="B18" t="inlineStr">
      <is>
        <t>NET_ATM_Callout_GWM.c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50" sId="7" odxf="1" dxf="1">
    <nc r="B19" t="inlineStr">
      <is>
        <t>NET_ATM_Callout_GWM.c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51" sId="7" odxf="1" dxf="1">
    <nc r="B20" t="inlineStr">
      <is>
        <t>RBA_NDS_ABS_3_Callout.c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52" sId="7" odxf="1" dxf="1">
    <nc r="B21" t="inlineStr">
      <is>
        <t>RBA_NDS_APC_1_Callout.c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53" sId="7" odxf="1" dxf="1">
    <nc r="B22" t="inlineStr">
      <is>
        <t>RBA_NDS_ESP_3_Callout.c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54" sId="7" odxf="1" dxf="1">
    <nc r="B23" t="inlineStr">
      <is>
        <t>RBA_NDS_HCU_PT_10_Callout.c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55" sId="7" odxf="1" dxf="1">
    <nc r="B24" t="inlineStr">
      <is>
        <t>RBA_NDS_HCU_PT_2_Callout.c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56" sId="7" odxf="1" dxf="1">
    <nc r="B25" t="inlineStr">
      <is>
        <t>RBA_NDS_SystemInfo.c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57" sId="7" odxf="1" dxf="1">
    <nc r="B26" t="inlineStr">
      <is>
        <t>HDC_InvalidThrPos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B27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28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58" sId="7" odxf="1" dxf="1">
    <nc r="B29" t="inlineStr">
      <is>
        <t>RBAPLCUST_RDBI_AnalogData.c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59" sId="7" odxf="1" dxf="1">
    <nc r="B30" t="inlineStr">
      <is>
        <t>RBAPLCUST_RDBI_StatusInformation.c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0" sId="7" odxf="1" dxf="1">
    <nc r="B31" t="inlineStr">
      <is>
        <t>RBAPLCUST_RoutineControl_iBoosterActuatorTest.c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1" sId="7" odxf="1" dxf="1">
    <nc r="B32" t="inlineStr">
      <is>
        <t>RBAPLCUST_InputOutputControl.c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2" sId="7" odxf="1" dxf="1">
    <nc r="B33" t="inlineStr">
      <is>
        <t>RBAPLCUST_InputOutputControl_GeneralFunctions.c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3" sId="7" odxf="1" dxf="1">
    <nc r="B34" t="inlineStr">
      <is>
        <t>RBAPLCUST_RDBI_ActuationState.c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4" sId="7" odxf="1" dxf="1">
    <nc r="B35" t="inlineStr">
      <is>
        <t>RBAPLCUST_RDBI_CBDS.c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theme="2" tint="-0.499984740745262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5" sId="7" odxf="1" dxf="1">
    <nc r="B36" t="inlineStr">
      <is>
        <t>RBAPLCUST_RDBI_IOCtrlState.c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6" sId="7" odxf="1" dxf="1">
    <nc r="B37" t="inlineStr">
      <is>
        <t>RBAPLCUST_RDBI_IPBAssemblyMode.c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7" sId="7" odxf="1" dxf="1">
    <nc r="B38" t="inlineStr">
      <is>
        <t>RBAPLCUST_RDBI_PBC.c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8" sId="7" odxf="1" dxf="1">
    <nc r="B39" t="inlineStr">
      <is>
        <t>RBAPLCUST_RDBI_SystemData.c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9" sId="7" odxf="1" dxf="1">
    <nc r="B40" t="inlineStr">
      <is>
        <t>RBAPLCUST_RDBI_SystemSensor.c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0" sId="7" odxf="1" dxf="1">
    <nc r="B41" t="inlineStr">
      <is>
        <t>RBAPLCUST_RoutineControl_INSCalibration.c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1" sId="7" odxf="1" dxf="1">
    <nc r="B42" t="inlineStr">
      <is>
        <t>RBAPLCUST_RoutineControl_IPBAirMonitoring.c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2" sId="7" odxf="1" dxf="1">
    <nc r="B43" t="inlineStr">
      <is>
        <t>RBAPLCUST_RoutineControl_IPBBrakeFluidChange.c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3" sId="7" odxf="1" dxf="1">
    <nc r="B44" t="inlineStr">
      <is>
        <t>RBAPLCUST_RoutineControl_IPBComfortPulseCalibration.c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4" sId="7" odxf="1" dxf="1">
    <nc r="B45" t="inlineStr">
      <is>
        <t>RBAPLCUST_RoutineControl_IPBDynamicTest.c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5" sId="7" odxf="1" dxf="1">
    <nc r="B46" t="inlineStr">
      <is>
        <t>RBAPLCUST_RoutineControl_IPBEvacAndFill.c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6" sId="7" odxf="1" dxf="1">
    <nc r="B47" t="inlineStr">
      <is>
        <t>RBAPLCUST_RoutineControl_IPBLeakageAndAirTest.c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7" sId="7" odxf="1" dxf="1">
    <nc r="B48" t="inlineStr">
      <is>
        <t>RBAPLCUST_RoutineControl_IPBRepairBleed.c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8" sId="7" odxf="1" dxf="1">
    <nc r="B49" t="inlineStr">
      <is>
        <t>RBAPLCUST_RoutineControl_IPBRPSCalibration.c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9" sId="7" odxf="1" dxf="1">
    <nc r="B50" t="inlineStr">
      <is>
        <t>RBAPLCUST_RoutineControl_IPBTandemMasterCylinderTest.c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0" sId="7" odxf="1" dxf="1">
    <nc r="B51" t="inlineStr">
      <is>
        <t>RBAPLCUST_RoutineControl_SteeringAngleSensorCalibration.c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1" sId="7" odxf="1" dxf="1">
    <nc r="B52" t="inlineStr">
      <is>
        <t>RBAPLCUST_RoutineControl_WheelSpeedSensorTest.c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2" sId="7" odxf="1" dxf="1">
    <nc r="B53" t="inlineStr">
      <is>
        <t>RBAPLCUST_WDBI_IPBAssemblyMode.c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3" sId="7" odxf="1" dxf="1">
    <nc r="B54" t="inlineStr">
      <is>
        <t>RBAPLCUST_RBDI_NVMData_Common.c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4" sId="7" odxf="1" dxf="1">
    <nc r="B55" t="inlineStr">
      <is>
        <t>RBAPLCUST_EcuReset.c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5" sId="7" odxf="1" dxf="1">
    <nc r="B56" t="inlineStr">
      <is>
        <t>RBAPLCUST_GeneralFunctions.c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6" sId="7" odxf="1" dxf="1">
    <nc r="B57" t="inlineStr">
      <is>
        <t>RBAPLCUST_NVMGeneric.c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7" sId="7" odxf="1" dxf="1">
    <nc r="B58" t="inlineStr">
      <is>
        <t>RBAPLCUST_RDBI_VehicleSpeed.c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8" sId="7" odxf="1" dxf="1">
    <nc r="B59" t="inlineStr">
      <is>
        <t>RBAPLCUST_EOLDelayCtrlOrAPBMi.c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9" sId="7" odxf="1" dxf="1">
    <nc r="B60" t="inlineStr">
      <is>
        <t>RBAPLCUST_RDBI_WheelSpeed.c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0" sId="7" odxf="1" dxf="1">
    <nc r="B61" t="inlineStr">
      <is>
        <t>RBAPLCUST_RoutineControl_EOLTable.c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1" sId="7" odxf="1" dxf="1">
    <nc r="B62" t="inlineStr">
      <is>
        <t>RBAPLCUST_RoutineControl_SpeedLimit.c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2" sId="7" odxf="1" dxf="1">
    <nc r="B63" t="inlineStr">
      <is>
        <t>RBAPLCUST_RoutineControl_VRShutdown.c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3" sId="7" odxf="1" dxf="1">
    <nc r="B64" t="inlineStr">
      <is>
        <t>RBAPLCUST_WDBI_NVMData_ESP.c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theme="1" tint="0.249977111117893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4" sId="7" odxf="1" dxf="1">
    <nc r="B65" t="inlineStr">
      <is>
        <t>RBAPLCUST_RBDI_NVMData_ESP.c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5" sId="7" odxf="1" dxf="1">
    <nc r="B66" t="inlineStr">
      <is>
        <t>RBAPLCUST_RDBI_WheelSpeed.c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6" sId="7" odxf="1" dxf="1">
    <nc r="B67" t="inlineStr">
      <is>
        <t>RBAPLCUST_RoutineControl_SpeedLimit.c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7" sId="7" odxf="1" dxf="1">
    <nc r="B68" t="inlineStr">
      <is>
        <t>RBAPLCUST_WDBI_NVMData_ESP.c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8" sId="7" odxf="1" dxf="1">
    <nc r="B69" t="inlineStr">
      <is>
        <t>PbcVariantItem_PersistentData.c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9" sId="7" odxf="1" dxf="1">
    <nc r="B70" t="inlineStr">
      <is>
        <t>NET_CheckSumLib_CNMS.c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0" sId="7" odxf="1" dxf="1">
    <nc r="B71" t="inlineStr">
      <is>
        <t>NET_SCL_Tx_SGMW_AyCompensationExport.c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1" sId="7" odxf="1" dxf="1">
    <nc r="B72" t="inlineStr">
      <is>
        <t>NET_SCL_Tx_SGMW_TPMF.c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2" sId="7" odxf="1" dxf="1">
    <nc r="B73" t="inlineStr">
      <is>
        <t>SGMW_RBA_NDS_Belt_Door_Callout.c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3" sId="7" odxf="1" dxf="1">
    <nc r="B74" t="inlineStr">
      <is>
        <t>SGMW_RBA_NDS_HBCRequest_Callout.c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4" sId="7" odxf="1" dxf="1">
    <nc r="B75" t="inlineStr">
      <is>
        <t>SGMW_RBA_NDS_SystemInfo_Callout.c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5" sId="7" odxf="1" dxf="1">
    <nc r="B76" t="inlineStr">
      <is>
        <t>TPMS_Handler_COMMON_CN.c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6" sId="7" odxf="1" dxf="1">
    <nc r="B77" t="inlineStr">
      <is>
        <t>TPMS_NvM_COMMON_CN.c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7" sId="7" odxf="1" dxf="1">
    <nc r="B78" t="inlineStr">
      <is>
        <t>TPMS_PSW_Interface_COMMON_CN.c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8" sId="7" odxf="1" dxf="1">
    <nc r="B79" t="inlineStr">
      <is>
        <t>Dem_PrjSpecificIndiHandling.c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9" sId="7" odxf="1" dxf="1">
    <nc r="B80" t="inlineStr">
      <is>
        <t>ApbHostData_Project.c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0" sId="7" odxf="1" dxf="1">
    <nc r="B81" t="inlineStr">
      <is>
        <t>NET_AliveCounterLib_CNMS.c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1" sId="7" odxf="1" dxf="1">
    <nc r="B82" t="inlineStr">
      <is>
        <t>NET_CheckSumLib_CNMS.c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2" sId="7" odxf="1" dxf="1">
    <nc r="B83" t="inlineStr">
      <is>
        <t>NET_ChecksumLib_CNMS_Crc1850.c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3" sId="7" odxf="1" dxf="1">
    <nc r="B84" t="inlineStr">
      <is>
        <t>NET_MonitoringClasses_F30.c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4" sId="7" odxf="1" dxf="1">
    <nc r="B85" t="inlineStr">
      <is>
        <t>Obd_CalId.c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5" sId="7" odxf="1" dxf="1">
    <nc r="B86" t="inlineStr">
      <is>
        <t>EcuM_stub.c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6" sId="7" odxf="1" dxf="1">
    <nc r="B87" t="inlineStr">
      <is>
        <t>RBPduHandler_Callouts.c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7" sId="7" odxf="1" dxf="1">
    <nc r="B88" t="inlineStr">
      <is>
        <t>TestEnvironment_Fee_EV711101.c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8" sId="7" odxf="1" dxf="1">
    <nc r="B89" t="inlineStr">
      <is>
        <t>CNMS_Var_DcmRead.c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9" sId="7" odxf="1" dxf="1">
    <nc r="B90" t="inlineStr">
      <is>
        <t>CNMS_Var_Global.c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0" sId="7" odxf="1" dxf="1">
    <nc r="B91" t="inlineStr">
      <is>
        <t>ComScl_Scl_Complex_proc.c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1" sId="7" odxf="1" dxf="1">
    <nc r="B92" t="inlineStr">
      <is>
        <t>NET_Monitoring.c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2" sId="7" odxf="1" dxf="1">
    <nc r="B93" t="inlineStr">
      <is>
        <t>RBAPLEOL_ValvesToggling.c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3" sId="7" odxf="1" dxf="1">
    <nc r="B94" t="inlineStr">
      <is>
        <t>RBAPLCUST_RDBI_IOCtrlState.c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4" sId="7" odxf="1" dxf="1">
    <nc r="B95" t="inlineStr">
      <is>
        <t>RBAPLCUST_RDBI_SnapshotRead.c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5" sId="7" odxf="1" dxf="1">
    <nc r="B96" t="inlineStr">
      <is>
        <t>DNCIF_DTCOnCan.c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6" sId="7" odxf="1" dxf="1">
    <nc r="B97" t="inlineStr">
      <is>
        <t>RBAPLCUST_DTCOnCan.c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7" sId="7" odxf="1" dxf="1">
    <nc r="B98" t="inlineStr">
      <is>
        <t>RBVAR_SystemStateManagement_COMMON.c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8" sId="7" odxf="1" dxf="1">
    <nc r="B99" t="inlineStr">
      <is>
        <t>ComScl_Scl_ComplexProc_BB80507.c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9" sId="7" odxf="1" dxf="1">
    <nc r="B100" t="inlineStr">
      <is>
        <t>NET_SCL_Tx_SystemInfo.c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0" sId="7" odxf="1" dxf="1">
    <nc r="B101" t="inlineStr">
      <is>
        <t>RBAPLCUST_ReadDTC.c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1" sId="7" odxf="1" dxf="1">
    <nc r="B102" t="inlineStr">
      <is>
        <t>RBHMI_ConfigOutputDriver_PRJ.c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2" sId="7" odxf="1" dxf="1">
    <nc r="B103" t="inlineStr">
      <is>
        <t>RBAPLCUST_DiagnosticSessionControl.c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3" sId="7" odxf="1" dxf="1">
    <nc r="B104" t="inlineStr">
      <is>
        <t>RBVAR_SystemStateManagement_PROJECT.c</t>
      </is>
    </nc>
    <odxf>
      <alignment horizontal="general" vertical="bottom" readingOrder="0"/>
      <border outline="0">
        <left/>
        <right/>
        <top/>
        <bottom/>
      </border>
    </odxf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7" sqref="B105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06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07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08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09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0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1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2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3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4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5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6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7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8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19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0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1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2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3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4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5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6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7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8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29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0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1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2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3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4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5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6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7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8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39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0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1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2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3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4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45" start="0" length="0">
    <dxf/>
  </rfmt>
  <rcc rId="1734" sId="7" odxf="1" dxf="1">
    <nc r="B147" t="inlineStr">
      <is>
        <t>Status (%)</t>
      </is>
    </nc>
    <odxf>
      <font>
        <b val="0"/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b/>
        <sz val="11"/>
        <color theme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5" sId="7" odxf="1" dxf="1">
    <nc r="B148">
      <f>IF(ISERROR(#REF!/#REF!),"N/A",#REF!/#REF!)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6" sId="7" odxf="1" dxf="1">
    <nc r="B149">
      <f>IF(ISERROR(#REF!/#REF!),"N/A",#REF!/#REF!)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7" sId="7" odxf="1" dxf="1">
    <nc r="B150">
      <f>IF(ISERROR(#REF!/#REF!),"N/A",#REF!/#REF!)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8" sId="7" odxf="1" dxf="1">
    <nc r="B151">
      <f>IF(ISERROR(#REF!/#REF!),"N/A",#REF!/#REF!)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9" sId="7" odxf="1" dxf="1">
    <nc r="B152">
      <f>IF(ISERROR(#REF!/#REF!),"N/A",#REF!/#REF!)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0" sId="7" odxf="1" dxf="1">
    <nc r="B153">
      <f>IF(ISERROR(#REF!/#REF!),"N/A",#REF!/#REF!)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1" sId="7" odxf="1" dxf="1">
    <nc r="B154">
      <f>IF(ISERROR(#REF!/#REF!),"N/A",#REF!/#REF!)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2" sId="7" odxf="1" dxf="1">
    <nc r="B155">
      <f>IF(ISERROR(#REF!/#REF!),"N/A",#REF!/#REF!)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3" sId="7" odxf="1" dxf="1">
    <nc r="B159" t="inlineStr">
      <is>
        <t>Status (%)</t>
      </is>
    </nc>
    <odxf>
      <font>
        <b val="0"/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b/>
        <sz val="11"/>
        <color theme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4" sId="7" odxf="1" dxf="1">
    <nc r="B160">
      <f>IF(ISERROR(#REF!/#REF!),"N/A",#REF!/#REF!)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5" sId="7" odxf="1" dxf="1">
    <nc r="B161">
      <f>IF(ISERROR(#REF!/#REF!),"N/A",#REF!/#REF!)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6" sId="7" odxf="1" dxf="1">
    <nc r="B162">
      <f>IF(ISERROR(#REF!/#REF!),"N/A",#REF!/#REF!)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7" sId="7" odxf="1" dxf="1">
    <nc r="B163">
      <f>IF(ISERROR(#REF!/#REF!),"N/A",#REF!/#REF!)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8" sId="7" odxf="1" dxf="1">
    <nc r="B164">
      <f>IF(ISERROR(#REF!/#REF!),"N/A",#REF!/#REF!)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9" sId="7" odxf="1" dxf="1">
    <nc r="B165">
      <f>IF(ISERROR(#REF!/#REF!),"N/A",#REF!/#REF!)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50" sId="7" odxf="1" dxf="1">
    <nc r="B166">
      <f>IF(ISERROR(#REF!/#REF!),"N/A",#REF!/#REF!)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51" sId="7" odxf="1" dxf="1">
    <nc r="B167">
      <f>IF(ISERROR(#REF!/#REF!),"N/A",#REF!/#REF!)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250915DF-0B97-45D7-B29D-7EED4C89C1C1}" action="delete"/>
  <rdn rId="0" localSheetId="1" customView="1" name="Z_250915DF_0B97_45D7_B29D_7EED4C89C1C1_.wvu.FilterData" hidden="1" oldHidden="1">
    <formula>COEM_Package_20200302!$B$2:$AH$144</formula>
    <oldFormula>COEM_Package_20200302!$Q$2:$Q$167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4" sId="1">
    <nc r="W65">
      <v>0.2</v>
    </nc>
  </rcc>
  <rcc rId="1755" sId="1">
    <oc r="X65" t="inlineStr">
      <is>
        <t>N/A</t>
      </is>
    </oc>
    <nc r="X65" t="inlineStr">
      <is>
        <t>Ready for review</t>
      </is>
    </nc>
  </rcc>
  <rcc rId="1756" sId="1" numFmtId="19">
    <nc r="AA65">
      <v>43900</v>
    </nc>
  </rcc>
  <rcc rId="1757" sId="1" numFmtId="19">
    <nc r="AB65">
      <v>43900</v>
    </nc>
  </rcc>
  <rcc rId="1758" sId="1">
    <nc r="AC65" t="inlineStr">
      <is>
        <t>OK</t>
      </is>
    </nc>
  </rcc>
  <rcc rId="1759" sId="1">
    <nc r="AD65">
      <v>100</v>
    </nc>
  </rcc>
  <rcc rId="1760" sId="1">
    <nc r="AE65">
      <v>100</v>
    </nc>
  </rcc>
  <rcc rId="1761" sId="1">
    <nc r="AF65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COEM_Package_20200302!$Q$2:$Q$167</formula>
    <oldFormula>COEM_Package_20200302!$Q$2:$Q$167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5" sId="1">
    <nc r="AD42">
      <v>98</v>
    </nc>
  </rcc>
  <rcc rId="1766" sId="1">
    <nc r="AE42">
      <v>96</v>
    </nc>
  </rcc>
  <rcc rId="1767" sId="1">
    <nc r="AF42">
      <v>100</v>
    </nc>
  </rcc>
  <rcc rId="1768" sId="1">
    <nc r="AG42" t="inlineStr">
      <is>
        <t>Cant cover 100%. Owner said that's fine.</t>
      </is>
    </nc>
  </rcc>
  <rcc rId="1769" sId="1">
    <nc r="AC42" t="inlineStr">
      <is>
        <t>NG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COEM_Package_20200302!$B$2:$AH$144</formula>
    <oldFormula>COEM_Package_20200302!$B$2:$AH$144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3" sId="1" numFmtId="19">
    <nc r="AA42">
      <v>43900</v>
    </nc>
  </rcc>
  <rcc rId="1774" sId="1" numFmtId="19">
    <nc r="AB42">
      <v>43900</v>
    </nc>
  </rcc>
  <rcc rId="1775" sId="1">
    <oc r="X42" t="inlineStr">
      <is>
        <t>Ongoing</t>
      </is>
    </oc>
    <nc r="X42" t="inlineStr">
      <is>
        <t>Ready for review</t>
      </is>
    </nc>
  </rcc>
  <rcc rId="1776" sId="1" odxf="1" dxf="1">
    <nc r="U42">
      <v>154</v>
    </nc>
    <odxf>
      <alignment horizontal="left" vertical="top" readingOrder="0"/>
    </odxf>
    <ndxf>
      <alignment horizontal="general" vertical="bottom" readingOrder="0"/>
    </ndxf>
  </rcc>
  <rcc rId="1777" sId="1">
    <nc r="W42">
      <v>2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COEM_Package_20200302!$B$2:$AH$144</formula>
    <oldFormula>COEM_Package_20200302!$B$2:$AH$144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1" sId="1">
    <oc r="X49" t="inlineStr">
      <is>
        <t>N/A</t>
      </is>
    </oc>
    <nc r="X49" t="inlineStr">
      <is>
        <t>Ready for review</t>
      </is>
    </nc>
  </rcc>
  <rcc rId="1782" sId="1" numFmtId="19">
    <nc r="AA49">
      <v>43900</v>
    </nc>
  </rcc>
  <rcc rId="1783" sId="1" numFmtId="19">
    <nc r="AB49">
      <v>43900</v>
    </nc>
  </rcc>
  <rcc rId="1784" sId="1">
    <nc r="AF49">
      <v>100</v>
    </nc>
  </rcc>
  <rcc rId="1785" sId="1">
    <nc r="AC49" t="inlineStr">
      <is>
        <t>NG</t>
      </is>
    </nc>
  </rcc>
  <rcc rId="1786" sId="1">
    <nc r="AD49">
      <v>98</v>
    </nc>
  </rcc>
  <rcc rId="1787" sId="1">
    <nc r="AE49">
      <v>95</v>
    </nc>
  </rcc>
  <rcc rId="1788" sId="1" xfDxf="1" dxf="1">
    <nc r="AG49" t="inlineStr">
      <is>
        <t>Bug (Condition is always TRUE)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9" sId="1">
    <nc r="W49">
      <v>1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3" sId="1">
    <nc r="U65">
      <v>29</v>
    </nc>
  </rcc>
  <rcc rId="1794" sId="1">
    <nc r="U37">
      <v>17</v>
    </nc>
  </rcc>
  <rcc rId="1795" sId="1">
    <nc r="U38">
      <v>18</v>
    </nc>
  </rcc>
  <rcc rId="1796" sId="1">
    <nc r="U66">
      <v>110</v>
    </nc>
  </rcc>
  <rcc rId="1797" sId="1">
    <nc r="W66">
      <v>1</v>
    </nc>
  </rcc>
  <rcc rId="1798" sId="1">
    <oc r="X66" t="inlineStr">
      <is>
        <t>N/A</t>
      </is>
    </oc>
    <nc r="X66" t="inlineStr">
      <is>
        <t>Ready for review</t>
      </is>
    </nc>
  </rcc>
  <rcc rId="1799" sId="1" numFmtId="19">
    <nc r="AA66">
      <v>43900</v>
    </nc>
  </rcc>
  <rcc rId="1800" sId="1" numFmtId="19">
    <nc r="AB66">
      <v>43900</v>
    </nc>
  </rcc>
  <rcc rId="1801" sId="1">
    <nc r="AC66" t="inlineStr">
      <is>
        <t>OK</t>
      </is>
    </nc>
  </rcc>
  <rcc rId="1802" sId="1">
    <nc r="AD66">
      <v>100</v>
    </nc>
  </rcc>
  <rcc rId="1803" sId="1">
    <nc r="AE66">
      <v>100</v>
    </nc>
  </rcc>
  <rcc rId="1804" sId="1">
    <nc r="AF66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COEM_Package_20200302!$Q$2:$Q$167</formula>
    <oldFormula>COEM_Package_20200302!$Q$2:$Q$167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8" sId="1">
    <oc r="W65">
      <v>0.2</v>
    </oc>
    <nc r="W65">
      <v>0.5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COEM_Package_20200302!$Q$2:$Q$167</formula>
    <oldFormula>COEM_Package_20200302!$Q$2:$Q$167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2" sId="1">
    <oc r="X68" t="inlineStr">
      <is>
        <t>Ongoing</t>
      </is>
    </oc>
    <nc r="X68" t="inlineStr">
      <is>
        <t>Ready for review</t>
      </is>
    </nc>
  </rcc>
  <rcc rId="1813" sId="1">
    <nc r="U68">
      <v>44</v>
    </nc>
  </rcc>
  <rcc rId="1814" sId="1">
    <nc r="W68">
      <v>0.5</v>
    </nc>
  </rcc>
  <rcc rId="1815" sId="1">
    <oc r="W66">
      <v>1</v>
    </oc>
    <nc r="W66"/>
  </rcc>
  <rcc rId="1816" sId="1">
    <oc r="U66">
      <v>110</v>
    </oc>
    <nc r="U66"/>
  </rcc>
  <rcc rId="1817" sId="1">
    <oc r="X66" t="inlineStr">
      <is>
        <t>Ready for review</t>
      </is>
    </oc>
    <nc r="X66" t="inlineStr">
      <is>
        <t>Ongoing</t>
      </is>
    </nc>
  </rcc>
  <rcc rId="1818" sId="1" numFmtId="19">
    <nc r="AA68">
      <v>43900</v>
    </nc>
  </rcc>
  <rcc rId="1819" sId="1" numFmtId="19">
    <nc r="AB68">
      <v>43900</v>
    </nc>
  </rcc>
  <rcc rId="1820" sId="1" numFmtId="19">
    <oc r="AB66">
      <v>43900</v>
    </oc>
    <nc r="AB66"/>
  </rcc>
  <rcc rId="1821" sId="1">
    <oc r="AC66" t="inlineStr">
      <is>
        <t>OK</t>
      </is>
    </oc>
    <nc r="AC66"/>
  </rcc>
  <rcc rId="1822" sId="1">
    <oc r="AF66">
      <v>100</v>
    </oc>
    <nc r="AF66"/>
  </rcc>
  <rcc rId="1823" sId="1">
    <oc r="AE66">
      <v>100</v>
    </oc>
    <nc r="AE66"/>
  </rcc>
  <rcc rId="1824" sId="1">
    <oc r="AD66">
      <v>100</v>
    </oc>
    <nc r="AD66"/>
  </rcc>
  <rcc rId="1825" sId="1">
    <nc r="AC68" t="inlineStr">
      <is>
        <t>OK</t>
      </is>
    </nc>
  </rcc>
  <rcc rId="1826" sId="1">
    <nc r="AD68">
      <v>100</v>
    </nc>
  </rcc>
  <rcc rId="1827" sId="1">
    <nc r="AE68">
      <v>100</v>
    </nc>
  </rcc>
  <rcc rId="1828" sId="1">
    <nc r="AF68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COEM_Package_20200302!$Q$2:$Q$167</formula>
    <oldFormula>COEM_Package_20200302!$Q$2:$Q$167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2" sId="1">
    <oc r="W68">
      <v>0.5</v>
    </oc>
    <nc r="W68">
      <v>0.7</v>
    </nc>
  </rc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3" sId="1">
    <oc r="W37">
      <v>0.3</v>
    </oc>
    <nc r="W37">
      <v>0.5</v>
    </nc>
  </rcc>
  <rcc rId="1834" sId="1">
    <oc r="W38">
      <v>0.3</v>
    </oc>
    <nc r="W38">
      <v>0.5</v>
    </nc>
  </rcc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5" sId="1">
    <nc r="P62" t="inlineStr">
      <is>
        <t>thanh.nguyen-kim</t>
      </is>
    </nc>
  </rcc>
  <rcc rId="1836" sId="1">
    <nc r="P63" t="inlineStr">
      <is>
        <t>thanh.nguyen-kim</t>
      </is>
    </nc>
  </rcc>
  <rcc rId="1837" sId="1">
    <nc r="P58" t="inlineStr">
      <is>
        <t>thanh.nguyen-kim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COEM_Package_20200302!$Q$2:$Q$167</formula>
    <oldFormula>COEM_Package_20200302!$Q$2:$Q$167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4" sId="1">
    <nc r="AG43" t="inlineStr">
      <is>
        <t>Cant cover 100% when (RBFS_RBAPLEOLValvesToggling==RBFS_RBAPLEOLValvesToggling_OFF). Owner said that's fine.</t>
      </is>
    </nc>
  </rcc>
  <rcc rId="1845" sId="1">
    <nc r="AC43" t="inlineStr">
      <is>
        <t>OK</t>
      </is>
    </nc>
  </rcc>
  <rcc rId="1846" sId="1" odxf="1" dxf="1">
    <nc r="AD43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847" sId="1" odxf="1" dxf="1">
    <nc r="AE43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848" sId="1" odxf="1" dxf="1">
    <nc r="AF43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849" sId="1" numFmtId="19">
    <nc r="AA43">
      <v>43900</v>
    </nc>
  </rcc>
  <rcc rId="1850" sId="1" numFmtId="19">
    <nc r="AB43">
      <v>43900</v>
    </nc>
  </rcc>
  <rcc rId="1851" sId="1">
    <oc r="X43" t="inlineStr">
      <is>
        <t>N/A</t>
      </is>
    </oc>
    <nc r="X43" t="inlineStr">
      <is>
        <t>Ready for review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COEM_Package_20200302!$B$2:$AH$144</formula>
    <oldFormula>COEM_Package_20200302!$B$2:$AH$144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5" sId="1">
    <nc r="W43">
      <v>2</v>
    </nc>
  </rcc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9" sId="1">
    <nc r="P74" t="inlineStr">
      <is>
        <t>chung.ly</t>
      </is>
    </nc>
  </rcc>
  <rcc rId="1860" sId="1">
    <nc r="P75" t="inlineStr">
      <is>
        <t>chung.ly</t>
      </is>
    </nc>
  </rcc>
  <rcc rId="1861" sId="1" numFmtId="19">
    <nc r="AA53">
      <v>43900</v>
    </nc>
  </rcc>
  <rcc rId="1862" sId="1" numFmtId="19">
    <nc r="AB53">
      <v>43900</v>
    </nc>
  </rcc>
  <rcc rId="1863" sId="1">
    <nc r="AC53" t="inlineStr">
      <is>
        <t>OK</t>
      </is>
    </nc>
  </rcc>
  <rcc rId="1864" sId="1">
    <nc r="AD53">
      <v>100</v>
    </nc>
  </rcc>
  <rcc rId="1865" sId="1">
    <nc r="AE53">
      <v>100</v>
    </nc>
  </rcc>
  <rcc rId="1866" sId="1">
    <nc r="AF53">
      <v>100</v>
    </nc>
  </rcc>
  <rcc rId="1867" sId="1" xfDxf="1" dxf="1">
    <oc r="X53" t="inlineStr">
      <is>
        <t>N/A</t>
      </is>
    </oc>
    <nc r="X53" t="inlineStr">
      <is>
        <t>Ready for review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68" sId="1">
    <nc r="W53">
      <v>0.2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5" sId="1">
    <nc r="W66">
      <v>1.5</v>
    </nc>
  </rcc>
  <rcc rId="1876" sId="1">
    <oc r="X66" t="inlineStr">
      <is>
        <t>Ongoing</t>
      </is>
    </oc>
    <nc r="X66" t="inlineStr">
      <is>
        <t>Ready for review</t>
      </is>
    </nc>
  </rcc>
  <rcc rId="1877" sId="1" numFmtId="19">
    <nc r="AB66">
      <v>43900</v>
    </nc>
  </rcc>
  <rcc rId="1878" sId="1">
    <nc r="AC66" t="inlineStr">
      <is>
        <t>OK</t>
      </is>
    </nc>
  </rcc>
  <rcc rId="1879" sId="1">
    <nc r="AD66">
      <v>100</v>
    </nc>
  </rcc>
  <rcc rId="1880" sId="1">
    <nc r="AE66">
      <v>100</v>
    </nc>
  </rcc>
  <rcc rId="1881" sId="1">
    <nc r="AF66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COEM_Package_20200302!$Q$2:$Q$167</formula>
    <oldFormula>COEM_Package_20200302!$Q$2:$Q$167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5" sId="1">
    <nc r="U66">
      <v>110</v>
    </nc>
  </rcc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6" sId="1" numFmtId="19">
    <nc r="AA44">
      <v>43900</v>
    </nc>
  </rcc>
  <rcc rId="1887" sId="1" numFmtId="19">
    <nc r="AB44">
      <v>43900</v>
    </nc>
  </rcc>
  <rcc rId="1888" sId="1">
    <oc r="X44" t="inlineStr">
      <is>
        <t>N/A</t>
      </is>
    </oc>
    <nc r="X44" t="inlineStr">
      <is>
        <t>Ready for review</t>
      </is>
    </nc>
  </rcc>
  <rcc rId="1889" sId="1">
    <nc r="W44">
      <v>1</v>
    </nc>
  </rcc>
  <rcc rId="1890" sId="1">
    <nc r="AC44" t="inlineStr">
      <is>
        <t>OK</t>
      </is>
    </nc>
  </rcc>
  <rcc rId="1891" sId="1" odxf="1" dxf="1">
    <nc r="AD44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892" sId="1" odxf="1" dxf="1">
    <nc r="AE44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893" sId="1" odxf="1" dxf="1">
    <nc r="AF44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894" sId="1">
    <nc r="AG44" t="inlineStr">
      <is>
        <t>Cant cover 100% when (RBFS_RBAPLEOLComfortPulseCalib == RBFS_RBAPLEOLComfortPulseCalib_OFF). Owner said that's fine.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COEM_Package_20200302!$B$2:$AH$144</formula>
    <oldFormula>COEM_Package_20200302!$B$2:$AH$144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8" sId="1">
    <nc r="U43">
      <v>167</v>
    </nc>
  </rcc>
  <rcc rId="1899" sId="1">
    <nc r="U44">
      <v>147</v>
    </nc>
  </rcc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0" sId="1">
    <nc r="W67">
      <v>0.5</v>
    </nc>
  </rcc>
  <rcc rId="1901" sId="1">
    <oc r="X67" t="inlineStr">
      <is>
        <t>N/A</t>
      </is>
    </oc>
    <nc r="X67" t="inlineStr">
      <is>
        <t>Ready for review</t>
      </is>
    </nc>
  </rcc>
  <rcc rId="1902" sId="1" numFmtId="19">
    <nc r="AA67">
      <v>43900</v>
    </nc>
  </rcc>
  <rcc rId="1903" sId="1" numFmtId="19">
    <nc r="AB67">
      <v>43900</v>
    </nc>
  </rcc>
  <rcc rId="1904" sId="1">
    <nc r="AC67" t="inlineStr">
      <is>
        <t>OK</t>
      </is>
    </nc>
  </rcc>
  <rcc rId="1905" sId="1">
    <nc r="AD67">
      <v>100</v>
    </nc>
  </rcc>
  <rcc rId="1906" sId="1">
    <nc r="AE67">
      <v>100</v>
    </nc>
  </rcc>
  <rcc rId="1907" sId="1">
    <nc r="AF67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COEM_Package_20200302!$Q$2:$Q$167</formula>
    <oldFormula>COEM_Package_20200302!$Q$2:$Q$167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1" sId="1">
    <nc r="U67">
      <v>42</v>
    </nc>
  </rcc>
</revisions>
</file>

<file path=xl/revisions/revisionLog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2" sId="1">
    <nc r="P69" t="inlineStr">
      <is>
        <t>thanh.nguyen-kim</t>
      </is>
    </nc>
  </rcc>
  <rcc rId="1913" sId="1">
    <nc r="P70" t="inlineStr">
      <is>
        <t>thanh.nguyen-kim</t>
      </is>
    </nc>
  </rcc>
  <rcc rId="1914" sId="1">
    <nc r="P71" t="inlineStr">
      <is>
        <t>thanh.nguyen-kim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COEM_Package_20200302!$Q$2:$Q$167</formula>
    <oldFormula>COEM_Package_20200302!$Q$2:$Q$167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8" sId="1" odxf="1" dxf="1" numFmtId="19">
    <nc r="AA74">
      <v>43899</v>
    </nc>
    <ndxf>
      <numFmt numFmtId="164" formatCode="[$-409]d\-mmm\-yyyy;@"/>
    </ndxf>
  </rcc>
  <rcc rId="1919" sId="1" odxf="1" dxf="1" numFmtId="19">
    <nc r="AB74">
      <v>43899</v>
    </nc>
    <ndxf>
      <numFmt numFmtId="164" formatCode="[$-409]d\-mmm\-yyyy;@"/>
    </ndxf>
  </rcc>
  <rcc rId="1920" sId="1" odxf="1" dxf="1">
    <nc r="AC74" t="inlineStr">
      <is>
        <t>OK</t>
      </is>
    </nc>
    <ndxf>
      <numFmt numFmtId="164" formatCode="[$-409]d\-mmm\-yyyy;@"/>
    </ndxf>
  </rcc>
  <rcc rId="1921" sId="1">
    <nc r="AD74">
      <v>100</v>
    </nc>
  </rcc>
  <rcc rId="1922" sId="1">
    <nc r="AE74">
      <v>100</v>
    </nc>
  </rcc>
  <rcc rId="1923" sId="1">
    <nc r="AF74">
      <v>100</v>
    </nc>
  </rcc>
  <rcc rId="1924" sId="1">
    <oc r="X74" t="inlineStr">
      <is>
        <t>N/A</t>
      </is>
    </oc>
    <nc r="X74" t="inlineStr">
      <is>
        <t>Ready for review</t>
      </is>
    </nc>
  </rcc>
  <rcc rId="1925" sId="1">
    <nc r="W74">
      <v>1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xfDxf="1" sqref="V74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9" sId="1">
    <nc r="T74">
      <v>357</v>
    </nc>
  </rcc>
  <rcc rId="1930" sId="1">
    <nc r="T75">
      <v>431</v>
    </nc>
  </rcc>
  <rcc rId="1931" sId="1">
    <nc r="V69">
      <f>ROUNDDOWN(T69/HLOOKUP(D69,Table!$C$3:$D$4,2,0)*8,2)</f>
    </nc>
  </rcc>
  <rcc rId="1932" sId="1">
    <nc r="V70">
      <f>ROUNDDOWN(T70/HLOOKUP(D70,Table!$C$3:$D$4,2,0)*8,2)</f>
    </nc>
  </rcc>
  <rcc rId="1933" sId="1">
    <nc r="V71">
      <f>ROUNDDOWN(T71/HLOOKUP(D71,Table!$C$3:$D$4,2,0)*8,2)</f>
    </nc>
  </rcc>
  <rcc rId="1934" sId="1">
    <nc r="V72">
      <f>ROUNDDOWN(T72/HLOOKUP(D72,Table!$C$3:$D$4,2,0)*8,2)</f>
    </nc>
  </rcc>
  <rcc rId="1935" sId="1">
    <nc r="V73">
      <f>ROUNDDOWN(T73/HLOOKUP(D73,Table!$C$3:$D$4,2,0)*8,2)</f>
    </nc>
  </rcc>
  <rcc rId="1936" sId="1">
    <nc r="V74">
      <f>ROUNDDOWN(T74/HLOOKUP(D74,Table!$C$3:$D$4,2,0)*8,2)</f>
    </nc>
  </rcc>
  <rcc rId="1937" sId="1">
    <nc r="V75">
      <f>ROUNDDOWN(T75/HLOOKUP(D75,Table!$C$3:$D$4,2,0)*8,2)</f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1" sId="1">
    <oc r="X45" t="inlineStr">
      <is>
        <t>N/A</t>
      </is>
    </oc>
    <nc r="X45" t="inlineStr">
      <is>
        <t>Ready for review</t>
      </is>
    </nc>
  </rcc>
  <rcc rId="1942" sId="1" numFmtId="19">
    <nc r="AA45">
      <v>43900</v>
    </nc>
  </rcc>
  <rcc rId="1943" sId="1" numFmtId="19">
    <nc r="AB45">
      <v>43900</v>
    </nc>
  </rcc>
  <rcc rId="1944" sId="1">
    <nc r="AC45" t="inlineStr">
      <is>
        <t>OK</t>
      </is>
    </nc>
  </rcc>
  <rcc rId="1945" sId="1" odxf="1" dxf="1">
    <nc r="AD45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946" sId="1" odxf="1" dxf="1">
    <nc r="AE45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947" sId="1" odxf="1" dxf="1">
    <nc r="AF45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948" sId="1">
    <nc r="AG45" t="inlineStr">
      <is>
        <t>Cant cover 100% when (RBFS_RBAPLEOLDynamicTest == RBFS_RBAPLEOLDynamicTest_OFF). Owner said that's fine.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COEM_Package_20200302!$B$2:$AH$144</formula>
    <oldFormula>COEM_Package_20200302!$B$2:$AH$144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2" sId="1">
    <nc r="W45">
      <v>3</v>
    </nc>
  </rcc>
  <rcc rId="1953" sId="1">
    <nc r="U45">
      <v>254</v>
    </nc>
  </rcc>
</revisions>
</file>

<file path=xl/revisions/revisionLog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4" sId="1">
    <nc r="T69">
      <v>117</v>
    </nc>
  </rcc>
  <rcc rId="1955" sId="1">
    <nc r="U69">
      <v>117</v>
    </nc>
  </rcc>
  <rcc rId="1956" sId="1">
    <nc r="W69">
      <v>2</v>
    </nc>
  </rcc>
  <rcc rId="1957" sId="1">
    <oc r="X69" t="inlineStr">
      <is>
        <t>N/A</t>
      </is>
    </oc>
    <nc r="X69" t="inlineStr">
      <is>
        <t>Ready for review</t>
      </is>
    </nc>
  </rcc>
  <rcc rId="1958" sId="1" odxf="1" dxf="1" numFmtId="19">
    <nc r="AA69">
      <v>43900</v>
    </nc>
    <odxf>
      <numFmt numFmtId="19" formatCode="m/d/yyyy"/>
    </odxf>
    <ndxf>
      <numFmt numFmtId="164" formatCode="[$-409]d\-mmm\-yyyy;@"/>
    </ndxf>
  </rcc>
  <rcc rId="1959" sId="1" odxf="1" dxf="1" numFmtId="19">
    <nc r="AB69">
      <v>43900</v>
    </nc>
    <odxf>
      <numFmt numFmtId="19" formatCode="m/d/yyyy"/>
    </odxf>
    <ndxf>
      <numFmt numFmtId="164" formatCode="[$-409]d\-mmm\-yyyy;@"/>
    </ndxf>
  </rcc>
  <rcc rId="1960" sId="1">
    <nc r="AC69" t="inlineStr">
      <is>
        <t>OK</t>
      </is>
    </nc>
  </rcc>
  <rcc rId="1961" sId="1">
    <nc r="AD69">
      <v>100</v>
    </nc>
  </rcc>
  <rcc rId="1962" sId="1">
    <nc r="AE69">
      <v>100</v>
    </nc>
  </rcc>
  <rcc rId="1963" sId="1">
    <nc r="AF69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COEM_Package_20200302!$Q$2:$Q$167</formula>
    <oldFormula>COEM_Package_20200302!$Q$2:$Q$167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7" sId="1">
    <oc r="W69">
      <v>2</v>
    </oc>
    <nc r="W69">
      <v>3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COEM_Package_20200302!$Q$2:$Q$167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1" sId="1">
    <oc r="P70" t="inlineStr">
      <is>
        <t>thanh.nguyen-kim</t>
      </is>
    </oc>
    <nc r="P70"/>
  </rcc>
  <rcc rId="1972" sId="1">
    <oc r="P71" t="inlineStr">
      <is>
        <t>thanh.nguyen-kim</t>
      </is>
    </oc>
    <nc r="P71"/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6" sId="1" xfDxf="1" dxf="1">
    <oc r="X75" t="inlineStr">
      <is>
        <t>N/A</t>
      </is>
    </oc>
    <nc r="X75" t="inlineStr">
      <is>
        <t>Ready for review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77" sId="1">
    <nc r="W75">
      <v>1</v>
    </nc>
  </rcc>
  <rcc rId="1978" sId="1" numFmtId="19">
    <oc r="AA74">
      <v>43899</v>
    </oc>
    <nc r="AA74">
      <v>43900</v>
    </nc>
  </rcc>
  <rcc rId="1979" sId="1" numFmtId="19">
    <oc r="AB74">
      <v>43899</v>
    </oc>
    <nc r="AB74">
      <v>43900</v>
    </nc>
  </rcc>
  <rcc rId="1980" sId="1" odxf="1" dxf="1" numFmtId="19">
    <nc r="AA75">
      <v>43900</v>
    </nc>
    <odxf>
      <numFmt numFmtId="19" formatCode="m/d/yyyy"/>
    </odxf>
    <ndxf>
      <numFmt numFmtId="164" formatCode="[$-409]d\-mmm\-yyyy;@"/>
    </ndxf>
  </rcc>
  <rcc rId="1981" sId="1" odxf="1" dxf="1" numFmtId="19">
    <nc r="AB75">
      <v>43900</v>
    </nc>
    <odxf>
      <numFmt numFmtId="19" formatCode="m/d/yyyy"/>
    </odxf>
    <ndxf>
      <numFmt numFmtId="164" formatCode="[$-409]d\-mmm\-yyyy;@"/>
    </ndxf>
  </rcc>
  <rcc rId="1982" sId="1" odxf="1" dxf="1">
    <nc r="AC75" t="inlineStr">
      <is>
        <t>OK</t>
      </is>
    </nc>
    <odxf>
      <numFmt numFmtId="19" formatCode="m/d/yyyy"/>
    </odxf>
    <ndxf>
      <numFmt numFmtId="164" formatCode="[$-409]d\-mmm\-yyyy;@"/>
    </ndxf>
  </rcc>
  <rcc rId="1983" sId="1">
    <nc r="AD75">
      <v>100</v>
    </nc>
  </rcc>
  <rcc rId="1984" sId="1">
    <nc r="AE75">
      <v>100</v>
    </nc>
  </rcc>
  <rcc rId="1985" sId="1">
    <nc r="AF75">
      <v>100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9" sId="1">
    <nc r="P76" t="inlineStr">
      <is>
        <t>chung.ly</t>
      </is>
    </nc>
  </rcc>
  <rcc rId="1990" sId="1">
    <nc r="T76">
      <v>1993</v>
    </nc>
  </rcc>
  <rcc rId="1991" sId="1">
    <nc r="V76">
      <f>ROUNDDOWN(T76/HLOOKUP(D76,Table!$C$3:$D$4,2,0)*8,2)</f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P91" start="0" length="0">
    <dxf>
      <alignment horizontal="general" vertical="bottom" readingOrder="0"/>
      <border outline="0">
        <left/>
        <right/>
        <top/>
        <bottom/>
      </border>
    </dxf>
  </rfmt>
  <rfmt sheetId="1" sqref="P92" start="0" length="0">
    <dxf>
      <alignment horizontal="general" vertical="bottom" readingOrder="0"/>
      <border outline="0">
        <left/>
        <right/>
        <top/>
        <bottom/>
      </border>
    </dxf>
  </rfmt>
  <rfmt sheetId="1" sqref="P93" start="0" length="0">
    <dxf>
      <alignment horizontal="general" vertical="bottom" readingOrder="0"/>
      <border outline="0">
        <left/>
        <right/>
        <top/>
        <bottom/>
      </border>
    </dxf>
  </rfmt>
  <rfmt sheetId="1" sqref="P94" start="0" length="0">
    <dxf>
      <alignment horizontal="general" vertical="bottom" readingOrder="0"/>
      <border outline="0">
        <left/>
        <right/>
        <top/>
        <bottom/>
      </border>
    </dxf>
  </rfmt>
  <rfmt sheetId="1" sqref="P95" start="0" length="0">
    <dxf>
      <alignment horizontal="general" vertical="bottom" readingOrder="0"/>
      <border outline="0">
        <left/>
        <right/>
        <top/>
        <bottom/>
      </border>
    </dxf>
  </rfmt>
  <rfmt sheetId="1" sqref="P96" start="0" length="0">
    <dxf>
      <alignment horizontal="general" vertical="bottom" readingOrder="0"/>
      <border outline="0">
        <left/>
        <right/>
        <top/>
        <bottom/>
      </border>
    </dxf>
  </rfmt>
  <rfmt sheetId="1" sqref="P97" start="0" length="0">
    <dxf>
      <alignment horizontal="general" vertical="bottom" readingOrder="0"/>
      <border outline="0">
        <left/>
        <right/>
        <top/>
        <bottom/>
      </border>
    </dxf>
  </rfmt>
  <rfmt sheetId="1" sqref="P98" start="0" length="0">
    <dxf>
      <alignment horizontal="general" vertical="bottom" readingOrder="0"/>
      <border outline="0">
        <left/>
        <right/>
        <top/>
        <bottom/>
      </border>
    </dxf>
  </rfmt>
  <rfmt sheetId="1" sqref="P99" start="0" length="0">
    <dxf>
      <alignment horizontal="general" vertical="bottom" readingOrder="0"/>
      <border outline="0">
        <left/>
        <right/>
        <top/>
        <bottom/>
      </border>
    </dxf>
  </rfmt>
  <rfmt sheetId="1" sqref="P100" start="0" length="0">
    <dxf>
      <alignment horizontal="general" vertical="bottom" readingOrder="0"/>
      <border outline="0">
        <left/>
        <right/>
        <top/>
        <bottom/>
      </border>
    </dxf>
  </rfmt>
  <rfmt sheetId="1" sqref="P101" start="0" length="0">
    <dxf>
      <alignment horizontal="general" vertical="bottom" readingOrder="0"/>
      <border outline="0">
        <left/>
        <right/>
        <top/>
        <bottom/>
      </border>
    </dxf>
  </rfmt>
  <rfmt sheetId="1" sqref="P102" start="0" length="0">
    <dxf>
      <alignment horizontal="general" vertical="bottom" readingOrder="0"/>
      <border outline="0">
        <left/>
        <right/>
        <top/>
        <bottom/>
      </border>
    </dxf>
  </rfmt>
  <rfmt sheetId="1" sqref="P103" start="0" length="0">
    <dxf>
      <alignment horizontal="general" vertical="bottom" readingOrder="0"/>
      <border outline="0">
        <left/>
        <right/>
        <top/>
        <bottom/>
      </border>
    </dxf>
  </rfmt>
  <rfmt sheetId="1" sqref="P104" start="0" length="0">
    <dxf>
      <alignment horizontal="general" vertical="bottom" readingOrder="0"/>
      <border outline="0">
        <left/>
        <right/>
        <top/>
        <bottom/>
      </border>
    </dxf>
  </rfmt>
  <rfmt sheetId="1" xfDxf="1" sqref="P91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P92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P93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P94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P95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P96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P97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P98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P99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P100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P101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P102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P103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P104" start="0" length="0">
    <dxf>
      <font>
        <sz val="10"/>
        <color rgb="FF000000"/>
        <name val="Arial"/>
        <scheme val="none"/>
      </font>
      <alignment horizontal="right" vertical="center" wrapText="1" readingOrder="0"/>
      <border outline="0">
        <right style="medium">
          <color indexed="64"/>
        </right>
        <bottom style="medium">
          <color indexed="64"/>
        </bottom>
      </border>
    </dxf>
  </rfmt>
  <rm rId="1995" sheetId="1" source="P91:P104" destination="S91:S104" sourceSheetId="1">
    <rfmt sheetId="1" sqref="S9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9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9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9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95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96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9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98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99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10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101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102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103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104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fmt sheetId="1" sqref="P91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92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93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94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95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96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97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98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99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100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101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102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103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104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96" sId="1" odxf="1" dxf="1">
    <nc r="S91">
      <v>67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97" sId="1" odxf="1" dxf="1">
    <nc r="S92">
      <v>130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98" sId="1" odxf="1" dxf="1">
    <nc r="S93">
      <v>1703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99" sId="1" odxf="1" dxf="1">
    <nc r="S94">
      <v>144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0" sId="1" odxf="1" dxf="1">
    <nc r="S95">
      <v>111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1" sId="1" odxf="1" dxf="1">
    <nc r="S96">
      <v>12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2" sId="1" odxf="1" dxf="1">
    <nc r="S97">
      <v>191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3" sId="1" odxf="1" dxf="1">
    <nc r="S98">
      <v>21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4" sId="1" odxf="1" dxf="1">
    <nc r="S99">
      <v>25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5" sId="1" odxf="1" dxf="1">
    <nc r="S100">
      <v>151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6" sId="1" odxf="1" dxf="1">
    <nc r="S101">
      <v>178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7" sId="1" odxf="1" dxf="1">
    <nc r="S102">
      <v>280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8" sId="1" odxf="1" dxf="1">
    <nc r="S103">
      <v>259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9" sId="1" odxf="1" dxf="1">
    <nc r="S104">
      <v>35</v>
    </nc>
    <ndxf>
      <font>
        <sz val="11"/>
        <color theme="1"/>
        <name val="Calibri"/>
        <scheme val="minor"/>
      </font>
      <alignment horizontal="left" vertical="top" wrapTex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7E0EA425-A420-4443-B9E0-CDF0AA9E5D09}" action="delete"/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COEM_Package_20200302!$Q$2:$Q$167</formula>
    <oldFormula>COEM_Package_20200302!$B$2:$AH$68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68">
    <dxf>
      <fill>
        <patternFill patternType="solid">
          <bgColor rgb="FFFFFF00"/>
        </patternFill>
      </fill>
    </dxf>
  </rfmt>
  <rfmt sheetId="1" sqref="H67">
    <dxf>
      <fill>
        <patternFill patternType="solid">
          <bgColor rgb="FFFFFF00"/>
        </patternFill>
      </fill>
    </dxf>
  </rfmt>
  <rfmt sheetId="1" sqref="H66">
    <dxf>
      <fill>
        <patternFill patternType="solid">
          <bgColor rgb="FFFFFF00"/>
        </patternFill>
      </fill>
    </dxf>
  </rfmt>
  <rfmt sheetId="1" sqref="H65">
    <dxf>
      <fill>
        <patternFill patternType="solid">
          <bgColor rgb="FFFFFF00"/>
        </patternFill>
      </fill>
    </dxf>
  </rfmt>
</revisions>
</file>

<file path=xl/revisions/revisionLog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31">
    <dxf>
      <fill>
        <patternFill patternType="solid">
          <bgColor rgb="FFFFFF00"/>
        </patternFill>
      </fill>
    </dxf>
  </rfmt>
  <rfmt sheetId="1" sqref="H37">
    <dxf>
      <fill>
        <patternFill patternType="solid">
          <bgColor rgb="FFFFFF00"/>
        </patternFill>
      </fill>
    </dxf>
  </rfmt>
  <rfmt sheetId="1" sqref="H38">
    <dxf>
      <fill>
        <patternFill patternType="solid">
          <bgColor rgb="FFFFFF00"/>
        </patternFill>
      </fill>
    </dxf>
  </rfmt>
  <rcv guid="{7E0EA425-A420-4443-B9E0-CDF0AA9E5D09}" action="delete"/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COEM_Package_20200302!$B$2:$AH$26</formula>
    <oldFormula>COEM_Package_20200302!$Q$2:$Q$167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6" sId="1">
    <nc r="P77" t="inlineStr">
      <is>
        <t>loc.do-phu</t>
      </is>
    </nc>
  </rcc>
  <rcc rId="2017" sId="1">
    <nc r="P78" t="inlineStr">
      <is>
        <t>loc.do-phu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COEM_Package_20200302!$B$2:$AH$144</formula>
    <oldFormula>COEM_Package_20200302!$B$2:$AH$144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1" sId="1">
    <nc r="P93" t="inlineStr">
      <is>
        <t>loc.do-phu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COEM_Package_20200302!$B$2:$AH$144</formula>
    <oldFormula>COEM_Package_20200302!$B$2:$AH$144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5" sId="1">
    <oc r="P77" t="inlineStr">
      <is>
        <t>loc.do-phu</t>
      </is>
    </oc>
    <nc r="P77"/>
  </rcc>
  <rcc rId="2026" sId="1">
    <oc r="P78" t="inlineStr">
      <is>
        <t>loc.do-phu</t>
      </is>
    </oc>
    <nc r="P78"/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COEM_Package_20200302!$B$2:$AH$144</formula>
    <oldFormula>COEM_Package_20200302!$B$2:$AH$144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0" sId="1">
    <nc r="P79" t="inlineStr">
      <is>
        <t>duong.nguyen</t>
      </is>
    </nc>
  </rcc>
  <rcc rId="2031" sId="1">
    <nc r="P87" t="inlineStr">
      <is>
        <t>duong.nguyen</t>
      </is>
    </nc>
  </rcc>
  <rcv guid="{7E0EA425-A420-4443-B9E0-CDF0AA9E5D09}" action="delete"/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COEM_Package_20200302!$B$2:$AH$26</formula>
    <oldFormula>COEM_Package_20200302!$B$2:$AH$26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COEM_Package_20200302!$B$2:$AH$26</formula>
    <oldFormula>COEM_Package_20200302!$B$2:$AH$26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8" sId="1">
    <nc r="P70" t="inlineStr">
      <is>
        <t>thanh.nguyen-kim</t>
      </is>
    </nc>
  </rcc>
  <rcc rId="2039" sId="1">
    <nc r="P71" t="inlineStr">
      <is>
        <t>thanh.nguyen-kim</t>
      </is>
    </nc>
  </rcc>
  <rcc rId="2040" sId="1">
    <nc r="P72" t="inlineStr">
      <is>
        <t>thanh.nguyen-kim</t>
      </is>
    </nc>
  </rcc>
  <rcc rId="2041" sId="1">
    <nc r="P73" t="inlineStr">
      <is>
        <t>thanh.nguyen-kim</t>
      </is>
    </nc>
  </rcc>
  <rcc rId="2042" sId="1">
    <nc r="T70">
      <v>122</v>
    </nc>
  </rcc>
  <rfmt sheetId="1" sqref="T70">
    <dxf>
      <fill>
        <patternFill patternType="solid">
          <bgColor rgb="FFFF0000"/>
        </patternFill>
      </fill>
    </dxf>
  </rfmt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P93" start="0" length="0">
    <dxf/>
  </rfmt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COEM_Package_20200302!$A$2:$AH$26</formula>
    <oldFormula>COEM_Package_20200302!$B$2:$AH$144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COEM_Package_20200302!$A$2:$AH$26</formula>
    <oldFormula>COEM_Package_20200302!$A$2:$AH$26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5" sId="1">
    <nc r="U70">
      <v>122</v>
    </nc>
  </rcc>
  <rcc rId="2056" sId="1">
    <nc r="W70">
      <v>1.5</v>
    </nc>
  </rcc>
  <rcc rId="2057" sId="1">
    <oc r="X70" t="inlineStr">
      <is>
        <t>N/A</t>
      </is>
    </oc>
    <nc r="X70" t="inlineStr">
      <is>
        <t>Ready for review</t>
      </is>
    </nc>
  </rcc>
  <rfmt sheetId="1" sqref="AA70" start="0" length="0">
    <dxf>
      <numFmt numFmtId="164" formatCode="[$-409]d\-mmm\-yyyy;@"/>
    </dxf>
  </rfmt>
  <rcc rId="2058" sId="1" numFmtId="19">
    <nc r="AA70">
      <v>43901</v>
    </nc>
  </rcc>
  <rcc rId="2059" sId="1" odxf="1" dxf="1" numFmtId="19">
    <nc r="AB70">
      <v>43901</v>
    </nc>
    <odxf>
      <numFmt numFmtId="19" formatCode="m/d/yyyy"/>
    </odxf>
    <ndxf>
      <numFmt numFmtId="164" formatCode="[$-409]d\-mmm\-yyyy;@"/>
    </ndxf>
  </rcc>
  <rcc rId="2060" sId="1">
    <nc r="AC70" t="inlineStr">
      <is>
        <t>OK</t>
      </is>
    </nc>
  </rcc>
  <rcc rId="2061" sId="1">
    <nc r="AD70">
      <v>100</v>
    </nc>
  </rcc>
  <rcc rId="2062" sId="1">
    <nc r="AE70">
      <v>100</v>
    </nc>
  </rcc>
  <rcc rId="2063" sId="1">
    <nc r="AF70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7" sId="1">
    <nc r="T93">
      <v>1703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COEM_Package_20200302!$A$2:$AH$26</formula>
    <oldFormula>COEM_Package_20200302!$A$2:$AH$26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J93">
    <dxf>
      <fill>
        <patternFill patternType="solid">
          <bgColor rgb="FFFF0000"/>
        </patternFill>
      </fill>
    </dxf>
  </rfmt>
</revisions>
</file>

<file path=xl/revisions/revisionLog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1" sId="1">
    <nc r="U62">
      <v>42</v>
    </nc>
  </rcc>
  <rcc rId="2072" sId="1">
    <nc r="W62">
      <v>0.2</v>
    </nc>
  </rcc>
  <rcc rId="2073" sId="1">
    <oc r="X62" t="inlineStr">
      <is>
        <t>N/A</t>
      </is>
    </oc>
    <nc r="X62" t="inlineStr">
      <is>
        <t>Ready for review</t>
      </is>
    </nc>
  </rcc>
  <rcc rId="2074" sId="1" numFmtId="19">
    <nc r="AA62">
      <v>43901</v>
    </nc>
  </rcc>
  <rcc rId="2075" sId="1" numFmtId="19">
    <nc r="AB62">
      <v>43901</v>
    </nc>
  </rcc>
  <rcc rId="2076" sId="1">
    <nc r="AC62" t="inlineStr">
      <is>
        <t>OK</t>
      </is>
    </nc>
  </rcc>
  <rcc rId="2077" sId="1">
    <nc r="AD62">
      <v>100</v>
    </nc>
  </rcc>
  <rcc rId="2078" sId="1">
    <nc r="AE62">
      <v>100</v>
    </nc>
  </rcc>
  <rcc rId="2079" sId="1">
    <nc r="AF62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3" sId="1">
    <nc r="AG70" t="inlineStr">
      <is>
        <t>Actually ELOC = 122</t>
      </is>
    </nc>
  </rcc>
</revisions>
</file>

<file path=xl/revisions/revisionLog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4" sId="1">
    <nc r="W76">
      <v>3</v>
    </nc>
  </rcc>
  <rcc rId="2085" sId="1" xfDxf="1" dxf="1">
    <oc r="X76" t="inlineStr">
      <is>
        <t>N/A</t>
      </is>
    </oc>
    <nc r="X76" t="inlineStr">
      <is>
        <t>Ready for review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86" sId="1" numFmtId="19">
    <nc r="AA76">
      <v>43901</v>
    </nc>
  </rcc>
  <rcc rId="2087" sId="1" numFmtId="19">
    <nc r="AB76">
      <v>43901</v>
    </nc>
  </rcc>
  <rcc rId="2088" sId="1">
    <nc r="AC76" t="inlineStr">
      <is>
        <t>NG</t>
      </is>
    </nc>
  </rcc>
  <rcc rId="2089" sId="1">
    <nc r="AD76">
      <v>100</v>
    </nc>
  </rcc>
  <rcc rId="2090" sId="1">
    <nc r="AE76">
      <v>100</v>
    </nc>
  </rcc>
  <rcc rId="2091" sId="1">
    <nc r="AF76">
      <v>100</v>
    </nc>
  </rcc>
  <rcc rId="2092" sId="1">
    <nc r="AG76" t="inlineStr">
      <is>
        <t>Tool Issue</t>
      </is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6" sId="1">
    <nc r="P77" t="inlineStr">
      <is>
        <t>chung.ly</t>
      </is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1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9" sId="1">
    <nc r="U63">
      <v>40</v>
    </nc>
  </rcc>
  <rcc rId="2110" sId="1">
    <nc r="W63">
      <v>0.3</v>
    </nc>
  </rcc>
  <rcc rId="2111" sId="1">
    <oc r="X63" t="inlineStr">
      <is>
        <t>N/A</t>
      </is>
    </oc>
    <nc r="X63" t="inlineStr">
      <is>
        <t>Ready for review</t>
      </is>
    </nc>
  </rcc>
  <rcc rId="2112" sId="1" numFmtId="19">
    <nc r="AA63">
      <v>43901</v>
    </nc>
  </rcc>
  <rcc rId="2113" sId="1" numFmtId="19">
    <nc r="AB63">
      <v>43901</v>
    </nc>
  </rcc>
  <rcc rId="2114" sId="1">
    <nc r="AC63" t="inlineStr">
      <is>
        <t>OK</t>
      </is>
    </nc>
  </rcc>
  <rcc rId="2115" sId="1">
    <nc r="AD63">
      <v>100</v>
    </nc>
  </rcc>
  <rcc rId="2116" sId="1">
    <nc r="AE63">
      <v>100</v>
    </nc>
  </rcc>
  <rcc rId="2117" sId="1">
    <nc r="AF63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1" sId="1">
    <nc r="U57">
      <v>150</v>
    </nc>
  </rcc>
  <rcc rId="2122" sId="1">
    <nc r="W57">
      <v>2</v>
    </nc>
  </rcc>
  <rcc rId="2123" sId="1">
    <nc r="U56">
      <v>68</v>
    </nc>
  </rcc>
  <rcc rId="2124" sId="1">
    <nc r="W56">
      <v>1</v>
    </nc>
  </rcc>
  <rcc rId="2125" sId="1">
    <oc r="X56" t="inlineStr">
      <is>
        <t>N/A</t>
      </is>
    </oc>
    <nc r="X56" t="inlineStr">
      <is>
        <t>Ready for review</t>
      </is>
    </nc>
  </rcc>
  <rcc rId="2126" sId="1">
    <oc r="X57" t="inlineStr">
      <is>
        <t>N/A</t>
      </is>
    </oc>
    <nc r="X57" t="inlineStr">
      <is>
        <t>Ready for review</t>
      </is>
    </nc>
  </rcc>
  <rcv guid="{7E0EA425-A420-4443-B9E0-CDF0AA9E5D09}" action="delete"/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COEM_Package_20200302!$A$2:$AH$26</formula>
    <oldFormula>COEM_Package_20200302!$B$2:$AH$26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0" sId="1" numFmtId="19">
    <nc r="AA56">
      <v>43901</v>
    </nc>
  </rcc>
  <rcc rId="2131" sId="1" numFmtId="19">
    <nc r="AB56">
      <v>43901</v>
    </nc>
  </rcc>
  <rcc rId="2132" sId="1" numFmtId="19">
    <nc r="AA57">
      <v>43901</v>
    </nc>
  </rcc>
  <rcc rId="2133" sId="1" numFmtId="19">
    <nc r="AB57">
      <v>43901</v>
    </nc>
  </rcc>
</revisions>
</file>

<file path=xl/revisions/revisionLog1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4" sId="1">
    <nc r="AC56" t="inlineStr">
      <is>
        <t>OK</t>
      </is>
    </nc>
  </rcc>
  <rcc rId="2135" sId="1">
    <nc r="AC57" t="inlineStr">
      <is>
        <t>OK</t>
      </is>
    </nc>
  </rcc>
  <rcv guid="{7E0EA425-A420-4443-B9E0-CDF0AA9E5D09}" action="delete"/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COEM_Package_20200302!$A$2:$AH$26</formula>
    <oldFormula>COEM_Package_20200302!$A$2:$AH$26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1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9" sId="1">
    <oc r="X31" t="inlineStr">
      <is>
        <t>N/A</t>
      </is>
    </oc>
    <nc r="X31" t="inlineStr">
      <is>
        <t>Ready for review</t>
      </is>
    </nc>
  </rcc>
  <rcc rId="2140" sId="1">
    <nc r="AC31" t="inlineStr">
      <is>
        <t>OK</t>
      </is>
    </nc>
  </rcc>
  <rcc rId="2141" sId="1">
    <nc r="AD31">
      <v>100</v>
    </nc>
  </rcc>
  <rcc rId="2142" sId="1">
    <nc r="AE31">
      <v>100</v>
    </nc>
  </rcc>
  <rcc rId="2143" sId="1">
    <nc r="AF31">
      <v>100</v>
    </nc>
  </rcc>
  <rcc rId="2144" sId="1">
    <nc r="AD56">
      <v>100</v>
    </nc>
  </rcc>
  <rcc rId="2145" sId="1">
    <nc r="AE56">
      <v>100</v>
    </nc>
  </rcc>
  <rcc rId="2146" sId="1">
    <nc r="AF56">
      <v>100</v>
    </nc>
  </rcc>
  <rcc rId="2147" sId="1">
    <nc r="AD57">
      <v>100</v>
    </nc>
  </rcc>
  <rcc rId="2148" sId="1">
    <nc r="AE57">
      <v>100</v>
    </nc>
  </rcc>
  <rcc rId="2149" sId="1">
    <nc r="AF57">
      <v>100</v>
    </nc>
  </rcc>
  <rcv guid="{7E0EA425-A420-4443-B9E0-CDF0AA9E5D09}" action="delete"/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COEM_Package_20200302!$A$2:$AH$26</formula>
    <oldFormula>COEM_Package_20200302!$A$2:$AH$26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53" sId="1">
    <nc r="U58">
      <v>25</v>
    </nc>
  </rcc>
  <rcc rId="2154" sId="1">
    <nc r="W58">
      <v>0.2</v>
    </nc>
  </rcc>
  <rcc rId="2155" sId="1">
    <oc r="X58" t="inlineStr">
      <is>
        <t>N/A</t>
      </is>
    </oc>
    <nc r="X58" t="inlineStr">
      <is>
        <t>Ready for review</t>
      </is>
    </nc>
  </rcc>
  <rcc rId="2156" sId="1" numFmtId="19">
    <nc r="AA58">
      <v>43901</v>
    </nc>
  </rcc>
  <rcc rId="2157" sId="1" numFmtId="19">
    <nc r="AB58">
      <v>43901</v>
    </nc>
  </rcc>
  <rcc rId="2158" sId="1">
    <nc r="AC58" t="inlineStr">
      <is>
        <t>OK</t>
      </is>
    </nc>
  </rcc>
  <rcc rId="2159" sId="1">
    <nc r="AD58">
      <v>100</v>
    </nc>
  </rcc>
  <rcc rId="2160" sId="1">
    <nc r="AE58">
      <v>100</v>
    </nc>
  </rcc>
  <rcc rId="2161" sId="1">
    <nc r="AF58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65" sId="1">
    <nc r="AC54" t="inlineStr">
      <is>
        <t>OK</t>
      </is>
    </nc>
  </rcc>
  <rcc rId="2166" sId="1">
    <nc r="AC55" t="inlineStr">
      <is>
        <t>OK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3" sId="1" odxf="1" dxf="1">
    <nc r="P103" t="inlineStr">
      <is>
        <t>duong.nguyen</t>
      </is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v guid="{7E0EA425-A420-4443-B9E0-CDF0AA9E5D09}" action="delete"/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COEM_Package_20200302!$A$2:$AH$26</formula>
    <oldFormula>COEM_Package_20200302!$A$2:$AH$26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COEM_Package_20200302!$A$2:$AH$26</formula>
    <oldFormula>COEM_Package_20200302!$A$2:$AH$26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0" sId="1" odxf="1" dxf="1">
    <nc r="P101" t="inlineStr">
      <is>
        <t>duong.nguyen</t>
      </is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v guid="{7E0EA425-A420-4443-B9E0-CDF0AA9E5D09}" action="delete"/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COEM_Package_20200302!$A$2:$AH$26</formula>
    <oldFormula>COEM_Package_20200302!$A$2:$AH$26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4" sId="1">
    <nc r="P78" t="inlineStr">
      <is>
        <t>thanh.nguyen-kim</t>
      </is>
    </nc>
  </rcc>
  <rcc rId="2185" sId="1">
    <nc r="T78">
      <v>593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9" sId="1">
    <nc r="P97" t="inlineStr">
      <is>
        <t>thanh.nguyen-kim</t>
      </is>
    </nc>
  </rcc>
  <rcc rId="2190" sId="1">
    <nc r="P102" t="inlineStr">
      <is>
        <t>thanh.nguyen-kim</t>
      </is>
    </nc>
  </rcc>
  <rcc rId="2191" sId="1">
    <nc r="P94" t="inlineStr">
      <is>
        <t>thanh.nguyen-kim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5" sId="1">
    <nc r="P100" t="inlineStr">
      <is>
        <t>thanh.nguyen-kim</t>
      </is>
    </nc>
  </rcc>
</revisions>
</file>

<file path=xl/revisions/revisionLog2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6" sId="1">
    <nc r="P92" t="inlineStr">
      <is>
        <t>thanh.nguyen-kim</t>
      </is>
    </nc>
  </rcc>
</revisions>
</file>

<file path=xl/revisions/revisionLog2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7" sId="1" numFmtId="19">
    <nc r="AA77">
      <v>43901</v>
    </nc>
  </rcc>
  <rcc rId="2198" sId="1" numFmtId="19">
    <nc r="AB77">
      <v>43901</v>
    </nc>
  </rcc>
  <rcc rId="2199" sId="1">
    <nc r="AC77" t="inlineStr">
      <is>
        <t>NG</t>
      </is>
    </nc>
  </rcc>
  <rcc rId="2200" sId="1">
    <nc r="AD77">
      <v>99</v>
    </nc>
  </rcc>
  <rcc rId="2201" sId="1">
    <nc r="AE77">
      <v>98</v>
    </nc>
  </rcc>
  <rcc rId="2202" sId="1">
    <nc r="AF77">
      <v>100</v>
    </nc>
  </rcc>
  <rcc rId="2203" sId="1">
    <nc r="AG77" t="inlineStr">
      <is>
        <t>Bug (the range of i is from 0 to 5 but we need test for defaule value (ex: 6))</t>
      </is>
    </nc>
  </rcc>
  <rcc rId="2204" sId="1" xfDxf="1" dxf="1">
    <oc r="X77" t="inlineStr">
      <is>
        <t>N/A</t>
      </is>
    </oc>
    <nc r="X77" t="inlineStr">
      <is>
        <t>Ready for review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5" sId="1">
    <nc r="W77">
      <v>2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9" sId="1">
    <nc r="T77">
      <v>489</v>
    </nc>
  </rcc>
</revisions>
</file>

<file path=xl/revisions/revisionLog2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0" sId="1">
    <nc r="P84" t="inlineStr">
      <is>
        <t>chung.ly</t>
      </is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4" sId="1">
    <oc r="E165">
      <f>SUMIFS($T$3:$T$144,$D$3:$D$144,Table!$D$3,$P$3:$P$144,C165)-SUM(SUMIFS($T$3:$T$144,$D$3:$D$144,Table!$D$3,$P$3:$P$144,C165,$X$3:$X$144,{"Ongoing","N/A"}))</f>
    </oc>
    <nc r="E165">
      <f>SUMIFS($T$3:$T$144,$D$3:$D$144,Table!$D$3,$P$3:$P$144,C165)-SUM(SUMIFS($T$3:$T$144,$D$3:$D$144,Table!$D$3,$P$3:$P$144,C165,$X$3:$X$144,{"Ongoing","N/A"}))</f>
    </nc>
  </rcc>
  <rfmt sheetId="1" sqref="P93" start="0" length="0">
    <dxf/>
  </rfmt>
  <rcc rId="2215" sId="1">
    <nc r="W93">
      <v>8</v>
    </nc>
  </rcc>
</revisions>
</file>

<file path=xl/revisions/revisionLog2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9" sId="1">
    <nc r="T84">
      <v>69</v>
    </nc>
  </rcc>
  <rcc rId="2220" sId="1" odxf="1" dxf="1">
    <oc r="X84" t="inlineStr">
      <is>
        <t>N/A</t>
      </is>
    </oc>
    <nc r="X84" t="inlineStr">
      <is>
        <t>Ready for review</t>
      </is>
    </nc>
    <odxf/>
    <ndxf/>
  </rcc>
  <rcc rId="2221" sId="1" numFmtId="19">
    <nc r="AA84">
      <v>43901</v>
    </nc>
  </rcc>
  <rcc rId="2222" sId="1" numFmtId="19">
    <nc r="AB84">
      <v>43901</v>
    </nc>
  </rcc>
  <rcc rId="2223" sId="1">
    <nc r="AC84" t="inlineStr">
      <is>
        <t>OK</t>
      </is>
    </nc>
  </rcc>
  <rcc rId="2224" sId="1">
    <nc r="AD84">
      <v>100</v>
    </nc>
  </rcc>
  <rcc rId="2225" sId="1">
    <nc r="AE84">
      <v>100</v>
    </nc>
  </rcc>
  <rcc rId="2226" sId="1">
    <nc r="AF84">
      <v>100</v>
    </nc>
  </rcc>
  <rcc rId="2227" sId="1">
    <nc r="W84">
      <v>0.2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1" sId="1">
    <nc r="P81" t="inlineStr">
      <is>
        <t>chung.ly</t>
      </is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8" sId="1">
    <nc r="T71">
      <v>60</v>
    </nc>
  </rcc>
  <rcc rId="2239" sId="1">
    <nc r="T72">
      <v>30</v>
    </nc>
  </rcc>
  <rcc rId="2240" sId="1">
    <nc r="T73">
      <v>34</v>
    </nc>
  </rcc>
</revisions>
</file>

<file path=xl/revisions/revisionLog2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1" sId="1" odxf="1" dxf="1">
    <oc r="X81" t="inlineStr">
      <is>
        <t>N/A</t>
      </is>
    </oc>
    <nc r="X81" t="inlineStr">
      <is>
        <t>Ready for review</t>
      </is>
    </nc>
    <odxf/>
    <ndxf/>
  </rcc>
  <rcc rId="2242" sId="1">
    <nc r="T81">
      <v>71</v>
    </nc>
  </rcc>
  <rcc rId="2243" sId="1" numFmtId="19">
    <nc r="AA81">
      <v>43901</v>
    </nc>
  </rcc>
  <rcc rId="2244" sId="1" numFmtId="19">
    <nc r="AB81">
      <v>43901</v>
    </nc>
  </rcc>
  <rcc rId="2245" sId="1">
    <nc r="AC81" t="inlineStr">
      <is>
        <t>OK</t>
      </is>
    </nc>
  </rcc>
  <rcc rId="2246" sId="1">
    <nc r="AD81">
      <v>100</v>
    </nc>
  </rcc>
  <rcc rId="2247" sId="1">
    <nc r="AE81">
      <v>100</v>
    </nc>
  </rcc>
  <rcc rId="2248" sId="1">
    <nc r="AF81">
      <v>100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52" sId="1">
    <nc r="W81">
      <v>0.5</v>
    </nc>
  </rcc>
</revisions>
</file>

<file path=xl/revisions/revisionLog2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53" sId="1">
    <nc r="U71">
      <v>60</v>
    </nc>
  </rcc>
  <rcc rId="2254" sId="1">
    <nc r="W71">
      <v>0.5</v>
    </nc>
  </rcc>
  <rcc rId="2255" sId="1">
    <oc r="X71" t="inlineStr">
      <is>
        <t>N/A</t>
      </is>
    </oc>
    <nc r="X71" t="inlineStr">
      <is>
        <t>Ready for delivery</t>
      </is>
    </nc>
  </rcc>
  <rcc rId="2256" sId="1" odxf="1" dxf="1" numFmtId="19">
    <nc r="AA71">
      <v>43901</v>
    </nc>
    <odxf>
      <numFmt numFmtId="19" formatCode="m/d/yyyy"/>
    </odxf>
    <ndxf>
      <numFmt numFmtId="164" formatCode="[$-409]d\-mmm\-yyyy;@"/>
    </ndxf>
  </rcc>
  <rcc rId="2257" sId="1" odxf="1" dxf="1" numFmtId="19">
    <nc r="AB71">
      <v>43901</v>
    </nc>
    <odxf>
      <numFmt numFmtId="19" formatCode="m/d/yyyy"/>
    </odxf>
    <ndxf>
      <numFmt numFmtId="164" formatCode="[$-409]d\-mmm\-yyyy;@"/>
    </ndxf>
  </rcc>
  <rcc rId="2258" sId="1">
    <nc r="AC71" t="inlineStr">
      <is>
        <t>OK</t>
      </is>
    </nc>
  </rcc>
  <rcc rId="2259" sId="1">
    <nc r="AD71">
      <v>100</v>
    </nc>
  </rcc>
  <rcc rId="2260" sId="1">
    <nc r="AE71">
      <v>100</v>
    </nc>
  </rcc>
  <rcc rId="2261" sId="1">
    <nc r="AF71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65" sId="1">
    <nc r="Q80" t="inlineStr">
      <is>
        <t>chung.ly</t>
      </is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2" sId="1">
    <oc r="Q80" t="inlineStr">
      <is>
        <t>chung.ly</t>
      </is>
    </oc>
    <nc r="Q80"/>
  </rcc>
  <rcc rId="2273" sId="1" xfDxf="1" dxf="1">
    <nc r="P80" t="inlineStr">
      <is>
        <t>chung.ly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7" sId="1" xfDxf="1" dxf="1">
    <nc r="P82" t="inlineStr">
      <is>
        <t>chung.ly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78" sId="1" xfDxf="1" dxf="1">
    <nc r="P83" t="inlineStr">
      <is>
        <t>chung.ly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5" sId="1">
    <nc r="U29">
      <v>77</v>
    </nc>
  </rcc>
  <rcc rId="2286" sId="1">
    <nc r="W29">
      <v>1</v>
    </nc>
  </rcc>
  <rcc rId="2287" sId="1">
    <oc r="X29" t="inlineStr">
      <is>
        <t>N/A</t>
      </is>
    </oc>
    <nc r="X29" t="inlineStr">
      <is>
        <t>Ready for review</t>
      </is>
    </nc>
  </rcc>
  <rcc rId="2288" sId="1" numFmtId="19">
    <nc r="AA29">
      <v>43900</v>
    </nc>
  </rcc>
  <rcc rId="2289" sId="1" numFmtId="19">
    <nc r="AB29">
      <v>43900</v>
    </nc>
  </rcc>
  <rcv guid="{7E0EA425-A420-4443-B9E0-CDF0AA9E5D09}" action="delete"/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COEM_Package_20200302!$A$2:$AH$26</formula>
    <oldFormula>COEM_Package_20200302!$A$2:$AH$26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93" sId="1">
    <nc r="AC29" t="inlineStr">
      <is>
        <t>OK</t>
      </is>
    </nc>
  </rcc>
  <rcc rId="2294" sId="1">
    <nc r="AD29">
      <v>100</v>
    </nc>
  </rcc>
  <rcc rId="2295" sId="1">
    <nc r="AE29">
      <v>100</v>
    </nc>
  </rcc>
  <rcc rId="2296" sId="1">
    <nc r="AF29">
      <v>100</v>
    </nc>
  </rcc>
  <rcv guid="{7E0EA425-A420-4443-B9E0-CDF0AA9E5D09}" action="delete"/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COEM_Package_20200302!$A$2:$AH$26</formula>
    <oldFormula>COEM_Package_20200302!$A$2:$AH$26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00" sId="1">
    <nc r="W80">
      <v>0.2</v>
    </nc>
  </rcc>
  <rcc rId="2301" sId="1" odxf="1" dxf="1">
    <oc r="X80" t="inlineStr">
      <is>
        <t>N/A</t>
      </is>
    </oc>
    <nc r="X80" t="inlineStr">
      <is>
        <t>Ready for review</t>
      </is>
    </nc>
    <odxf/>
    <ndxf/>
  </rcc>
  <rcc rId="2302" sId="1" numFmtId="19">
    <nc r="AA80">
      <v>43901</v>
    </nc>
  </rcc>
  <rcc rId="2303" sId="1" numFmtId="19">
    <nc r="AB80">
      <v>43901</v>
    </nc>
  </rcc>
  <rcc rId="2304" sId="1">
    <nc r="AC80" t="inlineStr">
      <is>
        <t>OK</t>
      </is>
    </nc>
  </rcc>
  <rcc rId="2305" sId="1">
    <nc r="AD80">
      <v>100</v>
    </nc>
  </rcc>
  <rcc rId="2306" sId="1">
    <nc r="AE80">
      <v>100</v>
    </nc>
  </rcc>
  <rcc rId="2307" sId="1">
    <nc r="AF80">
      <v>100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1" sId="1">
    <nc r="T80">
      <v>8</v>
    </nc>
  </rcc>
  <rcc rId="2312" sId="1">
    <nc r="U80">
      <v>8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6" sId="1">
    <nc r="U72">
      <v>30</v>
    </nc>
  </rcc>
  <rcc rId="2317" sId="1">
    <nc r="W72">
      <v>0.2</v>
    </nc>
  </rcc>
  <rcc rId="2318" sId="1">
    <nc r="W73">
      <v>0.3</v>
    </nc>
  </rcc>
  <rcc rId="2319" sId="1">
    <oc r="X71" t="inlineStr">
      <is>
        <t>Ready for delivery</t>
      </is>
    </oc>
    <nc r="X71" t="inlineStr">
      <is>
        <t>Ready for review</t>
      </is>
    </nc>
  </rcc>
  <rcc rId="2320" sId="1">
    <oc r="X72" t="inlineStr">
      <is>
        <t>N/A</t>
      </is>
    </oc>
    <nc r="X72" t="inlineStr">
      <is>
        <t>Ready for review</t>
      </is>
    </nc>
  </rcc>
  <rcc rId="2321" sId="1" odxf="1" dxf="1" numFmtId="19">
    <nc r="AA72">
      <v>43901</v>
    </nc>
    <odxf>
      <numFmt numFmtId="19" formatCode="m/d/yyyy"/>
    </odxf>
    <ndxf>
      <numFmt numFmtId="164" formatCode="[$-409]d\-mmm\-yyyy;@"/>
    </ndxf>
  </rcc>
  <rcc rId="2322" sId="1" odxf="1" dxf="1" numFmtId="19">
    <nc r="AB72">
      <v>43901</v>
    </nc>
    <odxf>
      <numFmt numFmtId="19" formatCode="m/d/yyyy"/>
    </odxf>
    <ndxf>
      <numFmt numFmtId="164" formatCode="[$-409]d\-mmm\-yyyy;@"/>
    </ndxf>
  </rcc>
  <rcc rId="2323" sId="1">
    <nc r="AC72" t="inlineStr">
      <is>
        <t>OK</t>
      </is>
    </nc>
  </rcc>
  <rcc rId="2324" sId="1">
    <nc r="AD72">
      <v>100</v>
    </nc>
  </rcc>
  <rcc rId="2325" sId="1">
    <nc r="AE72">
      <v>100</v>
    </nc>
  </rcc>
  <rcc rId="2326" sId="1">
    <nc r="AF72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30" sId="1">
    <nc r="W82">
      <v>0.5</v>
    </nc>
  </rcc>
  <rcc rId="2331" sId="1">
    <oc r="X82" t="inlineStr">
      <is>
        <t>N/A</t>
      </is>
    </oc>
    <nc r="X82" t="inlineStr">
      <is>
        <t>Ready for review</t>
      </is>
    </nc>
  </rcc>
  <rcc rId="2332" sId="1" numFmtId="19">
    <nc r="AA82">
      <v>43901</v>
    </nc>
  </rcc>
  <rcc rId="2333" sId="1" numFmtId="19">
    <nc r="AB82">
      <v>43901</v>
    </nc>
  </rcc>
  <rcc rId="2334" sId="1">
    <nc r="AC82" t="inlineStr">
      <is>
        <t>OK</t>
      </is>
    </nc>
  </rcc>
  <rcc rId="2335" sId="1">
    <nc r="AD82">
      <v>100</v>
    </nc>
  </rcc>
  <rcc rId="2336" sId="1">
    <nc r="AE82">
      <v>100</v>
    </nc>
  </rcc>
  <rcc rId="2337" sId="1">
    <nc r="AF82">
      <v>100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1" sId="1">
    <nc r="W83">
      <v>0.5</v>
    </nc>
  </rcc>
  <rcc rId="2342" sId="1">
    <oc r="X83" t="inlineStr">
      <is>
        <t>N/A</t>
      </is>
    </oc>
    <nc r="X83" t="inlineStr">
      <is>
        <t>Ready for review</t>
      </is>
    </nc>
  </rcc>
  <rcc rId="2343" sId="1" numFmtId="19">
    <nc r="AA83">
      <v>43901</v>
    </nc>
  </rcc>
  <rcc rId="2344" sId="1" numFmtId="19">
    <nc r="AB83">
      <v>43901</v>
    </nc>
  </rcc>
  <rcc rId="2345" sId="1">
    <nc r="AC83" t="inlineStr">
      <is>
        <t>OK</t>
      </is>
    </nc>
  </rcc>
  <rcc rId="2346" sId="1">
    <nc r="AD83">
      <v>100</v>
    </nc>
  </rcc>
  <rcc rId="2347" sId="1">
    <nc r="AE83">
      <v>100</v>
    </nc>
  </rcc>
  <rcc rId="2348" sId="1">
    <nc r="AF83">
      <v>100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2" sId="1">
    <nc r="P85" t="inlineStr">
      <is>
        <t>chung.ly</t>
      </is>
    </nc>
  </rcc>
  <rcc rId="2353" sId="1">
    <nc r="P86" t="inlineStr">
      <is>
        <t>chung.ly</t>
      </is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7" sId="1">
    <nc r="U73">
      <v>34</v>
    </nc>
  </rcc>
  <rcc rId="2358" sId="1">
    <oc r="X73" t="inlineStr">
      <is>
        <t>N/A</t>
      </is>
    </oc>
    <nc r="X73" t="inlineStr">
      <is>
        <t>Ready for review</t>
      </is>
    </nc>
  </rcc>
  <rcc rId="2359" sId="1" odxf="1" dxf="1" numFmtId="19">
    <nc r="AA73">
      <v>43901</v>
    </nc>
    <odxf>
      <numFmt numFmtId="19" formatCode="m/d/yyyy"/>
    </odxf>
    <ndxf>
      <numFmt numFmtId="164" formatCode="[$-409]d\-mmm\-yyyy;@"/>
    </ndxf>
  </rcc>
  <rcc rId="2360" sId="1" odxf="1" dxf="1" numFmtId="19">
    <nc r="AB73">
      <v>43901</v>
    </nc>
    <odxf>
      <numFmt numFmtId="19" formatCode="m/d/yyyy"/>
    </odxf>
    <ndxf>
      <numFmt numFmtId="164" formatCode="[$-409]d\-mmm\-yyyy;@"/>
    </ndxf>
  </rcc>
  <rcc rId="2361" sId="1">
    <nc r="AC73" t="inlineStr">
      <is>
        <t>OK</t>
      </is>
    </nc>
  </rcc>
  <rcc rId="2362" sId="1">
    <nc r="AD73">
      <v>100</v>
    </nc>
  </rcc>
  <rcc rId="2363" sId="1">
    <nc r="AE73">
      <v>100</v>
    </nc>
  </rcc>
  <rcc rId="2364" sId="1">
    <nc r="AF73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68" sId="1">
    <oc r="X78" t="inlineStr">
      <is>
        <t>N/A</t>
      </is>
    </oc>
    <nc r="X78" t="inlineStr">
      <is>
        <t>Ongoing</t>
      </is>
    </nc>
  </rcc>
  <rcc rId="2369" sId="1" numFmtId="19">
    <nc r="AA78">
      <v>43901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73" sId="1">
    <nc r="V77">
      <f>ROUNDDOWN(T77/HLOOKUP(D77,Table!$C$3:$D$4,2,0)*8,2)</f>
    </nc>
  </rcc>
  <rcc rId="2374" sId="1">
    <nc r="V78">
      <f>ROUNDDOWN(T78/HLOOKUP(D78,Table!$C$3:$D$4,2,0)*8,2)</f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G118" start="0" length="0">
    <dxf/>
  </rfmt>
  <rcc rId="2378" sId="1" xfDxf="1" dxf="1">
    <oc r="X85" t="inlineStr">
      <is>
        <t>N/A</t>
      </is>
    </oc>
    <nc r="X85" t="inlineStr">
      <is>
        <t>Ready for review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9" sId="1" numFmtId="19">
    <nc r="AA85">
      <v>43901</v>
    </nc>
  </rcc>
  <rcc rId="2380" sId="1" numFmtId="19">
    <nc r="AB85">
      <v>43901</v>
    </nc>
  </rcc>
  <rcc rId="2381" sId="1">
    <nc r="AD85" t="inlineStr">
      <is>
        <t>-</t>
      </is>
    </nc>
  </rcc>
  <rcc rId="2382" sId="1">
    <nc r="AE85" t="inlineStr">
      <is>
        <t>-</t>
      </is>
    </nc>
  </rcc>
  <rcc rId="2383" sId="1">
    <nc r="AF85" t="inlineStr">
      <is>
        <t>-</t>
      </is>
    </nc>
  </rcc>
  <rcc rId="2384" sId="1">
    <nc r="AG85" t="inlineStr">
      <is>
        <t>No code for test</t>
      </is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1" sId="1">
    <nc r="T86">
      <v>3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5" sId="1">
    <nc r="U86">
      <v>3</v>
    </nc>
  </rcc>
</revisions>
</file>

<file path=xl/revisions/revisionLog2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6" sId="1">
    <nc r="W86">
      <v>0.2</v>
    </nc>
  </rcc>
  <rcc rId="2397" sId="1">
    <oc r="X86" t="inlineStr">
      <is>
        <t>N/A</t>
      </is>
    </oc>
    <nc r="X86" t="inlineStr">
      <is>
        <t>Ready for review</t>
      </is>
    </nc>
  </rcc>
  <rcc rId="2398" sId="1" numFmtId="19">
    <nc r="AA86">
      <v>43901</v>
    </nc>
  </rcc>
  <rcc rId="2399" sId="1" numFmtId="19">
    <nc r="AB86">
      <v>43901</v>
    </nc>
  </rcc>
  <rcc rId="2400" sId="1">
    <nc r="AC86" t="inlineStr">
      <is>
        <t>OK</t>
      </is>
    </nc>
  </rcc>
  <rcc rId="2401" sId="1">
    <nc r="AD86">
      <v>100</v>
    </nc>
  </rcc>
  <rcc rId="2402" sId="1">
    <nc r="AE86">
      <v>100</v>
    </nc>
  </rcc>
  <rcc rId="2403" sId="1">
    <nc r="AF86">
      <v>100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0" sId="1">
    <nc r="W85">
      <v>0.1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COEM_Package_20200302!$A$2:$AH$26</formula>
    <oldFormula>COEM_Package_20200302!$A$2:$AH$26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0" sId="1">
    <oc r="T78">
      <v>593</v>
    </oc>
    <nc r="T78">
      <v>587</v>
    </nc>
  </rcc>
  <rfmt sheetId="1" sqref="T78">
    <dxf>
      <fill>
        <patternFill patternType="solid">
          <bgColor rgb="FFFF0000"/>
        </patternFill>
      </fill>
    </dxf>
  </rfmt>
  <rcc rId="2421" sId="1">
    <oc r="AG52" t="inlineStr">
      <is>
        <t>Waiting for OPL answer.</t>
      </is>
    </oc>
    <nc r="AG52" t="inlineStr">
      <is>
        <t>OPL It does not impact to SW functionality.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5" sId="1">
    <nc r="X93" t="inlineStr">
      <is>
        <t>Ready for review</t>
      </is>
    </nc>
  </rcc>
  <rcc rId="2426" sId="1" numFmtId="19">
    <nc r="AA93">
      <v>43901</v>
    </nc>
  </rcc>
  <rcc rId="2427" sId="1" numFmtId="19">
    <nc r="AB93">
      <v>43901</v>
    </nc>
  </rcc>
  <rcc rId="2428" sId="1">
    <nc r="AC93" t="inlineStr">
      <is>
        <t>OK</t>
      </is>
    </nc>
  </rcc>
  <rcc rId="2429" sId="1">
    <nc r="AD93">
      <v>100</v>
    </nc>
  </rcc>
  <rcc rId="2430" sId="1">
    <nc r="AE93">
      <v>100</v>
    </nc>
  </rcc>
  <rcc rId="2431" sId="1">
    <nc r="AF93">
      <v>100</v>
    </nc>
  </rcc>
  <rcc rId="2432" sId="1">
    <nc r="P95" t="inlineStr">
      <is>
        <t>loc.do-phu</t>
      </is>
    </nc>
  </rcc>
  <rcc rId="2433" sId="1">
    <nc r="P98" t="inlineStr">
      <is>
        <t>loc.do-phu</t>
      </is>
    </nc>
  </rcc>
  <rcc rId="2434" sId="1">
    <nc r="P96" t="inlineStr">
      <is>
        <t>loc.do-phu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COEM_Package_20200302!$A$2:$AH$26</formula>
    <oldFormula>COEM_Package_20200302!$A$2:$AH$26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2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8" sId="1">
    <nc r="U93">
      <v>1703</v>
    </nc>
  </rcc>
  <rcc rId="2439" sId="1">
    <nc r="U16">
      <v>371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COEM_Package_20200302!$P$2:$P$167</formula>
    <oldFormula>COEM_Package_20200302!$A$2:$AH$26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2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COEM_Package_20200302!$P$2:$P$167</formula>
    <oldFormula>COEM_Package_20200302!$P$2:$P$167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2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46" sId="1" numFmtId="19">
    <nc r="AA30">
      <v>43901</v>
    </nc>
  </rcc>
  <rcc rId="2447" sId="1" numFmtId="19">
    <nc r="AB30">
      <v>43901</v>
    </nc>
  </rcc>
  <rcc rId="2448" sId="1">
    <nc r="AC30" t="inlineStr">
      <is>
        <t>OK</t>
      </is>
    </nc>
  </rcc>
  <rcc rId="2449" sId="1">
    <nc r="AD30">
      <v>100</v>
    </nc>
  </rcc>
  <rcc rId="2450" sId="1">
    <nc r="AE30">
      <v>100</v>
    </nc>
  </rcc>
  <rcc rId="2451" sId="1">
    <nc r="AF30">
      <v>100</v>
    </nc>
  </rcc>
  <rcc rId="2452" sId="1">
    <nc r="U30">
      <v>44</v>
    </nc>
  </rcc>
  <rcc rId="2453" sId="1">
    <nc r="W30">
      <v>1</v>
    </nc>
  </rcc>
  <rcc rId="2454" sId="1">
    <oc r="X30" t="inlineStr">
      <is>
        <t>N/A</t>
      </is>
    </oc>
    <nc r="X30" t="inlineStr">
      <is>
        <t>Ready for review</t>
      </is>
    </nc>
  </rcc>
  <rfmt sheetId="1" sqref="H29:H30">
    <dxf>
      <fill>
        <patternFill patternType="solid">
          <bgColor rgb="FFFFFF00"/>
        </patternFill>
      </fill>
    </dxf>
  </rfmt>
  <rcv guid="{7E0EA425-A420-4443-B9E0-CDF0AA9E5D09}" action="delete"/>
  <rdn rId="0" localSheetId="1" customView="1" name="Z_7E0EA425_A420_4443_B9E0_CDF0AA9E5D09_.wvu.Rows" hidden="1" oldHidden="1">
    <formula>COEM_Package_20200302!$3:$75</formula>
  </rdn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COEM_Package_20200302!$A$2:$AH$26</formula>
    <oldFormula>COEM_Package_20200302!$A$2:$AH$26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59" sId="1">
    <nc r="U78">
      <v>587</v>
    </nc>
  </rcc>
  <rcc rId="2460" sId="1">
    <nc r="W78">
      <v>5.8</v>
    </nc>
  </rcc>
  <rcc rId="2461" sId="1" numFmtId="19">
    <nc r="AB78">
      <v>43902</v>
    </nc>
  </rcc>
  <rcc rId="2462" sId="1">
    <nc r="AC78" t="inlineStr">
      <is>
        <t>OK</t>
      </is>
    </nc>
  </rcc>
  <rcc rId="2463" sId="1">
    <nc r="AD78">
      <v>100</v>
    </nc>
  </rcc>
  <rcc rId="2464" sId="1">
    <nc r="AE78">
      <v>100</v>
    </nc>
  </rcc>
  <rcc rId="2465" sId="1">
    <nc r="AF78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69" sId="1">
    <oc r="X78" t="inlineStr">
      <is>
        <t>Ongoing</t>
      </is>
    </oc>
    <nc r="X78" t="inlineStr">
      <is>
        <t>Ready for review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T3:W104">
    <dxf>
      <alignment horizontal="general" readingOrder="0"/>
    </dxf>
  </rfmt>
  <rfmt sheetId="1" sqref="T3:W104">
    <dxf>
      <alignment horizontal="left" readingOrder="0"/>
    </dxf>
  </rfmt>
  <rfmt sheetId="1" sqref="T3:W104">
    <dxf>
      <alignment horizontal="center" readingOrder="0"/>
    </dxf>
  </rfmt>
  <rfmt sheetId="1" sqref="T3:W104">
    <dxf>
      <alignment horizontal="left" readingOrder="0"/>
    </dxf>
  </rfmt>
  <rcv guid="{250915DF-0B97-45D7-B29D-7EED4C89C1C1}" action="delete"/>
  <rdn rId="0" localSheetId="1" customView="1" name="Z_250915DF_0B97_45D7_B29D_7EED4C89C1C1_.wvu.FilterData" hidden="1" oldHidden="1">
    <formula>COEM_Package_20200302!$A$2:$AH$26</formula>
    <oldFormula>COEM_Package_20200302!$B$2:$AH$144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2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5" sId="1">
    <nc r="P90" t="inlineStr">
      <is>
        <t>chung.ly</t>
      </is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9" sId="1">
    <oc r="P90" t="inlineStr">
      <is>
        <t>chung.ly</t>
      </is>
    </oc>
    <nc r="P90" t="inlineStr">
      <is>
        <t>duong.nguyen</t>
      </is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3" sId="1">
    <nc r="P89" t="inlineStr">
      <is>
        <t>chung.ly</t>
      </is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7" sId="1" odxf="1" dxf="1" numFmtId="19">
    <nc r="AA90">
      <v>43902</v>
    </nc>
    <odxf>
      <numFmt numFmtId="19" formatCode="m/d/yyyy"/>
    </odxf>
    <ndxf>
      <numFmt numFmtId="164" formatCode="[$-409]d\-mmm\-yyyy;@"/>
    </ndxf>
  </rcc>
  <rcc rId="2488" sId="1" odxf="1" dxf="1" numFmtId="19">
    <nc r="AB90">
      <v>43902</v>
    </nc>
    <odxf>
      <numFmt numFmtId="19" formatCode="m/d/yyyy"/>
    </odxf>
    <ndxf>
      <numFmt numFmtId="164" formatCode="[$-409]d\-mmm\-yyyy;@"/>
    </ndxf>
  </rcc>
  <rcc rId="2489" sId="1">
    <nc r="AC90" t="inlineStr">
      <is>
        <t>OK</t>
      </is>
    </nc>
  </rcc>
  <rcc rId="2490" sId="1">
    <nc r="AD90">
      <v>100</v>
    </nc>
  </rcc>
  <rcc rId="2491" sId="1">
    <nc r="AE90">
      <v>100</v>
    </nc>
  </rcc>
  <rcc rId="2492" sId="1">
    <nc r="AF90">
      <v>100</v>
    </nc>
  </rcc>
  <rcc rId="2493" sId="1">
    <nc r="W90">
      <v>0.2</v>
    </nc>
  </rcc>
  <rcc rId="2494" sId="1">
    <nc r="T90">
      <v>37</v>
    </nc>
  </rcc>
  <rcc rId="2495" sId="1">
    <nc r="U90">
      <v>37</v>
    </nc>
  </rcc>
  <rcc rId="2496" sId="1">
    <nc r="V79">
      <f>ROUNDDOWN(T79/HLOOKUP(D79,Table!$C$3:$D$4,2,0)*8,2)</f>
    </nc>
  </rcc>
  <rcc rId="2497" sId="1">
    <nc r="V80">
      <f>ROUNDDOWN(T80/HLOOKUP(D80,Table!$C$3:$D$4,2,0)*8,2)</f>
    </nc>
  </rcc>
  <rcc rId="2498" sId="1">
    <nc r="V81">
      <f>ROUNDDOWN(T81/HLOOKUP(D81,Table!$C$3:$D$4,2,0)*8,2)</f>
    </nc>
  </rcc>
  <rcc rId="2499" sId="1">
    <nc r="V82">
      <f>ROUNDDOWN(T82/HLOOKUP(D82,Table!$C$3:$D$4,2,0)*8,2)</f>
    </nc>
  </rcc>
  <rcc rId="2500" sId="1">
    <nc r="V83">
      <f>ROUNDDOWN(T83/HLOOKUP(D83,Table!$C$3:$D$4,2,0)*8,2)</f>
    </nc>
  </rcc>
  <rcc rId="2501" sId="1">
    <nc r="V84">
      <f>ROUNDDOWN(T84/HLOOKUP(D84,Table!$C$3:$D$4,2,0)*8,2)</f>
    </nc>
  </rcc>
  <rcc rId="2502" sId="1">
    <nc r="V85">
      <f>ROUNDDOWN(T85/HLOOKUP(D85,Table!$C$3:$D$4,2,0)*8,2)</f>
    </nc>
  </rcc>
  <rcc rId="2503" sId="1">
    <nc r="V86">
      <f>ROUNDDOWN(T86/HLOOKUP(D86,Table!$C$3:$D$4,2,0)*8,2)</f>
    </nc>
  </rcc>
  <rcc rId="2504" sId="1">
    <nc r="V87">
      <f>ROUNDDOWN(T87/HLOOKUP(D87,Table!$C$3:$D$4,2,0)*8,2)</f>
    </nc>
  </rcc>
  <rcc rId="2505" sId="1">
    <nc r="V88">
      <f>ROUNDDOWN(T88/HLOOKUP(D88,Table!$C$3:$D$4,2,0)*8,2)</f>
    </nc>
  </rcc>
  <rcc rId="2506" sId="1">
    <nc r="V89">
      <f>ROUNDDOWN(T89/HLOOKUP(D89,Table!$C$3:$D$4,2,0)*8,2)</f>
    </nc>
  </rcc>
  <rcc rId="2507" sId="1">
    <nc r="V90">
      <f>ROUNDDOWN(T90/HLOOKUP(D90,Table!$C$3:$D$4,2,0)*8,2)</f>
    </nc>
  </rcc>
  <rcc rId="2508" sId="1">
    <nc r="V91">
      <f>ROUNDDOWN(T91/HLOOKUP(D91,Table!$C$3:$D$4,2,0)*8,2)</f>
    </nc>
  </rcc>
  <rcc rId="2509" sId="1">
    <nc r="V92">
      <f>ROUNDDOWN(T92/HLOOKUP(D92,Table!$C$3:$D$4,2,0)*8,2)</f>
    </nc>
  </rcc>
  <rcc rId="2510" sId="1">
    <nc r="V93">
      <f>ROUNDDOWN(T93/HLOOKUP(D93,Table!$C$3:$D$4,2,0)*8,2)</f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14" sId="1">
    <nc r="T89">
      <v>12</v>
    </nc>
  </rcc>
  <rcc rId="2515" sId="1">
    <nc r="U89">
      <v>12</v>
    </nc>
  </rcc>
  <rcc rId="2516" sId="1">
    <nc r="W89">
      <v>0.1</v>
    </nc>
  </rcc>
  <rcc rId="2517" sId="1">
    <oc r="P89" t="inlineStr">
      <is>
        <t>chung.ly</t>
      </is>
    </oc>
    <nc r="P89" t="inlineStr">
      <is>
        <t>duong.nguyen</t>
      </is>
    </nc>
  </rcc>
  <rcc rId="2518" sId="1" odxf="1" dxf="1" numFmtId="19">
    <nc r="AA89">
      <v>43902</v>
    </nc>
    <odxf>
      <numFmt numFmtId="19" formatCode="m/d/yyyy"/>
    </odxf>
    <ndxf>
      <numFmt numFmtId="164" formatCode="[$-409]d\-mmm\-yyyy;@"/>
    </ndxf>
  </rcc>
  <rcc rId="2519" sId="1" odxf="1" dxf="1" numFmtId="19">
    <nc r="AB89">
      <v>43902</v>
    </nc>
    <odxf>
      <numFmt numFmtId="19" formatCode="m/d/yyyy"/>
    </odxf>
    <ndxf>
      <numFmt numFmtId="164" formatCode="[$-409]d\-mmm\-yyyy;@"/>
    </ndxf>
  </rcc>
  <rcc rId="2520" sId="1">
    <nc r="AD89" t="inlineStr">
      <is>
        <t>-</t>
      </is>
    </nc>
  </rcc>
  <rcc rId="2521" sId="1">
    <nc r="AE89" t="inlineStr">
      <is>
        <t>-</t>
      </is>
    </nc>
  </rcc>
  <rcc rId="2522" sId="1">
    <nc r="AF89" t="inlineStr">
      <is>
        <t>-</t>
      </is>
    </nc>
  </rcc>
  <rcc rId="2523" sId="1">
    <nc r="AG89" t="inlineStr">
      <is>
        <t>No have function for test</t>
      </is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7" sId="1">
    <nc r="P88" t="inlineStr">
      <is>
        <t>duong.nguyen</t>
      </is>
    </nc>
  </rcc>
  <rcc rId="2528" sId="1">
    <nc r="T88">
      <v>4</v>
    </nc>
  </rcc>
  <rcc rId="2529" sId="1">
    <nc r="U88">
      <v>4</v>
    </nc>
  </rcc>
  <rcc rId="2530" sId="1">
    <nc r="W88">
      <v>0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4" sId="1" odxf="1" dxf="1" numFmtId="19">
    <nc r="AA88">
      <v>43902</v>
    </nc>
    <odxf>
      <numFmt numFmtId="19" formatCode="m/d/yyyy"/>
    </odxf>
    <ndxf>
      <numFmt numFmtId="164" formatCode="[$-409]d\-mmm\-yyyy;@"/>
    </ndxf>
  </rcc>
  <rcc rId="2535" sId="1" odxf="1" dxf="1" numFmtId="19">
    <nc r="AB88">
      <v>43902</v>
    </nc>
    <odxf>
      <numFmt numFmtId="19" formatCode="m/d/yyyy"/>
    </odxf>
    <ndxf>
      <numFmt numFmtId="164" formatCode="[$-409]d\-mmm\-yyyy;@"/>
    </ndxf>
  </rcc>
  <rcc rId="2536" sId="1">
    <nc r="AC88" t="inlineStr">
      <is>
        <t>OK</t>
      </is>
    </nc>
  </rcc>
  <rcc rId="2537" sId="1">
    <nc r="AD88">
      <v>100</v>
    </nc>
  </rcc>
  <rcc rId="2538" sId="1">
    <nc r="AE88">
      <v>100</v>
    </nc>
  </rcc>
  <rcc rId="2539" sId="1">
    <nc r="AF88">
      <v>100</v>
    </nc>
  </rcc>
</revisions>
</file>

<file path=xl/revisions/revisionLog2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60D2C030_4E31_4E07_8E1C_44D2EE84B177_.wvu.Cols" hidden="1" oldHidden="1">
    <oldFormula>COEM_Package_20200302!$M:$N</oldFormula>
  </rdn>
  <rcv guid="{60D2C030-4E31-4E07-8E1C-44D2EE84B177}" action="delete"/>
  <rdn rId="0" localSheetId="1" customView="1" name="Z_60D2C030_4E31_4E07_8E1C_44D2EE84B177_.wvu.FilterData" hidden="1" oldHidden="1">
    <formula>COEM_Package_20200302!$B$2:$AH$144</formula>
    <oldFormula>COEM_Package_20200302!$B$2:$AH$144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J95">
    <dxf>
      <fill>
        <patternFill patternType="solid">
          <bgColor rgb="FFFF0000"/>
        </patternFill>
      </fill>
    </dxf>
  </rfmt>
  <rfmt sheetId="1" sqref="J93">
    <dxf>
      <fill>
        <patternFill patternType="none">
          <bgColor auto="1"/>
        </patternFill>
      </fill>
    </dxf>
  </rfmt>
  <rcc rId="2546" sId="1">
    <nc r="T95">
      <v>111</v>
    </nc>
  </rcc>
  <rcc rId="2547" sId="1">
    <nc r="U95">
      <v>111</v>
    </nc>
  </rcc>
  <rcc rId="2548" sId="1">
    <nc r="W95">
      <v>1</v>
    </nc>
  </rcc>
  <rcc rId="2549" sId="1">
    <nc r="X95" t="inlineStr">
      <is>
        <t>Ready for review</t>
      </is>
    </nc>
  </rcc>
  <rcc rId="2550" sId="1" numFmtId="19">
    <nc r="AA95">
      <v>43902</v>
    </nc>
  </rcc>
  <rcc rId="2551" sId="1" numFmtId="19">
    <nc r="AB95">
      <v>43902</v>
    </nc>
  </rcc>
  <rcc rId="2552" sId="1">
    <nc r="AC95" t="inlineStr">
      <is>
        <t>OK</t>
      </is>
    </nc>
  </rcc>
  <rcc rId="2553" sId="1">
    <nc r="AD95">
      <v>100</v>
    </nc>
  </rcc>
  <rcc rId="2554" sId="1">
    <nc r="AE95">
      <v>100</v>
    </nc>
  </rcc>
  <rcc rId="2555" sId="1">
    <nc r="AF95">
      <v>100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COEM_Package_20200302!$A$2:$AH$26</formula>
    <oldFormula>COEM_Package_20200302!$P$2:$P$167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2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59" sId="1" ref="A160:XFD160" action="deleteRow">
    <undo index="2" exp="area" ref3D="1" dr="$Q$1:$R$1048576" dn="Z_7E0EA425_A420_4443_B9E0_CDF0AA9E5D09_.wvu.Cols" sId="1"/>
    <undo index="1" exp="area" ref3D="1" dr="$J$1:$O$1048576" dn="Z_7E0EA425_A420_4443_B9E0_CDF0AA9E5D09_.wvu.Cols" sId="1"/>
    <undo index="0" exp="area" ref3D="1" dr="$M$1:$N$1048576" dn="Z_4E06BDBF_2CED_473B_850B_2A6C7311FF41_.wvu.Cols" sId="1"/>
    <undo index="0" exp="area" ref3D="1" dr="$M$1:$N$1048576" dn="Z_72A6EB0A_84D5_4B8A_AC51_54CCD061630B_.wvu.Cols" sId="1"/>
    <undo index="0" exp="area" ref3D="1" dr="$M$1:$N$1048576" dn="Z_7ECC2B8E_6A82_42F5_8AB0_4A51C54EA5EC_.wvu.Cols" sId="1"/>
    <rfmt sheetId="1" xfDxf="1" sqref="A160:XFD160" start="0" length="0"/>
    <rcc rId="0" sId="1" dxf="1">
      <nc r="B160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60" t="inlineStr">
        <is>
          <t>hieu.nguyen-trung</t>
        </is>
      </nc>
      <ndxf>
        <fill>
          <patternFill patternType="solid">
            <bgColor theme="3" tint="0.7999816888943144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D160">
        <f>SUMIFS($T$3:$T$144,$D$3:$D$144,Table!$D$3,$P$3:$P$144,C160)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E160">
        <f>SUMIFS($T$3:$T$144,$D$3:$D$144,Table!$D$3,$P$3:$P$144,C160)-SUM(SUMIFS($T$3:$T$144,$D$3:$D$144,Table!$D$3,$P$3:$P$144,C160,$X$3:$X$144,{"Ongoing","N/A"}))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60">
        <f>1/8*(SUMIFS($W$3:$W$144,$D$3:$D$144,Table!$D$3,$P$3:$P$144,C160)-SUM(SUMIFS($W$3:$W$144,$D$3:$D$144,Table!$D$3,$P$3:$P$144,C160,$X$3:$X$144,{"Ongoing","N/A"})))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60">
        <f>IF(ISERROR(E160/(F160)),"N/A",E160/F160)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60">
        <f>IF(ISERROR(E160/D160),"N/A",E160/D160)</f>
      </nc>
      <n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560" sId="1" ref="A160:XFD160" action="deleteRow">
    <undo index="2" exp="area" ref3D="1" dr="$Q$1:$R$1048576" dn="Z_7E0EA425_A420_4443_B9E0_CDF0AA9E5D09_.wvu.Cols" sId="1"/>
    <undo index="1" exp="area" ref3D="1" dr="$J$1:$O$1048576" dn="Z_7E0EA425_A420_4443_B9E0_CDF0AA9E5D09_.wvu.Cols" sId="1"/>
    <undo index="0" exp="area" ref3D="1" dr="$M$1:$N$1048576" dn="Z_4E06BDBF_2CED_473B_850B_2A6C7311FF41_.wvu.Cols" sId="1"/>
    <undo index="0" exp="area" ref3D="1" dr="$M$1:$N$1048576" dn="Z_72A6EB0A_84D5_4B8A_AC51_54CCD061630B_.wvu.Cols" sId="1"/>
    <undo index="0" exp="area" ref3D="1" dr="$M$1:$N$1048576" dn="Z_7ECC2B8E_6A82_42F5_8AB0_4A51C54EA5EC_.wvu.Cols" sId="1"/>
    <rfmt sheetId="1" xfDxf="1" sqref="A160:XFD160" start="0" length="0"/>
    <rcc rId="0" sId="1" dxf="1">
      <nc r="B160">
        <v>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60" t="inlineStr">
        <is>
          <t>hau.nguyen-tai</t>
        </is>
      </nc>
      <ndxf>
        <fill>
          <patternFill patternType="solid">
            <bgColor theme="3" tint="0.7999816888943144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D160">
        <f>SUMIFS($T$3:$T$144,$D$3:$D$144,Table!$D$3,$P$3:$P$144,C160)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E160">
        <f>SUMIFS($T$3:$T$144,$D$3:$D$144,Table!$D$3,$P$3:$P$144,C160)-SUM(SUMIFS($T$3:$T$144,$D$3:$D$144,Table!$D$3,$P$3:$P$144,C160,$X$3:$X$144,{"Ongoing","N/A"}))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60">
        <f>1/8*(SUMIFS($W$3:$W$144,$D$3:$D$144,Table!$D$3,$P$3:$P$144,C160)-SUM(SUMIFS($W$3:$W$144,$D$3:$D$144,Table!$D$3,$P$3:$P$144,C160,$X$3:$X$144,{"Ongoing","N/A"})))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60">
        <f>IF(ISERROR(E160/(F160)),"N/A",E160/F160)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60">
        <f>IF(ISERROR(E160/D160),"N/A",E160/D160)</f>
      </nc>
      <n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561" sId="1" ref="A160:XFD160" action="deleteRow">
    <undo index="2" exp="area" ref3D="1" dr="$Q$1:$R$1048576" dn="Z_7E0EA425_A420_4443_B9E0_CDF0AA9E5D09_.wvu.Cols" sId="1"/>
    <undo index="1" exp="area" ref3D="1" dr="$J$1:$O$1048576" dn="Z_7E0EA425_A420_4443_B9E0_CDF0AA9E5D09_.wvu.Cols" sId="1"/>
    <undo index="0" exp="area" ref3D="1" dr="$M$1:$N$1048576" dn="Z_4E06BDBF_2CED_473B_850B_2A6C7311FF41_.wvu.Cols" sId="1"/>
    <undo index="0" exp="area" ref3D="1" dr="$M$1:$N$1048576" dn="Z_72A6EB0A_84D5_4B8A_AC51_54CCD061630B_.wvu.Cols" sId="1"/>
    <undo index="0" exp="area" ref3D="1" dr="$M$1:$N$1048576" dn="Z_7ECC2B8E_6A82_42F5_8AB0_4A51C54EA5EC_.wvu.Cols" sId="1"/>
    <rfmt sheetId="1" xfDxf="1" sqref="A160:XFD160" start="0" length="0"/>
    <rcc rId="0" sId="1" dxf="1">
      <nc r="B160">
        <v>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60" t="inlineStr">
        <is>
          <t>bang.nguyen-duy</t>
        </is>
      </nc>
      <ndxf>
        <fill>
          <patternFill patternType="solid">
            <bgColor theme="3" tint="0.7999816888943144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D160">
        <f>SUMIFS($T$3:$T$144,$D$3:$D$144,Table!$D$3,$P$3:$P$144,C160)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E160">
        <f>SUMIFS($T$3:$T$144,$D$3:$D$144,Table!$D$3,$P$3:$P$144,C160)-SUM(SUMIFS($T$3:$T$144,$D$3:$D$144,Table!$D$3,$P$3:$P$144,C160,$X$3:$X$144,{"Ongoing","N/A"}))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60">
        <f>1/8*(SUMIFS($W$3:$W$144,$D$3:$D$144,Table!$D$3,$P$3:$P$144,C160)-SUM(SUMIFS($W$3:$W$144,$D$3:$D$144,Table!$D$3,$P$3:$P$144,C160,$X$3:$X$144,{"Ongoing","N/A"})))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60">
        <f>IF(ISERROR(E160/(F160)),"N/A",E160/F160)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60">
        <f>IF(ISERROR(E160/D160),"N/A",E160/D160)</f>
      </nc>
      <n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562" sId="1" ref="A160:XFD160" action="deleteRow">
    <undo index="2" exp="area" ref3D="1" dr="$Q$1:$R$1048576" dn="Z_7E0EA425_A420_4443_B9E0_CDF0AA9E5D09_.wvu.Cols" sId="1"/>
    <undo index="1" exp="area" ref3D="1" dr="$J$1:$O$1048576" dn="Z_7E0EA425_A420_4443_B9E0_CDF0AA9E5D09_.wvu.Cols" sId="1"/>
    <undo index="0" exp="area" ref3D="1" dr="$M$1:$N$1048576" dn="Z_4E06BDBF_2CED_473B_850B_2A6C7311FF41_.wvu.Cols" sId="1"/>
    <undo index="0" exp="area" ref3D="1" dr="$M$1:$N$1048576" dn="Z_72A6EB0A_84D5_4B8A_AC51_54CCD061630B_.wvu.Cols" sId="1"/>
    <undo index="0" exp="area" ref3D="1" dr="$M$1:$N$1048576" dn="Z_7ECC2B8E_6A82_42F5_8AB0_4A51C54EA5EC_.wvu.Cols" sId="1"/>
    <rfmt sheetId="1" xfDxf="1" sqref="A160:XFD160" start="0" length="0"/>
    <rcc rId="0" sId="1" dxf="1">
      <nc r="B160">
        <v>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60" t="inlineStr">
        <is>
          <t>dac.luu-cong</t>
        </is>
      </nc>
      <ndxf>
        <fill>
          <patternFill patternType="solid">
            <bgColor theme="3" tint="0.7999816888943144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D160">
        <f>SUMIFS($T$3:$T$144,$D$3:$D$144,Table!$D$3,$P$3:$P$144,C160)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E160">
        <f>SUMIFS($T$3:$T$144,$D$3:$D$144,Table!$D$3,$P$3:$P$144,C160)-SUM(SUMIFS($T$3:$T$144,$D$3:$D$144,Table!$D$3,$P$3:$P$144,C160,$X$3:$X$144,{"Ongoing","N/A"}))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60">
        <f>1/8*(SUMIFS($W$3:$W$144,$D$3:$D$144,Table!$D$3,$P$3:$P$144,C160)-SUM(SUMIFS($W$3:$W$144,$D$3:$D$144,Table!$D$3,$P$3:$P$144,C160,$X$3:$X$144,{"Ongoing","N/A"})))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60">
        <f>IF(ISERROR(E160/(F160)),"N/A",E160/F160)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60">
        <f>IF(ISERROR(E160/D160),"N/A",E160/D160)</f>
      </nc>
      <n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2563" sId="1">
    <oc r="B160">
      <v>5</v>
    </oc>
    <nc r="B160">
      <v>1</v>
    </nc>
  </rcc>
  <rcc rId="2564" sId="1">
    <oc r="B161">
      <v>6</v>
    </oc>
    <nc r="B161">
      <v>2</v>
    </nc>
  </rcc>
  <rcc rId="2565" sId="1">
    <oc r="B162">
      <v>7</v>
    </oc>
    <nc r="B162">
      <v>3</v>
    </nc>
  </rcc>
  <rcc rId="2566" sId="1">
    <oc r="B163">
      <v>8</v>
    </oc>
    <nc r="B163">
      <v>4</v>
    </nc>
  </rcc>
  <rrc rId="2567" sId="1" ref="A148:XFD148" action="deleteRow">
    <undo index="2" exp="area" ref3D="1" dr="$Q$1:$R$1048576" dn="Z_7E0EA425_A420_4443_B9E0_CDF0AA9E5D09_.wvu.Cols" sId="1"/>
    <undo index="1" exp="area" ref3D="1" dr="$J$1:$O$1048576" dn="Z_7E0EA425_A420_4443_B9E0_CDF0AA9E5D09_.wvu.Cols" sId="1"/>
    <undo index="0" exp="area" ref3D="1" dr="$M$1:$N$1048576" dn="Z_4E06BDBF_2CED_473B_850B_2A6C7311FF41_.wvu.Cols" sId="1"/>
    <undo index="0" exp="area" ref3D="1" dr="$M$1:$N$1048576" dn="Z_72A6EB0A_84D5_4B8A_AC51_54CCD061630B_.wvu.Cols" sId="1"/>
    <undo index="0" exp="area" ref3D="1" dr="$M$1:$N$1048576" dn="Z_7ECC2B8E_6A82_42F5_8AB0_4A51C54EA5EC_.wvu.Cols" sId="1"/>
    <rfmt sheetId="1" xfDxf="1" sqref="A148:XFD148" start="0" length="0"/>
    <rcc rId="0" sId="1" dxf="1">
      <nc r="B148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48" t="inlineStr">
        <is>
          <t>hieu.nguyen-trung</t>
        </is>
      </nc>
      <ndxf>
        <fill>
          <patternFill patternType="solid">
            <bgColor theme="3" tint="0.7999816888943144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D148">
        <f>SUMIFS($T$3:$T$144,$D$3:$D$144,Table!$C$3,$P$3:$P$144,C148)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E148">
        <f>SUMIFS($U$3:$U$144,$D$3:$D$144,Table!$C$3,$P$3:$P$144,C148)-SUM(SUMIFS($U$3:$U$144,$D$3:$D$144,Table!$C$3,$P$3:$P$144,C148,$X$3:$X$144,{"Ongoing","N/A"}))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48">
        <f>1/8*(SUMIFS($W$3:$W$144,$D$3:$D$144,Table!$C$3,$P$3:$P$144,C148)-SUM(SUMIFS($W$3:$W$144,$D$3:$D$144,Table!$C$3,$P$3:$P$144,C148,$X$3:$X$144,{"Ongoing","N/A"})))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48">
        <f>IF(ISERROR(E148/(F148)),"N/A",E148/F148)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48">
        <f>IF(ISERROR(E148/D148),"N/A",E148/D148)</f>
      </nc>
      <n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568" sId="1" ref="A148:XFD148" action="deleteRow">
    <undo index="2" exp="area" ref3D="1" dr="$Q$1:$R$1048576" dn="Z_7E0EA425_A420_4443_B9E0_CDF0AA9E5D09_.wvu.Cols" sId="1"/>
    <undo index="1" exp="area" ref3D="1" dr="$J$1:$O$1048576" dn="Z_7E0EA425_A420_4443_B9E0_CDF0AA9E5D09_.wvu.Cols" sId="1"/>
    <undo index="0" exp="area" ref3D="1" dr="$M$1:$N$1048576" dn="Z_4E06BDBF_2CED_473B_850B_2A6C7311FF41_.wvu.Cols" sId="1"/>
    <undo index="0" exp="area" ref3D="1" dr="$M$1:$N$1048576" dn="Z_72A6EB0A_84D5_4B8A_AC51_54CCD061630B_.wvu.Cols" sId="1"/>
    <undo index="0" exp="area" ref3D="1" dr="$M$1:$N$1048576" dn="Z_7ECC2B8E_6A82_42F5_8AB0_4A51C54EA5EC_.wvu.Cols" sId="1"/>
    <rfmt sheetId="1" xfDxf="1" sqref="A148:XFD148" start="0" length="0"/>
    <rcc rId="0" sId="1" dxf="1">
      <nc r="B148">
        <v>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48" t="inlineStr">
        <is>
          <t>hau.nguyen-tai</t>
        </is>
      </nc>
      <ndxf>
        <fill>
          <patternFill patternType="solid">
            <bgColor theme="3" tint="0.7999816888943144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D148">
        <f>SUMIFS($T$3:$T$144,$D$3:$D$144,Table!$C$3,$P$3:$P$144,C148)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E148">
        <f>SUMIFS($U$3:$U$144,$D$3:$D$144,Table!$C$3,$P$3:$P$144,C148)-SUM(SUMIFS($U$3:$U$144,$D$3:$D$144,Table!$C$3,$P$3:$P$144,C148,$X$3:$X$144,{"Ongoing","N/A"}))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48">
        <f>1/8*(SUMIFS($W$3:$W$144,$D$3:$D$144,Table!$C$3,$P$3:$P$144,C148)-SUM(SUMIFS($W$3:$W$144,$D$3:$D$144,Table!$C$3,$P$3:$P$144,C148,$X$3:$X$144,{"Ongoing","N/A"})))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48">
        <f>IF(ISERROR(E148/(F148)),"N/A",E148/F148)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48">
        <f>IF(ISERROR(E148/D148),"N/A",E148/D148)</f>
      </nc>
      <n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569" sId="1" ref="A148:XFD148" action="deleteRow">
    <undo index="2" exp="area" ref3D="1" dr="$Q$1:$R$1048576" dn="Z_7E0EA425_A420_4443_B9E0_CDF0AA9E5D09_.wvu.Cols" sId="1"/>
    <undo index="1" exp="area" ref3D="1" dr="$J$1:$O$1048576" dn="Z_7E0EA425_A420_4443_B9E0_CDF0AA9E5D09_.wvu.Cols" sId="1"/>
    <undo index="0" exp="area" ref3D="1" dr="$M$1:$N$1048576" dn="Z_4E06BDBF_2CED_473B_850B_2A6C7311FF41_.wvu.Cols" sId="1"/>
    <undo index="0" exp="area" ref3D="1" dr="$M$1:$N$1048576" dn="Z_72A6EB0A_84D5_4B8A_AC51_54CCD061630B_.wvu.Cols" sId="1"/>
    <undo index="0" exp="area" ref3D="1" dr="$M$1:$N$1048576" dn="Z_7ECC2B8E_6A82_42F5_8AB0_4A51C54EA5EC_.wvu.Cols" sId="1"/>
    <rfmt sheetId="1" xfDxf="1" sqref="A148:XFD148" start="0" length="0"/>
    <rcc rId="0" sId="1" dxf="1">
      <nc r="B148">
        <v>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48" t="inlineStr">
        <is>
          <t>bang.nguyen-duy</t>
        </is>
      </nc>
      <ndxf>
        <fill>
          <patternFill patternType="solid">
            <bgColor theme="3" tint="0.7999816888943144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D148">
        <f>SUMIFS($T$3:$T$144,$D$3:$D$144,Table!$C$3,$P$3:$P$144,C148)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E148">
        <f>SUMIFS($U$3:$U$144,$D$3:$D$144,Table!$C$3,$P$3:$P$144,C148)-SUM(SUMIFS($U$3:$U$144,$D$3:$D$144,Table!$C$3,$P$3:$P$144,C148,$X$3:$X$144,{"Ongoing","N/A"}))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48">
        <f>1/8*(SUMIFS($W$3:$W$144,$D$3:$D$144,Table!$C$3,$P$3:$P$144,C148)-SUM(SUMIFS($W$3:$W$144,$D$3:$D$144,Table!$C$3,$P$3:$P$144,C148,$X$3:$X$144,{"Ongoing","N/A"})))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48">
        <f>IF(ISERROR(E148/(F148)),"N/A",E148/F148)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48">
        <f>IF(ISERROR(E148/D148),"N/A",E148/D148)</f>
      </nc>
      <n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570" sId="1" ref="A148:XFD148" action="deleteRow">
    <undo index="2" exp="area" ref3D="1" dr="$Q$1:$R$1048576" dn="Z_7E0EA425_A420_4443_B9E0_CDF0AA9E5D09_.wvu.Cols" sId="1"/>
    <undo index="1" exp="area" ref3D="1" dr="$J$1:$O$1048576" dn="Z_7E0EA425_A420_4443_B9E0_CDF0AA9E5D09_.wvu.Cols" sId="1"/>
    <undo index="0" exp="area" ref3D="1" dr="$M$1:$N$1048576" dn="Z_4E06BDBF_2CED_473B_850B_2A6C7311FF41_.wvu.Cols" sId="1"/>
    <undo index="0" exp="area" ref3D="1" dr="$M$1:$N$1048576" dn="Z_72A6EB0A_84D5_4B8A_AC51_54CCD061630B_.wvu.Cols" sId="1"/>
    <undo index="0" exp="area" ref3D="1" dr="$M$1:$N$1048576" dn="Z_7ECC2B8E_6A82_42F5_8AB0_4A51C54EA5EC_.wvu.Cols" sId="1"/>
    <rfmt sheetId="1" xfDxf="1" sqref="A148:XFD148" start="0" length="0"/>
    <rcc rId="0" sId="1" dxf="1">
      <nc r="B148">
        <v>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48" t="inlineStr">
        <is>
          <t>dac.luu-cong</t>
        </is>
      </nc>
      <ndxf>
        <fill>
          <patternFill patternType="solid">
            <bgColor theme="3" tint="0.7999816888943144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D148">
        <f>SUMIFS($T$3:$T$144,$D$3:$D$144,Table!$C$3,$P$3:$P$144,C148)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E148">
        <f>SUMIFS($U$3:$U$144,$D$3:$D$144,Table!$C$3,$P$3:$P$144,C148)-SUM(SUMIFS($U$3:$U$144,$D$3:$D$144,Table!$C$3,$P$3:$P$144,C148,$X$3:$X$144,{"Ongoing","N/A"}))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48">
        <f>1/8*(SUMIFS($W$3:$W$144,$D$3:$D$144,Table!$C$3,$P$3:$P$144,C148)-SUM(SUMIFS($W$3:$W$144,$D$3:$D$144,Table!$C$3,$P$3:$P$144,C148,$X$3:$X$144,{"Ongoing","N/A"})))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48">
        <f>IF(ISERROR(E148/(F148)),"N/A",E148/F148)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48">
        <f>IF(ISERROR(E148/D148),"N/A",E148/D148)</f>
      </nc>
      <n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2571" sId="1">
    <oc r="B148">
      <v>5</v>
    </oc>
    <nc r="B148">
      <v>1</v>
    </nc>
  </rcc>
  <rcc rId="2572" sId="1">
    <oc r="B149">
      <v>6</v>
    </oc>
    <nc r="B149">
      <v>2</v>
    </nc>
  </rcc>
  <rcc rId="2573" sId="1">
    <oc r="B150">
      <v>7</v>
    </oc>
    <nc r="B150">
      <v>3</v>
    </nc>
  </rcc>
  <rcc rId="2574" sId="1">
    <oc r="B151">
      <v>8</v>
    </oc>
    <nc r="B151">
      <v>4</v>
    </nc>
  </rcc>
  <rrc rId="2575" sId="1" ref="A129:XFD144" action="insertRow">
    <undo index="2" exp="area" ref3D="1" dr="$Q$1:$R$1048576" dn="Z_7E0EA425_A420_4443_B9E0_CDF0AA9E5D09_.wvu.Cols" sId="1"/>
    <undo index="1" exp="area" ref3D="1" dr="$J$1:$O$1048576" dn="Z_7E0EA425_A420_4443_B9E0_CDF0AA9E5D09_.wvu.Cols" sId="1"/>
    <undo index="0" exp="area" ref3D="1" dr="$M$1:$N$1048576" dn="Z_4E06BDBF_2CED_473B_850B_2A6C7311FF41_.wvu.Cols" sId="1"/>
    <undo index="0" exp="area" ref3D="1" dr="$M$1:$N$1048576" dn="Z_72A6EB0A_84D5_4B8A_AC51_54CCD061630B_.wvu.Cols" sId="1"/>
    <undo index="0" exp="area" ref3D="1" dr="$M$1:$N$1048576" dn="Z_7ECC2B8E_6A82_42F5_8AB0_4A51C54EA5EC_.wvu.Cols" sId="1"/>
  </rrc>
  <rcc rId="2576" sId="1">
    <nc r="B129">
      <f>B128+1</f>
    </nc>
  </rcc>
  <rcc rId="2577" sId="1">
    <nc r="B130">
      <f>B129+1</f>
    </nc>
  </rcc>
  <rcc rId="2578" sId="1">
    <nc r="B131">
      <f>B130+1</f>
    </nc>
  </rcc>
  <rcc rId="2579" sId="1">
    <nc r="B132">
      <f>B131+1</f>
    </nc>
  </rcc>
  <rcc rId="2580" sId="1">
    <nc r="B133">
      <f>B132+1</f>
    </nc>
  </rcc>
  <rcc rId="2581" sId="1">
    <nc r="B134">
      <f>B133+1</f>
    </nc>
  </rcc>
  <rcc rId="2582" sId="1">
    <nc r="B135">
      <f>B134+1</f>
    </nc>
  </rcc>
  <rcc rId="2583" sId="1">
    <nc r="B136">
      <f>B135+1</f>
    </nc>
  </rcc>
  <rcc rId="2584" sId="1">
    <nc r="B137">
      <f>B136+1</f>
    </nc>
  </rcc>
  <rcc rId="2585" sId="1">
    <nc r="B138">
      <f>B137+1</f>
    </nc>
  </rcc>
  <rcc rId="2586" sId="1">
    <nc r="B139">
      <f>B138+1</f>
    </nc>
  </rcc>
  <rcc rId="2587" sId="1">
    <nc r="B140">
      <f>B139+1</f>
    </nc>
  </rcc>
  <rcc rId="2588" sId="1">
    <nc r="B141">
      <f>B140+1</f>
    </nc>
  </rcc>
  <rcc rId="2589" sId="1">
    <nc r="B142">
      <f>B141+1</f>
    </nc>
  </rcc>
  <rcc rId="2590" sId="1">
    <nc r="B143">
      <f>B142+1</f>
    </nc>
  </rcc>
  <rcc rId="2591" sId="1">
    <nc r="B144">
      <f>B143+1</f>
    </nc>
  </rcc>
  <rcc rId="2592" sId="1">
    <oc r="B145">
      <f>B128+1</f>
    </oc>
    <nc r="B145">
      <f>B144+1</f>
    </nc>
  </rcc>
  <rcc rId="2593" sId="1">
    <oc r="B146">
      <f>B145+1</f>
    </oc>
    <nc r="B146">
      <f>B145+1</f>
    </nc>
  </rcc>
  <rcc rId="2594" sId="1">
    <oc r="B147">
      <f>B146+1</f>
    </oc>
    <nc r="B147">
      <f>B146+1</f>
    </nc>
  </rcc>
  <rcc rId="2595" sId="1">
    <oc r="B148">
      <f>B147+1</f>
    </oc>
    <nc r="B148">
      <f>B147+1</f>
    </nc>
  </rcc>
  <rcc rId="2596" sId="1">
    <oc r="B149">
      <f>B148+1</f>
    </oc>
    <nc r="B149">
      <f>B148+1</f>
    </nc>
  </rcc>
  <rcc rId="2597" sId="1">
    <oc r="B150">
      <f>B149+1</f>
    </oc>
    <nc r="B150">
      <f>B149+1</f>
    </nc>
  </rcc>
  <rcc rId="2598" sId="1">
    <oc r="B151">
      <f>B150+1</f>
    </oc>
    <nc r="B151">
      <f>B150+1</f>
    </nc>
  </rcc>
  <rcc rId="2599" sId="1">
    <oc r="B152">
      <f>B151+1</f>
    </oc>
    <nc r="B152">
      <f>B151+1</f>
    </nc>
  </rcc>
  <rcc rId="2600" sId="1">
    <oc r="B153">
      <f>B152+1</f>
    </oc>
    <nc r="B153">
      <f>B152+1</f>
    </nc>
  </rcc>
  <rcc rId="2601" sId="1">
    <oc r="B154">
      <f>B153+1</f>
    </oc>
    <nc r="B154">
      <f>B153+1</f>
    </nc>
  </rcc>
  <rcc rId="2602" sId="1">
    <oc r="B155">
      <f>B154+1</f>
    </oc>
    <nc r="B155">
      <f>B154+1</f>
    </nc>
  </rcc>
  <rcc rId="2603" sId="1">
    <oc r="B156">
      <f>B155+1</f>
    </oc>
    <nc r="B156">
      <f>B155+1</f>
    </nc>
  </rcc>
  <rcc rId="2604" sId="1">
    <oc r="B157">
      <f>B156+1</f>
    </oc>
    <nc r="B157">
      <f>B156+1</f>
    </nc>
  </rcc>
  <rcc rId="2605" sId="1">
    <oc r="B158">
      <f>B157+1</f>
    </oc>
    <nc r="B158">
      <f>B157+1</f>
    </nc>
  </rcc>
  <rcc rId="2606" sId="1">
    <oc r="B159">
      <f>B158+1</f>
    </oc>
    <nc r="B159">
      <f>B158+1</f>
    </nc>
  </rcc>
  <rcc rId="2607" sId="1">
    <oc r="B160">
      <f>B159+1</f>
    </oc>
    <nc r="B160">
      <f>B159+1</f>
    </nc>
  </rcc>
  <rcc rId="2608" sId="1">
    <nc r="C105">
      <v>20200312</v>
    </nc>
  </rcc>
  <rfmt sheetId="1" sqref="E105" start="0" length="0">
    <dxf>
      <alignment horizontal="general" vertical="bottom" readingOrder="0"/>
      <border outline="0">
        <left/>
        <right/>
        <top/>
        <bottom/>
      </border>
    </dxf>
  </rfmt>
  <rfmt sheetId="1" sqref="E106" start="0" length="0">
    <dxf>
      <alignment horizontal="general" vertical="bottom" readingOrder="0"/>
      <border outline="0">
        <left/>
        <right/>
        <top/>
        <bottom/>
      </border>
    </dxf>
  </rfmt>
  <rfmt sheetId="1" sqref="E107" start="0" length="0">
    <dxf>
      <alignment horizontal="general" vertical="bottom" readingOrder="0"/>
      <border outline="0">
        <left/>
        <right/>
        <top/>
        <bottom/>
      </border>
    </dxf>
  </rfmt>
  <rfmt sheetId="1" sqref="E108" start="0" length="0">
    <dxf>
      <alignment horizontal="general" vertical="bottom" readingOrder="0"/>
      <border outline="0">
        <left/>
        <right/>
        <top/>
        <bottom/>
      </border>
    </dxf>
  </rfmt>
  <rfmt sheetId="1" sqref="E109" start="0" length="0">
    <dxf>
      <alignment horizontal="general" vertical="bottom" readingOrder="0"/>
      <border outline="0">
        <left/>
        <right/>
        <top/>
        <bottom/>
      </border>
    </dxf>
  </rfmt>
  <rfmt sheetId="1" sqref="E110" start="0" length="0">
    <dxf>
      <alignment horizontal="general" vertical="bottom" readingOrder="0"/>
      <border outline="0">
        <left/>
        <right/>
        <top/>
        <bottom/>
      </border>
    </dxf>
  </rfmt>
  <rfmt sheetId="1" sqref="E111" start="0" length="0">
    <dxf>
      <alignment horizontal="general" vertical="bottom" readingOrder="0"/>
      <border outline="0">
        <left/>
        <right/>
        <top/>
        <bottom/>
      </border>
    </dxf>
  </rfmt>
  <rfmt sheetId="1" sqref="E112" start="0" length="0">
    <dxf>
      <alignment horizontal="general" vertical="bottom" readingOrder="0"/>
      <border outline="0">
        <left/>
        <right/>
        <top/>
        <bottom/>
      </border>
    </dxf>
  </rfmt>
  <rfmt sheetId="1" sqref="E113" start="0" length="0">
    <dxf>
      <alignment horizontal="general" vertical="bottom" readingOrder="0"/>
      <border outline="0">
        <left/>
        <right/>
        <top/>
        <bottom/>
      </border>
    </dxf>
  </rfmt>
  <rfmt sheetId="1" sqref="E114" start="0" length="0">
    <dxf>
      <alignment horizontal="general" vertical="bottom" readingOrder="0"/>
      <border outline="0">
        <left/>
        <right/>
        <top/>
        <bottom/>
      </border>
    </dxf>
  </rfmt>
  <rfmt sheetId="1" sqref="E115" start="0" length="0">
    <dxf>
      <alignment horizontal="general" vertical="bottom" readingOrder="0"/>
      <border outline="0">
        <left/>
        <right/>
        <top/>
        <bottom/>
      </border>
    </dxf>
  </rfmt>
  <rfmt sheetId="1" sqref="E116" start="0" length="0">
    <dxf>
      <alignment horizontal="general" vertical="bottom" readingOrder="0"/>
      <border outline="0">
        <left/>
        <right/>
        <top/>
        <bottom/>
      </border>
    </dxf>
  </rfmt>
  <rfmt sheetId="1" sqref="E117" start="0" length="0">
    <dxf>
      <alignment horizontal="general" vertical="bottom" readingOrder="0"/>
      <border outline="0">
        <left/>
        <right/>
        <top/>
        <bottom/>
      </border>
    </dxf>
  </rfmt>
  <rfmt sheetId="1" sqref="E118" start="0" length="0">
    <dxf>
      <alignment horizontal="general" vertical="bottom" readingOrder="0"/>
      <border outline="0">
        <left/>
        <right/>
        <top/>
        <bottom/>
      </border>
    </dxf>
  </rfmt>
  <rfmt sheetId="1" sqref="E119" start="0" length="0">
    <dxf>
      <alignment horizontal="general" vertical="bottom" readingOrder="0"/>
      <border outline="0">
        <left/>
        <right/>
        <top/>
        <bottom/>
      </border>
    </dxf>
  </rfmt>
  <rfmt sheetId="1" xfDxf="1" sqref="E105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06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07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08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09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10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11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12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13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14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15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16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17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18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19" start="0" length="0">
    <dxf>
      <font>
        <sz val="10"/>
        <color rgb="FF000000"/>
        <name val="Arial"/>
        <scheme val="none"/>
      </font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cc rId="2609" sId="1" odxf="1" dxf="1">
    <nc r="E105" t="inlineStr">
      <is>
        <t>221259_FAW_C105EV_L2_ESPhev_BL62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0" sId="1" odxf="1" dxf="1">
    <nc r="E106" t="inlineStr">
      <is>
        <t>221259_FAW_C105EV_L2_ESPhev_BL62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1" sId="1" odxf="1" dxf="1">
    <nc r="E107" t="inlineStr">
      <is>
        <t>MC_232534_SGMW_CN202C_ESP9.3CPi_ACC_BSS04_SP02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2" sId="1" odxf="1" dxf="1">
    <nc r="E108" t="inlineStr">
      <is>
        <t>MC_232534_SGMW_CN202C_ESP9.3CPi_ACC_BSS04_SP02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3" sId="1" odxf="1" dxf="1">
    <nc r="E109" t="inlineStr">
      <is>
        <t>BYD_IPB_SW_Mainstream_BL05_SP09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4" sId="1" odxf="1" dxf="1">
    <nc r="E110" t="inlineStr">
      <is>
        <t>BYD_Carbon_Mainstream_BL01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5" sId="1" odxf="1" dxf="1">
    <nc r="E111" t="inlineStr">
      <is>
        <t>BYD_Carbon_Mainstream_BL01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6" sId="1" odxf="1" dxf="1">
    <nc r="E112" t="inlineStr">
      <is>
        <t>BYD_Carbon_Mainstream_BL01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7" sId="1" odxf="1" dxf="1">
    <nc r="E113" t="inlineStr">
      <is>
        <t>BYD_Carbon_Mainstream_BL01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8" sId="1" odxf="1" dxf="1">
    <nc r="E114" t="inlineStr">
      <is>
        <t>BYD_Carbon_Mainstream_BL01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9" sId="1" odxf="1" dxf="1">
    <nc r="E115" t="inlineStr">
      <is>
        <t>BYD_Carbon_Mainstream_BL01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0" sId="1" odxf="1" dxf="1">
    <nc r="E116" t="inlineStr">
      <is>
        <t>BYD_Carbon_Mainstream_BL01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1" sId="1" odxf="1" dxf="1">
    <nc r="E117" t="inlineStr">
      <is>
        <t>BYD_Carbon_Mainstream_BL01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2" sId="1" odxf="1" dxf="1">
    <nc r="E118" t="inlineStr">
      <is>
        <t>BYD_Carbon_Mainstream_BL01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3" sId="1" odxf="1" dxf="1">
    <nc r="E119" t="inlineStr">
      <is>
        <t>BYD_Carbon_Mainstream_BL01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4" sId="1">
    <nc r="D105" t="inlineStr">
      <is>
        <t>PSW</t>
      </is>
    </nc>
  </rcc>
  <rcc rId="2625" sId="1">
    <nc r="D106" t="inlineStr">
      <is>
        <t>PSW</t>
      </is>
    </nc>
  </rcc>
  <rcc rId="2626" sId="1">
    <nc r="D107" t="inlineStr">
      <is>
        <t>PSW</t>
      </is>
    </nc>
  </rcc>
  <rcc rId="2627" sId="1">
    <nc r="D108" t="inlineStr">
      <is>
        <t>PSW</t>
      </is>
    </nc>
  </rcc>
  <rcc rId="2628" sId="1">
    <nc r="D109" t="inlineStr">
      <is>
        <t>PSW</t>
      </is>
    </nc>
  </rcc>
  <rcc rId="2629" sId="1">
    <nc r="D110" t="inlineStr">
      <is>
        <t>PSW</t>
      </is>
    </nc>
  </rcc>
  <rcc rId="2630" sId="1">
    <nc r="D111" t="inlineStr">
      <is>
        <t>PSW</t>
      </is>
    </nc>
  </rcc>
  <rcc rId="2631" sId="1">
    <nc r="D112" t="inlineStr">
      <is>
        <t>PSW</t>
      </is>
    </nc>
  </rcc>
  <rcc rId="2632" sId="1">
    <nc r="D113" t="inlineStr">
      <is>
        <t>PSW</t>
      </is>
    </nc>
  </rcc>
  <rcc rId="2633" sId="1">
    <nc r="D114" t="inlineStr">
      <is>
        <t>PSW</t>
      </is>
    </nc>
  </rcc>
  <rcc rId="2634" sId="1">
    <nc r="D115" t="inlineStr">
      <is>
        <t>PSW</t>
      </is>
    </nc>
  </rcc>
  <rcc rId="2635" sId="1">
    <nc r="D116" t="inlineStr">
      <is>
        <t>PSW</t>
      </is>
    </nc>
  </rcc>
  <rcc rId="2636" sId="1">
    <nc r="D117" t="inlineStr">
      <is>
        <t>PSW</t>
      </is>
    </nc>
  </rcc>
  <rcc rId="2637" sId="1">
    <nc r="D118" t="inlineStr">
      <is>
        <t>PSW</t>
      </is>
    </nc>
  </rcc>
  <rcc rId="2638" sId="1">
    <nc r="D119" t="inlineStr">
      <is>
        <t>PSW</t>
      </is>
    </nc>
  </rcc>
  <rcc rId="2639" sId="1">
    <nc r="C106">
      <v>20200312</v>
    </nc>
  </rcc>
  <rcc rId="2640" sId="1">
    <nc r="C107">
      <v>20200312</v>
    </nc>
  </rcc>
  <rcc rId="2641" sId="1">
    <nc r="C108">
      <v>20200312</v>
    </nc>
  </rcc>
  <rcc rId="2642" sId="1">
    <nc r="C109">
      <v>20200312</v>
    </nc>
  </rcc>
  <rcc rId="2643" sId="1">
    <nc r="C110">
      <v>20200312</v>
    </nc>
  </rcc>
  <rcc rId="2644" sId="1">
    <nc r="C111">
      <v>20200312</v>
    </nc>
  </rcc>
  <rcc rId="2645" sId="1">
    <nc r="C112">
      <v>20200312</v>
    </nc>
  </rcc>
  <rcc rId="2646" sId="1">
    <nc r="C113">
      <v>20200312</v>
    </nc>
  </rcc>
  <rcc rId="2647" sId="1">
    <nc r="C114">
      <v>20200312</v>
    </nc>
  </rcc>
  <rcc rId="2648" sId="1">
    <nc r="C115">
      <v>20200312</v>
    </nc>
  </rcc>
  <rcc rId="2649" sId="1">
    <nc r="C116">
      <v>20200312</v>
    </nc>
  </rcc>
  <rcc rId="2650" sId="1">
    <nc r="C117">
      <v>20200312</v>
    </nc>
  </rcc>
  <rcc rId="2651" sId="1">
    <nc r="C118">
      <v>20200312</v>
    </nc>
  </rcc>
  <rcc rId="2652" sId="1">
    <nc r="C119">
      <v>20200312</v>
    </nc>
  </rcc>
  <rfmt sheetId="1" sqref="B105:B119">
    <dxf>
      <fill>
        <patternFill patternType="solid">
          <bgColor rgb="FF92D050"/>
        </patternFill>
      </fill>
    </dxf>
  </rfmt>
  <rfmt sheetId="1" sqref="F105" start="0" length="0">
    <dxf>
      <alignment horizontal="general" vertical="bottom" readingOrder="0"/>
      <border outline="0">
        <left/>
        <right/>
        <top/>
        <bottom/>
      </border>
    </dxf>
  </rfmt>
  <rfmt sheetId="1" sqref="F106" start="0" length="0">
    <dxf>
      <alignment horizontal="general" vertical="bottom" readingOrder="0"/>
      <border outline="0">
        <left/>
        <right/>
        <top/>
        <bottom/>
      </border>
    </dxf>
  </rfmt>
  <rfmt sheetId="1" sqref="F107" start="0" length="0">
    <dxf>
      <alignment horizontal="general" vertical="bottom" readingOrder="0"/>
      <border outline="0">
        <left/>
        <right/>
        <top/>
        <bottom/>
      </border>
    </dxf>
  </rfmt>
  <rfmt sheetId="1" sqref="F108" start="0" length="0">
    <dxf>
      <alignment horizontal="general" vertical="bottom" readingOrder="0"/>
      <border outline="0">
        <left/>
        <right/>
        <top/>
        <bottom/>
      </border>
    </dxf>
  </rfmt>
  <rfmt sheetId="1" sqref="F109" start="0" length="0">
    <dxf>
      <alignment horizontal="general" vertical="bottom" readingOrder="0"/>
      <border outline="0">
        <left/>
        <right/>
        <top/>
        <bottom/>
      </border>
    </dxf>
  </rfmt>
  <rfmt sheetId="1" sqref="F110" start="0" length="0">
    <dxf>
      <alignment horizontal="general" vertical="bottom" readingOrder="0"/>
      <border outline="0">
        <left/>
        <right/>
        <top/>
        <bottom/>
      </border>
    </dxf>
  </rfmt>
  <rfmt sheetId="1" sqref="F111" start="0" length="0">
    <dxf>
      <alignment horizontal="general" vertical="bottom" readingOrder="0"/>
      <border outline="0">
        <left/>
        <right/>
        <top/>
        <bottom/>
      </border>
    </dxf>
  </rfmt>
  <rfmt sheetId="1" sqref="F112" start="0" length="0">
    <dxf>
      <alignment horizontal="general" vertical="bottom" readingOrder="0"/>
      <border outline="0">
        <left/>
        <right/>
        <top/>
        <bottom/>
      </border>
    </dxf>
  </rfmt>
  <rfmt sheetId="1" sqref="F113" start="0" length="0">
    <dxf>
      <alignment horizontal="general" vertical="bottom" readingOrder="0"/>
      <border outline="0">
        <left/>
        <right/>
        <top/>
        <bottom/>
      </border>
    </dxf>
  </rfmt>
  <rfmt sheetId="1" sqref="F114" start="0" length="0">
    <dxf>
      <alignment horizontal="general" vertical="bottom" readingOrder="0"/>
      <border outline="0">
        <left/>
        <right/>
        <top/>
        <bottom/>
      </border>
    </dxf>
  </rfmt>
  <rfmt sheetId="1" sqref="F115" start="0" length="0">
    <dxf>
      <alignment horizontal="general" vertical="bottom" readingOrder="0"/>
      <border outline="0">
        <left/>
        <right/>
        <top/>
        <bottom/>
      </border>
    </dxf>
  </rfmt>
  <rfmt sheetId="1" sqref="F116" start="0" length="0">
    <dxf>
      <alignment horizontal="general" vertical="bottom" readingOrder="0"/>
      <border outline="0">
        <left/>
        <right/>
        <top/>
        <bottom/>
      </border>
    </dxf>
  </rfmt>
  <rfmt sheetId="1" sqref="F117" start="0" length="0">
    <dxf>
      <alignment horizontal="general" vertical="bottom" readingOrder="0"/>
      <border outline="0">
        <left/>
        <right/>
        <top/>
        <bottom/>
      </border>
    </dxf>
  </rfmt>
  <rfmt sheetId="1" sqref="F118" start="0" length="0">
    <dxf>
      <alignment horizontal="general" vertical="bottom" readingOrder="0"/>
      <border outline="0">
        <left/>
        <right/>
        <top/>
        <bottom/>
      </border>
    </dxf>
  </rfmt>
  <rfmt sheetId="1" sqref="F119" start="0" length="0">
    <dxf>
      <alignment horizontal="general" vertical="bottom" readingOrder="0"/>
      <border outline="0">
        <left/>
        <right/>
        <top/>
        <bottom/>
      </border>
    </dxf>
  </rfmt>
  <rfmt sheetId="1" xfDxf="1" sqref="F105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06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07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08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09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10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11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12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13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14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15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16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17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18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F119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cc rId="2653" sId="1" odxf="1" dxf="1" quotePrefix="1">
    <nc r="F105" t="inlineStr">
      <is>
        <t>rb\as\cnms_core\app\net\scl_callout\src\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54" sId="1" odxf="1" dxf="1" quotePrefix="1">
    <nc r="F106" t="inlineStr">
      <is>
        <t>rb\as\fawhevx\fawcore\app\net\RBScl\src\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F107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8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9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55" sId="1" odxf="1" dxf="1" quotePrefix="1">
    <nc r="F110" t="inlineStr">
      <is>
        <t>\MainstreamF30\rb\as\byd\Bydcarbon\app\net\RBScl_Callout\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56" sId="1" odxf="1" dxf="1" quotePrefix="1">
    <nc r="F111" t="inlineStr">
      <is>
        <t>\MainstreamF30\rb\as\byd\Bydcarbon\app\net\RBScl_Callout\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57" sId="1" odxf="1" dxf="1" quotePrefix="1">
    <nc r="F112" t="inlineStr">
      <is>
        <t>\MainstreamF30\rb\as\byd\Bydcarbon\app\net\RBScl_Callout\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58" sId="1" odxf="1" dxf="1" quotePrefix="1">
    <nc r="F113" t="inlineStr">
      <is>
        <t>\MainstreamF30\rb\as\byd\Bydcarbon\app\net\RBScl_Callout\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59" sId="1" odxf="1" dxf="1" quotePrefix="1">
    <nc r="F114" t="inlineStr">
      <is>
        <t>\MainstreamF30\rb\as\byd\Bydcarbon\app\net\RBScl_Callout\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60" sId="1" odxf="1" dxf="1" quotePrefix="1">
    <nc r="F115" t="inlineStr">
      <is>
        <t>\MainstreamF30\rb\as\byd\Bydcarbon\app\net\RBScl_Callout\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61" sId="1" odxf="1" dxf="1" quotePrefix="1">
    <nc r="F116" t="inlineStr">
      <is>
        <t>\MainstreamF30\rb\as\byd\Bydcarbon\app\net\RBScl_Callout\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62" sId="1" odxf="1" dxf="1" quotePrefix="1">
    <nc r="F117" t="inlineStr">
      <is>
        <t>\MainstreamF30\rb\as\byd\Bydcarbon\app\net\RBScl_Callout\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63" sId="1" odxf="1" dxf="1" quotePrefix="1">
    <nc r="F118" t="inlineStr">
      <is>
        <t xml:space="preserve">\MainstreamF30\rb\as\byd\Bydcarbon\app\net\RBScl\        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64" sId="1" odxf="1" dxf="1" quotePrefix="1">
    <nc r="F119" t="inlineStr">
      <is>
        <t xml:space="preserve">\MainstreamF30\rb\as\byd\Bydcarbon\app\net\RBScl\ 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65" sId="1" quotePrefix="1">
    <nc r="F107" t="inlineStr">
      <is>
        <t>\rb\as\sgmw\CN210S\app\net\RBScl\RBScl_SGMW\src\</t>
      </is>
    </nc>
  </rcc>
  <rcc rId="2666" sId="1" quotePrefix="1">
    <nc r="F108" t="inlineStr">
      <is>
        <t>\rb\as\sgmw\CN210S\app\net\RBScl\RBScl_SGMW\src\</t>
      </is>
    </nc>
  </rcc>
  <rfmt sheetId="1" sqref="G105" start="0" length="0">
    <dxf>
      <alignment horizontal="general" vertical="bottom" readingOrder="0"/>
      <border outline="0">
        <left/>
        <right/>
        <top/>
        <bottom/>
      </border>
    </dxf>
  </rfmt>
  <rfmt sheetId="1" sqref="G106" start="0" length="0">
    <dxf>
      <alignment horizontal="general" vertical="bottom" readingOrder="0"/>
      <border outline="0">
        <left/>
        <right/>
        <top/>
        <bottom/>
      </border>
    </dxf>
  </rfmt>
  <rfmt sheetId="1" sqref="G107" start="0" length="0">
    <dxf>
      <alignment horizontal="general" vertical="bottom" readingOrder="0"/>
      <border outline="0">
        <left/>
        <right/>
        <top/>
        <bottom/>
      </border>
    </dxf>
  </rfmt>
  <rfmt sheetId="1" sqref="G108" start="0" length="0">
    <dxf>
      <alignment horizontal="general" vertical="bottom" readingOrder="0"/>
      <border outline="0">
        <left/>
        <right/>
        <top/>
        <bottom/>
      </border>
    </dxf>
  </rfmt>
  <rfmt sheetId="1" sqref="G109" start="0" length="0">
    <dxf>
      <alignment horizontal="general" vertical="bottom" readingOrder="0"/>
      <border outline="0">
        <left/>
        <right/>
        <top/>
        <bottom/>
      </border>
    </dxf>
  </rfmt>
  <rfmt sheetId="1" sqref="G110" start="0" length="0">
    <dxf>
      <alignment horizontal="general" vertical="bottom" readingOrder="0"/>
      <border outline="0">
        <left/>
        <right/>
        <top/>
        <bottom/>
      </border>
    </dxf>
  </rfmt>
  <rfmt sheetId="1" sqref="G111" start="0" length="0">
    <dxf>
      <alignment horizontal="general" vertical="bottom" readingOrder="0"/>
      <border outline="0">
        <left/>
        <right/>
        <top/>
        <bottom/>
      </border>
    </dxf>
  </rfmt>
  <rfmt sheetId="1" sqref="G112" start="0" length="0">
    <dxf>
      <alignment horizontal="general" vertical="bottom" readingOrder="0"/>
      <border outline="0">
        <left/>
        <right/>
        <top/>
        <bottom/>
      </border>
    </dxf>
  </rfmt>
  <rfmt sheetId="1" sqref="G113" start="0" length="0">
    <dxf>
      <alignment horizontal="general" vertical="bottom" readingOrder="0"/>
      <border outline="0">
        <left/>
        <right/>
        <top/>
        <bottom/>
      </border>
    </dxf>
  </rfmt>
  <rfmt sheetId="1" sqref="G114" start="0" length="0">
    <dxf>
      <alignment horizontal="general" vertical="bottom" readingOrder="0"/>
      <border outline="0">
        <left/>
        <right/>
        <top/>
        <bottom/>
      </border>
    </dxf>
  </rfmt>
  <rfmt sheetId="1" sqref="G115" start="0" length="0">
    <dxf>
      <alignment horizontal="general" vertical="bottom" readingOrder="0"/>
      <border outline="0">
        <left/>
        <right/>
        <top/>
        <bottom/>
      </border>
    </dxf>
  </rfmt>
  <rfmt sheetId="1" sqref="G116" start="0" length="0">
    <dxf>
      <alignment horizontal="general" vertical="bottom" readingOrder="0"/>
      <border outline="0">
        <left/>
        <right/>
        <top/>
        <bottom/>
      </border>
    </dxf>
  </rfmt>
  <rfmt sheetId="1" sqref="G117" start="0" length="0">
    <dxf>
      <alignment horizontal="general" vertical="bottom" readingOrder="0"/>
      <border outline="0">
        <left/>
        <right/>
        <top/>
        <bottom/>
      </border>
    </dxf>
  </rfmt>
  <rfmt sheetId="1" sqref="G118" start="0" length="0">
    <dxf>
      <alignment horizontal="general" vertical="bottom" readingOrder="0"/>
      <border outline="0">
        <left/>
        <right/>
        <top/>
        <bottom/>
      </border>
    </dxf>
  </rfmt>
  <rfmt sheetId="1" sqref="G119" start="0" length="0">
    <dxf>
      <alignment horizontal="general" vertical="bottom" readingOrder="0"/>
      <border outline="0">
        <left/>
        <right/>
        <top/>
        <bottom/>
      </border>
    </dxf>
  </rfmt>
  <rcc rId="2667" sId="1" xfDxf="1" dxf="1">
    <nc r="G105">
      <v>1368920</v>
    </nc>
    <ndxf>
      <font>
        <sz val="10"/>
        <color rgb="FF9C0006"/>
        <name val="Arial"/>
        <scheme val="none"/>
      </font>
      <fill>
        <patternFill patternType="solid">
          <bgColor rgb="FFFFC7CE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668" sId="1" xfDxf="1" dxf="1">
    <nc r="G106">
      <v>1368920</v>
    </nc>
    <ndxf>
      <font>
        <sz val="10"/>
        <color rgb="FF9C0006"/>
        <name val="Arial"/>
        <scheme val="none"/>
      </font>
      <fill>
        <patternFill patternType="solid">
          <bgColor rgb="FFFFC7CE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669" sId="1" xfDxf="1" dxf="1">
    <nc r="G107">
      <v>1368889</v>
    </nc>
    <ndxf>
      <font>
        <sz val="10"/>
        <color rgb="FF9C0006"/>
        <name val="Arial"/>
        <scheme val="none"/>
      </font>
      <fill>
        <patternFill patternType="solid">
          <bgColor rgb="FFFFC7CE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670" sId="1" xfDxf="1" dxf="1">
    <nc r="G108">
      <v>1368889</v>
    </nc>
    <ndxf>
      <font>
        <sz val="10"/>
        <color rgb="FF9C0006"/>
        <name val="Arial"/>
        <scheme val="none"/>
      </font>
      <fill>
        <patternFill patternType="solid">
          <bgColor rgb="FFFFC7CE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671" sId="1" xfDxf="1" dxf="1">
    <nc r="G109">
      <v>1359407</v>
    </nc>
    <n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672" sId="1" xfDxf="1" dxf="1">
    <nc r="G110">
      <v>1264979</v>
    </nc>
    <ndxf>
      <font>
        <sz val="10"/>
        <color rgb="FF9C0006"/>
        <name val="Arial"/>
        <scheme val="none"/>
      </font>
      <fill>
        <patternFill patternType="solid">
          <bgColor rgb="FFFFC7CE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673" sId="1" xfDxf="1" dxf="1">
    <nc r="G111">
      <v>1264979</v>
    </nc>
    <ndxf>
      <font>
        <sz val="10"/>
        <color rgb="FF9C0006"/>
        <name val="Arial"/>
        <scheme val="none"/>
      </font>
      <fill>
        <patternFill patternType="solid">
          <bgColor rgb="FFFFC7CE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674" sId="1" xfDxf="1" dxf="1">
    <nc r="G112">
      <v>1264979</v>
    </nc>
    <ndxf>
      <font>
        <sz val="10"/>
        <color rgb="FF9C0006"/>
        <name val="Arial"/>
        <scheme val="none"/>
      </font>
      <fill>
        <patternFill patternType="solid">
          <bgColor rgb="FFFFC7CE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675" sId="1" xfDxf="1" dxf="1">
    <nc r="G113">
      <v>1264979</v>
    </nc>
    <ndxf>
      <font>
        <sz val="10"/>
        <color rgb="FF9C0006"/>
        <name val="Arial"/>
        <scheme val="none"/>
      </font>
      <fill>
        <patternFill patternType="solid">
          <bgColor rgb="FFFFC7CE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676" sId="1" xfDxf="1" dxf="1">
    <nc r="G114">
      <v>1264979</v>
    </nc>
    <ndxf>
      <font>
        <sz val="10"/>
        <color rgb="FF9C0006"/>
        <name val="Arial"/>
        <scheme val="none"/>
      </font>
      <fill>
        <patternFill patternType="solid">
          <bgColor rgb="FFFFC7CE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677" sId="1" xfDxf="1" dxf="1">
    <nc r="G115">
      <v>1264979</v>
    </nc>
    <ndxf>
      <font>
        <sz val="10"/>
        <color rgb="FF9C0006"/>
        <name val="Arial"/>
        <scheme val="none"/>
      </font>
      <fill>
        <patternFill patternType="solid">
          <bgColor rgb="FFFFC7CE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678" sId="1" xfDxf="1" dxf="1">
    <nc r="G116">
      <v>1264979</v>
    </nc>
    <ndxf>
      <font>
        <sz val="10"/>
        <color rgb="FF9C0006"/>
        <name val="Arial"/>
        <scheme val="none"/>
      </font>
      <fill>
        <patternFill patternType="solid">
          <bgColor rgb="FFFFC7CE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679" sId="1" xfDxf="1" dxf="1">
    <nc r="G117">
      <v>1264979</v>
    </nc>
    <ndxf>
      <font>
        <sz val="10"/>
        <color rgb="FF9C0006"/>
        <name val="Arial"/>
        <scheme val="none"/>
      </font>
      <fill>
        <patternFill patternType="solid">
          <bgColor rgb="FFFFC7CE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680" sId="1" xfDxf="1" dxf="1">
    <nc r="G118">
      <v>1264979</v>
    </nc>
    <ndxf>
      <font>
        <sz val="10"/>
        <color rgb="FF9C0006"/>
        <name val="Arial"/>
        <scheme val="none"/>
      </font>
      <fill>
        <patternFill patternType="solid">
          <bgColor rgb="FFFFC7CE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681" sId="1" xfDxf="1" dxf="1">
    <nc r="G119">
      <v>1264979</v>
    </nc>
    <ndxf>
      <font>
        <sz val="10"/>
        <color rgb="FF9C0006"/>
        <name val="Arial"/>
        <scheme val="none"/>
      </font>
      <fill>
        <patternFill patternType="solid">
          <bgColor rgb="FFFFC7CE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fmt sheetId="1" sqref="H105" start="0" length="0">
    <dxf>
      <alignment horizontal="general" vertical="bottom" readingOrder="0"/>
      <border outline="0">
        <left/>
        <right/>
        <top/>
        <bottom/>
      </border>
    </dxf>
  </rfmt>
  <rfmt sheetId="1" sqref="H106" start="0" length="0">
    <dxf>
      <alignment horizontal="general" vertical="bottom" readingOrder="0"/>
      <border outline="0">
        <left/>
        <right/>
        <top/>
        <bottom/>
      </border>
    </dxf>
  </rfmt>
  <rfmt sheetId="1" sqref="H107" start="0" length="0">
    <dxf>
      <alignment horizontal="general" vertical="bottom" readingOrder="0"/>
      <border outline="0">
        <left/>
        <right/>
        <top/>
        <bottom/>
      </border>
    </dxf>
  </rfmt>
  <rfmt sheetId="1" sqref="H108" start="0" length="0">
    <dxf>
      <alignment horizontal="general" vertical="bottom" readingOrder="0"/>
      <border outline="0">
        <left/>
        <right/>
        <top/>
        <bottom/>
      </border>
    </dxf>
  </rfmt>
  <rfmt sheetId="1" sqref="H109" start="0" length="0">
    <dxf>
      <alignment horizontal="general" vertical="bottom" readingOrder="0"/>
      <border outline="0">
        <left/>
        <right/>
        <top/>
        <bottom/>
      </border>
    </dxf>
  </rfmt>
  <rfmt sheetId="1" sqref="H110" start="0" length="0">
    <dxf>
      <alignment horizontal="general" vertical="bottom" readingOrder="0"/>
      <border outline="0">
        <left/>
        <right/>
        <top/>
        <bottom/>
      </border>
    </dxf>
  </rfmt>
  <rfmt sheetId="1" sqref="H111" start="0" length="0">
    <dxf>
      <alignment horizontal="general" vertical="bottom" readingOrder="0"/>
      <border outline="0">
        <left/>
        <right/>
        <top/>
        <bottom/>
      </border>
    </dxf>
  </rfmt>
  <rfmt sheetId="1" sqref="H112" start="0" length="0">
    <dxf>
      <alignment horizontal="general" vertical="bottom" readingOrder="0"/>
      <border outline="0">
        <left/>
        <right/>
        <top/>
        <bottom/>
      </border>
    </dxf>
  </rfmt>
  <rfmt sheetId="1" sqref="H113" start="0" length="0">
    <dxf>
      <alignment horizontal="general" vertical="bottom" readingOrder="0"/>
      <border outline="0">
        <left/>
        <right/>
        <top/>
        <bottom/>
      </border>
    </dxf>
  </rfmt>
  <rfmt sheetId="1" sqref="H114" start="0" length="0">
    <dxf>
      <alignment horizontal="general" vertical="bottom" readingOrder="0"/>
      <border outline="0">
        <left/>
        <right/>
        <top/>
        <bottom/>
      </border>
    </dxf>
  </rfmt>
  <rfmt sheetId="1" sqref="H115" start="0" length="0">
    <dxf>
      <alignment horizontal="general" vertical="bottom" readingOrder="0"/>
      <border outline="0">
        <left/>
        <right/>
        <top/>
        <bottom/>
      </border>
    </dxf>
  </rfmt>
  <rfmt sheetId="1" sqref="H116" start="0" length="0">
    <dxf>
      <alignment horizontal="general" vertical="bottom" readingOrder="0"/>
      <border outline="0">
        <left/>
        <right/>
        <top/>
        <bottom/>
      </border>
    </dxf>
  </rfmt>
  <rfmt sheetId="1" sqref="H117" start="0" length="0">
    <dxf>
      <alignment horizontal="general" vertical="bottom" readingOrder="0"/>
      <border outline="0">
        <left/>
        <right/>
        <top/>
        <bottom/>
      </border>
    </dxf>
  </rfmt>
  <rfmt sheetId="1" sqref="H118" start="0" length="0">
    <dxf>
      <alignment horizontal="general" vertical="bottom" readingOrder="0"/>
      <border outline="0">
        <left/>
        <right/>
        <top/>
        <bottom/>
      </border>
    </dxf>
  </rfmt>
  <rfmt sheetId="1" sqref="H119" start="0" length="0">
    <dxf>
      <alignment horizontal="general" vertical="bottom" readingOrder="0"/>
      <border outline="0">
        <left/>
        <right/>
        <top/>
        <bottom/>
      </border>
    </dxf>
  </rfmt>
  <rfmt sheetId="1" xfDxf="1" sqref="H105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06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07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08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09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10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11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12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13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14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15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16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17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18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119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cc rId="2682" sId="1" odxf="1" dxf="1">
    <nc r="I105" t="inlineStr">
      <is>
        <t>Auto</t>
      </is>
    </nc>
    <odxf>
      <fill>
        <patternFill patternType="none">
          <bgColor indexed="65"/>
        </patternFill>
      </fill>
    </odxf>
    <ndxf>
      <fill>
        <patternFill patternType="solid">
          <bgColor rgb="FF00B0F0"/>
        </patternFill>
      </fill>
    </ndxf>
  </rcc>
  <rcc rId="2683" sId="1" odxf="1" dxf="1">
    <nc r="I106" t="inlineStr">
      <is>
        <t>Auto</t>
      </is>
    </nc>
    <odxf>
      <fill>
        <patternFill patternType="none">
          <bgColor indexed="65"/>
        </patternFill>
      </fill>
    </odxf>
    <ndxf>
      <fill>
        <patternFill patternType="solid">
          <bgColor rgb="FF00B0F0"/>
        </patternFill>
      </fill>
    </ndxf>
  </rcc>
  <rcc rId="2684" sId="1" odxf="1" dxf="1">
    <nc r="I107" t="inlineStr">
      <is>
        <t>Auto</t>
      </is>
    </nc>
    <odxf>
      <fill>
        <patternFill patternType="none">
          <bgColor indexed="65"/>
        </patternFill>
      </fill>
    </odxf>
    <ndxf>
      <fill>
        <patternFill patternType="solid">
          <bgColor rgb="FF00B0F0"/>
        </patternFill>
      </fill>
    </ndxf>
  </rcc>
  <rcc rId="2685" sId="1" odxf="1" dxf="1">
    <nc r="I108" t="inlineStr">
      <is>
        <t>Auto</t>
      </is>
    </nc>
    <odxf>
      <fill>
        <patternFill patternType="none">
          <bgColor indexed="65"/>
        </patternFill>
      </fill>
    </odxf>
    <ndxf>
      <fill>
        <patternFill patternType="solid">
          <bgColor rgb="FF00B0F0"/>
        </patternFill>
      </fill>
    </ndxf>
  </rcc>
  <rcc rId="2686" sId="1" odxf="1" dxf="1">
    <nc r="I109" t="inlineStr">
      <is>
        <t>Auto</t>
      </is>
    </nc>
    <odxf>
      <fill>
        <patternFill patternType="none">
          <bgColor indexed="65"/>
        </patternFill>
      </fill>
    </odxf>
    <ndxf>
      <fill>
        <patternFill patternType="solid">
          <bgColor rgb="FF00B0F0"/>
        </patternFill>
      </fill>
    </ndxf>
  </rcc>
  <rcc rId="2687" sId="1" odxf="1" dxf="1">
    <nc r="I110" t="inlineStr">
      <is>
        <t>Auto</t>
      </is>
    </nc>
    <odxf>
      <fill>
        <patternFill patternType="none">
          <bgColor indexed="65"/>
        </patternFill>
      </fill>
    </odxf>
    <ndxf>
      <fill>
        <patternFill patternType="solid">
          <bgColor rgb="FF00B0F0"/>
        </patternFill>
      </fill>
    </ndxf>
  </rcc>
  <rcc rId="2688" sId="1" odxf="1" dxf="1">
    <nc r="I111" t="inlineStr">
      <is>
        <t>Auto</t>
      </is>
    </nc>
    <odxf>
      <fill>
        <patternFill patternType="none">
          <bgColor indexed="65"/>
        </patternFill>
      </fill>
    </odxf>
    <ndxf>
      <fill>
        <patternFill patternType="solid">
          <bgColor rgb="FF00B0F0"/>
        </patternFill>
      </fill>
    </ndxf>
  </rcc>
  <rcc rId="2689" sId="1" odxf="1" dxf="1">
    <nc r="I112" t="inlineStr">
      <is>
        <t>Auto</t>
      </is>
    </nc>
    <odxf>
      <fill>
        <patternFill patternType="none">
          <bgColor indexed="65"/>
        </patternFill>
      </fill>
    </odxf>
    <ndxf>
      <fill>
        <patternFill patternType="solid">
          <bgColor rgb="FF00B0F0"/>
        </patternFill>
      </fill>
    </ndxf>
  </rcc>
  <rcc rId="2690" sId="1" odxf="1" dxf="1">
    <nc r="I113" t="inlineStr">
      <is>
        <t>Auto</t>
      </is>
    </nc>
    <odxf>
      <fill>
        <patternFill patternType="none">
          <bgColor indexed="65"/>
        </patternFill>
      </fill>
    </odxf>
    <ndxf>
      <fill>
        <patternFill patternType="solid">
          <bgColor rgb="FF00B0F0"/>
        </patternFill>
      </fill>
    </ndxf>
  </rcc>
  <rcc rId="2691" sId="1" odxf="1" dxf="1">
    <nc r="I114" t="inlineStr">
      <is>
        <t>Auto</t>
      </is>
    </nc>
    <odxf>
      <fill>
        <patternFill patternType="none">
          <bgColor indexed="65"/>
        </patternFill>
      </fill>
    </odxf>
    <ndxf>
      <fill>
        <patternFill patternType="solid">
          <bgColor rgb="FF00B0F0"/>
        </patternFill>
      </fill>
    </ndxf>
  </rcc>
  <rcc rId="2692" sId="1" odxf="1" dxf="1">
    <nc r="I115" t="inlineStr">
      <is>
        <t>Auto</t>
      </is>
    </nc>
    <odxf>
      <fill>
        <patternFill patternType="none">
          <bgColor indexed="65"/>
        </patternFill>
      </fill>
    </odxf>
    <ndxf>
      <fill>
        <patternFill patternType="solid">
          <bgColor rgb="FF00B0F0"/>
        </patternFill>
      </fill>
    </ndxf>
  </rcc>
  <rcc rId="2693" sId="1" odxf="1" dxf="1">
    <nc r="I116" t="inlineStr">
      <is>
        <t>Auto</t>
      </is>
    </nc>
    <odxf>
      <fill>
        <patternFill patternType="none">
          <bgColor indexed="65"/>
        </patternFill>
      </fill>
    </odxf>
    <ndxf>
      <fill>
        <patternFill patternType="solid">
          <bgColor rgb="FF00B0F0"/>
        </patternFill>
      </fill>
    </ndxf>
  </rcc>
  <rcc rId="2694" sId="1" odxf="1" dxf="1">
    <nc r="I117" t="inlineStr">
      <is>
        <t>Auto</t>
      </is>
    </nc>
    <odxf>
      <fill>
        <patternFill patternType="none">
          <bgColor indexed="65"/>
        </patternFill>
      </fill>
    </odxf>
    <ndxf>
      <fill>
        <patternFill patternType="solid">
          <bgColor rgb="FF00B0F0"/>
        </patternFill>
      </fill>
    </ndxf>
  </rcc>
  <rcc rId="2695" sId="1" odxf="1" dxf="1">
    <nc r="I118" t="inlineStr">
      <is>
        <t>Auto</t>
      </is>
    </nc>
    <odxf>
      <fill>
        <patternFill patternType="none">
          <bgColor indexed="65"/>
        </patternFill>
      </fill>
    </odxf>
    <ndxf>
      <fill>
        <patternFill patternType="solid">
          <bgColor rgb="FF00B0F0"/>
        </patternFill>
      </fill>
    </ndxf>
  </rcc>
  <rcc rId="2696" sId="1" odxf="1" dxf="1">
    <nc r="I119" t="inlineStr">
      <is>
        <t>Auto</t>
      </is>
    </nc>
    <odxf>
      <fill>
        <patternFill patternType="none">
          <bgColor indexed="65"/>
        </patternFill>
      </fill>
    </odxf>
    <ndxf>
      <fill>
        <patternFill patternType="solid">
          <bgColor rgb="FF00B0F0"/>
        </patternFill>
      </fill>
    </ndxf>
  </rcc>
  <rcc rId="2697" sId="1" odxf="1" dxf="1">
    <nc r="H105" t="inlineStr">
      <is>
        <t>RBA_NDS_ESP_2_Callout.c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98" sId="1" odxf="1" dxf="1">
    <nc r="H106" t="inlineStr">
      <is>
        <t>ComScl_Scl_Complex_proc.c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99" sId="1" odxf="1" dxf="1">
    <nc r="H107" t="inlineStr">
      <is>
        <t>SGMW_RBA_NDS_SystemInfo_Callout.c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00" sId="1" odxf="1" dxf="1">
    <nc r="H108" t="inlineStr">
      <is>
        <t>NET_SCL_Rx_SGMW_RemoteControl.c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01" sId="1" odxf="1" dxf="1">
    <nc r="H109" t="inlineStr">
      <is>
        <t>NET_SCL_Rx_SystemInfo.c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02" sId="1" odxf="1" dxf="1">
    <nc r="H110" t="inlineStr">
      <is>
        <t>ComScl_RxPdu_WorkingMode_Monitor.c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03" sId="1" odxf="1" dxf="1">
    <nc r="H111" t="inlineStr">
      <is>
        <t>NET_SCL_Rx_EngineSpeed.c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04" sId="1" odxf="1" dxf="1">
    <nc r="H112" t="inlineStr">
      <is>
        <t>NET_SCL_Rx_GearBox.c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05" sId="1" odxf="1" dxf="1">
    <nc r="H113" t="inlineStr">
      <is>
        <t>NET_SCL_Rx_SystemInfo.c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06" sId="1" odxf="1" dxf="1">
    <nc r="H114" t="inlineStr">
      <is>
        <t>NET_SCL_Rx_TCU.c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07" sId="1" odxf="1" dxf="1">
    <nc r="H115" t="inlineStr">
      <is>
        <t>NET_SCL_Rx_VAF_Complex.c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08" sId="1" odxf="1" dxf="1">
    <nc r="H116" t="inlineStr">
      <is>
        <t>RBA_NDS_Complex_Callout.c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09" sId="1" odxf="1" dxf="1">
    <nc r="H117" t="inlineStr">
      <is>
        <t>RBA_NDS_WheelOdoEdges_Callout.c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10" sId="1" odxf="1" dxf="1">
    <nc r="H118" t="inlineStr">
      <is>
        <t>rba_SCL_Settings.c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11" sId="1" odxf="1" dxf="1">
    <nc r="H119" t="inlineStr">
      <is>
        <t>RBNET_Scl_Complexsignals.c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S105" start="0" length="0">
    <dxf>
      <alignment horizontal="general" vertical="bottom" readingOrder="0"/>
      <border outline="0">
        <left/>
        <right/>
        <top/>
        <bottom/>
      </border>
    </dxf>
  </rfmt>
  <rfmt sheetId="1" sqref="S106" start="0" length="0">
    <dxf>
      <alignment horizontal="general" vertical="bottom" readingOrder="0"/>
      <border outline="0">
        <left/>
        <right/>
        <top/>
        <bottom/>
      </border>
    </dxf>
  </rfmt>
  <rfmt sheetId="1" sqref="S107" start="0" length="0">
    <dxf>
      <alignment horizontal="general" vertical="bottom" readingOrder="0"/>
      <border outline="0">
        <left/>
        <right/>
        <top/>
        <bottom/>
      </border>
    </dxf>
  </rfmt>
  <rfmt sheetId="1" sqref="S108" start="0" length="0">
    <dxf>
      <alignment horizontal="general" vertical="bottom" readingOrder="0"/>
      <border outline="0">
        <left/>
        <right/>
        <top/>
        <bottom/>
      </border>
    </dxf>
  </rfmt>
  <rfmt sheetId="1" sqref="S109" start="0" length="0">
    <dxf>
      <alignment horizontal="general" vertical="bottom" readingOrder="0"/>
      <border outline="0">
        <left/>
        <right/>
        <top/>
        <bottom/>
      </border>
    </dxf>
  </rfmt>
  <rfmt sheetId="1" sqref="S110" start="0" length="0">
    <dxf>
      <alignment horizontal="general" vertical="bottom" readingOrder="0"/>
      <border outline="0">
        <left/>
        <right/>
        <top/>
        <bottom/>
      </border>
    </dxf>
  </rfmt>
  <rfmt sheetId="1" sqref="S111" start="0" length="0">
    <dxf>
      <alignment horizontal="general" vertical="bottom" readingOrder="0"/>
      <border outline="0">
        <left/>
        <right/>
        <top/>
        <bottom/>
      </border>
    </dxf>
  </rfmt>
  <rfmt sheetId="1" sqref="S112" start="0" length="0">
    <dxf>
      <alignment horizontal="general" vertical="bottom" readingOrder="0"/>
      <border outline="0">
        <left/>
        <right/>
        <top/>
        <bottom/>
      </border>
    </dxf>
  </rfmt>
  <rfmt sheetId="1" sqref="S113" start="0" length="0">
    <dxf>
      <alignment horizontal="general" vertical="bottom" readingOrder="0"/>
      <border outline="0">
        <left/>
        <right/>
        <top/>
        <bottom/>
      </border>
    </dxf>
  </rfmt>
  <rfmt sheetId="1" sqref="S114" start="0" length="0">
    <dxf>
      <alignment horizontal="general" vertical="bottom" readingOrder="0"/>
      <border outline="0">
        <left/>
        <right/>
        <top/>
        <bottom/>
      </border>
    </dxf>
  </rfmt>
  <rfmt sheetId="1" sqref="S115" start="0" length="0">
    <dxf>
      <alignment horizontal="general" vertical="bottom" readingOrder="0"/>
      <border outline="0">
        <left/>
        <right/>
        <top/>
        <bottom/>
      </border>
    </dxf>
  </rfmt>
  <rfmt sheetId="1" sqref="S116" start="0" length="0">
    <dxf>
      <alignment horizontal="general" vertical="bottom" readingOrder="0"/>
      <border outline="0">
        <left/>
        <right/>
        <top/>
        <bottom/>
      </border>
    </dxf>
  </rfmt>
  <rfmt sheetId="1" sqref="S117" start="0" length="0">
    <dxf>
      <alignment horizontal="general" vertical="bottom" readingOrder="0"/>
      <border outline="0">
        <left/>
        <right/>
        <top/>
        <bottom/>
      </border>
    </dxf>
  </rfmt>
  <rfmt sheetId="1" sqref="S118" start="0" length="0">
    <dxf>
      <alignment horizontal="general" vertical="bottom" readingOrder="0"/>
      <border outline="0">
        <left/>
        <right/>
        <top/>
        <bottom/>
      </border>
    </dxf>
  </rfmt>
  <rfmt sheetId="1" sqref="S119" start="0" length="0">
    <dxf>
      <alignment horizontal="general" vertical="bottom" readingOrder="0"/>
      <border outline="0">
        <left/>
        <right/>
        <top/>
        <bottom/>
      </border>
    </dxf>
  </rfmt>
  <rfmt sheetId="1" xfDxf="1" sqref="S105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06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07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08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09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10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11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12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13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14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15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16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17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18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19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cc rId="2712" sId="1" odxf="1" dxf="1">
    <nc r="S105">
      <v>191</v>
    </nc>
    <ndxf>
      <font>
        <sz val="10"/>
        <color rgb="FF000000"/>
        <name val="Arial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13" sId="1" odxf="1" dxf="1">
    <nc r="S106">
      <v>67</v>
    </nc>
    <ndxf>
      <font>
        <sz val="10"/>
        <color rgb="FF000000"/>
        <name val="Arial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14" sId="1" odxf="1" dxf="1">
    <nc r="S107">
      <v>431</v>
    </nc>
    <ndxf>
      <font>
        <sz val="10"/>
        <color rgb="FF000000"/>
        <name val="Arial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15" sId="1" odxf="1" dxf="1">
    <nc r="S108">
      <v>184</v>
    </nc>
    <ndxf>
      <font>
        <sz val="10"/>
        <color rgb="FF000000"/>
        <name val="Arial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16" sId="1" odxf="1" dxf="1">
    <nc r="S109">
      <v>1023</v>
    </nc>
    <ndxf>
      <font>
        <sz val="10"/>
        <color rgb="FF000000"/>
        <name val="Arial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17" sId="1" odxf="1" dxf="1">
    <nc r="S110">
      <v>43</v>
    </nc>
    <ndxf>
      <font>
        <sz val="10"/>
        <color rgb="FF000000"/>
        <name val="Arial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18" sId="1" odxf="1" dxf="1">
    <nc r="S111">
      <v>231</v>
    </nc>
    <ndxf>
      <font>
        <sz val="10"/>
        <color rgb="FF000000"/>
        <name val="Arial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19" sId="1" odxf="1" dxf="1">
    <nc r="S112">
      <v>360</v>
    </nc>
    <ndxf>
      <font>
        <sz val="10"/>
        <color rgb="FF000000"/>
        <name val="Arial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20" sId="1" odxf="1" dxf="1">
    <nc r="S113">
      <v>1023</v>
    </nc>
    <ndxf>
      <font>
        <sz val="10"/>
        <color rgb="FF000000"/>
        <name val="Arial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21" sId="1" odxf="1" dxf="1">
    <nc r="S114">
      <v>303</v>
    </nc>
    <ndxf>
      <font>
        <sz val="10"/>
        <color rgb="FF000000"/>
        <name val="Arial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22" sId="1" odxf="1" dxf="1">
    <nc r="S115">
      <v>87</v>
    </nc>
    <ndxf>
      <font>
        <sz val="10"/>
        <color rgb="FF000000"/>
        <name val="Arial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23" sId="1" odxf="1" dxf="1">
    <nc r="S116">
      <v>828</v>
    </nc>
    <ndxf>
      <font>
        <sz val="10"/>
        <color rgb="FF000000"/>
        <name val="Arial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24" sId="1" odxf="1" dxf="1">
    <nc r="S117">
      <v>107</v>
    </nc>
    <ndxf>
      <font>
        <sz val="10"/>
        <color rgb="FF000000"/>
        <name val="Arial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25" sId="1" odxf="1" dxf="1">
    <nc r="S118">
      <v>1193</v>
    </nc>
    <ndxf>
      <font>
        <sz val="10"/>
        <color rgb="FF000000"/>
        <name val="Arial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26" sId="1" odxf="1" dxf="1">
    <nc r="S119">
      <v>23</v>
    </nc>
    <ndxf>
      <font>
        <sz val="10"/>
        <color rgb="FF000000"/>
        <name val="Arial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mt sheetId="1" cell="B105" guid="{990D99C1-8A90-4C70-89E7-CAD518908566}" alwaysShow="1" author="EXTERNAL Nguyen Tuan Duong (Ban Vien, RBVH/EPS45)" newLength="82"/>
  <rcv guid="{7E0EA425-A420-4443-B9E0-CDF0AA9E5D09}" action="delete"/>
  <rdn rId="0" localSheetId="1" customView="1" name="Z_7E0EA425_A420_4443_B9E0_CDF0AA9E5D09_.wvu.Rows" hidden="1" oldHidden="1">
    <formula>COEM_Package_20200302!$3:$75</formula>
    <oldFormula>COEM_Package_20200302!$3:$75</oldFormula>
  </rdn>
  <rdn rId="0" localSheetId="1" customView="1" name="Z_7E0EA425_A420_4443_B9E0_CDF0AA9E5D09_.wvu.Cols" hidden="1" oldHidden="1">
    <formula>COEM_Package_20200302!$J:$O,COEM_Package_20200302!$Q:$R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COEM_Package_20200302!$A$2:$AH$26</formula>
    <oldFormula>COEM_Package_20200302!$A$2:$AH$26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31" sId="1">
    <nc r="AG96" t="inlineStr">
      <is>
        <t>No function to test.</t>
      </is>
    </nc>
  </rcc>
  <rcc rId="2732" sId="1" numFmtId="19">
    <nc r="AA96">
      <v>43902</v>
    </nc>
  </rcc>
  <rcc rId="2733" sId="1" numFmtId="19">
    <nc r="AB96">
      <v>43902</v>
    </nc>
  </rcc>
  <rcc rId="2734" sId="1">
    <nc r="AD96" t="inlineStr">
      <is>
        <t>-</t>
      </is>
    </nc>
  </rcc>
  <rcc rId="2735" sId="1">
    <nc r="AE96" t="inlineStr">
      <is>
        <t>-</t>
      </is>
    </nc>
  </rcc>
  <rcc rId="2736" sId="1">
    <nc r="AF96" t="inlineStr">
      <is>
        <t>-</t>
      </is>
    </nc>
  </rcc>
  <rcc rId="2737" sId="1">
    <nc r="T96">
      <v>12</v>
    </nc>
  </rcc>
  <rcc rId="2738" sId="1">
    <nc r="W96">
      <v>0.1</v>
    </nc>
  </rcc>
  <rcc rId="2739" sId="1">
    <nc r="X96" t="inlineStr">
      <is>
        <t>Ready for review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COEM_Package_20200302!$P$2:$P$175</formula>
    <oldFormula>COEM_Package_20200302!$A$2:$AH$26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2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J105" start="0" length="0">
    <dxf>
      <alignment horizontal="general" vertical="bottom" readingOrder="0"/>
      <border outline="0">
        <left/>
        <right/>
        <top/>
        <bottom/>
      </border>
    </dxf>
  </rfmt>
  <rfmt sheetId="1" xfDxf="1" sqref="J105" start="0" length="0">
    <dxf>
      <font>
        <sz val="10"/>
        <color rgb="FF000000"/>
        <name val="Arial"/>
        <scheme val="none"/>
      </font>
    </dxf>
  </rfmt>
  <rfmt sheetId="1" sqref="J106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J107" start="0" length="0">
    <dxf>
      <alignment horizontal="general" vertical="bottom" readingOrder="0"/>
      <border outline="0">
        <left/>
        <right/>
        <top/>
        <bottom/>
      </border>
    </dxf>
  </rfmt>
  <rfmt sheetId="1" xfDxf="1" sqref="J107" start="0" length="0">
    <dxf>
      <font>
        <sz val="10"/>
        <color rgb="FF000000"/>
        <name val="Arial"/>
        <scheme val="none"/>
      </font>
    </dxf>
  </rfmt>
  <rfmt sheetId="1" sqref="J108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J110" start="0" length="0">
    <dxf>
      <alignment horizontal="general" vertical="bottom" readingOrder="0"/>
      <border outline="0">
        <left/>
        <right/>
        <top/>
        <bottom/>
      </border>
    </dxf>
  </rfmt>
  <rfmt sheetId="1" xfDxf="1" sqref="J110" start="0" length="0">
    <dxf>
      <font>
        <sz val="10"/>
        <color rgb="FF000000"/>
        <name val="Arial"/>
        <scheme val="none"/>
      </font>
    </dxf>
  </rfmt>
  <rfmt sheetId="1" sqref="J111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J112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J113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J114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J115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J116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J117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J118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J119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J110:J11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K110" start="0" length="0">
    <dxf>
      <alignment horizontal="general" vertical="bottom" readingOrder="0"/>
      <border outline="0">
        <left/>
        <right/>
        <top/>
        <bottom/>
      </border>
    </dxf>
  </rfmt>
  <rfmt sheetId="1" xfDxf="1" sqref="K110" start="0" length="0">
    <dxf>
      <font>
        <sz val="10"/>
        <color rgb="FF000000"/>
        <name val="Arial"/>
        <scheme val="none"/>
      </font>
    </dxf>
  </rfmt>
  <rfmt sheetId="1" sqref="K111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112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113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114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115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116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117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118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119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cc rId="2743" sId="1">
    <nc r="L105">
      <f>IF(D105="ASW","PUT_VERSION","-")</f>
    </nc>
  </rcc>
  <rcc rId="2744" sId="1">
    <nc r="L106">
      <f>IF(D106="ASW","PUT_VERSION","-")</f>
    </nc>
  </rcc>
  <rcc rId="2745" sId="1">
    <nc r="L107">
      <f>IF(D107="ASW","PUT_VERSION","-")</f>
    </nc>
  </rcc>
  <rcc rId="2746" sId="1">
    <nc r="L108">
      <f>IF(D108="ASW","PUT_VERSION","-")</f>
    </nc>
  </rcc>
  <rcc rId="2747" sId="1">
    <nc r="L109">
      <f>IF(D109="ASW","PUT_VERSION","-")</f>
    </nc>
  </rcc>
  <rcc rId="2748" sId="1">
    <nc r="L110">
      <f>IF(D110="ASW","PUT_VERSION","-")</f>
    </nc>
  </rcc>
  <rcc rId="2749" sId="1">
    <nc r="L111">
      <f>IF(D111="ASW","PUT_VERSION","-")</f>
    </nc>
  </rcc>
  <rcc rId="2750" sId="1">
    <nc r="L112">
      <f>IF(D112="ASW","PUT_VERSION","-")</f>
    </nc>
  </rcc>
  <rcc rId="2751" sId="1">
    <nc r="L113">
      <f>IF(D113="ASW","PUT_VERSION","-")</f>
    </nc>
  </rcc>
  <rcc rId="2752" sId="1">
    <nc r="L114">
      <f>IF(D114="ASW","PUT_VERSION","-")</f>
    </nc>
  </rcc>
  <rcc rId="2753" sId="1">
    <nc r="L115">
      <f>IF(D115="ASW","PUT_VERSION","-")</f>
    </nc>
  </rcc>
  <rcc rId="2754" sId="1">
    <nc r="L116">
      <f>IF(D116="ASW","PUT_VERSION","-")</f>
    </nc>
  </rcc>
  <rcc rId="2755" sId="1">
    <nc r="L117">
      <f>IF(D117="ASW","PUT_VERSION","-")</f>
    </nc>
  </rcc>
  <rcc rId="2756" sId="1">
    <nc r="L118">
      <f>IF(D118="ASW","PUT_VERSION","-")</f>
    </nc>
  </rcc>
  <rcc rId="2757" sId="1">
    <nc r="L119">
      <f>IF(D119="ASW","PUT_VERSION","-")</f>
    </nc>
  </rcc>
  <rfmt sheetId="1" sqref="K110:K11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M110" start="0" length="0">
    <dxf>
      <alignment horizontal="general" vertical="bottom" readingOrder="0"/>
      <border outline="0">
        <left/>
        <right/>
        <top/>
        <bottom/>
      </border>
    </dxf>
  </rfmt>
  <rfmt sheetId="1" xfDxf="1" sqref="M110" start="0" length="0">
    <dxf>
      <font>
        <sz val="10"/>
        <color rgb="FF000000"/>
        <name val="Arial"/>
        <scheme val="none"/>
      </font>
    </dxf>
  </rfmt>
  <rfmt sheetId="1" sqref="M111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112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113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114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115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116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117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118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119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105" start="0" length="0">
    <dxf>
      <alignment horizontal="general" vertical="bottom" readingOrder="0"/>
      <border outline="0">
        <left/>
        <right/>
        <top/>
        <bottom/>
      </border>
    </dxf>
  </rfmt>
  <rfmt sheetId="1" xfDxf="1" sqref="M105" start="0" length="0">
    <dxf>
      <font>
        <sz val="10"/>
        <color rgb="FF000000"/>
        <name val="Arial"/>
        <scheme val="none"/>
      </font>
    </dxf>
  </rfmt>
  <rfmt sheetId="1" sqref="M106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J105:M10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M107" start="0" length="0">
    <dxf>
      <alignment horizontal="general" vertical="bottom" readingOrder="0"/>
      <border outline="0">
        <left/>
        <right/>
        <top/>
        <bottom/>
      </border>
    </dxf>
  </rfmt>
  <rfmt sheetId="1" xfDxf="1" sqref="M107" start="0" length="0">
    <dxf>
      <font>
        <sz val="10"/>
        <color rgb="FF000000"/>
        <name val="Arial"/>
        <scheme val="none"/>
      </font>
    </dxf>
  </rfmt>
  <rfmt sheetId="1" sqref="M108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M109" start="0" length="0">
    <dxf>
      <alignment horizontal="general" vertical="bottom" readingOrder="0"/>
      <border outline="0">
        <left/>
        <right/>
        <top/>
        <bottom/>
      </border>
    </dxf>
  </rfmt>
  <rfmt sheetId="1" xfDxf="1" sqref="M109" start="0" length="0">
    <dxf>
      <font>
        <sz val="10"/>
        <color rgb="FF000000"/>
        <name val="Arial"/>
        <scheme val="none"/>
      </font>
    </dxf>
  </rfmt>
  <rfmt sheetId="1" sqref="M105:M119"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</rfmt>
  <rcc rId="2758" sId="1" odxf="1" dxf="1" quotePrefix="1">
    <nc r="M105" t="inlineStr">
      <is>
        <t>HU Evan (CC-AS/EVA-SW33-CN)</t>
      </is>
    </nc>
    <ndxf>
      <font>
        <sz val="11"/>
        <color theme="1"/>
        <name val="Calibri"/>
        <scheme val="minor"/>
      </font>
      <alignment horizontal="left" vertical="top" readingOrder="0"/>
    </ndxf>
  </rcc>
  <rcc rId="2759" sId="1" odxf="1" dxf="1" quotePrefix="1">
    <nc r="M106" t="inlineStr">
      <is>
        <t>HU Evan (CC-AS/EVA-SW33-CN)</t>
      </is>
    </nc>
    <ndxf>
      <font>
        <sz val="11"/>
        <color theme="1"/>
        <name val="Calibri"/>
        <scheme val="minor"/>
      </font>
      <alignment horizontal="left" vertical="top" readingOrder="0"/>
    </ndxf>
  </rcc>
  <rcc rId="2760" sId="1" odxf="1" dxf="1" quotePrefix="1">
    <nc r="M107" t="inlineStr">
      <is>
        <t>BAO Eric (CC-AS/EVA-SW32-CN)</t>
      </is>
    </nc>
    <ndxf>
      <font>
        <sz val="11"/>
        <color theme="1"/>
        <name val="Calibri"/>
        <scheme val="minor"/>
      </font>
      <alignment horizontal="left" vertical="top" readingOrder="0"/>
    </ndxf>
  </rcc>
  <rcc rId="2761" sId="1" odxf="1" dxf="1" quotePrefix="1">
    <nc r="M108" t="inlineStr">
      <is>
        <t>BAO Eric (CC-AS/EVA-SW32-CN)</t>
      </is>
    </nc>
    <ndxf>
      <font>
        <sz val="11"/>
        <color theme="1"/>
        <name val="Calibri"/>
        <scheme val="minor"/>
      </font>
      <alignment horizontal="left" vertical="top" readingOrder="0"/>
    </ndxf>
  </rcc>
  <rcc rId="2762" sId="1" odxf="1" dxf="1" quotePrefix="1">
    <nc r="M109" t="inlineStr">
      <is>
        <t>GUO Sasa (CC-AS/EVA-SW3-CN)</t>
      </is>
    </nc>
    <ndxf>
      <font>
        <sz val="11"/>
        <color theme="1"/>
        <name val="Calibri"/>
        <scheme val="minor"/>
      </font>
      <alignment horizontal="left" vertical="top" readingOrder="0"/>
    </ndxf>
  </rcc>
  <rcc rId="2763" sId="1" odxf="1" dxf="1" quotePrefix="1">
    <nc r="M110" t="inlineStr">
      <is>
        <t>LI Zhiyuan (CC-AS/EVA-SW31-CN)</t>
      </is>
    </nc>
    <ndxf>
      <font>
        <sz val="11"/>
        <color theme="1"/>
        <name val="Calibri"/>
        <scheme val="minor"/>
      </font>
      <alignment horizontal="left" vertical="top" readingOrder="0"/>
    </ndxf>
  </rcc>
  <rcc rId="2764" sId="1" odxf="1" dxf="1" quotePrefix="1">
    <nc r="M111" t="inlineStr">
      <is>
        <t>LI Zhiyuan (CC-AS/EVA-SW31-CN)</t>
      </is>
    </nc>
    <ndxf>
      <font>
        <sz val="11"/>
        <color theme="1"/>
        <name val="Calibri"/>
        <scheme val="minor"/>
      </font>
      <alignment horizontal="left" vertical="top" readingOrder="0"/>
    </ndxf>
  </rcc>
  <rcc rId="2765" sId="1" odxf="1" dxf="1" quotePrefix="1">
    <nc r="M112" t="inlineStr">
      <is>
        <t>LI Zhiyuan (CC-AS/EVA-SW31-CN)</t>
      </is>
    </nc>
    <ndxf>
      <font>
        <sz val="11"/>
        <color theme="1"/>
        <name val="Calibri"/>
        <scheme val="minor"/>
      </font>
      <alignment horizontal="left" vertical="top" readingOrder="0"/>
    </ndxf>
  </rcc>
  <rcc rId="2766" sId="1" odxf="1" dxf="1" quotePrefix="1">
    <nc r="M113" t="inlineStr">
      <is>
        <t>LI Zhiyuan (CC-AS/EVA-SW31-CN)</t>
      </is>
    </nc>
    <ndxf>
      <font>
        <sz val="11"/>
        <color theme="1"/>
        <name val="Calibri"/>
        <scheme val="minor"/>
      </font>
      <alignment horizontal="left" vertical="top" readingOrder="0"/>
    </ndxf>
  </rcc>
  <rcc rId="2767" sId="1" odxf="1" dxf="1" quotePrefix="1">
    <nc r="M114" t="inlineStr">
      <is>
        <t>LI Zhiyuan (CC-AS/EVA-SW31-CN)</t>
      </is>
    </nc>
    <ndxf>
      <font>
        <sz val="11"/>
        <color theme="1"/>
        <name val="Calibri"/>
        <scheme val="minor"/>
      </font>
      <alignment horizontal="left" vertical="top" readingOrder="0"/>
    </ndxf>
  </rcc>
  <rcc rId="2768" sId="1" odxf="1" dxf="1" quotePrefix="1">
    <nc r="M115" t="inlineStr">
      <is>
        <t>LI Zhiyuan (CC-AS/EVA-SW31-CN)</t>
      </is>
    </nc>
    <ndxf>
      <font>
        <sz val="11"/>
        <color theme="1"/>
        <name val="Calibri"/>
        <scheme val="minor"/>
      </font>
      <alignment horizontal="left" vertical="top" readingOrder="0"/>
    </ndxf>
  </rcc>
  <rcc rId="2769" sId="1" odxf="1" dxf="1" quotePrefix="1">
    <nc r="M116" t="inlineStr">
      <is>
        <t>LI Zhiyuan (CC-AS/EVA-SW31-CN)</t>
      </is>
    </nc>
    <ndxf>
      <font>
        <sz val="11"/>
        <color theme="1"/>
        <name val="Calibri"/>
        <scheme val="minor"/>
      </font>
      <alignment horizontal="left" vertical="top" readingOrder="0"/>
    </ndxf>
  </rcc>
  <rcc rId="2770" sId="1" odxf="1" dxf="1" quotePrefix="1">
    <nc r="M117" t="inlineStr">
      <is>
        <t>LI Zhiyuan (CC-AS/EVA-SW31-CN)</t>
      </is>
    </nc>
    <ndxf>
      <font>
        <sz val="11"/>
        <color theme="1"/>
        <name val="Calibri"/>
        <scheme val="minor"/>
      </font>
      <alignment horizontal="left" vertical="top" readingOrder="0"/>
    </ndxf>
  </rcc>
  <rcc rId="2771" sId="1" odxf="1" dxf="1" quotePrefix="1">
    <nc r="M118" t="inlineStr">
      <is>
        <t>LI Zhiyuan (CC-AS/EVA-SW31-CN)</t>
      </is>
    </nc>
    <ndxf>
      <font>
        <sz val="11"/>
        <color theme="1"/>
        <name val="Calibri"/>
        <scheme val="minor"/>
      </font>
      <alignment horizontal="left" vertical="top" readingOrder="0"/>
    </ndxf>
  </rcc>
  <rcc rId="2772" sId="1" odxf="1" dxf="1" quotePrefix="1">
    <nc r="M119" t="inlineStr">
      <is>
        <t>LI Zhiyuan (CC-AS/EVA-SW31-CN)</t>
      </is>
    </nc>
    <ndxf>
      <font>
        <sz val="11"/>
        <color theme="1"/>
        <name val="Calibri"/>
        <scheme val="minor"/>
      </font>
      <alignment horizontal="left" vertical="top" readingOrder="0"/>
    </ndxf>
  </rcc>
  <rcc rId="2773" sId="1" odxf="1" dxf="1">
    <nc r="K110" t="inlineStr">
      <is>
        <t>BYD_Carbon_ESP93_Int</t>
      </is>
    </nc>
    <ndxf>
      <font>
        <sz val="11"/>
        <color theme="1"/>
        <name val="Calibri"/>
        <scheme val="minor"/>
      </font>
      <alignment horizontal="left" vertical="top" readingOrder="0"/>
    </ndxf>
  </rcc>
  <rcc rId="2774" sId="1" odxf="1" dxf="1">
    <nc r="K111" t="inlineStr">
      <is>
        <t>BYD_Carbon_ESP93_Int</t>
      </is>
    </nc>
    <ndxf>
      <font>
        <sz val="11"/>
        <color theme="1"/>
        <name val="Calibri"/>
        <scheme val="minor"/>
      </font>
      <alignment horizontal="left" vertical="top" readingOrder="0"/>
    </ndxf>
  </rcc>
  <rcc rId="2775" sId="1" odxf="1" dxf="1">
    <nc r="K112" t="inlineStr">
      <is>
        <t>BYD_Carbon_ESP93_Int</t>
      </is>
    </nc>
    <ndxf>
      <font>
        <sz val="11"/>
        <color theme="1"/>
        <name val="Calibri"/>
        <scheme val="minor"/>
      </font>
      <alignment horizontal="left" vertical="top" readingOrder="0"/>
    </ndxf>
  </rcc>
  <rcc rId="2776" sId="1" odxf="1" dxf="1">
    <nc r="K113" t="inlineStr">
      <is>
        <t>BYD_Carbon_ESP93_Int</t>
      </is>
    </nc>
    <ndxf>
      <font>
        <sz val="11"/>
        <color theme="1"/>
        <name val="Calibri"/>
        <scheme val="minor"/>
      </font>
      <alignment horizontal="left" vertical="top" readingOrder="0"/>
    </ndxf>
  </rcc>
  <rcc rId="2777" sId="1" odxf="1" dxf="1">
    <nc r="K114" t="inlineStr">
      <is>
        <t>BYD_Carbon_ESP93_Int</t>
      </is>
    </nc>
    <ndxf>
      <font>
        <sz val="11"/>
        <color theme="1"/>
        <name val="Calibri"/>
        <scheme val="minor"/>
      </font>
      <alignment horizontal="left" vertical="top" readingOrder="0"/>
    </ndxf>
  </rcc>
  <rcc rId="2778" sId="1" odxf="1" dxf="1">
    <nc r="K115" t="inlineStr">
      <is>
        <t>BYD_Carbon_ESP93_Int</t>
      </is>
    </nc>
    <ndxf>
      <font>
        <sz val="11"/>
        <color theme="1"/>
        <name val="Calibri"/>
        <scheme val="minor"/>
      </font>
      <alignment horizontal="left" vertical="top" readingOrder="0"/>
    </ndxf>
  </rcc>
  <rcc rId="2779" sId="1" odxf="1" dxf="1">
    <nc r="K116" t="inlineStr">
      <is>
        <t>BYD_Carbon_ESP93_Int</t>
      </is>
    </nc>
    <ndxf>
      <font>
        <sz val="11"/>
        <color theme="1"/>
        <name val="Calibri"/>
        <scheme val="minor"/>
      </font>
      <alignment horizontal="left" vertical="top" readingOrder="0"/>
    </ndxf>
  </rcc>
  <rcc rId="2780" sId="1" odxf="1" dxf="1">
    <nc r="K117" t="inlineStr">
      <is>
        <t>BYD_Carbon_ESP93_Int</t>
      </is>
    </nc>
    <ndxf>
      <font>
        <sz val="11"/>
        <color theme="1"/>
        <name val="Calibri"/>
        <scheme val="minor"/>
      </font>
      <alignment horizontal="left" vertical="top" readingOrder="0"/>
    </ndxf>
  </rcc>
  <rcc rId="2781" sId="1" odxf="1" dxf="1">
    <nc r="K118" t="inlineStr">
      <is>
        <t>BYD_Carbon_ESP93_Int</t>
      </is>
    </nc>
    <ndxf>
      <font>
        <sz val="11"/>
        <color theme="1"/>
        <name val="Calibri"/>
        <scheme val="minor"/>
      </font>
      <alignment horizontal="left" vertical="top" readingOrder="0"/>
    </ndxf>
  </rcc>
  <rcc rId="2782" sId="1" odxf="1" dxf="1">
    <nc r="K119" t="inlineStr">
      <is>
        <t>BYD_Carbon_ESP93_Int</t>
      </is>
    </nc>
    <ndxf>
      <font>
        <sz val="11"/>
        <color theme="1"/>
        <name val="Calibri"/>
        <scheme val="minor"/>
      </font>
      <alignment horizontal="left" vertical="top" readingOrder="0"/>
    </ndxf>
  </rcc>
  <rcc rId="2783" sId="1" odxf="1" dxf="1">
    <nc r="J105">
      <v>99478</v>
    </nc>
    <ndxf>
      <font>
        <sz val="11"/>
        <color theme="1"/>
        <name val="Calibri"/>
        <scheme val="minor"/>
      </font>
      <alignment horizontal="left" vertical="top" readingOrder="0"/>
    </ndxf>
  </rcc>
  <rcc rId="2784" sId="1" odxf="1" dxf="1">
    <nc r="J106">
      <v>99478</v>
    </nc>
    <ndxf>
      <font>
        <sz val="11"/>
        <color theme="1"/>
        <name val="Calibri"/>
        <scheme val="minor"/>
      </font>
      <alignment horizontal="left" vertical="top" readingOrder="0"/>
    </ndxf>
  </rcc>
  <rcc rId="2785" sId="1" odxf="1" dxf="1">
    <nc r="J107">
      <v>80504</v>
    </nc>
    <ndxf>
      <font>
        <sz val="11"/>
        <color theme="1"/>
        <name val="Calibri"/>
        <scheme val="minor"/>
      </font>
      <alignment horizontal="left" vertical="top" readingOrder="0"/>
    </ndxf>
  </rcc>
  <rcc rId="2786" sId="1" odxf="1" dxf="1">
    <nc r="J108">
      <v>80504</v>
    </nc>
    <ndxf>
      <font>
        <sz val="11"/>
        <color theme="1"/>
        <name val="Calibri"/>
        <scheme val="minor"/>
      </font>
      <alignment horizontal="left" vertical="top" readingOrder="0"/>
    </ndxf>
  </rcc>
  <rcc rId="2787" sId="1" odxf="1" dxf="1">
    <nc r="J110">
      <v>81728</v>
    </nc>
    <ndxf>
      <font>
        <sz val="11"/>
        <color theme="1"/>
        <name val="Calibri"/>
        <scheme val="minor"/>
      </font>
      <alignment horizontal="left" vertical="top" readingOrder="0"/>
    </ndxf>
  </rcc>
  <rcc rId="2788" sId="1" odxf="1" dxf="1">
    <nc r="J111">
      <v>81728</v>
    </nc>
    <ndxf>
      <font>
        <sz val="11"/>
        <color theme="1"/>
        <name val="Calibri"/>
        <scheme val="minor"/>
      </font>
      <alignment horizontal="left" vertical="top" readingOrder="0"/>
    </ndxf>
  </rcc>
  <rcc rId="2789" sId="1" odxf="1" dxf="1">
    <nc r="J112">
      <v>81728</v>
    </nc>
    <ndxf>
      <font>
        <sz val="11"/>
        <color theme="1"/>
        <name val="Calibri"/>
        <scheme val="minor"/>
      </font>
      <alignment horizontal="left" vertical="top" readingOrder="0"/>
    </ndxf>
  </rcc>
  <rcc rId="2790" sId="1" odxf="1" dxf="1">
    <nc r="J113">
      <v>81728</v>
    </nc>
    <ndxf>
      <font>
        <sz val="11"/>
        <color theme="1"/>
        <name val="Calibri"/>
        <scheme val="minor"/>
      </font>
      <alignment horizontal="left" vertical="top" readingOrder="0"/>
    </ndxf>
  </rcc>
  <rcc rId="2791" sId="1" odxf="1" dxf="1">
    <nc r="J114">
      <v>81728</v>
    </nc>
    <ndxf>
      <font>
        <sz val="11"/>
        <color theme="1"/>
        <name val="Calibri"/>
        <scheme val="minor"/>
      </font>
      <alignment horizontal="left" vertical="top" readingOrder="0"/>
    </ndxf>
  </rcc>
  <rcc rId="2792" sId="1" odxf="1" dxf="1">
    <nc r="J115">
      <v>81728</v>
    </nc>
    <ndxf>
      <font>
        <sz val="11"/>
        <color theme="1"/>
        <name val="Calibri"/>
        <scheme val="minor"/>
      </font>
      <alignment horizontal="left" vertical="top" readingOrder="0"/>
    </ndxf>
  </rcc>
  <rcc rId="2793" sId="1" odxf="1" dxf="1">
    <nc r="J116">
      <v>81728</v>
    </nc>
    <ndxf>
      <font>
        <sz val="11"/>
        <color theme="1"/>
        <name val="Calibri"/>
        <scheme val="minor"/>
      </font>
      <alignment horizontal="left" vertical="top" readingOrder="0"/>
    </ndxf>
  </rcc>
  <rcc rId="2794" sId="1" odxf="1" dxf="1">
    <nc r="J117">
      <v>81728</v>
    </nc>
    <ndxf>
      <font>
        <sz val="11"/>
        <color theme="1"/>
        <name val="Calibri"/>
        <scheme val="minor"/>
      </font>
      <alignment horizontal="left" vertical="top" readingOrder="0"/>
    </ndxf>
  </rcc>
  <rcc rId="2795" sId="1" odxf="1" dxf="1">
    <nc r="J118">
      <v>81728</v>
    </nc>
    <ndxf>
      <font>
        <sz val="11"/>
        <color theme="1"/>
        <name val="Calibri"/>
        <scheme val="minor"/>
      </font>
      <alignment horizontal="left" vertical="top" readingOrder="0"/>
    </ndxf>
  </rcc>
  <rcc rId="2796" sId="1" odxf="1" dxf="1">
    <nc r="J119">
      <v>81728</v>
    </nc>
    <ndxf>
      <font>
        <sz val="11"/>
        <color theme="1"/>
        <name val="Calibri"/>
        <scheme val="minor"/>
      </font>
      <alignment horizontal="left" vertical="top" readingOrder="0"/>
    </ndxf>
  </rcc>
  <rcv guid="{7E0EA425-A420-4443-B9E0-CDF0AA9E5D09}" action="delete"/>
  <rdn rId="0" localSheetId="1" customView="1" name="Z_7E0EA425_A420_4443_B9E0_CDF0AA9E5D09_.wvu.Rows" hidden="1" oldHidden="1">
    <formula>COEM_Package_20200302!$3:$75</formula>
    <oldFormula>COEM_Package_20200302!$3:$75</oldFormula>
  </rdn>
  <rdn rId="0" localSheetId="1" customView="1" name="Z_7E0EA425_A420_4443_B9E0_CDF0AA9E5D09_.wvu.Cols" hidden="1" oldHidden="1">
    <formula>COEM_Package_20200302!$N:$O,COEM_Package_20200302!$Q:$R</formula>
    <oldFormula>COEM_Package_20200302!$J:$O,COEM_Package_20200302!$Q:$R</oldFormula>
  </rdn>
  <rdn rId="0" localSheetId="1" customView="1" name="Z_7E0EA425_A420_4443_B9E0_CDF0AA9E5D09_.wvu.FilterData" hidden="1" oldHidden="1">
    <formula>COEM_Package_20200302!$A$2:$AH$26</formula>
    <oldFormula>COEM_Package_20200302!$A$2:$AH$26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01" sId="1">
    <nc r="T98">
      <v>131</v>
    </nc>
  </rcc>
  <rfmt sheetId="1" sqref="T98">
    <dxf>
      <fill>
        <patternFill patternType="solid">
          <bgColor rgb="FFFF0000"/>
        </patternFill>
      </fill>
    </dxf>
  </rfmt>
</revisions>
</file>

<file path=xl/revisions/revisionLog2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K105" start="0" length="0">
    <dxf>
      <alignment horizontal="general" vertical="bottom" readingOrder="0"/>
      <border outline="0">
        <left/>
        <right/>
        <top/>
        <bottom/>
      </border>
    </dxf>
  </rfmt>
  <rfmt sheetId="1" xfDxf="1" sqref="K105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sqref="K106" start="0" length="0">
    <dxf>
      <font>
        <sz val="10"/>
        <color rgb="FF000000"/>
        <name val="Arial"/>
        <scheme val="none"/>
      </font>
      <alignment horizontal="general" vertical="center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fmt sheetId="1" sqref="K107" start="0" length="0">
    <dxf>
      <alignment horizontal="general" vertical="bottom" readingOrder="0"/>
      <border outline="0">
        <left/>
        <right/>
        <top/>
        <bottom/>
      </border>
    </dxf>
  </rfmt>
  <rfmt sheetId="1" xfDxf="1" sqref="K107" start="0" length="0">
    <dxf>
      <font>
        <sz val="10"/>
        <color rgb="FF000000"/>
        <name val="Arial"/>
        <scheme val="none"/>
      </font>
    </dxf>
  </rfmt>
  <rfmt sheetId="1" sqref="K108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109" start="0" length="0">
    <dxf>
      <alignment horizontal="general" vertical="bottom" readingOrder="0"/>
      <border outline="0">
        <left/>
        <right/>
        <top/>
        <bottom/>
      </border>
    </dxf>
  </rfmt>
  <rfmt sheetId="1" xfDxf="1" sqref="K109" start="0" length="0">
    <dxf>
      <font>
        <sz val="10"/>
        <color rgb="FF000000"/>
        <name val="Arial"/>
        <scheme val="none"/>
      </font>
    </dxf>
  </rfmt>
  <rcc rId="2802" sId="1" odxf="1" dxf="1">
    <nc r="K105" t="inlineStr">
      <is>
        <t>FAW_Carbon_TypeF_HevX_Int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3" sId="1" odxf="1" dxf="1">
    <nc r="K106" t="inlineStr">
      <is>
        <t>FAW_Carbon_TypeF_HevX_Int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4" sId="1" odxf="1" dxf="1">
    <nc r="K107" t="inlineStr">
      <is>
        <t>SGMW_ESP93_Carbon_Int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5" sId="1" odxf="1" dxf="1">
    <nc r="K108" t="inlineStr">
      <is>
        <t>SGMW_ESP93_Carbon_Int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6" sId="1" odxf="1" dxf="1">
    <nc r="K109" t="inlineStr">
      <is>
        <t>BYD_IPB_BL05_Int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7E0EA425-A420-4443-B9E0-CDF0AA9E5D09}" action="delete"/>
  <rdn rId="0" localSheetId="1" customView="1" name="Z_7E0EA425_A420_4443_B9E0_CDF0AA9E5D09_.wvu.Rows" hidden="1" oldHidden="1">
    <formula>COEM_Package_20200302!$3:$75</formula>
    <oldFormula>COEM_Package_20200302!$3:$75</oldFormula>
  </rdn>
  <rdn rId="0" localSheetId="1" customView="1" name="Z_7E0EA425_A420_4443_B9E0_CDF0AA9E5D09_.wvu.Cols" hidden="1" oldHidden="1">
    <formula>COEM_Package_20200302!$N:$O,COEM_Package_20200302!$Q:$R</formula>
    <oldFormula>COEM_Package_20200302!$N:$O,COEM_Package_20200302!$Q:$R</oldFormula>
  </rdn>
  <rdn rId="0" localSheetId="1" customView="1" name="Z_7E0EA425_A420_4443_B9E0_CDF0AA9E5D09_.wvu.FilterData" hidden="1" oldHidden="1">
    <formula>COEM_Package_20200302!$A$2:$AH$26</formula>
    <oldFormula>COEM_Package_20200302!$A$2:$AH$26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11" sId="1">
    <oc r="AC77" t="inlineStr">
      <is>
        <t>NG</t>
      </is>
    </oc>
    <nc r="AC77" t="inlineStr">
      <is>
        <t>OK</t>
      </is>
    </nc>
  </rcc>
  <rcc rId="2812" sId="1">
    <oc r="AD77">
      <v>99</v>
    </oc>
    <nc r="AD77">
      <v>100</v>
    </nc>
  </rcc>
  <rcc rId="2813" sId="1">
    <oc r="AE77">
      <v>98</v>
    </oc>
    <nc r="AE77">
      <v>100</v>
    </nc>
  </rcc>
  <rcc rId="2814" sId="1">
    <oc r="AG77" t="inlineStr">
      <is>
        <t>Bug (the range of i is from 0 to 5 but we need test for defaule value (ex: 6))</t>
      </is>
    </oc>
    <nc r="AG77"/>
  </rcc>
  <rcv guid="{60D2C030-4E31-4E07-8E1C-44D2EE84B177}" action="delete"/>
  <rdn rId="0" localSheetId="1" customView="1" name="Z_60D2C030_4E31_4E07_8E1C_44D2EE84B177_.wvu.FilterData" hidden="1" oldHidden="1">
    <formula>COEM_Package_20200302!$B$2:$AH$160</formula>
    <oldFormula>COEM_Package_20200302!$B$2:$AH$160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17" sId="1">
    <nc r="T87">
      <v>220</v>
    </nc>
  </rcc>
  <rcc rId="2818" sId="1">
    <nc r="U87">
      <v>220</v>
    </nc>
  </rcc>
  <rcc rId="2819" sId="1">
    <nc r="W87">
      <v>3</v>
    </nc>
  </rcc>
  <rcv guid="{7E0EA425-A420-4443-B9E0-CDF0AA9E5D09}" action="delete"/>
  <rdn rId="0" localSheetId="1" customView="1" name="Z_7E0EA425_A420_4443_B9E0_CDF0AA9E5D09_.wvu.Rows" hidden="1" oldHidden="1">
    <formula>COEM_Package_20200302!$3:$75</formula>
    <oldFormula>COEM_Package_20200302!$3:$75</oldFormula>
  </rdn>
  <rdn rId="0" localSheetId="1" customView="1" name="Z_7E0EA425_A420_4443_B9E0_CDF0AA9E5D09_.wvu.Cols" hidden="1" oldHidden="1">
    <formula>COEM_Package_20200302!$N:$O,COEM_Package_20200302!$Q:$R</formula>
    <oldFormula>COEM_Package_20200302!$N:$O,COEM_Package_20200302!$Q:$R</oldFormula>
  </rdn>
  <rdn rId="0" localSheetId="1" customView="1" name="Z_7E0EA425_A420_4443_B9E0_CDF0AA9E5D09_.wvu.FilterData" hidden="1" oldHidden="1">
    <formula>COEM_Package_20200302!$B$2:$AH$160</formula>
    <oldFormula>COEM_Package_20200302!$A$2:$AH$26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7E0EA425_A420_4443_B9E0_CDF0AA9E5D09_.wvu.Cols" hidden="1" oldHidden="1">
    <oldFormula>COEM_Package_20200302!$N:$O,COEM_Package_20200302!$Q:$R</oldFormula>
  </rdn>
  <rcv guid="{7E0EA425-A420-4443-B9E0-CDF0AA9E5D09}" action="delete"/>
  <rdn rId="0" localSheetId="1" customView="1" name="Z_7E0EA425_A420_4443_B9E0_CDF0AA9E5D09_.wvu.Rows" hidden="1" oldHidden="1">
    <formula>COEM_Package_20200302!$3:$75</formula>
    <oldFormula>COEM_Package_20200302!$3:$75</oldFormula>
  </rdn>
  <rdn rId="0" localSheetId="1" customView="1" name="Z_7E0EA425_A420_4443_B9E0_CDF0AA9E5D09_.wvu.FilterData" hidden="1" oldHidden="1">
    <formula>COEM_Package_20200302!$B$2:$AH$160</formula>
    <oldFormula>COEM_Package_20200302!$B$2:$AH$160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28" sId="1">
    <nc r="T79">
      <v>165</v>
    </nc>
  </rcc>
  <rcc rId="2829" sId="1">
    <nc r="W79">
      <v>3</v>
    </nc>
  </rcc>
  <rcv guid="{7E0EA425-A420-4443-B9E0-CDF0AA9E5D09}" action="delete"/>
  <rdn rId="0" localSheetId="1" customView="1" name="Z_7E0EA425_A420_4443_B9E0_CDF0AA9E5D09_.wvu.Rows" hidden="1" oldHidden="1">
    <formula>COEM_Package_20200302!$3:$75</formula>
    <oldFormula>COEM_Package_20200302!$3:$75</oldFormula>
  </rdn>
  <rdn rId="0" localSheetId="1" customView="1" name="Z_7E0EA425_A420_4443_B9E0_CDF0AA9E5D09_.wvu.FilterData" hidden="1" oldHidden="1">
    <formula>COEM_Package_20200302!$B$2:$AH$160</formula>
    <oldFormula>COEM_Package_20200302!$B$2:$AH$160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3" sId="1">
    <nc r="P113" t="inlineStr">
      <is>
        <t>loc.do-phu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COEM_Package_20200302!$B$2:$AH$160</formula>
    <oldFormula>COEM_Package_20200302!$P$2:$P$175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2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J98">
    <dxf>
      <fill>
        <patternFill patternType="solid">
          <bgColor rgb="FFFF0000"/>
        </patternFill>
      </fill>
    </dxf>
  </rfmt>
  <rfmt sheetId="1" sqref="J95">
    <dxf>
      <fill>
        <patternFill patternType="none">
          <bgColor auto="1"/>
        </patternFill>
      </fill>
    </dxf>
  </rfmt>
</revisions>
</file>

<file path=xl/revisions/revisionLog2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7" sId="1">
    <nc r="W98">
      <v>4</v>
    </nc>
  </rcc>
  <rcc rId="2838" sId="1">
    <nc r="X98" t="inlineStr">
      <is>
        <t>Ready for review</t>
      </is>
    </nc>
  </rcc>
  <rcc rId="2839" sId="1" numFmtId="19">
    <nc r="AA98">
      <v>43902</v>
    </nc>
  </rcc>
  <rcc rId="2840" sId="1" numFmtId="19">
    <nc r="AB98">
      <v>43902</v>
    </nc>
  </rcc>
  <rcc rId="2841" sId="1">
    <nc r="AC98" t="inlineStr">
      <is>
        <t>OK</t>
      </is>
    </nc>
  </rcc>
  <rcc rId="2842" sId="1">
    <nc r="AD98">
      <v>100</v>
    </nc>
  </rcc>
  <rcc rId="2843" sId="1">
    <nc r="AE98">
      <v>100</v>
    </nc>
  </rcc>
  <rcc rId="2844" sId="1">
    <nc r="AF98">
      <v>100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COEM_Package_20200302!$P$2:$P$175</formula>
    <oldFormula>COEM_Package_20200302!$B$2:$AH$160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2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J98">
    <dxf>
      <fill>
        <patternFill patternType="none">
          <bgColor auto="1"/>
        </patternFill>
      </fill>
    </dxf>
  </rfmt>
  <rfmt sheetId="1" sqref="J113">
    <dxf>
      <fill>
        <patternFill patternType="solid">
          <bgColor rgb="FFFF0000"/>
        </patternFill>
      </fill>
    </dxf>
  </rfmt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COEM_Package_20200302!$P$2:$P$175</formula>
    <oldFormula>COEM_Package_20200302!$P$2:$P$175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2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1" sId="1">
    <nc r="T94">
      <v>165</v>
    </nc>
  </rcc>
  <rcc rId="2852" sId="1">
    <nc r="T97">
      <v>191</v>
    </nc>
  </rcc>
  <rfmt sheetId="1" sqref="T94">
    <dxf>
      <fill>
        <patternFill patternType="solid">
          <bgColor rgb="FFFF0000"/>
        </patternFill>
      </fill>
    </dxf>
  </rfmt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6" sId="1">
    <nc r="T92">
      <v>288</v>
    </nc>
  </rcc>
  <rfmt sheetId="1" sqref="T92">
    <dxf>
      <fill>
        <patternFill patternType="solid">
          <bgColor rgb="FFFF0000"/>
        </patternFill>
      </fill>
    </dxf>
  </rfmt>
  <rcc rId="2857" sId="1">
    <nc r="W92">
      <v>4</v>
    </nc>
  </rcc>
  <rcc rId="2858" sId="1" odxf="1" dxf="1" numFmtId="19">
    <nc r="AA92">
      <v>43902</v>
    </nc>
    <odxf>
      <numFmt numFmtId="19" formatCode="m/d/yyyy"/>
    </odxf>
    <ndxf>
      <numFmt numFmtId="164" formatCode="[$-409]d\-mmm\-yyyy;@"/>
    </ndxf>
  </rcc>
  <rcc rId="2859" sId="1" odxf="1" dxf="1" numFmtId="19">
    <nc r="AB92">
      <v>43902</v>
    </nc>
    <odxf>
      <numFmt numFmtId="19" formatCode="m/d/yyyy"/>
    </odxf>
    <ndxf>
      <numFmt numFmtId="164" formatCode="[$-409]d\-mmm\-yyyy;@"/>
    </ndxf>
  </rcc>
  <rcc rId="2860" sId="1">
    <nc r="AC92" t="inlineStr">
      <is>
        <t>OK</t>
      </is>
    </nc>
  </rcc>
  <rcc rId="2861" sId="1">
    <nc r="AD92">
      <v>100</v>
    </nc>
  </rcc>
  <rcc rId="2862" sId="1">
    <nc r="AE92">
      <v>100</v>
    </nc>
  </rcc>
  <rcc rId="2863" sId="1">
    <nc r="AF92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7" sId="1">
    <nc r="P99" t="inlineStr">
      <is>
        <t>thanh.nguyen-kim</t>
      </is>
    </nc>
  </rcc>
</revisions>
</file>

<file path=xl/revisions/revisionLog2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8" sId="1" odxf="1" dxf="1">
    <nc r="P109" t="inlineStr">
      <is>
        <t>thanh.nguyen-kim</t>
      </is>
    </nc>
    <odxf/>
    <ndxf/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F87">
    <dxf>
      <fill>
        <patternFill patternType="solid">
          <bgColor rgb="FFFFFF00"/>
        </patternFill>
      </fill>
    </dxf>
  </rfmt>
  <rfmt sheetId="1" sqref="F87">
    <dxf>
      <fill>
        <patternFill patternType="none">
          <bgColor auto="1"/>
        </patternFill>
      </fill>
    </dxf>
  </rfmt>
  <rfmt sheetId="1" sqref="F88">
    <dxf>
      <fill>
        <patternFill patternType="solid">
          <bgColor rgb="FFFFFF00"/>
        </patternFill>
      </fill>
    </dxf>
  </rfmt>
  <rfmt sheetId="1" sqref="H80">
    <dxf>
      <fill>
        <patternFill patternType="solid">
          <bgColor rgb="FFFFFF00"/>
        </patternFill>
      </fill>
    </dxf>
  </rfmt>
  <rfmt sheetId="1" sqref="H90">
    <dxf>
      <fill>
        <patternFill patternType="solid">
          <bgColor rgb="FFFFFF00"/>
        </patternFill>
      </fill>
    </dxf>
  </rfmt>
  <rfmt sheetId="1" sqref="H79">
    <dxf>
      <fill>
        <patternFill patternType="solid">
          <bgColor rgb="FFFFFF00"/>
        </patternFill>
      </fill>
    </dxf>
  </rfmt>
  <rfmt sheetId="1" sqref="H86">
    <dxf>
      <fill>
        <patternFill patternType="solid">
          <bgColor rgb="FFFFFF00"/>
        </patternFill>
      </fill>
    </dxf>
  </rfmt>
  <rfmt sheetId="1" sqref="H81">
    <dxf>
      <fill>
        <patternFill patternType="solid">
          <bgColor rgb="FFFFFF00"/>
        </patternFill>
      </fill>
    </dxf>
  </rfmt>
  <rfmt sheetId="1" sqref="H82:H83">
    <dxf>
      <fill>
        <patternFill patternType="solid">
          <bgColor rgb="FFFFFF00"/>
        </patternFill>
      </fill>
    </dxf>
  </rfmt>
  <rfmt sheetId="1" sqref="H84">
    <dxf>
      <fill>
        <patternFill patternType="solid">
          <bgColor rgb="FFFFFF00"/>
        </patternFill>
      </fill>
    </dxf>
  </rfmt>
  <rfmt sheetId="1" sqref="H87">
    <dxf>
      <fill>
        <patternFill patternType="solid">
          <bgColor rgb="FFFFFF00"/>
        </patternFill>
      </fill>
    </dxf>
  </rfmt>
  <rfmt sheetId="1" sqref="H88">
    <dxf>
      <fill>
        <patternFill patternType="solid">
          <bgColor rgb="FFFFFF00"/>
        </patternFill>
      </fill>
    </dxf>
  </rfmt>
  <rfmt sheetId="1" sqref="H76">
    <dxf>
      <fill>
        <patternFill patternType="solid">
          <bgColor rgb="FFFFFF00"/>
        </patternFill>
      </fill>
    </dxf>
  </rfmt>
  <rfmt sheetId="1" sqref="H77">
    <dxf>
      <fill>
        <patternFill patternType="solid">
          <bgColor rgb="FFFFFF00"/>
        </patternFill>
      </fill>
    </dxf>
  </rfmt>
  <rfmt sheetId="1" sqref="H78">
    <dxf>
      <fill>
        <patternFill patternType="solid">
          <bgColor rgb="FFFFFF00"/>
        </patternFill>
      </fill>
    </dxf>
  </rfmt>
</revisions>
</file>

<file path=xl/revisions/revisionLog2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120" start="0" length="0">
    <dxf>
      <alignment horizontal="general" vertical="bottom" readingOrder="0"/>
      <border outline="0">
        <left/>
        <right/>
        <top/>
        <bottom/>
      </border>
    </dxf>
  </rfmt>
  <rfmt sheetId="1" sqref="E121" start="0" length="0">
    <dxf>
      <alignment horizontal="general" vertical="bottom" readingOrder="0"/>
      <border outline="0">
        <left/>
        <right/>
        <top/>
        <bottom/>
      </border>
    </dxf>
  </rfmt>
  <rfmt sheetId="1" sqref="E122" start="0" length="0">
    <dxf>
      <alignment horizontal="general" vertical="bottom" readingOrder="0"/>
      <border outline="0">
        <left/>
        <right/>
        <top/>
        <bottom/>
      </border>
    </dxf>
  </rfmt>
  <rfmt sheetId="1" sqref="E123" start="0" length="0">
    <dxf>
      <alignment horizontal="general" vertical="bottom" readingOrder="0"/>
      <border outline="0">
        <left/>
        <right/>
        <top/>
        <bottom/>
      </border>
    </dxf>
  </rfmt>
  <rfmt sheetId="1" sqref="E124" start="0" length="0">
    <dxf>
      <alignment horizontal="general" vertical="bottom" readingOrder="0"/>
      <border outline="0">
        <left/>
        <right/>
        <top/>
        <bottom/>
      </border>
    </dxf>
  </rfmt>
  <rfmt sheetId="1" xfDxf="1" sqref="E120" start="0" length="0">
    <dxf>
      <font>
        <color rgb="FF000000"/>
      </font>
      <fill>
        <patternFill patternType="solid">
          <bgColor rgb="FFDDEBF7"/>
        </patternFill>
      </fill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21" start="0" length="0">
    <dxf>
      <font>
        <color rgb="FF000000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E122" start="0" length="0">
    <dxf>
      <font>
        <color rgb="FF000000"/>
      </font>
      <fill>
        <patternFill patternType="solid">
          <bgColor rgb="FFDDEBF7"/>
        </patternFill>
      </fill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fmt sheetId="1" xfDxf="1" sqref="E123" start="0" length="0">
    <dxf>
      <font>
        <color rgb="FF000000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E124" start="0" length="0">
    <dxf>
      <font>
        <color rgb="FF000000"/>
      </font>
      <fill>
        <patternFill patternType="solid">
          <bgColor rgb="FFDDEBF7"/>
        </patternFill>
      </fill>
      <alignment vertical="center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</rfmt>
  <rcc rId="2872" sId="1" odxf="1" dxf="1">
    <nc r="E120" t="inlineStr">
      <is>
        <t>HHT_VX1_ESPHevX_BL2_Sprint3</t>
      </is>
    </nc>
    <n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73" sId="1" odxf="1" dxf="1">
    <nc r="E121" t="inlineStr">
      <is>
        <t>HHT_VX1_ESPHevX_BL2_Sprint3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74" sId="1" odxf="1" dxf="1">
    <nc r="E122" t="inlineStr">
      <is>
        <t>HHT_VX1_ESPHevX_BL2_Sprint3</t>
      </is>
    </nc>
    <n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75" sId="1" odxf="1" dxf="1">
    <nc r="E123" t="inlineStr">
      <is>
        <t>HHT_VX1_ESPHevX_BL2_Sprint3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76" sId="1" odxf="1" dxf="1">
    <nc r="E124" t="inlineStr">
      <is>
        <t>HHT_VX1_ESPHevX_BL2_Sprint3</t>
      </is>
    </nc>
    <n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G120" start="0" length="0">
    <dxf>
      <alignment horizontal="general" vertical="bottom" readingOrder="0"/>
      <border outline="0">
        <left/>
        <right/>
        <top/>
        <bottom/>
      </border>
    </dxf>
  </rfmt>
  <rfmt sheetId="1" sqref="G121" start="0" length="0">
    <dxf>
      <alignment horizontal="general" vertical="bottom" readingOrder="0"/>
      <border outline="0">
        <left/>
        <right/>
        <top/>
        <bottom/>
      </border>
    </dxf>
  </rfmt>
  <rfmt sheetId="1" sqref="G122" start="0" length="0">
    <dxf>
      <alignment horizontal="general" vertical="bottom" readingOrder="0"/>
      <border outline="0">
        <left/>
        <right/>
        <top/>
        <bottom/>
      </border>
    </dxf>
  </rfmt>
  <rfmt sheetId="1" sqref="G123" start="0" length="0">
    <dxf>
      <alignment horizontal="general" vertical="bottom" readingOrder="0"/>
      <border outline="0">
        <left/>
        <right/>
        <top/>
        <bottom/>
      </border>
    </dxf>
  </rfmt>
  <rfmt sheetId="1" sqref="G124" start="0" length="0">
    <dxf>
      <alignment horizontal="general" vertical="bottom" readingOrder="0"/>
      <border outline="0">
        <left/>
        <right/>
        <top/>
        <bottom/>
      </border>
    </dxf>
  </rfmt>
  <rcc rId="2877" sId="1" xfDxf="1" dxf="1">
    <nc r="G120">
      <v>1367009</v>
    </nc>
    <ndxf>
      <font>
        <color rgb="FF000000"/>
      </font>
      <fill>
        <patternFill patternType="solid">
          <bgColor rgb="FFDDEBF7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878" sId="1" xfDxf="1" dxf="1">
    <nc r="G121">
      <v>1367009</v>
    </nc>
    <ndxf>
      <font>
        <color rgb="FF000000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879" sId="1" xfDxf="1" dxf="1">
    <nc r="G122">
      <v>1366969</v>
    </nc>
    <ndxf>
      <font>
        <color rgb="FF000000"/>
      </font>
      <fill>
        <patternFill patternType="solid">
          <bgColor rgb="FFDDEBF7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880" sId="1" xfDxf="1" dxf="1">
    <nc r="G123">
      <v>1366969</v>
    </nc>
    <ndxf>
      <font>
        <color rgb="FF000000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881" sId="1" xfDxf="1" dxf="1">
    <nc r="G124">
      <v>1371465</v>
    </nc>
    <ndxf>
      <font>
        <color rgb="FF000000"/>
      </font>
      <fill>
        <patternFill patternType="solid">
          <bgColor rgb="FFDDEBF7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fmt sheetId="1" sqref="H120" start="0" length="0">
    <dxf>
      <alignment horizontal="general" vertical="bottom" readingOrder="0"/>
      <border outline="0">
        <left/>
        <right/>
        <top/>
        <bottom/>
      </border>
    </dxf>
  </rfmt>
  <rfmt sheetId="1" sqref="H121" start="0" length="0">
    <dxf>
      <alignment horizontal="general" vertical="bottom" readingOrder="0"/>
      <border outline="0">
        <left/>
        <right/>
        <top/>
        <bottom/>
      </border>
    </dxf>
  </rfmt>
  <rfmt sheetId="1" sqref="H122" start="0" length="0">
    <dxf>
      <alignment horizontal="general" vertical="bottom" readingOrder="0"/>
      <border outline="0">
        <left/>
        <right/>
        <top/>
        <bottom/>
      </border>
    </dxf>
  </rfmt>
  <rfmt sheetId="1" sqref="H123" start="0" length="0">
    <dxf>
      <alignment horizontal="general" vertical="bottom" readingOrder="0"/>
      <border outline="0">
        <left/>
        <right/>
        <top/>
        <bottom/>
      </border>
    </dxf>
  </rfmt>
  <rfmt sheetId="1" sqref="H124" start="0" length="0">
    <dxf>
      <alignment horizontal="general" vertical="bottom" readingOrder="0"/>
      <border outline="0">
        <left/>
        <right/>
        <top/>
        <bottom/>
      </border>
    </dxf>
  </rfmt>
  <rcc rId="2882" sId="1" xfDxf="1" dxf="1">
    <nc r="H120" t="inlineStr">
      <is>
        <t xml:space="preserve">CM_IVC_RWS_Status </t>
      </is>
    </nc>
    <ndxf>
      <font>
        <color rgb="FF000000"/>
      </font>
      <fill>
        <patternFill patternType="solid">
          <bgColor rgb="FFDDEBF7"/>
        </patternFill>
      </fill>
      <alignment vertical="center" readingOrder="0"/>
      <border outline="0">
        <right style="medium">
          <color indexed="64"/>
        </right>
        <bottom style="medium">
          <color indexed="64"/>
        </bottom>
      </border>
    </ndxf>
  </rcc>
  <rcc rId="2883" sId="1" xfDxf="1" dxf="1">
    <nc r="H121" t="inlineStr">
      <is>
        <t xml:space="preserve">CM_IVC_ModeHandling </t>
      </is>
    </nc>
    <ndxf>
      <font>
        <color rgb="FF000000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ndxf>
  </rcc>
  <rcc rId="2884" sId="1" xfDxf="1" dxf="1">
    <nc r="H122" t="inlineStr">
      <is>
        <t>VDCVAFS_PreindicatorArbitrator</t>
      </is>
    </nc>
    <ndxf>
      <font>
        <color rgb="FF000000"/>
      </font>
      <fill>
        <patternFill patternType="solid">
          <bgColor rgb="FFDDEBF7"/>
        </patternFill>
      </fill>
      <alignment vertical="center" readingOrder="0"/>
      <border outline="0">
        <right style="medium">
          <color indexed="64"/>
        </right>
        <bottom style="medium">
          <color indexed="64"/>
        </bottom>
      </border>
    </ndxf>
  </rcc>
  <rcc rId="2885" sId="1" xfDxf="1" dxf="1">
    <nc r="H123" t="inlineStr">
      <is>
        <t>VDCVAFS_VDCActiveArbitrator</t>
      </is>
    </nc>
    <ndxf>
      <font>
        <color rgb="FF000000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ndxf>
  </rcc>
  <rcc rId="2886" sId="1" xfDxf="1" dxf="1">
    <nc r="H124" t="inlineStr">
      <is>
        <t>CM_IVC_HHT_HADPADActivation</t>
      </is>
    </nc>
    <ndxf>
      <font>
        <color rgb="FF000000"/>
      </font>
      <fill>
        <patternFill patternType="solid">
          <bgColor rgb="FFDDEBF7"/>
        </patternFill>
      </fill>
      <alignment vertical="center" readingOrder="0"/>
      <border outline="0">
        <right style="medium">
          <color indexed="64"/>
        </right>
        <bottom style="medium">
          <color indexed="64"/>
        </bottom>
      </border>
    </ndxf>
  </rcc>
  <rfmt sheetId="1" sqref="L120" start="0" length="0">
    <dxf>
      <alignment horizontal="general" vertical="bottom" readingOrder="0"/>
      <border outline="0">
        <left/>
        <right/>
        <top/>
        <bottom/>
      </border>
    </dxf>
  </rfmt>
  <rfmt sheetId="1" sqref="L121" start="0" length="0">
    <dxf>
      <alignment horizontal="general" vertical="bottom" readingOrder="0"/>
      <border outline="0">
        <left/>
        <right/>
        <top/>
        <bottom/>
      </border>
    </dxf>
  </rfmt>
  <rfmt sheetId="1" sqref="L122" start="0" length="0">
    <dxf>
      <alignment horizontal="general" vertical="bottom" readingOrder="0"/>
      <border outline="0">
        <left/>
        <right/>
        <top/>
        <bottom/>
      </border>
    </dxf>
  </rfmt>
  <rfmt sheetId="1" sqref="L123" start="0" length="0">
    <dxf>
      <alignment horizontal="general" vertical="bottom" readingOrder="0"/>
      <border outline="0">
        <left/>
        <right/>
        <top/>
        <bottom/>
      </border>
    </dxf>
  </rfmt>
  <rfmt sheetId="1" sqref="L124" start="0" length="0">
    <dxf>
      <alignment horizontal="general" vertical="bottom" readingOrder="0"/>
      <border outline="0">
        <left/>
        <right/>
        <top/>
        <bottom/>
      </border>
    </dxf>
  </rfmt>
  <rcc rId="2887" sId="1" xfDxf="1" dxf="1">
    <nc r="L120">
      <v>1.2</v>
    </nc>
    <ndxf>
      <font>
        <color rgb="FF000000"/>
      </font>
      <fill>
        <patternFill patternType="solid">
          <bgColor rgb="FFDDEBF7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888" sId="1" xfDxf="1" dxf="1">
    <nc r="L121" t="inlineStr">
      <is>
        <t>2.1.805.3</t>
      </is>
    </nc>
    <ndxf>
      <font>
        <color rgb="FF000000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ndxf>
  </rcc>
  <rcc rId="2889" sId="1" xfDxf="1" dxf="1">
    <nc r="L122">
      <v>1.1000000000000001</v>
    </nc>
    <ndxf>
      <font>
        <color rgb="FF000000"/>
      </font>
      <fill>
        <patternFill patternType="solid">
          <bgColor rgb="FFDDEBF7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890" sId="1" xfDxf="1" dxf="1">
    <nc r="L123">
      <v>1</v>
    </nc>
    <ndxf>
      <font>
        <color rgb="FF000000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ndxf>
  </rcc>
  <rcc rId="2891" sId="1" xfDxf="1" dxf="1">
    <nc r="L124">
      <v>1.1000000000000001</v>
    </nc>
    <ndxf>
      <font>
        <color rgb="FF000000"/>
      </font>
      <fill>
        <patternFill patternType="solid">
          <bgColor rgb="FFDDEBF7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ndxf>
  </rcc>
  <rcc rId="2892" sId="1">
    <nc r="D120" t="inlineStr">
      <is>
        <t>ASW</t>
      </is>
    </nc>
  </rcc>
  <rcc rId="2893" sId="1">
    <nc r="D121" t="inlineStr">
      <is>
        <t>ASW</t>
      </is>
    </nc>
  </rcc>
  <rcc rId="2894" sId="1">
    <nc r="D122" t="inlineStr">
      <is>
        <t>ASW</t>
      </is>
    </nc>
  </rcc>
  <rcc rId="2895" sId="1">
    <nc r="D123" t="inlineStr">
      <is>
        <t>ASW</t>
      </is>
    </nc>
  </rcc>
  <rcc rId="2896" sId="1">
    <nc r="D124" t="inlineStr">
      <is>
        <t>ASW</t>
      </is>
    </nc>
  </rcc>
  <rfmt sheetId="1" sqref="D120:D124">
    <dxf>
      <fill>
        <patternFill patternType="solid">
          <bgColor rgb="FFFF0000"/>
        </patternFill>
      </fill>
    </dxf>
  </rfmt>
  <rcc rId="2897" sId="1">
    <nc r="C120">
      <v>20200312</v>
    </nc>
  </rcc>
  <rcc rId="2898" sId="1">
    <nc r="C121">
      <v>20200312</v>
    </nc>
  </rcc>
  <rcc rId="2899" sId="1">
    <nc r="C122">
      <v>20200312</v>
    </nc>
  </rcc>
  <rcc rId="2900" sId="1">
    <nc r="C123">
      <v>20200312</v>
    </nc>
  </rcc>
  <rcc rId="2901" sId="1">
    <nc r="C124">
      <v>20200312</v>
    </nc>
  </rcc>
  <rcv guid="{7E0EA425-A420-4443-B9E0-CDF0AA9E5D09}" action="delete"/>
  <rdn rId="0" localSheetId="1" customView="1" name="Z_7E0EA425_A420_4443_B9E0_CDF0AA9E5D09_.wvu.Rows" hidden="1" oldHidden="1">
    <formula>COEM_Package_20200302!$3:$75</formula>
    <oldFormula>COEM_Package_20200302!$3:$75</oldFormula>
  </rdn>
  <rdn rId="0" localSheetId="1" customView="1" name="Z_7E0EA425_A420_4443_B9E0_CDF0AA9E5D09_.wvu.FilterData" hidden="1" oldHidden="1">
    <formula>COEM_Package_20200302!$B$2:$AH$26</formula>
    <oldFormula>COEM_Package_20200302!$B$2:$AH$160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L120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L121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L122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L123" start="0" length="0">
    <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L124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V120" start="0" length="0">
    <dxf>
      <alignment horizontal="general" vertical="bottom" readingOrder="0"/>
      <border outline="0">
        <left/>
        <right/>
        <top/>
        <bottom/>
      </border>
    </dxf>
  </rfmt>
  <rfmt sheetId="1" sqref="V121" start="0" length="0">
    <dxf>
      <alignment horizontal="general" vertical="bottom" readingOrder="0"/>
      <border outline="0">
        <left/>
        <right/>
        <top/>
        <bottom/>
      </border>
    </dxf>
  </rfmt>
  <rfmt sheetId="1" sqref="V122" start="0" length="0">
    <dxf>
      <alignment horizontal="general" vertical="bottom" readingOrder="0"/>
      <border outline="0">
        <left/>
        <right/>
        <top/>
        <bottom/>
      </border>
    </dxf>
  </rfmt>
  <rfmt sheetId="1" sqref="V123" start="0" length="0">
    <dxf>
      <alignment horizontal="general" vertical="bottom" readingOrder="0"/>
      <border outline="0">
        <left/>
        <right/>
        <top/>
        <bottom/>
      </border>
    </dxf>
  </rfmt>
  <rfmt sheetId="1" sqref="V124" start="0" length="0">
    <dxf>
      <alignment horizontal="general" vertical="bottom" readingOrder="0"/>
      <border outline="0">
        <left/>
        <right/>
        <top/>
        <bottom/>
      </border>
    </dxf>
  </rfmt>
  <rfmt sheetId="1" xfDxf="1" sqref="V120" start="0" length="0">
    <dxf>
      <font>
        <color rgb="FF000000"/>
      </font>
      <fill>
        <patternFill patternType="solid">
          <bgColor rgb="FFDDEBF7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V121" start="0" length="0">
    <dxf>
      <font>
        <color rgb="FF000000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V122" start="0" length="0">
    <dxf>
      <font>
        <color rgb="FF000000"/>
      </font>
      <fill>
        <patternFill patternType="solid">
          <bgColor rgb="FFDDEBF7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V123" start="0" length="0">
    <dxf>
      <font>
        <color rgb="FF000000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V124" start="0" length="0">
    <dxf>
      <font>
        <color rgb="FF000000"/>
      </font>
      <fill>
        <patternFill patternType="solid">
          <bgColor rgb="FFDDEBF7"/>
        </patternFill>
      </fill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cc rId="2905" sId="1" odxf="1" dxf="1">
    <nc r="V120">
      <v>3</v>
    </nc>
    <ndxf>
      <font>
        <color rgb="FF000000"/>
      </font>
      <fill>
        <patternFill patternType="none">
          <bgColor indexed="65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6" sId="1" odxf="1" dxf="1">
    <nc r="V121">
      <v>5</v>
    </nc>
    <ndxf>
      <font>
        <color rgb="FF000000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7" sId="1" odxf="1" dxf="1">
    <nc r="V122">
      <v>3</v>
    </nc>
    <ndxf>
      <font>
        <color rgb="FF000000"/>
      </font>
      <fill>
        <patternFill patternType="none">
          <bgColor indexed="65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8" sId="1" odxf="1" dxf="1">
    <nc r="V123">
      <v>3</v>
    </nc>
    <ndxf>
      <font>
        <color rgb="FF000000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9" sId="1" odxf="1" dxf="1">
    <nc r="V124">
      <v>7</v>
    </nc>
    <ndxf>
      <font>
        <color rgb="FF000000"/>
      </font>
      <fill>
        <patternFill patternType="none">
          <bgColor indexed="65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S120" start="0" length="0">
    <dxf>
      <alignment horizontal="general" vertical="bottom" readingOrder="0"/>
      <border outline="0">
        <left/>
        <right/>
        <top/>
        <bottom/>
      </border>
    </dxf>
  </rfmt>
  <rfmt sheetId="1" sqref="S121" start="0" length="0">
    <dxf>
      <alignment horizontal="general" vertical="bottom" readingOrder="0"/>
      <border outline="0">
        <left/>
        <right/>
        <top/>
        <bottom/>
      </border>
    </dxf>
  </rfmt>
  <rfmt sheetId="1" sqref="S122" start="0" length="0">
    <dxf>
      <alignment horizontal="general" vertical="bottom" readingOrder="0"/>
      <border outline="0">
        <left/>
        <right/>
        <top/>
        <bottom/>
      </border>
    </dxf>
  </rfmt>
  <rfmt sheetId="1" sqref="S123" start="0" length="0">
    <dxf>
      <alignment horizontal="general" vertical="bottom" readingOrder="0"/>
      <border outline="0">
        <left/>
        <right/>
        <top/>
        <bottom/>
      </border>
    </dxf>
  </rfmt>
  <rfmt sheetId="1" sqref="S124" start="0" length="0">
    <dxf>
      <alignment horizontal="general" vertical="bottom" readingOrder="0"/>
      <border outline="0">
        <left/>
        <right/>
        <top/>
        <bottom/>
      </border>
    </dxf>
  </rfmt>
  <rfmt sheetId="1" xfDxf="1" sqref="S120" start="0" length="0">
    <dxf>
      <font>
        <color rgb="FF000000"/>
      </font>
      <fill>
        <patternFill patternType="solid">
          <bgColor rgb="FFDDEBF7"/>
        </patternFill>
      </fill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21" start="0" length="0">
    <dxf>
      <font>
        <color rgb="FF000000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22" start="0" length="0">
    <dxf>
      <font>
        <color rgb="FF000000"/>
      </font>
      <fill>
        <patternFill patternType="solid">
          <bgColor rgb="FFDDEBF7"/>
        </patternFill>
      </fill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23" start="0" length="0">
    <dxf>
      <font>
        <color rgb="FF000000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124" start="0" length="0">
    <dxf>
      <font>
        <color rgb="FF000000"/>
      </font>
      <fill>
        <patternFill patternType="solid">
          <bgColor rgb="FFDDEBF7"/>
        </patternFill>
      </fill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cc rId="2910" sId="1" odxf="1" dxf="1">
    <nc r="S120" t="inlineStr">
      <is>
        <t>18 lines</t>
      </is>
    </nc>
    <ndxf>
      <font>
        <color rgb="FF000000"/>
      </font>
      <fill>
        <patternFill patternType="none">
          <bgColor indexed="65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11" sId="1" odxf="1" dxf="1">
    <nc r="S121" t="inlineStr">
      <is>
        <t>15 lines, 2 array</t>
      </is>
    </nc>
    <ndxf>
      <font>
        <color rgb="FF000000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12" sId="1" odxf="1" dxf="1">
    <nc r="S122" t="inlineStr">
      <is>
        <t>8 lines</t>
      </is>
    </nc>
    <ndxf>
      <font>
        <color rgb="FF000000"/>
      </font>
      <fill>
        <patternFill patternType="none">
          <bgColor indexed="65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13" sId="1" odxf="1" dxf="1">
    <nc r="S123" t="inlineStr">
      <is>
        <t>8 lines</t>
      </is>
    </nc>
    <ndxf>
      <font>
        <color rgb="FF000000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14" sId="1" odxf="1" dxf="1">
    <nc r="S124" t="inlineStr">
      <is>
        <t>62 lines</t>
      </is>
    </nc>
    <ndxf>
      <font>
        <color rgb="FF000000"/>
      </font>
      <fill>
        <patternFill patternType="none">
          <bgColor indexed="65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M120" start="0" length="0">
    <dxf>
      <alignment horizontal="general" vertical="bottom" readingOrder="0"/>
      <border outline="0">
        <left/>
        <right/>
        <top/>
        <bottom/>
      </border>
    </dxf>
  </rfmt>
  <rfmt sheetId="1" xfDxf="1" sqref="M120" start="0" length="0">
    <dxf>
      <font>
        <sz val="10"/>
        <color rgb="FF000000"/>
        <name val="Arial"/>
        <scheme val="none"/>
      </font>
      <alignment horizontal="center" vertical="center" readingOrder="0"/>
      <border outline="0">
        <right style="medium">
          <color indexed="64"/>
        </right>
        <bottom style="medium">
          <color indexed="64"/>
        </bottom>
      </border>
    </dxf>
  </rfmt>
  <rcc rId="2915" sId="1" odxf="1" dxf="1" quotePrefix="1">
    <nc r="M120" t="inlineStr">
      <is>
        <t>ZHANG Ruipeng (BEG/ESW-CN)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16" sId="1" quotePrefix="1">
    <nc r="M121" t="inlineStr">
      <is>
        <t>ZHANG Ruipeng (BEG/ESW-CN)</t>
      </is>
    </nc>
  </rcc>
  <rcc rId="2917" sId="1" quotePrefix="1">
    <nc r="M122" t="inlineStr">
      <is>
        <t>ZHANG Ruipeng (BEG/ESW-CN)</t>
      </is>
    </nc>
  </rcc>
  <rcc rId="2918" sId="1" quotePrefix="1">
    <nc r="M123" t="inlineStr">
      <is>
        <t>ZHANG Ruipeng (BEG/ESW-CN)</t>
      </is>
    </nc>
  </rcc>
  <rcc rId="2919" sId="1" quotePrefix="1">
    <nc r="M124" t="inlineStr">
      <is>
        <t>ZHANG Ruipeng (BEG/ESW-CN)</t>
      </is>
    </nc>
  </rcc>
  <rfmt sheetId="1" sqref="B120:B124">
    <dxf>
      <fill>
        <patternFill patternType="solid">
          <bgColor theme="3" tint="0.39997558519241921"/>
        </patternFill>
      </fill>
    </dxf>
  </rfmt>
  <rcv guid="{7E0EA425-A420-4443-B9E0-CDF0AA9E5D09}" action="delete"/>
  <rdn rId="0" localSheetId="1" customView="1" name="Z_7E0EA425_A420_4443_B9E0_CDF0AA9E5D09_.wvu.Rows" hidden="1" oldHidden="1">
    <formula>COEM_Package_20200302!$3:$75</formula>
    <oldFormula>COEM_Package_20200302!$3:$75</oldFormula>
  </rdn>
  <rdn rId="0" localSheetId="1" customView="1" name="Z_7E0EA425_A420_4443_B9E0_CDF0AA9E5D09_.wvu.Cols" hidden="1" oldHidden="1">
    <formula>COEM_Package_20200302!$N:$O,COEM_Package_20200302!$Q:$R</formula>
  </rdn>
  <rdn rId="0" localSheetId="1" customView="1" name="Z_7E0EA425_A420_4443_B9E0_CDF0AA9E5D09_.wvu.FilterData" hidden="1" oldHidden="1">
    <formula>COEM_Package_20200302!$B$2:$AH$26</formula>
    <oldFormula>COEM_Package_20200302!$B$2:$AH$26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Z120" start="0" length="0">
    <dxf>
      <numFmt numFmtId="0" formatCode="General"/>
    </dxf>
  </rfmt>
  <rcc rId="2924" sId="1">
    <nc r="Z120">
      <v>20200320</v>
    </nc>
  </rcc>
  <rcc rId="2925" sId="1" odxf="1" dxf="1">
    <nc r="Z121">
      <v>20200320</v>
    </nc>
    <odxf>
      <numFmt numFmtId="164" formatCode="[$-409]d\-mmm\-yyyy;@"/>
    </odxf>
    <ndxf>
      <numFmt numFmtId="0" formatCode="General"/>
    </ndxf>
  </rcc>
  <rcc rId="2926" sId="1" odxf="1" dxf="1">
    <nc r="Z122">
      <v>20200320</v>
    </nc>
    <odxf>
      <numFmt numFmtId="164" formatCode="[$-409]d\-mmm\-yyyy;@"/>
    </odxf>
    <ndxf>
      <numFmt numFmtId="0" formatCode="General"/>
    </ndxf>
  </rcc>
  <rcc rId="2927" sId="1" odxf="1" dxf="1">
    <nc r="Z123">
      <v>20200320</v>
    </nc>
    <odxf>
      <numFmt numFmtId="164" formatCode="[$-409]d\-mmm\-yyyy;@"/>
    </odxf>
    <ndxf>
      <numFmt numFmtId="0" formatCode="General"/>
    </ndxf>
  </rcc>
  <rcc rId="2928" sId="1" odxf="1" dxf="1">
    <nc r="Z124">
      <v>20200320</v>
    </nc>
    <odxf>
      <numFmt numFmtId="164" formatCode="[$-409]d\-mmm\-yyyy;@"/>
    </odxf>
    <ndxf>
      <numFmt numFmtId="0" formatCode="General"/>
    </ndxf>
  </rcc>
  <rfmt sheetId="1" sqref="K120" start="0" length="0">
    <dxf>
      <alignment horizontal="general" vertical="bottom" readingOrder="0"/>
      <border outline="0">
        <left/>
        <right/>
        <top/>
        <bottom/>
      </border>
    </dxf>
  </rfmt>
  <rfmt sheetId="1" xfDxf="1" sqref="K120" start="0" length="0">
    <dxf>
      <font>
        <sz val="10"/>
        <color rgb="FF000000"/>
        <name val="Arial"/>
        <scheme val="none"/>
      </font>
    </dxf>
  </rfmt>
  <rfmt sheetId="1" sqref="K121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122" start="0" length="0">
    <dxf>
      <alignment horizontal="general" vertical="bottom" readingOrder="0"/>
      <border outline="0">
        <left/>
        <right/>
        <top/>
        <bottom/>
      </border>
    </dxf>
  </rfmt>
  <rfmt sheetId="1" xfDxf="1" sqref="K122" start="0" length="0">
    <dxf>
      <font>
        <sz val="10"/>
        <color rgb="FF000000"/>
        <name val="Arial"/>
        <scheme val="none"/>
      </font>
    </dxf>
  </rfmt>
  <rfmt sheetId="1" sqref="K123" start="0" length="0">
    <dxf>
      <font>
        <sz val="10"/>
        <color rgb="FF000000"/>
        <name val="Arial"/>
        <scheme val="none"/>
      </font>
      <alignment horizontal="general" vertical="bottom" readingOrder="0"/>
      <border outline="0">
        <left/>
        <right/>
        <top/>
        <bottom/>
      </border>
    </dxf>
  </rfmt>
  <rfmt sheetId="1" sqref="K124" start="0" length="0">
    <dxf>
      <alignment horizontal="general" vertical="bottom" readingOrder="0"/>
      <border outline="0">
        <left/>
        <right/>
        <top/>
        <bottom/>
      </border>
    </dxf>
  </rfmt>
  <rfmt sheetId="1" xfDxf="1" sqref="K124" start="0" length="0">
    <dxf>
      <font>
        <sz val="10"/>
        <color rgb="FF000000"/>
        <name val="Arial"/>
        <scheme val="none"/>
      </font>
    </dxf>
  </rfmt>
  <rcc rId="2929" sId="1" odxf="1" dxf="1">
    <nc r="K120" t="inlineStr">
      <is>
        <t>1371465_1367009.zip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30" sId="1" odxf="1" dxf="1">
    <nc r="K121" t="inlineStr">
      <is>
        <t>1371465_1367009.zip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31" sId="1" odxf="1" dxf="1">
    <nc r="K122" t="inlineStr">
      <is>
        <t>1366969.zip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32" sId="1" odxf="1" dxf="1">
    <nc r="K123" t="inlineStr">
      <is>
        <t>1366969.zip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33" sId="1" odxf="1" dxf="1">
    <nc r="K124" t="inlineStr">
      <is>
        <t>1371465_1367009.zip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34" sId="1" quotePrefix="1">
    <nc r="F120" t="inlineStr">
      <is>
        <t>-</t>
      </is>
    </nc>
  </rcc>
  <rcc rId="2935" sId="1" quotePrefix="1">
    <nc r="F121" t="inlineStr">
      <is>
        <t>-</t>
      </is>
    </nc>
  </rcc>
  <rcc rId="2936" sId="1" quotePrefix="1">
    <nc r="F122" t="inlineStr">
      <is>
        <t>-</t>
      </is>
    </nc>
  </rcc>
  <rcc rId="2937" sId="1" quotePrefix="1">
    <nc r="F123" t="inlineStr">
      <is>
        <t>-</t>
      </is>
    </nc>
  </rcc>
  <rcc rId="2938" sId="1" quotePrefix="1">
    <nc r="F124" t="inlineStr">
      <is>
        <t>-</t>
      </is>
    </nc>
  </rcc>
  <rcv guid="{7E0EA425-A420-4443-B9E0-CDF0AA9E5D09}" action="delete"/>
  <rdn rId="0" localSheetId="1" customView="1" name="Z_7E0EA425_A420_4443_B9E0_CDF0AA9E5D09_.wvu.Rows" hidden="1" oldHidden="1">
    <formula>COEM_Package_20200302!$3:$75</formula>
    <oldFormula>COEM_Package_20200302!$3:$75</oldFormula>
  </rdn>
  <rdn rId="0" localSheetId="1" customView="1" name="Z_7E0EA425_A420_4443_B9E0_CDF0AA9E5D09_.wvu.Cols" hidden="1" oldHidden="1">
    <formula>COEM_Package_20200302!$N:$O,COEM_Package_20200302!$Q:$R</formula>
    <oldFormula>COEM_Package_20200302!$N:$O,COEM_Package_20200302!$Q:$R</oldFormula>
  </rdn>
  <rdn rId="0" localSheetId="1" customView="1" name="Z_7E0EA425_A420_4443_B9E0_CDF0AA9E5D09_.wvu.FilterData" hidden="1" oldHidden="1">
    <formula>COEM_Package_20200302!$B$2:$AH$26</formula>
    <oldFormula>COEM_Package_20200302!$B$2:$AH$26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Rows" hidden="1" oldHidden="1">
    <formula>COEM_Package_20200302!$3:$75</formula>
    <oldFormula>COEM_Package_20200302!$3:$75</oldFormula>
  </rdn>
  <rdn rId="0" localSheetId="1" customView="1" name="Z_7E0EA425_A420_4443_B9E0_CDF0AA9E5D09_.wvu.Cols" hidden="1" oldHidden="1">
    <formula>COEM_Package_20200302!$N:$O,COEM_Package_20200302!$Q:$R</formula>
    <oldFormula>COEM_Package_20200302!$N:$O,COEM_Package_20200302!$Q:$R</oldFormula>
  </rdn>
  <rdn rId="0" localSheetId="1" customView="1" name="Z_7E0EA425_A420_4443_B9E0_CDF0AA9E5D09_.wvu.FilterData" hidden="1" oldHidden="1">
    <formula>COEM_Package_20200302!$B$2:$AH$26</formula>
    <oldFormula>COEM_Package_20200302!$B$2:$AH$26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47" sId="1">
    <nc r="P118" t="inlineStr">
      <is>
        <t>chung.ly</t>
      </is>
    </nc>
  </rcc>
  <rcv guid="{60D2C030-4E31-4E07-8E1C-44D2EE84B177}" action="delete"/>
  <rdn rId="0" localSheetId="1" customView="1" name="Z_60D2C030_4E31_4E07_8E1C_44D2EE84B177_.wvu.FilterData" hidden="1" oldHidden="1">
    <formula>COEM_Package_20200302!$B$2:$AH$160</formula>
    <oldFormula>COEM_Package_20200302!$B$2:$AH$160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50" sId="1">
    <nc r="P116" t="inlineStr">
      <is>
        <t>duong.nguyen</t>
      </is>
    </nc>
  </rcc>
  <rcc rId="2951" sId="1">
    <nc r="P107" t="inlineStr">
      <is>
        <t>duong.nguyen</t>
      </is>
    </nc>
  </rcc>
  <rcc rId="2952" sId="1">
    <nc r="P112" t="inlineStr">
      <is>
        <t>chung.ly</t>
      </is>
    </nc>
  </rcc>
  <rcv guid="{60D2C030-4E31-4E07-8E1C-44D2EE84B177}" action="delete"/>
  <rdn rId="0" localSheetId="1" customView="1" name="Z_60D2C030_4E31_4E07_8E1C_44D2EE84B177_.wvu.FilterData" hidden="1" oldHidden="1">
    <formula>COEM_Package_20200302!$B$2:$AH$160</formula>
    <oldFormula>COEM_Package_20200302!$B$2:$AH$160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55" sId="1">
    <nc r="U94">
      <v>165</v>
    </nc>
  </rcc>
  <rcc rId="2956" sId="1">
    <nc r="V94">
      <f>ROUNDDOWN(T94/HLOOKUP(D94,Table!$C$3:$D$4,2,0)*8,2)</f>
    </nc>
  </rcc>
  <rcc rId="2957" sId="1">
    <nc r="W94">
      <v>1</v>
    </nc>
  </rcc>
  <rcc rId="2958" sId="1">
    <nc r="X94" t="inlineStr">
      <is>
        <t>Ready for review</t>
      </is>
    </nc>
  </rcc>
  <rcc rId="2959" sId="1" numFmtId="19">
    <nc r="AA94">
      <v>43902</v>
    </nc>
  </rcc>
  <rcc rId="2960" sId="1" numFmtId="19">
    <nc r="AB94">
      <v>43902</v>
    </nc>
  </rcc>
  <rcc rId="2961" sId="1">
    <nc r="AC94" t="inlineStr">
      <is>
        <t>OK</t>
      </is>
    </nc>
  </rcc>
  <rcc rId="2962" sId="1">
    <nc r="AD94">
      <v>100</v>
    </nc>
  </rcc>
  <rcc rId="2963" sId="1">
    <nc r="AE94">
      <v>100</v>
    </nc>
  </rcc>
  <rcc rId="2964" sId="1">
    <nc r="AF94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" cell="A76" guid="{A2662913-535E-4E71-89BB-6A3E5669EA94}" hiddenRow="1" author="EXTERNAL Nguyen Tuan Duong (Ban Vien, RBVH/EPS45)" oldLength="88" newLength="51"/>
  <rcv guid="{7E0EA425-A420-4443-B9E0-CDF0AA9E5D09}" action="delete"/>
  <rdn rId="0" localSheetId="1" customView="1" name="Z_7E0EA425_A420_4443_B9E0_CDF0AA9E5D09_.wvu.Rows" hidden="1" oldHidden="1">
    <formula>COEM_Package_20200302!$3:$90</formula>
    <oldFormula>COEM_Package_20200302!$3:$75</oldFormula>
  </rdn>
  <rdn rId="0" localSheetId="1" customView="1" name="Z_7E0EA425_A420_4443_B9E0_CDF0AA9E5D09_.wvu.Cols" hidden="1" oldHidden="1">
    <formula>COEM_Package_20200302!$N:$O,COEM_Package_20200302!$Q:$R</formula>
    <oldFormula>COEM_Package_20200302!$N:$O,COEM_Package_20200302!$Q:$R</oldFormula>
  </rdn>
  <rdn rId="0" localSheetId="1" customView="1" name="Z_7E0EA425_A420_4443_B9E0_CDF0AA9E5D09_.wvu.FilterData" hidden="1" oldHidden="1">
    <formula>COEM_Package_20200302!$B$2:$AH$26</formula>
    <oldFormula>COEM_Package_20200302!$B$2:$AH$26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72" sId="1">
    <nc r="V95">
      <f>ROUNDDOWN(T95/HLOOKUP(D95,Table!$C$3:$D$4,2,0)*8,2)</f>
    </nc>
  </rcc>
  <rcc rId="2973" sId="1">
    <nc r="V96">
      <f>ROUNDDOWN(T96/HLOOKUP(D96,Table!$C$3:$D$4,2,0)*8,2)</f>
    </nc>
  </rcc>
  <rcc rId="2974" sId="1">
    <nc r="V97">
      <f>ROUNDDOWN(T97/HLOOKUP(D97,Table!$C$3:$D$4,2,0)*8,2)</f>
    </nc>
  </rcc>
  <rcc rId="2975" sId="1">
    <nc r="V98">
      <f>ROUNDDOWN(T98/HLOOKUP(D98,Table!$C$3:$D$4,2,0)*8,2)</f>
    </nc>
  </rcc>
  <rcc rId="2976" sId="1">
    <nc r="AG97" t="inlineStr">
      <is>
        <t>No function to test.</t>
      </is>
    </nc>
  </rcc>
  <rcc rId="2977" sId="1">
    <nc r="W97">
      <v>0.1</v>
    </nc>
  </rcc>
  <rcc rId="2978" sId="1">
    <nc r="X97" t="inlineStr">
      <is>
        <t>Ready for review</t>
      </is>
    </nc>
  </rcc>
  <rcc rId="2979" sId="1" numFmtId="19">
    <nc r="AA97">
      <v>43902</v>
    </nc>
  </rcc>
  <rcc rId="2980" sId="1" numFmtId="19">
    <nc r="AB97">
      <v>43902</v>
    </nc>
  </rcc>
  <rcc rId="2981" sId="1">
    <nc r="AD97" t="inlineStr">
      <is>
        <t>-</t>
      </is>
    </nc>
  </rcc>
  <rcc rId="2982" sId="1">
    <nc r="AE97" t="inlineStr">
      <is>
        <t>-</t>
      </is>
    </nc>
  </rcc>
  <rcc rId="2983" sId="1">
    <nc r="AF97" t="inlineStr">
      <is>
        <t>-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7" sId="1">
    <nc r="U97">
      <v>191</v>
    </nc>
  </rcc>
</revisions>
</file>

<file path=xl/revisions/revisionLog2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8" sId="1" numFmtId="19">
    <nc r="AA118">
      <v>43902</v>
    </nc>
  </rcc>
  <rcc rId="2989" sId="1" numFmtId="19">
    <nc r="AB118">
      <v>43902</v>
    </nc>
  </rcc>
  <rcc rId="2990" sId="1">
    <nc r="AC118" t="inlineStr">
      <is>
        <t>OK</t>
      </is>
    </nc>
  </rcc>
  <rcc rId="2991" sId="1">
    <nc r="AD118">
      <v>100</v>
    </nc>
  </rcc>
  <rcc rId="2992" sId="1">
    <nc r="AE118">
      <v>100</v>
    </nc>
  </rcc>
  <rcc rId="2993" sId="1">
    <nc r="AF118">
      <v>100</v>
    </nc>
  </rcc>
  <rcv guid="{60D2C030-4E31-4E07-8E1C-44D2EE84B177}" action="delete"/>
  <rdn rId="0" localSheetId="1" customView="1" name="Z_60D2C030_4E31_4E07_8E1C_44D2EE84B177_.wvu.FilterData" hidden="1" oldHidden="1">
    <formula>COEM_Package_20200302!$B$2:$AH$160</formula>
    <oldFormula>COEM_Package_20200302!$B$2:$AH$160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2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6" sId="1">
    <nc r="P120" t="inlineStr">
      <is>
        <t>duong.nguyen</t>
      </is>
    </nc>
  </rcc>
  <rcv guid="{7E0EA425-A420-4443-B9E0-CDF0AA9E5D09}" action="delete"/>
  <rdn rId="0" localSheetId="1" customView="1" name="Z_7E0EA425_A420_4443_B9E0_CDF0AA9E5D09_.wvu.Rows" hidden="1" oldHidden="1">
    <formula>COEM_Package_20200302!$3:$90</formula>
    <oldFormula>COEM_Package_20200302!$3:$90</oldFormula>
  </rdn>
  <rdn rId="0" localSheetId="1" customView="1" name="Z_7E0EA425_A420_4443_B9E0_CDF0AA9E5D09_.wvu.Cols" hidden="1" oldHidden="1">
    <formula>COEM_Package_20200302!$N:$O,COEM_Package_20200302!$Q:$R</formula>
    <oldFormula>COEM_Package_20200302!$N:$O,COEM_Package_20200302!$Q:$R</oldFormula>
  </rdn>
  <rdn rId="0" localSheetId="1" customView="1" name="Z_7E0EA425_A420_4443_B9E0_CDF0AA9E5D09_.wvu.FilterData" hidden="1" oldHidden="1">
    <formula>COEM_Package_20200302!$B$2:$AH$26</formula>
    <oldFormula>COEM_Package_20200302!$B$2:$AH$26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1" sId="1">
    <nc r="P105" t="inlineStr">
      <is>
        <t>duong.nguyen</t>
      </is>
    </nc>
  </rcc>
  <rcv guid="{7E0EA425-A420-4443-B9E0-CDF0AA9E5D09}" action="delete"/>
  <rdn rId="0" localSheetId="1" customView="1" name="Z_7E0EA425_A420_4443_B9E0_CDF0AA9E5D09_.wvu.Rows" hidden="1" oldHidden="1">
    <formula>COEM_Package_20200302!$3:$90</formula>
    <oldFormula>COEM_Package_20200302!$3:$90</oldFormula>
  </rdn>
  <rdn rId="0" localSheetId="1" customView="1" name="Z_7E0EA425_A420_4443_B9E0_CDF0AA9E5D09_.wvu.Cols" hidden="1" oldHidden="1">
    <formula>COEM_Package_20200302!$N:$O,COEM_Package_20200302!$Q:$R</formula>
    <oldFormula>COEM_Package_20200302!$N:$O,COEM_Package_20200302!$Q:$R</oldFormula>
  </rdn>
  <rdn rId="0" localSheetId="1" customView="1" name="Z_7E0EA425_A420_4443_B9E0_CDF0AA9E5D09_.wvu.FilterData" hidden="1" oldHidden="1">
    <formula>COEM_Package_20200302!$B$2:$AH$26</formula>
    <oldFormula>COEM_Package_20200302!$B$2:$AH$26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2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6" sId="1">
    <nc r="T99">
      <v>25</v>
    </nc>
  </rcc>
  <rcc rId="3007" sId="1">
    <nc r="T100">
      <v>151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1" sId="1">
    <nc r="U99">
      <v>25</v>
    </nc>
  </rcc>
  <rcc rId="3012" sId="1">
    <nc r="V99">
      <f>ROUNDDOWN(T99/HLOOKUP(D99,Table!$C$3:$D$4,2,0)*8,2)</f>
    </nc>
  </rcc>
  <rcc rId="3013" sId="1">
    <nc r="X99" t="inlineStr">
      <is>
        <t>Ready for review</t>
      </is>
    </nc>
  </rcc>
  <rcc rId="3014" sId="1">
    <nc r="W99">
      <v>0.2</v>
    </nc>
  </rcc>
  <rcc rId="3015" sId="1">
    <oc r="W97">
      <v>0.1</v>
    </oc>
    <nc r="W97">
      <v>0.2</v>
    </nc>
  </rcc>
  <rcc rId="3016" sId="1" numFmtId="19">
    <nc r="AA99">
      <v>43902</v>
    </nc>
  </rcc>
  <rcc rId="3017" sId="1" numFmtId="19">
    <nc r="AB99">
      <v>43902</v>
    </nc>
  </rcc>
  <rcc rId="3018" sId="1">
    <nc r="AC99" t="inlineStr">
      <is>
        <t>OK</t>
      </is>
    </nc>
  </rcc>
  <rcc rId="3019" sId="1">
    <nc r="AD99">
      <v>100</v>
    </nc>
  </rcc>
  <rcc rId="3020" sId="1">
    <nc r="AE99">
      <v>100</v>
    </nc>
  </rcc>
  <rcc rId="3021" sId="1">
    <nc r="AF99">
      <v>100</v>
    </nc>
  </rcc>
</revisions>
</file>

<file path=xl/revisions/revisionLog2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5" sId="1">
    <nc r="P114" t="inlineStr">
      <is>
        <t>loc.do-phu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COEM_Package_20200302!$P$2:$P$175</formula>
    <oldFormula>COEM_Package_20200302!$P$2:$P$175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3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9" sId="1">
    <oc r="W98">
      <v>4</v>
    </oc>
    <nc r="W98">
      <v>6.9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COEM_Package_20200302!$P$2:$P$175</formula>
    <oldFormula>COEM_Package_20200302!$P$2:$P$175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3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33" sId="1">
    <nc r="P122" t="inlineStr">
      <is>
        <t>loc.do-phu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COEM_Package_20200302!$P$2:$P$175</formula>
    <oldFormula>COEM_Package_20200302!$P$2:$P$175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3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37" sId="1">
    <nc r="U100">
      <v>151</v>
    </nc>
  </rcc>
  <rcc rId="3038" sId="1">
    <nc r="V100">
      <f>ROUNDDOWN(T100/HLOOKUP(D100,Table!$C$3:$D$4,2,0)*8,2)</f>
    </nc>
  </rcc>
  <rcc rId="3039" sId="1">
    <nc r="W100">
      <v>0.8</v>
    </nc>
  </rcc>
  <rcc rId="3040" sId="1">
    <nc r="X100" t="inlineStr">
      <is>
        <t>Ready for review</t>
      </is>
    </nc>
  </rcc>
  <rcc rId="3041" sId="1" numFmtId="19">
    <nc r="AA100">
      <v>43902</v>
    </nc>
  </rcc>
  <rcc rId="3042" sId="1" numFmtId="19">
    <nc r="AB100">
      <v>43902</v>
    </nc>
  </rcc>
  <rcc rId="3043" sId="1">
    <nc r="AC100" t="inlineStr">
      <is>
        <t>OK</t>
      </is>
    </nc>
  </rcc>
  <rcc rId="3044" sId="1">
    <nc r="AD100">
      <v>100</v>
    </nc>
  </rcc>
  <rcc rId="3045" sId="1">
    <nc r="AE100">
      <v>100</v>
    </nc>
  </rcc>
  <rcc rId="3046" sId="1">
    <nc r="AF100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3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50" sId="1" odxf="1" dxf="1">
    <nc r="P123" t="inlineStr">
      <is>
        <t>thanh.nguyen-kim</t>
      </is>
    </nc>
    <odxf/>
    <ndxf/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3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54" sId="1">
    <nc r="T103">
      <v>259</v>
    </nc>
  </rcc>
  <rcc rId="3055" sId="1">
    <nc r="U103">
      <v>259</v>
    </nc>
  </rcc>
  <rcc rId="3056" sId="1">
    <nc r="V101">
      <f>ROUNDDOWN(T101/HLOOKUP(D101,Table!$C$3:$D$4,2,0)*8,2)</f>
    </nc>
  </rcc>
  <rcc rId="3057" sId="1">
    <nc r="V102">
      <f>ROUNDDOWN(T102/HLOOKUP(D102,Table!$C$3:$D$4,2,0)*8,2)</f>
    </nc>
  </rcc>
  <rcc rId="3058" sId="1">
    <nc r="V103">
      <f>ROUNDDOWN(T103/HLOOKUP(D103,Table!$C$3:$D$4,2,0)*8,2)</f>
    </nc>
  </rcc>
  <rcc rId="3059" sId="1">
    <nc r="V104">
      <f>ROUNDDOWN(T104/HLOOKUP(D104,Table!$C$3:$D$4,2,0)*8,2)</f>
    </nc>
  </rcc>
  <rcc rId="3060" sId="1">
    <nc r="V105">
      <f>ROUNDDOWN(T105/HLOOKUP(D105,Table!$C$3:$D$4,2,0)*8,2)</f>
    </nc>
  </rcc>
  <rcc rId="3061" sId="1">
    <nc r="V106">
      <f>ROUNDDOWN(T106/HLOOKUP(D106,Table!$C$3:$D$4,2,0)*8,2)</f>
    </nc>
  </rcc>
  <rcc rId="3062" sId="1">
    <nc r="V107">
      <f>ROUNDDOWN(T107/HLOOKUP(D107,Table!$C$3:$D$4,2,0)*8,2)</f>
    </nc>
  </rcc>
  <rcc rId="3063" sId="1">
    <nc r="V108">
      <f>ROUNDDOWN(T108/HLOOKUP(D108,Table!$C$3:$D$4,2,0)*8,2)</f>
    </nc>
  </rcc>
  <rcc rId="3064" sId="1">
    <nc r="V109">
      <f>ROUNDDOWN(T109/HLOOKUP(D109,Table!$C$3:$D$4,2,0)*8,2)</f>
    </nc>
  </rcc>
  <rcc rId="3065" sId="1">
    <nc r="V110">
      <f>ROUNDDOWN(T110/HLOOKUP(D110,Table!$C$3:$D$4,2,0)*8,2)</f>
    </nc>
  </rcc>
  <rcc rId="3066" sId="1">
    <nc r="V111">
      <f>ROUNDDOWN(T111/HLOOKUP(D111,Table!$C$3:$D$4,2,0)*8,2)</f>
    </nc>
  </rcc>
  <rcc rId="3067" sId="1">
    <nc r="V112">
      <f>ROUNDDOWN(T112/HLOOKUP(D112,Table!$C$3:$D$4,2,0)*8,2)</f>
    </nc>
  </rcc>
  <rcc rId="3068" sId="1">
    <nc r="V113">
      <f>ROUNDDOWN(T113/HLOOKUP(D113,Table!$C$3:$D$4,2,0)*8,2)</f>
    </nc>
  </rcc>
  <rcc rId="3069" sId="1">
    <nc r="V114">
      <f>ROUNDDOWN(T114/HLOOKUP(D114,Table!$C$3:$D$4,2,0)*8,2)</f>
    </nc>
  </rcc>
  <rcc rId="3070" sId="1">
    <nc r="V115">
      <f>ROUNDDOWN(T115/HLOOKUP(D115,Table!$C$3:$D$4,2,0)*8,2)</f>
    </nc>
  </rcc>
  <rcc rId="3071" sId="1">
    <nc r="V116">
      <f>ROUNDDOWN(T116/HLOOKUP(D116,Table!$C$3:$D$4,2,0)*8,2)</f>
    </nc>
  </rcc>
  <rcc rId="3072" sId="1">
    <nc r="V117">
      <f>ROUNDDOWN(T117/HLOOKUP(D117,Table!$C$3:$D$4,2,0)*8,2)</f>
    </nc>
  </rcc>
  <rcc rId="3073" sId="1">
    <nc r="V118">
      <f>ROUNDDOWN(T118/HLOOKUP(D118,Table!$C$3:$D$4,2,0)*8,2)</f>
    </nc>
  </rcc>
  <rcc rId="3074" sId="1">
    <nc r="V119">
      <f>ROUNDDOWN(T119/HLOOKUP(D119,Table!$C$3:$D$4,2,0)*8,2)</f>
    </nc>
  </rcc>
  <rcc rId="3075" sId="1">
    <nc r="W103">
      <v>3</v>
    </nc>
  </rcc>
  <rcv guid="{7E0EA425-A420-4443-B9E0-CDF0AA9E5D09}" action="delete"/>
  <rdn rId="0" localSheetId="1" customView="1" name="Z_7E0EA425_A420_4443_B9E0_CDF0AA9E5D09_.wvu.Rows" hidden="1" oldHidden="1">
    <formula>COEM_Package_20200302!$3:$90</formula>
    <oldFormula>COEM_Package_20200302!$3:$90</oldFormula>
  </rdn>
  <rdn rId="0" localSheetId="1" customView="1" name="Z_7E0EA425_A420_4443_B9E0_CDF0AA9E5D09_.wvu.Cols" hidden="1" oldHidden="1">
    <formula>COEM_Package_20200302!$N:$O,COEM_Package_20200302!$Q:$R</formula>
    <oldFormula>COEM_Package_20200302!$N:$O,COEM_Package_20200302!$Q:$R</oldFormula>
  </rdn>
  <rdn rId="0" localSheetId="1" customView="1" name="Z_7E0EA425_A420_4443_B9E0_CDF0AA9E5D09_.wvu.FilterData" hidden="1" oldHidden="1">
    <formula>COEM_Package_20200302!$B$2:$AH$26</formula>
    <oldFormula>COEM_Package_20200302!$B$2:$AH$26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3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80" sId="1" odxf="1" dxf="1">
    <nc r="P111" t="inlineStr">
      <is>
        <t>thanh.nguyen-kim</t>
      </is>
    </nc>
    <odxf/>
    <ndxf/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3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3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87" sId="1">
    <nc r="P108" t="inlineStr">
      <is>
        <t>chung.ly</t>
      </is>
    </nc>
  </rcc>
  <rcv guid="{60D2C030-4E31-4E07-8E1C-44D2EE84B177}" action="delete"/>
  <rdn rId="0" localSheetId="1" customView="1" name="Z_60D2C030_4E31_4E07_8E1C_44D2EE84B177_.wvu.FilterData" hidden="1" oldHidden="1">
    <formula>COEM_Package_20200302!$B$2:$AH$160</formula>
    <oldFormula>COEM_Package_20200302!$B$2:$AH$160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3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0" sId="1">
    <oc r="X39" t="inlineStr">
      <is>
        <t>Ready for review</t>
      </is>
    </oc>
    <nc r="X39" t="inlineStr">
      <is>
        <t>Ready for delivery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COEM_Package_20200302!$P$2:$P$175</formula>
    <oldFormula>COEM_Package_20200302!$P$2:$P$175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3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4" sId="1">
    <nc r="AH39" t="inlineStr">
      <is>
        <t>Fixed comment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COEM_Package_20200302!$P$2:$P$175</formula>
    <oldFormula>COEM_Package_20200302!$P$2:$P$175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3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8" sId="1">
    <nc r="T102">
      <v>277</v>
    </nc>
  </rcc>
  <rfmt sheetId="1" sqref="T102">
    <dxf>
      <fill>
        <patternFill patternType="solid">
          <bgColor rgb="FFFF0000"/>
        </patternFill>
      </fill>
    </dxf>
  </rfmt>
  <rcc rId="3099" sId="1">
    <nc r="U102">
      <v>277</v>
    </nc>
  </rcc>
  <rcc rId="3100" sId="1">
    <nc r="W102">
      <v>2</v>
    </nc>
  </rcc>
  <rcc rId="3101" sId="1">
    <nc r="X102" t="inlineStr">
      <is>
        <t>Ready for review</t>
      </is>
    </nc>
  </rcc>
  <rcc rId="3102" sId="1" numFmtId="19">
    <nc r="AA102">
      <v>43903</v>
    </nc>
  </rcc>
  <rcc rId="3103" sId="1" numFmtId="19">
    <nc r="AB102">
      <v>43903</v>
    </nc>
  </rcc>
  <rcc rId="3104" sId="1">
    <nc r="AC102" t="inlineStr">
      <is>
        <t>OK</t>
      </is>
    </nc>
  </rcc>
  <rcc rId="3105" sId="1">
    <nc r="AD102">
      <v>100</v>
    </nc>
  </rcc>
  <rcc rId="3106" sId="1">
    <nc r="AE102">
      <v>100</v>
    </nc>
  </rcc>
  <rcc rId="3107" sId="1">
    <nc r="AF102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COEM_Package_20200302!$A$2:$AH$26</formula>
    <oldFormula>COEM_Package_20200302!$A$2:$AH$26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3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7E0EA425_A420_4443_B9E0_CDF0AA9E5D09_.wvu.Rows" hidden="1" oldHidden="1">
    <oldFormula>COEM_Package_20200302!$3:$90</oldFormula>
  </rdn>
  <rcv guid="{7E0EA425-A420-4443-B9E0-CDF0AA9E5D09}" action="delete"/>
  <rdn rId="0" localSheetId="1" customView="1" name="Z_7E0EA425_A420_4443_B9E0_CDF0AA9E5D09_.wvu.Cols" hidden="1" oldHidden="1">
    <formula>COEM_Package_20200302!$N:$O,COEM_Package_20200302!$Q:$R</formula>
    <oldFormula>COEM_Package_20200302!$N:$O,COEM_Package_20200302!$Q:$R</oldFormula>
  </rdn>
  <rdn rId="0" localSheetId="1" customView="1" name="Z_7E0EA425_A420_4443_B9E0_CDF0AA9E5D09_.wvu.FilterData" hidden="1" oldHidden="1">
    <formula>COEM_Package_20200302!$B$2:$AH$26</formula>
    <oldFormula>COEM_Package_20200302!$B$2:$AH$26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3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15" sId="1">
    <nc r="AH40" t="inlineStr">
      <is>
        <t>Fixed comment, function switch. Re-run OK.</t>
      </is>
    </nc>
  </rcc>
</revisions>
</file>

<file path=xl/revisions/revisionLog3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16" sId="1">
    <nc r="AH41" t="inlineStr">
      <is>
        <t>Fixed comment, function switch. Add test script 2. Re-run OK.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COEM_Package_20200302!$P$2:$P$175</formula>
    <oldFormula>COEM_Package_20200302!$P$2:$P$175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3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20" sId="1">
    <nc r="AH42" t="inlineStr">
      <is>
        <t xml:space="preserve">Fixed comment, function switch. 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COEM_Package_20200302!$P$2:$P$175</formula>
    <oldFormula>COEM_Package_20200302!$P$2:$P$175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3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24" sId="1">
    <nc r="AH43" t="inlineStr">
      <is>
        <t xml:space="preserve">Fixed comment, function switch. </t>
      </is>
    </nc>
  </rcc>
</revisions>
</file>

<file path=xl/revisions/revisionLog3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39:H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Arial"/>
        <scheme val="none"/>
      </font>
      <fill>
        <patternFill patternType="solid">
          <fgColor indexed="65"/>
          <bgColor rgb="FFC6EFCE"/>
        </patternFill>
      </fill>
    </dxf>
  </rfmt>
</revisions>
</file>

<file path=xl/revisions/revisionLog3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25" sId="1">
    <nc r="W113">
      <v>8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COEM_Package_20200302!$P$2:$P$175</formula>
    <oldFormula>COEM_Package_20200302!$P$2:$P$175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3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29" sId="1">
    <nc r="T113">
      <v>1023</v>
    </nc>
  </rcc>
  <rcc rId="3130" sId="1">
    <nc r="U113">
      <v>1000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COEM_Package_20200302!$P$2:$P$175</formula>
    <oldFormula>COEM_Package_20200302!$P$2:$P$175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3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COEM_Package_20200302!$P$2:$P$175</formula>
    <oldFormula>COEM_Package_20200302!$P$2:$P$175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3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37" sId="1">
    <oc r="E164">
      <f>SUMIFS($U$3:$U$160,$D$3:$D$160,Table!$C$3,$P$3:$P$160,C164)-SUM(SUMIFS($U$3:$U$160,$D$3:$D$160,Table!$C$3,$P$3:$P$160,C164,$X$3:$X$160,{"Ongoing","N/A"}))</f>
    </oc>
    <nc r="E164">
      <f>SUMIFS($U$3:$U$160,$D$3:$D$160,Table!$C$3,$P$3:$P$160,C164)-SUM(SUMIFS($U$3:$U$160,$D$3:$D$160,Table!$C$3,$P$3:$P$160,C164,$X$3:$X$160,{"Ongoing","N/A",""}))</f>
    </nc>
  </rcc>
  <rcc rId="3138" sId="1">
    <oc r="E165">
      <f>SUMIFS($U$3:$U$160,$D$3:$D$160,Table!$C$3,$P$3:$P$160,C165)-SUM(SUMIFS($U$3:$U$160,$D$3:$D$160,Table!$C$3,$P$3:$P$160,C165,$X$3:$X$160,{"Ongoing","N/A"}))</f>
    </oc>
    <nc r="E165">
      <f>SUMIFS($U$3:$U$160,$D$3:$D$160,Table!$C$3,$P$3:$P$160,C165)-SUM(SUMIFS($U$3:$U$160,$D$3:$D$160,Table!$C$3,$P$3:$P$160,C165,$X$3:$X$160,{"Ongoing","N/A",""}))</f>
    </nc>
  </rcc>
  <rcc rId="3139" sId="1">
    <oc r="E166">
      <f>SUMIFS($U$3:$U$160,$D$3:$D$160,Table!$C$3,$P$3:$P$160,C166)-SUM(SUMIFS($U$3:$U$160,$D$3:$D$160,Table!$C$3,$P$3:$P$160,C166,$X$3:$X$160,{"Ongoing","N/A"}))</f>
    </oc>
    <nc r="E166">
      <f>SUMIFS($U$3:$U$160,$D$3:$D$160,Table!$C$3,$P$3:$P$160,C166)-SUM(SUMIFS($U$3:$U$160,$D$3:$D$160,Table!$C$3,$P$3:$P$160,C166,$X$3:$X$160,{"Ongoing","N/A",""}))</f>
    </nc>
  </rcc>
  <rcc rId="3140" sId="1">
    <oc r="F164">
      <f>1/8*(SUMIFS($W$3:$W$160,$D$3:$D$160,Table!$C$3,$P$3:$P$160,C164)-SUM(SUMIFS($W$3:$W$160,$D$3:$D$160,Table!$C$3,$P$3:$P$160,C164,$X$3:$X$160,{"Ongoing","N/A"})))</f>
    </oc>
    <nc r="F164">
      <f>1/8*(SUMIFS($W$3:$W$160,$D$3:$D$160,Table!$C$3,$P$3:$P$160,C164)-SUM(SUMIFS($W$3:$W$160,$D$3:$D$160,Table!$C$3,$P$3:$P$160,C164,$X$3:$X$160,{"Ongoing","N/A",""})))</f>
    </nc>
  </rcc>
  <rcc rId="3141" sId="1">
    <oc r="F165">
      <f>1/8*(SUMIFS($W$3:$W$160,$D$3:$D$160,Table!$C$3,$P$3:$P$160,C165)-SUM(SUMIFS($W$3:$W$160,$D$3:$D$160,Table!$C$3,$P$3:$P$160,C165,$X$3:$X$160,{"Ongoing","N/A"})))</f>
    </oc>
    <nc r="F165">
      <f>1/8*(SUMIFS($W$3:$W$160,$D$3:$D$160,Table!$C$3,$P$3:$P$160,C165)-SUM(SUMIFS($W$3:$W$160,$D$3:$D$160,Table!$C$3,$P$3:$P$160,C165,$X$3:$X$160,{"Ongoing","N/A",""})))</f>
    </nc>
  </rcc>
  <rcc rId="3142" sId="1">
    <oc r="F166">
      <f>1/8*(SUMIFS($W$3:$W$160,$D$3:$D$160,Table!$C$3,$P$3:$P$160,C166)-SUM(SUMIFS($W$3:$W$160,$D$3:$D$160,Table!$C$3,$P$3:$P$160,C166,$X$3:$X$160,{"Ongoing","N/A"})))</f>
    </oc>
    <nc r="F166">
      <f>1/8*(SUMIFS($W$3:$W$160,$D$3:$D$160,Table!$C$3,$P$3:$P$160,C166)-SUM(SUMIFS($W$3:$W$160,$D$3:$D$160,Table!$C$3,$P$3:$P$160,C166,$X$3:$X$160,{"Ongoing","N/A",""})))</f>
    </nc>
  </rcc>
  <rcc rId="3143" sId="1">
    <oc r="F167">
      <f>1/8*(SUMIFS($W$3:$W$160,$D$3:$D$160,Table!$C$3,$P$3:$P$160,C167)-SUM(SUMIFS($W$3:$W$160,$D$3:$D$160,Table!$C$3,$P$3:$P$160,C167,$X$3:$X$160,{"Ongoing","N/A"})))</f>
    </oc>
    <nc r="F167">
      <f>1/8*(SUMIFS($W$3:$W$160,$D$3:$D$160,Table!$C$3,$P$3:$P$160,C167)-SUM(SUMIFS($W$3:$W$160,$D$3:$D$160,Table!$C$3,$P$3:$P$160,C167,$X$3:$X$160,{"Ongoing","N/A",""})))</f>
    </nc>
  </rcc>
  <rcc rId="3144" sId="1">
    <oc r="E172">
      <f>SUMIFS($T$3:$T$160,$D$3:$D$160,Table!$D$3,$P$3:$P$160,C172)-SUM(SUMIFS($T$3:$T$160,$D$3:$D$160,Table!$D$3,$P$3:$P$160,C172,$X$3:$X$160,{"Ongoing","N/A"}))</f>
    </oc>
    <nc r="E172">
      <f>SUMIFS($T$3:$T$160,$D$3:$D$160,Table!$D$3,$P$3:$P$160,C172)-SUM(SUMIFS($T$3:$T$160,$D$3:$D$160,Table!$D$3,$P$3:$P$160,C172,$X$3:$X$160,{"Ongoing","N/A",""}))</f>
    </nc>
  </rcc>
  <rcc rId="3145" sId="1">
    <oc r="E173">
      <f>SUMIFS($T$3:$T$160,$D$3:$D$160,Table!$D$3,$P$3:$P$160,C173)-SUM(SUMIFS($T$3:$T$160,$D$3:$D$160,Table!$D$3,$P$3:$P$160,C173,$X$3:$X$160,{"Ongoing","N/A"}))</f>
    </oc>
    <nc r="E173">
      <f>SUMIFS($T$3:$T$160,$D$3:$D$160,Table!$D$3,$P$3:$P$160,C173)-SUM(SUMIFS($T$3:$T$160,$D$3:$D$160,Table!$D$3,$P$3:$P$160,C173,$X$3:$X$160,{"Ongoing","N/A",""}))</f>
    </nc>
  </rcc>
  <rcc rId="3146" sId="1">
    <oc r="E174">
      <f>SUMIFS($T$3:$T$160,$D$3:$D$160,Table!$D$3,$P$3:$P$160,C174)-SUM(SUMIFS($T$3:$T$160,$D$3:$D$160,Table!$D$3,$P$3:$P$160,C174,$X$3:$X$160,{"Ongoing","N/A"}))</f>
    </oc>
    <nc r="E174">
      <f>SUMIFS($T$3:$T$160,$D$3:$D$160,Table!$D$3,$P$3:$P$160,C174)-SUM(SUMIFS($T$3:$T$160,$D$3:$D$160,Table!$D$3,$P$3:$P$160,C174,$X$3:$X$160,{"Ongoing","N/A",""}))</f>
    </nc>
  </rcc>
  <rcc rId="3147" sId="1">
    <oc r="E175">
      <f>SUMIFS($T$3:$T$160,$D$3:$D$160,Table!$D$3,$P$3:$P$160,C175)-SUM(SUMIFS($T$3:$T$160,$D$3:$D$160,Table!$D$3,$P$3:$P$160,C175,$X$3:$X$160,{"Ongoing","N/A"}))</f>
    </oc>
    <nc r="E175">
      <f>SUMIFS($T$3:$T$160,$D$3:$D$160,Table!$D$3,$P$3:$P$160,C175)-SUM(SUMIFS($T$3:$T$160,$D$3:$D$160,Table!$D$3,$P$3:$P$160,C175,$X$3:$X$160,{"Ongoing","N/A",""}))</f>
    </nc>
  </rcc>
  <rcv guid="{250915DF-0B97-45D7-B29D-7EED4C89C1C1}" action="delete"/>
  <rdn rId="0" localSheetId="1" customView="1" name="Z_250915DF_0B97_45D7_B29D_7EED4C89C1C1_.wvu.FilterData" hidden="1" oldHidden="1">
    <formula>COEM_Package_20200302!$P$2:$P$175</formula>
    <oldFormula>COEM_Package_20200302!$A$2:$AH$26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3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50915DF-0B97-45D7-B29D-7EED4C89C1C1}" action="delete"/>
  <rdn rId="0" localSheetId="1" customView="1" name="Z_250915DF_0B97_45D7_B29D_7EED4C89C1C1_.wvu.FilterData" hidden="1" oldHidden="1">
    <formula>COEM_Package_20200302!$P$2:$P$175</formula>
    <oldFormula>COEM_Package_20200302!$P$2:$P$175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3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52" sId="1" ref="A27:XFD27" action="deleteRow">
    <undo index="0" exp="area" ref3D="1" dr="$M$1:$N$1048576" dn="Z_7ECC2B8E_6A82_42F5_8AB0_4A51C54EA5EC_.wvu.Cols" sId="1"/>
    <undo index="2" exp="area" ref3D="1" dr="$Q$1:$R$1048576" dn="Z_7E0EA425_A420_4443_B9E0_CDF0AA9E5D09_.wvu.Cols" sId="1"/>
    <undo index="1" exp="area" ref3D="1" dr="$N$1:$O$1048576" dn="Z_7E0EA425_A420_4443_B9E0_CDF0AA9E5D09_.wvu.Cols" sId="1"/>
    <undo index="0" exp="area" ref3D="1" dr="$M$1:$N$1048576" dn="Z_72A6EB0A_84D5_4B8A_AC51_54CCD061630B_.wvu.Cols" sId="1"/>
    <undo index="0" exp="area" ref3D="1" dr="$M$1:$N$1048576" dn="Z_4E06BDBF_2CED_473B_850B_2A6C7311FF41_.wvu.Cols" sId="1"/>
    <rfmt sheetId="1" xfDxf="1" sqref="A27:XFD27" start="0" length="0"/>
    <rfmt sheetId="1" sqref="B27" start="0" length="0">
      <dxf>
        <font>
          <sz val="11"/>
          <color auto="1"/>
          <name val="Calibri"/>
          <scheme val="minor"/>
        </font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R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27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27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A27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B27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C27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D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E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F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G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H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3153" sId="1" ref="A27:XFD27" action="deleteRow">
    <undo index="0" exp="area" ref3D="1" dr="$M$1:$N$1048576" dn="Z_7ECC2B8E_6A82_42F5_8AB0_4A51C54EA5EC_.wvu.Cols" sId="1"/>
    <undo index="2" exp="area" ref3D="1" dr="$Q$1:$R$1048576" dn="Z_7E0EA425_A420_4443_B9E0_CDF0AA9E5D09_.wvu.Cols" sId="1"/>
    <undo index="1" exp="area" ref3D="1" dr="$N$1:$O$1048576" dn="Z_7E0EA425_A420_4443_B9E0_CDF0AA9E5D09_.wvu.Cols" sId="1"/>
    <undo index="0" exp="area" ref3D="1" dr="$M$1:$N$1048576" dn="Z_72A6EB0A_84D5_4B8A_AC51_54CCD061630B_.wvu.Cols" sId="1"/>
    <undo index="0" exp="area" ref3D="1" dr="$M$1:$N$1048576" dn="Z_4E06BDBF_2CED_473B_850B_2A6C7311FF41_.wvu.Cols" sId="1"/>
    <rfmt sheetId="1" xfDxf="1" sqref="A27:XFD27" start="0" length="0"/>
    <rfmt sheetId="1" sqref="B27" start="0" length="0">
      <dxf>
        <font>
          <sz val="11"/>
          <color auto="1"/>
          <name val="Calibri"/>
          <scheme val="minor"/>
        </font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R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27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27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A27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B27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C27" start="0" length="0">
      <dxf>
        <numFmt numFmtId="164" formatCode="[$-409]d\-mmm\-yyyy;@"/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D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E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F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G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H27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v guid="{250915DF-0B97-45D7-B29D-7EED4C89C1C1}" action="delete"/>
  <rdn rId="0" localSheetId="1" customView="1" name="Z_250915DF_0B97_45D7_B29D_7EED4C89C1C1_.wvu.FilterData" hidden="1" oldHidden="1">
    <formula>COEM_Package_20200302!$P$2:$P$173</formula>
    <oldFormula>COEM_Package_20200302!$P$2:$P$173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3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50915DF-0B97-45D7-B29D-7EED4C89C1C1}" action="delete"/>
  <rdn rId="0" localSheetId="1" customView="1" name="Z_250915DF_0B97_45D7_B29D_7EED4C89C1C1_.wvu.FilterData" hidden="1" oldHidden="1">
    <formula>COEM_Package_20200302!$B$2:$AH$158</formula>
    <oldFormula>COEM_Package_20200302!$P$2:$P$173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3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58" sId="1">
    <nc r="T99">
      <v>178</v>
    </nc>
  </rcc>
  <rcc rId="3159" sId="1">
    <nc r="U99">
      <v>178</v>
    </nc>
  </rcc>
  <rcc rId="3160" sId="1">
    <nc r="W99">
      <v>3</v>
    </nc>
  </rcc>
  <rcv guid="{7E0EA425-A420-4443-B9E0-CDF0AA9E5D09}" action="delete"/>
  <rdn rId="0" localSheetId="1" customView="1" name="Z_7E0EA425_A420_4443_B9E0_CDF0AA9E5D09_.wvu.Cols" hidden="1" oldHidden="1">
    <formula>COEM_Package_20200302!$N:$O,COEM_Package_20200302!$Q:$R</formula>
    <oldFormula>COEM_Package_20200302!$N:$O,COEM_Package_20200302!$Q:$R</oldFormula>
  </rdn>
  <rdn rId="0" localSheetId="1" customView="1" name="Z_7E0EA425_A420_4443_B9E0_CDF0AA9E5D09_.wvu.FilterData" hidden="1" oldHidden="1">
    <formula>COEM_Package_20200302!$B$2:$AH$158</formula>
    <oldFormula>COEM_Package_20200302!$B$2:$AH$26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3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4" sId="1">
    <nc r="X99" t="inlineStr">
      <is>
        <t>Ready for review</t>
      </is>
    </nc>
  </rcc>
  <rcv guid="{7E0EA425-A420-4443-B9E0-CDF0AA9E5D09}" action="delete"/>
  <rdn rId="0" localSheetId="1" customView="1" name="Z_7E0EA425_A420_4443_B9E0_CDF0AA9E5D09_.wvu.Cols" hidden="1" oldHidden="1">
    <formula>COEM_Package_20200302!$N:$O,COEM_Package_20200302!$Q:$R</formula>
    <oldFormula>COEM_Package_20200302!$N:$O,COEM_Package_20200302!$Q:$R</oldFormula>
  </rdn>
  <rdn rId="0" localSheetId="1" customView="1" name="Z_7E0EA425_A420_4443_B9E0_CDF0AA9E5D09_.wvu.FilterData" hidden="1" oldHidden="1">
    <formula>COEM_Package_20200302!$B$2:$AH$158</formula>
    <oldFormula>COEM_Package_20200302!$B$2:$AH$158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3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Cols" hidden="1" oldHidden="1">
    <formula>COEM_Package_20200302!$N:$O,COEM_Package_20200302!$Q:$R</formula>
    <oldFormula>COEM_Package_20200302!$N:$O,COEM_Package_20200302!$Q:$R</oldFormula>
  </rdn>
  <rdn rId="0" localSheetId="1" customView="1" name="Z_7E0EA425_A420_4443_B9E0_CDF0AA9E5D09_.wvu.FilterData" hidden="1" oldHidden="1">
    <formula>COEM_Package_20200302!$B$2:$AH$158</formula>
    <oldFormula>COEM_Package_20200302!$B$2:$AH$158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8">
  <userInfo guid="{577645E5-A793-4967-84B8-658B78B6328B}" name="EXTERNAL Nguyen Tuan Duong (Ban Vien, RBVH/EPS45)" id="-567400101" dateTime="2020-03-09T20:04:44"/>
  <userInfo guid="{0A3E2949-D3C7-45A5-8639-97D62EAC5F39}" name="EXTERNAL Do Phu Loc (Ban Vien, RBVH/EPS45)" id="-1167933033" dateTime="2020-03-10T08:45:00"/>
  <userInfo guid="{256CC32C-48F4-4A12-835D-99E8AF1B312E}" name="EXTERNAL Nguyen Kim Thanh (Ban Vien, RBVH/EPS45)" id="-41237676" dateTime="2020-03-10T09:28:48"/>
  <userInfo guid="{7DC8220D-2033-4C7F-8547-F2B13F148B62}" name="EXTERNAL Nguyen Tuan Duong (Ban Vien, RBVH/EPS45)" id="-567392834" dateTime="2020-03-10T18:02:56"/>
  <userInfo guid="{2C450A12-63FE-4E90-B871-F1F0357CC546}" name="EXTERNAL Ly Chung (Ban Vien, RBVH/EPS45)" id="-274435170" dateTime="2020-03-12T10:20:38"/>
  <userInfo guid="{A5A73AA1-FAA5-4F94-9E12-C854AB01334D}" name="EXTERNAL Nguyen Kim Thanh (Ban Vien, RBVH/EPS45)" id="-41222379" dateTime="2020-03-12T18:26:03"/>
  <userInfo guid="{43669B9E-E6A5-4E30-9F5E-3DE1763AAD41}" name="EXTERNAL Nguyen Tuan Duong (Ban Vien, RBVH/EPS45)" id="-567351770" dateTime="2020-03-12T18:47:46"/>
  <userInfo guid="{7891468E-BD84-45EE-950F-A9F0AC636086}" name="EXTERNAL Nguyen Kim Thanh (Ban Vien, RBVH/EPS45)" id="-41243277" dateTime="2020-03-13T09:20:14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Relationship Id="rId9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7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6" Type="http://schemas.openxmlformats.org/officeDocument/2006/relationships/printerSettings" Target="../printerSettings/printerSettings13.bin"/><Relationship Id="rId5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AH173"/>
  <sheetViews>
    <sheetView tabSelected="1" topLeftCell="A143" zoomScaleNormal="85" workbookViewId="0">
      <selection activeCell="E170" sqref="E170"/>
    </sheetView>
  </sheetViews>
  <sheetFormatPr defaultRowHeight="15" x14ac:dyDescent="0.25"/>
  <cols>
    <col min="3" max="3" width="17.85546875" bestFit="1" customWidth="1"/>
    <col min="4" max="4" width="17.42578125" bestFit="1" customWidth="1"/>
    <col min="5" max="5" width="55.42578125" bestFit="1" customWidth="1"/>
    <col min="6" max="6" width="61.85546875" bestFit="1" customWidth="1"/>
    <col min="7" max="7" width="12" bestFit="1" customWidth="1"/>
    <col min="8" max="8" width="59.140625" customWidth="1"/>
    <col min="9" max="9" width="16.85546875" bestFit="1" customWidth="1"/>
    <col min="10" max="10" width="18.140625" customWidth="1"/>
    <col min="11" max="11" width="35.85546875" customWidth="1"/>
    <col min="12" max="12" width="13.140625" customWidth="1"/>
    <col min="13" max="13" width="42.42578125" customWidth="1"/>
    <col min="14" max="14" width="8.28515625" style="55" hidden="1" customWidth="1"/>
    <col min="15" max="15" width="10.42578125" hidden="1" customWidth="1"/>
    <col min="16" max="16" width="17.5703125" bestFit="1" customWidth="1"/>
    <col min="17" max="17" width="17.85546875" hidden="1" customWidth="1"/>
    <col min="18" max="18" width="13.5703125" hidden="1" customWidth="1"/>
    <col min="19" max="19" width="14" bestFit="1" customWidth="1"/>
    <col min="20" max="20" width="14.85546875" customWidth="1"/>
    <col min="21" max="21" width="12.85546875" bestFit="1" customWidth="1"/>
    <col min="22" max="22" width="14" customWidth="1"/>
    <col min="23" max="23" width="11.140625" bestFit="1" customWidth="1"/>
    <col min="24" max="24" width="16.140625" bestFit="1" customWidth="1"/>
    <col min="25" max="25" width="12.85546875" bestFit="1" customWidth="1"/>
    <col min="26" max="27" width="12" bestFit="1" customWidth="1"/>
    <col min="28" max="28" width="11.85546875" bestFit="1" customWidth="1"/>
    <col min="29" max="29" width="12.42578125" bestFit="1" customWidth="1"/>
    <col min="30" max="30" width="5" bestFit="1" customWidth="1"/>
    <col min="31" max="31" width="4" bestFit="1" customWidth="1"/>
    <col min="32" max="32" width="6.42578125" bestFit="1" customWidth="1"/>
    <col min="33" max="33" width="115.7109375" bestFit="1" customWidth="1"/>
    <col min="34" max="34" width="44.42578125" bestFit="1" customWidth="1"/>
    <col min="35" max="35" width="39.85546875" customWidth="1"/>
  </cols>
  <sheetData>
    <row r="2" spans="2:34" x14ac:dyDescent="0.25">
      <c r="B2" s="2" t="s">
        <v>0</v>
      </c>
      <c r="C2" s="2" t="s">
        <v>99</v>
      </c>
      <c r="D2" s="2" t="s">
        <v>1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232</v>
      </c>
      <c r="J2" s="2" t="s">
        <v>115</v>
      </c>
      <c r="K2" s="2" t="s">
        <v>109</v>
      </c>
      <c r="L2" s="2" t="s">
        <v>91</v>
      </c>
      <c r="M2" s="2" t="s">
        <v>193</v>
      </c>
      <c r="N2" s="4" t="s">
        <v>69</v>
      </c>
      <c r="O2" s="4" t="s">
        <v>8</v>
      </c>
      <c r="P2" s="4" t="s">
        <v>9</v>
      </c>
      <c r="Q2" s="4" t="s">
        <v>188</v>
      </c>
      <c r="R2" s="4" t="s">
        <v>216</v>
      </c>
      <c r="S2" s="4" t="s">
        <v>178</v>
      </c>
      <c r="T2" s="4" t="s">
        <v>179</v>
      </c>
      <c r="U2" s="4" t="s">
        <v>66</v>
      </c>
      <c r="V2" s="4" t="s">
        <v>189</v>
      </c>
      <c r="W2" s="4" t="s">
        <v>67</v>
      </c>
      <c r="X2" s="4" t="s">
        <v>20</v>
      </c>
      <c r="Y2" s="4" t="s">
        <v>88</v>
      </c>
      <c r="Z2" s="4" t="s">
        <v>89</v>
      </c>
      <c r="AA2" s="2" t="s">
        <v>13</v>
      </c>
      <c r="AB2" s="2" t="s">
        <v>14</v>
      </c>
      <c r="AC2" s="2" t="s">
        <v>182</v>
      </c>
      <c r="AD2" s="2" t="s">
        <v>16</v>
      </c>
      <c r="AE2" s="2" t="s">
        <v>17</v>
      </c>
      <c r="AF2" s="4" t="s">
        <v>18</v>
      </c>
      <c r="AG2" s="4" t="s">
        <v>19</v>
      </c>
      <c r="AH2" s="4" t="s">
        <v>194</v>
      </c>
    </row>
    <row r="3" spans="2:34" x14ac:dyDescent="0.25">
      <c r="B3" s="30">
        <v>1</v>
      </c>
      <c r="C3" s="32">
        <v>20200302</v>
      </c>
      <c r="D3" s="30" t="s">
        <v>3</v>
      </c>
      <c r="E3" s="30" t="s">
        <v>75</v>
      </c>
      <c r="F3" s="30" t="s">
        <v>173</v>
      </c>
      <c r="G3" s="30">
        <v>1348323</v>
      </c>
      <c r="H3" s="30" t="s">
        <v>83</v>
      </c>
      <c r="I3" s="30" t="s">
        <v>233</v>
      </c>
      <c r="J3" s="33" t="s">
        <v>90</v>
      </c>
      <c r="K3" s="30" t="s">
        <v>110</v>
      </c>
      <c r="L3" s="33" t="str">
        <f>IF(D3="ASW","PUT_VERSION","-")</f>
        <v>-</v>
      </c>
      <c r="M3" s="33" t="s">
        <v>196</v>
      </c>
      <c r="N3" s="32"/>
      <c r="O3" s="32" t="s">
        <v>190</v>
      </c>
      <c r="P3" s="30" t="s">
        <v>103</v>
      </c>
      <c r="Q3" s="30" t="s">
        <v>6</v>
      </c>
      <c r="R3" s="30" t="s">
        <v>187</v>
      </c>
      <c r="S3" s="30">
        <v>113</v>
      </c>
      <c r="T3" s="30">
        <v>113</v>
      </c>
      <c r="U3" s="30">
        <v>113</v>
      </c>
      <c r="V3" s="30">
        <v>3</v>
      </c>
      <c r="W3" s="30">
        <v>4</v>
      </c>
      <c r="X3" s="30" t="s">
        <v>21</v>
      </c>
      <c r="Y3" s="35">
        <v>43892</v>
      </c>
      <c r="Z3" s="35">
        <v>43894</v>
      </c>
      <c r="AA3" s="35">
        <v>43892</v>
      </c>
      <c r="AB3" s="35">
        <v>43893</v>
      </c>
      <c r="AC3" s="39" t="s">
        <v>184</v>
      </c>
      <c r="AD3" s="39">
        <v>100</v>
      </c>
      <c r="AE3" s="39">
        <v>100</v>
      </c>
      <c r="AF3" s="39">
        <v>100</v>
      </c>
      <c r="AG3" s="30"/>
      <c r="AH3" s="30"/>
    </row>
    <row r="4" spans="2:34" s="25" customFormat="1" x14ac:dyDescent="0.2">
      <c r="B4" s="39">
        <f>B3+1</f>
        <v>2</v>
      </c>
      <c r="C4" s="27">
        <v>20200302</v>
      </c>
      <c r="D4" s="39" t="s">
        <v>3</v>
      </c>
      <c r="E4" s="39" t="s">
        <v>76</v>
      </c>
      <c r="F4" s="39" t="s">
        <v>174</v>
      </c>
      <c r="G4" s="30">
        <v>1345876</v>
      </c>
      <c r="H4" s="39" t="s">
        <v>84</v>
      </c>
      <c r="I4" s="30" t="s">
        <v>233</v>
      </c>
      <c r="J4" s="30" t="s">
        <v>116</v>
      </c>
      <c r="K4" s="30" t="s">
        <v>111</v>
      </c>
      <c r="L4" s="33" t="str">
        <f>IF(D4="ASW","PUT_VERSION","-")</f>
        <v>-</v>
      </c>
      <c r="M4" s="33" t="s">
        <v>197</v>
      </c>
      <c r="N4" s="32"/>
      <c r="O4" s="32" t="s">
        <v>190</v>
      </c>
      <c r="P4" s="39" t="s">
        <v>104</v>
      </c>
      <c r="Q4" s="39" t="s">
        <v>6</v>
      </c>
      <c r="R4" s="30" t="s">
        <v>187</v>
      </c>
      <c r="S4" s="30">
        <v>148</v>
      </c>
      <c r="T4" s="36">
        <v>357</v>
      </c>
      <c r="U4" s="39">
        <v>357</v>
      </c>
      <c r="V4" s="30">
        <v>10</v>
      </c>
      <c r="W4" s="39">
        <v>6</v>
      </c>
      <c r="X4" s="30" t="s">
        <v>21</v>
      </c>
      <c r="Y4" s="28">
        <v>43893</v>
      </c>
      <c r="Z4" s="28">
        <v>43894</v>
      </c>
      <c r="AA4" s="28">
        <v>43892</v>
      </c>
      <c r="AB4" s="50">
        <v>43892</v>
      </c>
      <c r="AC4" s="39" t="s">
        <v>184</v>
      </c>
      <c r="AD4" s="39">
        <v>100</v>
      </c>
      <c r="AE4" s="39">
        <v>100</v>
      </c>
      <c r="AF4" s="39">
        <v>100</v>
      </c>
      <c r="AG4" s="30" t="s">
        <v>217</v>
      </c>
      <c r="AH4" s="30"/>
    </row>
    <row r="5" spans="2:34" x14ac:dyDescent="0.25">
      <c r="B5" s="39">
        <f t="shared" ref="B5:B68" si="0">B4+1</f>
        <v>3</v>
      </c>
      <c r="C5" s="32">
        <v>20200302</v>
      </c>
      <c r="D5" s="30" t="s">
        <v>3</v>
      </c>
      <c r="E5" s="30" t="s">
        <v>77</v>
      </c>
      <c r="F5" s="30" t="s">
        <v>175</v>
      </c>
      <c r="G5" s="30">
        <v>1350941</v>
      </c>
      <c r="H5" s="30" t="s">
        <v>85</v>
      </c>
      <c r="I5" s="30" t="s">
        <v>233</v>
      </c>
      <c r="J5" s="30" t="s">
        <v>117</v>
      </c>
      <c r="K5" s="30" t="s">
        <v>112</v>
      </c>
      <c r="L5" s="33" t="str">
        <f>IF(D5="ASW","PUT_VERSION","-")</f>
        <v>-</v>
      </c>
      <c r="M5" s="33" t="s">
        <v>198</v>
      </c>
      <c r="N5" s="32"/>
      <c r="O5" s="32" t="s">
        <v>190</v>
      </c>
      <c r="P5" s="30" t="s">
        <v>103</v>
      </c>
      <c r="Q5" s="30" t="s">
        <v>6</v>
      </c>
      <c r="R5" s="30" t="s">
        <v>187</v>
      </c>
      <c r="S5" s="30">
        <v>291</v>
      </c>
      <c r="T5" s="30">
        <v>291</v>
      </c>
      <c r="U5" s="30">
        <v>291</v>
      </c>
      <c r="V5" s="30">
        <v>8</v>
      </c>
      <c r="W5" s="30">
        <v>10</v>
      </c>
      <c r="X5" s="30" t="s">
        <v>21</v>
      </c>
      <c r="Y5" s="35">
        <v>43892</v>
      </c>
      <c r="Z5" s="35">
        <v>43894</v>
      </c>
      <c r="AA5" s="35">
        <v>43892</v>
      </c>
      <c r="AB5" s="35">
        <v>43893</v>
      </c>
      <c r="AC5" s="35" t="s">
        <v>184</v>
      </c>
      <c r="AD5" s="39">
        <v>100</v>
      </c>
      <c r="AE5" s="39">
        <v>100</v>
      </c>
      <c r="AF5" s="39">
        <v>100</v>
      </c>
      <c r="AG5" s="30" t="s">
        <v>180</v>
      </c>
      <c r="AH5" s="30" t="s">
        <v>218</v>
      </c>
    </row>
    <row r="6" spans="2:34" ht="30" x14ac:dyDescent="0.25">
      <c r="B6" s="39">
        <f t="shared" si="0"/>
        <v>4</v>
      </c>
      <c r="C6" s="32">
        <v>20200302</v>
      </c>
      <c r="D6" s="30" t="s">
        <v>3</v>
      </c>
      <c r="E6" s="30" t="s">
        <v>78</v>
      </c>
      <c r="F6" s="30" t="s">
        <v>176</v>
      </c>
      <c r="G6" s="30">
        <v>1351929</v>
      </c>
      <c r="H6" s="30" t="s">
        <v>86</v>
      </c>
      <c r="I6" s="30" t="s">
        <v>233</v>
      </c>
      <c r="J6" s="30" t="s">
        <v>118</v>
      </c>
      <c r="K6" s="31" t="s">
        <v>113</v>
      </c>
      <c r="L6" s="33" t="str">
        <f>IF(D6="ASW","PUT_VERSION","-")</f>
        <v>-</v>
      </c>
      <c r="M6" s="33" t="s">
        <v>196</v>
      </c>
      <c r="N6" s="32"/>
      <c r="O6" s="32" t="s">
        <v>190</v>
      </c>
      <c r="P6" s="30" t="s">
        <v>106</v>
      </c>
      <c r="Q6" s="30" t="s">
        <v>6</v>
      </c>
      <c r="R6" s="30" t="s">
        <v>187</v>
      </c>
      <c r="S6" s="30">
        <v>254</v>
      </c>
      <c r="T6" s="30">
        <v>254</v>
      </c>
      <c r="U6" s="30">
        <v>254</v>
      </c>
      <c r="V6" s="30">
        <f>ROUNDDOWN(T6/HLOOKUP(D6,Table!$C$3:$D$4,2,0)*8,2)</f>
        <v>4.51</v>
      </c>
      <c r="W6" s="30">
        <v>10</v>
      </c>
      <c r="X6" s="30" t="s">
        <v>230</v>
      </c>
      <c r="Y6" s="35">
        <v>43892</v>
      </c>
      <c r="Z6" s="35">
        <v>43893</v>
      </c>
      <c r="AA6" s="35">
        <v>43892</v>
      </c>
      <c r="AB6" s="35">
        <v>43893</v>
      </c>
      <c r="AC6" s="35" t="s">
        <v>183</v>
      </c>
      <c r="AD6" s="39">
        <v>100</v>
      </c>
      <c r="AE6" s="39">
        <v>100</v>
      </c>
      <c r="AF6" s="39">
        <v>95</v>
      </c>
      <c r="AG6" s="42" t="s">
        <v>185</v>
      </c>
      <c r="AH6" s="42" t="s">
        <v>195</v>
      </c>
    </row>
    <row r="7" spans="2:34" x14ac:dyDescent="0.25">
      <c r="B7" s="39">
        <f t="shared" si="0"/>
        <v>5</v>
      </c>
      <c r="C7" s="32">
        <v>20200302</v>
      </c>
      <c r="D7" s="30" t="s">
        <v>2</v>
      </c>
      <c r="E7" s="31" t="s">
        <v>87</v>
      </c>
      <c r="F7" s="33" t="s">
        <v>90</v>
      </c>
      <c r="G7" s="30">
        <v>1352219</v>
      </c>
      <c r="H7" s="30" t="s">
        <v>70</v>
      </c>
      <c r="I7" s="30" t="s">
        <v>233</v>
      </c>
      <c r="J7" s="33" t="s">
        <v>90</v>
      </c>
      <c r="K7" s="30">
        <v>1352219</v>
      </c>
      <c r="L7" s="33" t="s">
        <v>132</v>
      </c>
      <c r="M7" s="33" t="s">
        <v>199</v>
      </c>
      <c r="N7" s="32"/>
      <c r="O7" s="32" t="s">
        <v>190</v>
      </c>
      <c r="P7" s="30" t="s">
        <v>105</v>
      </c>
      <c r="Q7" s="30" t="s">
        <v>6</v>
      </c>
      <c r="R7" s="30" t="s">
        <v>187</v>
      </c>
      <c r="S7" s="30">
        <v>19</v>
      </c>
      <c r="T7" s="30">
        <v>19</v>
      </c>
      <c r="U7" s="30">
        <v>19</v>
      </c>
      <c r="V7" s="30">
        <f>ROUNDDOWN(T7/HLOOKUP(D7,Table!$C$3:$D$4,2,0)*8,2)</f>
        <v>1.1599999999999999</v>
      </c>
      <c r="W7" s="30">
        <v>4</v>
      </c>
      <c r="X7" s="30" t="s">
        <v>230</v>
      </c>
      <c r="Y7" s="35">
        <v>43892</v>
      </c>
      <c r="Z7" s="35">
        <v>43893</v>
      </c>
      <c r="AA7" s="35">
        <v>43893</v>
      </c>
      <c r="AB7" s="35">
        <v>43893</v>
      </c>
      <c r="AC7" s="35" t="s">
        <v>183</v>
      </c>
      <c r="AD7" s="39">
        <v>95.6</v>
      </c>
      <c r="AE7" s="39">
        <v>96</v>
      </c>
      <c r="AF7" s="43" t="s">
        <v>90</v>
      </c>
      <c r="AG7" s="30" t="s">
        <v>181</v>
      </c>
      <c r="AH7" s="30" t="s">
        <v>218</v>
      </c>
    </row>
    <row r="8" spans="2:34" x14ac:dyDescent="0.25">
      <c r="B8" s="39">
        <f t="shared" si="0"/>
        <v>6</v>
      </c>
      <c r="C8" s="32">
        <v>20200302</v>
      </c>
      <c r="D8" s="30" t="s">
        <v>3</v>
      </c>
      <c r="E8" s="30" t="s">
        <v>93</v>
      </c>
      <c r="F8" s="33" t="s">
        <v>231</v>
      </c>
      <c r="G8" s="30">
        <v>1351848</v>
      </c>
      <c r="H8" s="30" t="s">
        <v>95</v>
      </c>
      <c r="I8" s="30" t="s">
        <v>233</v>
      </c>
      <c r="J8" s="30">
        <v>80504</v>
      </c>
      <c r="K8" s="30" t="s">
        <v>111</v>
      </c>
      <c r="L8" s="33" t="str">
        <f t="shared" ref="L8:L19" si="1">IF(D8="ASW","PUT_VERSION","-")</f>
        <v>-</v>
      </c>
      <c r="M8" s="33" t="s">
        <v>200</v>
      </c>
      <c r="N8" s="32"/>
      <c r="O8" s="32" t="s">
        <v>191</v>
      </c>
      <c r="P8" s="30" t="s">
        <v>105</v>
      </c>
      <c r="Q8" s="30" t="s">
        <v>6</v>
      </c>
      <c r="R8" s="30" t="s">
        <v>187</v>
      </c>
      <c r="S8" s="30">
        <v>478</v>
      </c>
      <c r="T8" s="30">
        <v>478</v>
      </c>
      <c r="U8" s="30">
        <v>478</v>
      </c>
      <c r="V8" s="30">
        <f>ROUNDDOWN(T8/HLOOKUP(D8,Table!$C$3:$D$4,2,0)*8,2)</f>
        <v>8.49</v>
      </c>
      <c r="W8" s="30">
        <v>14</v>
      </c>
      <c r="X8" s="30" t="s">
        <v>24</v>
      </c>
      <c r="Y8" s="35">
        <v>43892</v>
      </c>
      <c r="Z8" s="35">
        <v>43894</v>
      </c>
      <c r="AA8" s="35">
        <v>43892</v>
      </c>
      <c r="AB8" s="35">
        <v>43894</v>
      </c>
      <c r="AC8" s="35" t="s">
        <v>183</v>
      </c>
      <c r="AD8" s="39">
        <v>99</v>
      </c>
      <c r="AE8" s="39">
        <v>99</v>
      </c>
      <c r="AF8" s="39">
        <v>100</v>
      </c>
      <c r="AG8" s="30" t="s">
        <v>228</v>
      </c>
      <c r="AH8" s="30" t="s">
        <v>218</v>
      </c>
    </row>
    <row r="9" spans="2:34" s="25" customFormat="1" x14ac:dyDescent="0.2">
      <c r="B9" s="39">
        <f t="shared" si="0"/>
        <v>7</v>
      </c>
      <c r="C9" s="32">
        <v>20200302</v>
      </c>
      <c r="D9" s="40" t="s">
        <v>3</v>
      </c>
      <c r="E9" s="40" t="s">
        <v>93</v>
      </c>
      <c r="F9" s="33" t="s">
        <v>225</v>
      </c>
      <c r="G9" s="30">
        <v>1351848</v>
      </c>
      <c r="H9" s="27" t="s">
        <v>96</v>
      </c>
      <c r="I9" s="30" t="s">
        <v>233</v>
      </c>
      <c r="J9" s="30">
        <v>80504</v>
      </c>
      <c r="K9" s="30" t="s">
        <v>111</v>
      </c>
      <c r="L9" s="33" t="str">
        <f t="shared" si="1"/>
        <v>-</v>
      </c>
      <c r="M9" s="33" t="s">
        <v>200</v>
      </c>
      <c r="N9" s="32"/>
      <c r="O9" s="32" t="s">
        <v>191</v>
      </c>
      <c r="P9" s="27" t="s">
        <v>104</v>
      </c>
      <c r="Q9" s="32" t="s">
        <v>6</v>
      </c>
      <c r="R9" s="30" t="s">
        <v>187</v>
      </c>
      <c r="S9" s="30">
        <v>286</v>
      </c>
      <c r="T9" s="32">
        <v>286</v>
      </c>
      <c r="U9" s="32">
        <v>286</v>
      </c>
      <c r="V9" s="30">
        <f>ROUNDDOWN(T9/HLOOKUP(D9,Table!$C$3:$D$4,2,0)*8,2)</f>
        <v>5.08</v>
      </c>
      <c r="W9" s="27">
        <v>1</v>
      </c>
      <c r="X9" s="30" t="s">
        <v>21</v>
      </c>
      <c r="Y9" s="35">
        <v>43892</v>
      </c>
      <c r="Z9" s="35">
        <v>43894</v>
      </c>
      <c r="AA9" s="35">
        <v>43893</v>
      </c>
      <c r="AB9" s="35">
        <v>43892</v>
      </c>
      <c r="AC9" s="35" t="s">
        <v>184</v>
      </c>
      <c r="AD9" s="39">
        <v>100</v>
      </c>
      <c r="AE9" s="39">
        <v>100</v>
      </c>
      <c r="AF9" s="39">
        <v>100</v>
      </c>
      <c r="AG9" s="30"/>
      <c r="AH9" s="30"/>
    </row>
    <row r="10" spans="2:34" x14ac:dyDescent="0.25">
      <c r="B10" s="39">
        <f t="shared" si="0"/>
        <v>8</v>
      </c>
      <c r="C10" s="32">
        <v>20200302</v>
      </c>
      <c r="D10" s="29" t="s">
        <v>3</v>
      </c>
      <c r="E10" s="29" t="s">
        <v>93</v>
      </c>
      <c r="F10" s="33" t="s">
        <v>225</v>
      </c>
      <c r="G10" s="30">
        <v>1351848</v>
      </c>
      <c r="H10" s="29" t="s">
        <v>98</v>
      </c>
      <c r="I10" s="30" t="s">
        <v>233</v>
      </c>
      <c r="J10" s="30">
        <v>80504</v>
      </c>
      <c r="K10" s="30" t="s">
        <v>111</v>
      </c>
      <c r="L10" s="33" t="str">
        <f t="shared" si="1"/>
        <v>-</v>
      </c>
      <c r="M10" s="33" t="s">
        <v>200</v>
      </c>
      <c r="N10" s="32"/>
      <c r="O10" s="32" t="s">
        <v>191</v>
      </c>
      <c r="P10" s="29" t="s">
        <v>106</v>
      </c>
      <c r="Q10" s="30" t="s">
        <v>6</v>
      </c>
      <c r="R10" s="30" t="s">
        <v>187</v>
      </c>
      <c r="S10" s="30">
        <v>110</v>
      </c>
      <c r="T10" s="29">
        <v>110</v>
      </c>
      <c r="U10" s="29">
        <v>110</v>
      </c>
      <c r="V10" s="30">
        <f>ROUNDDOWN(T10/HLOOKUP(D10,Table!$C$3:$D$4,2,0)*8,2)</f>
        <v>1.95</v>
      </c>
      <c r="W10" s="53">
        <v>4</v>
      </c>
      <c r="X10" s="30" t="s">
        <v>21</v>
      </c>
      <c r="Y10" s="35">
        <v>43892</v>
      </c>
      <c r="Z10" s="35">
        <v>43894</v>
      </c>
      <c r="AA10" s="35">
        <v>43894</v>
      </c>
      <c r="AB10" s="35">
        <v>43894</v>
      </c>
      <c r="AC10" s="35" t="s">
        <v>184</v>
      </c>
      <c r="AD10" s="39">
        <v>100</v>
      </c>
      <c r="AE10" s="39">
        <v>100</v>
      </c>
      <c r="AF10" s="39">
        <v>100</v>
      </c>
      <c r="AG10" s="30"/>
      <c r="AH10" s="30"/>
    </row>
    <row r="11" spans="2:34" s="26" customFormat="1" x14ac:dyDescent="0.2">
      <c r="B11" s="39">
        <f t="shared" si="0"/>
        <v>9</v>
      </c>
      <c r="C11" s="32">
        <v>20200302</v>
      </c>
      <c r="D11" s="27" t="s">
        <v>3</v>
      </c>
      <c r="E11" s="27" t="s">
        <v>107</v>
      </c>
      <c r="F11" s="41" t="s">
        <v>226</v>
      </c>
      <c r="G11" s="30">
        <v>1278532</v>
      </c>
      <c r="H11" s="30" t="s">
        <v>222</v>
      </c>
      <c r="I11" s="30" t="s">
        <v>233</v>
      </c>
      <c r="J11" s="30" t="s">
        <v>119</v>
      </c>
      <c r="K11" s="30" t="s">
        <v>114</v>
      </c>
      <c r="L11" s="33" t="str">
        <f t="shared" si="1"/>
        <v>-</v>
      </c>
      <c r="M11" s="33" t="s">
        <v>201</v>
      </c>
      <c r="N11" s="32"/>
      <c r="O11" s="32" t="s">
        <v>192</v>
      </c>
      <c r="P11" s="27" t="s">
        <v>104</v>
      </c>
      <c r="Q11" s="27" t="s">
        <v>6</v>
      </c>
      <c r="R11" s="30" t="s">
        <v>187</v>
      </c>
      <c r="S11" s="30">
        <v>251</v>
      </c>
      <c r="T11" s="37">
        <v>294</v>
      </c>
      <c r="U11" s="27">
        <v>294</v>
      </c>
      <c r="V11" s="30">
        <f>ROUNDDOWN(T11/HLOOKUP(D11,Table!$C$3:$D$4,2,0)*8,2)</f>
        <v>5.22</v>
      </c>
      <c r="W11" s="27">
        <v>6.5</v>
      </c>
      <c r="X11" s="30" t="s">
        <v>21</v>
      </c>
      <c r="Y11" s="35">
        <v>43892</v>
      </c>
      <c r="Z11" s="35">
        <v>43894</v>
      </c>
      <c r="AA11" s="35">
        <v>43893</v>
      </c>
      <c r="AB11" s="35">
        <v>43893</v>
      </c>
      <c r="AC11" s="35" t="s">
        <v>184</v>
      </c>
      <c r="AD11" s="39">
        <v>100</v>
      </c>
      <c r="AE11" s="39">
        <v>100</v>
      </c>
      <c r="AF11" s="39">
        <v>100</v>
      </c>
      <c r="AG11" s="30" t="s">
        <v>133</v>
      </c>
      <c r="AH11" s="30"/>
    </row>
    <row r="12" spans="2:34" x14ac:dyDescent="0.25">
      <c r="B12" s="39">
        <f t="shared" si="0"/>
        <v>10</v>
      </c>
      <c r="C12" s="32">
        <v>20200302</v>
      </c>
      <c r="D12" s="30" t="s">
        <v>3</v>
      </c>
      <c r="E12" s="30" t="s">
        <v>107</v>
      </c>
      <c r="F12" s="33" t="s">
        <v>226</v>
      </c>
      <c r="G12" s="30">
        <v>1278532</v>
      </c>
      <c r="H12" s="30" t="s">
        <v>223</v>
      </c>
      <c r="I12" s="30" t="s">
        <v>233</v>
      </c>
      <c r="J12" s="30" t="s">
        <v>119</v>
      </c>
      <c r="K12" s="30" t="s">
        <v>114</v>
      </c>
      <c r="L12" s="33" t="str">
        <f t="shared" si="1"/>
        <v>-</v>
      </c>
      <c r="M12" s="33" t="s">
        <v>201</v>
      </c>
      <c r="N12" s="32"/>
      <c r="O12" s="32" t="s">
        <v>192</v>
      </c>
      <c r="P12" s="29" t="s">
        <v>104</v>
      </c>
      <c r="Q12" s="29" t="s">
        <v>6</v>
      </c>
      <c r="R12" s="30" t="s">
        <v>187</v>
      </c>
      <c r="S12" s="30">
        <v>101</v>
      </c>
      <c r="T12" s="30">
        <v>101</v>
      </c>
      <c r="U12" s="30">
        <v>101</v>
      </c>
      <c r="V12" s="30">
        <f>ROUNDDOWN(T12/HLOOKUP(D12,Table!$C$3:$D$4,2,0)*8,2)</f>
        <v>1.79</v>
      </c>
      <c r="W12" s="30">
        <v>1.5</v>
      </c>
      <c r="X12" s="30" t="s">
        <v>21</v>
      </c>
      <c r="Y12" s="35">
        <v>43892</v>
      </c>
      <c r="Z12" s="35">
        <v>43894</v>
      </c>
      <c r="AA12" s="35">
        <v>43894</v>
      </c>
      <c r="AB12" s="35">
        <v>43894</v>
      </c>
      <c r="AC12" s="44" t="s">
        <v>184</v>
      </c>
      <c r="AD12" s="39">
        <v>100</v>
      </c>
      <c r="AE12" s="39">
        <v>100</v>
      </c>
      <c r="AF12" s="39">
        <v>100</v>
      </c>
      <c r="AG12" s="30"/>
      <c r="AH12" s="30"/>
    </row>
    <row r="13" spans="2:34" x14ac:dyDescent="0.25">
      <c r="B13" s="39">
        <f t="shared" si="0"/>
        <v>11</v>
      </c>
      <c r="C13" s="32">
        <v>20200302</v>
      </c>
      <c r="D13" s="30" t="s">
        <v>3</v>
      </c>
      <c r="E13" s="30" t="s">
        <v>107</v>
      </c>
      <c r="F13" s="33" t="s">
        <v>227</v>
      </c>
      <c r="G13" s="30">
        <v>1278532</v>
      </c>
      <c r="H13" s="29" t="s">
        <v>224</v>
      </c>
      <c r="I13" s="30" t="s">
        <v>233</v>
      </c>
      <c r="J13" s="30" t="s">
        <v>119</v>
      </c>
      <c r="K13" s="30" t="s">
        <v>114</v>
      </c>
      <c r="L13" s="33" t="str">
        <f t="shared" si="1"/>
        <v>-</v>
      </c>
      <c r="M13" s="33" t="s">
        <v>201</v>
      </c>
      <c r="N13" s="32"/>
      <c r="O13" s="32" t="s">
        <v>192</v>
      </c>
      <c r="P13" s="29" t="s">
        <v>103</v>
      </c>
      <c r="Q13" s="29"/>
      <c r="R13" s="30"/>
      <c r="S13" s="30">
        <v>90</v>
      </c>
      <c r="T13" s="30">
        <v>90</v>
      </c>
      <c r="U13" s="30">
        <v>90</v>
      </c>
      <c r="V13" s="30">
        <f>ROUNDDOWN(T13/HLOOKUP(D13,Table!$C$3:$D$4,2,0)*8,2)</f>
        <v>1.6</v>
      </c>
      <c r="W13" s="30">
        <v>2</v>
      </c>
      <c r="X13" s="30" t="s">
        <v>21</v>
      </c>
      <c r="Y13" s="35">
        <v>43892</v>
      </c>
      <c r="Z13" s="35">
        <v>43894</v>
      </c>
      <c r="AA13" s="35">
        <v>43894</v>
      </c>
      <c r="AB13" s="35">
        <v>43894</v>
      </c>
      <c r="AC13" s="35" t="s">
        <v>183</v>
      </c>
      <c r="AD13" s="39">
        <v>86</v>
      </c>
      <c r="AE13" s="39">
        <v>83</v>
      </c>
      <c r="AF13" s="39">
        <v>100</v>
      </c>
      <c r="AG13" s="30"/>
      <c r="AH13" s="30"/>
    </row>
    <row r="14" spans="2:34" x14ac:dyDescent="0.25">
      <c r="B14" s="39">
        <f t="shared" si="0"/>
        <v>12</v>
      </c>
      <c r="C14" s="32">
        <v>20200302</v>
      </c>
      <c r="D14" s="30" t="s">
        <v>3</v>
      </c>
      <c r="E14" s="30" t="s">
        <v>107</v>
      </c>
      <c r="F14" s="33" t="s">
        <v>177</v>
      </c>
      <c r="G14" s="30">
        <v>1278532</v>
      </c>
      <c r="H14" s="30" t="s">
        <v>108</v>
      </c>
      <c r="I14" s="30" t="s">
        <v>233</v>
      </c>
      <c r="J14" s="30" t="s">
        <v>119</v>
      </c>
      <c r="K14" s="30" t="s">
        <v>114</v>
      </c>
      <c r="L14" s="33" t="str">
        <f t="shared" si="1"/>
        <v>-</v>
      </c>
      <c r="M14" s="33" t="s">
        <v>201</v>
      </c>
      <c r="N14" s="32"/>
      <c r="O14" s="32" t="s">
        <v>192</v>
      </c>
      <c r="P14" s="29" t="s">
        <v>104</v>
      </c>
      <c r="Q14" s="29" t="s">
        <v>6</v>
      </c>
      <c r="R14" s="30" t="s">
        <v>187</v>
      </c>
      <c r="S14" s="30">
        <v>101</v>
      </c>
      <c r="T14" s="31">
        <v>183</v>
      </c>
      <c r="U14" s="30">
        <v>183</v>
      </c>
      <c r="V14" s="30">
        <f>ROUNDDOWN(T14/HLOOKUP(D14,Table!$C$3:$D$4,2,0)*8,2)</f>
        <v>3.25</v>
      </c>
      <c r="W14" s="30">
        <v>3</v>
      </c>
      <c r="X14" s="30" t="s">
        <v>21</v>
      </c>
      <c r="Y14" s="35">
        <v>43892</v>
      </c>
      <c r="Z14" s="35">
        <v>43894</v>
      </c>
      <c r="AA14" s="35">
        <v>43894</v>
      </c>
      <c r="AB14" s="35">
        <v>43894</v>
      </c>
      <c r="AC14" s="35" t="s">
        <v>184</v>
      </c>
      <c r="AD14" s="39">
        <v>100</v>
      </c>
      <c r="AE14" s="39">
        <v>100</v>
      </c>
      <c r="AF14" s="39">
        <v>100</v>
      </c>
      <c r="AG14" s="30" t="s">
        <v>134</v>
      </c>
      <c r="AH14" s="30"/>
    </row>
    <row r="15" spans="2:34" x14ac:dyDescent="0.25">
      <c r="B15" s="39">
        <f t="shared" si="0"/>
        <v>13</v>
      </c>
      <c r="C15" s="32">
        <v>20200303</v>
      </c>
      <c r="D15" s="30" t="s">
        <v>3</v>
      </c>
      <c r="E15" s="30" t="s">
        <v>120</v>
      </c>
      <c r="F15" s="52" t="s">
        <v>250</v>
      </c>
      <c r="G15" s="30">
        <v>1352115</v>
      </c>
      <c r="H15" s="30" t="s">
        <v>121</v>
      </c>
      <c r="I15" s="30" t="s">
        <v>233</v>
      </c>
      <c r="J15" s="30" t="s">
        <v>127</v>
      </c>
      <c r="K15" s="30" t="s">
        <v>128</v>
      </c>
      <c r="L15" s="33" t="str">
        <f t="shared" si="1"/>
        <v>-</v>
      </c>
      <c r="M15" s="33" t="s">
        <v>202</v>
      </c>
      <c r="N15" s="32"/>
      <c r="O15" s="32" t="s">
        <v>190</v>
      </c>
      <c r="P15" s="30" t="s">
        <v>106</v>
      </c>
      <c r="Q15" s="30"/>
      <c r="R15" s="30"/>
      <c r="S15" s="30">
        <v>828</v>
      </c>
      <c r="T15" s="30">
        <v>828</v>
      </c>
      <c r="U15" s="30"/>
      <c r="V15" s="30">
        <f>ROUNDDOWN(T15/HLOOKUP(D15,Table!$C$3:$D$4,2,0)*8,2)</f>
        <v>14.72</v>
      </c>
      <c r="W15" s="30">
        <v>16</v>
      </c>
      <c r="X15" s="30" t="s">
        <v>21</v>
      </c>
      <c r="Y15" s="35">
        <v>43892</v>
      </c>
      <c r="Z15" s="35">
        <v>43899</v>
      </c>
      <c r="AA15" s="35">
        <v>43894</v>
      </c>
      <c r="AB15" s="35">
        <v>43896</v>
      </c>
      <c r="AC15" s="35" t="s">
        <v>183</v>
      </c>
      <c r="AD15" s="39">
        <v>100</v>
      </c>
      <c r="AE15" s="39">
        <v>100</v>
      </c>
      <c r="AF15" s="39">
        <v>98</v>
      </c>
      <c r="AG15" s="51" t="s">
        <v>181</v>
      </c>
      <c r="AH15" s="30"/>
    </row>
    <row r="16" spans="2:34" x14ac:dyDescent="0.25">
      <c r="B16" s="39">
        <f t="shared" si="0"/>
        <v>14</v>
      </c>
      <c r="C16" s="32">
        <v>20200303</v>
      </c>
      <c r="D16" s="30" t="s">
        <v>3</v>
      </c>
      <c r="E16" s="30" t="s">
        <v>122</v>
      </c>
      <c r="F16" s="33" t="s">
        <v>219</v>
      </c>
      <c r="G16" s="30">
        <v>1353313</v>
      </c>
      <c r="H16" s="30" t="s">
        <v>123</v>
      </c>
      <c r="I16" s="30" t="s">
        <v>233</v>
      </c>
      <c r="J16" s="30" t="s">
        <v>127</v>
      </c>
      <c r="K16" s="30" t="s">
        <v>129</v>
      </c>
      <c r="L16" s="33" t="str">
        <f t="shared" si="1"/>
        <v>-</v>
      </c>
      <c r="M16" s="33" t="s">
        <v>203</v>
      </c>
      <c r="N16" s="32"/>
      <c r="O16" s="32" t="s">
        <v>190</v>
      </c>
      <c r="P16" s="30" t="s">
        <v>104</v>
      </c>
      <c r="Q16" s="30"/>
      <c r="R16" s="30"/>
      <c r="S16" s="30">
        <v>371</v>
      </c>
      <c r="T16" s="30">
        <v>371</v>
      </c>
      <c r="U16" s="30">
        <v>371</v>
      </c>
      <c r="V16" s="30">
        <f>ROUNDDOWN(T16/HLOOKUP(D16,Table!$C$3:$D$4,2,0)*8,2)</f>
        <v>6.59</v>
      </c>
      <c r="W16" s="30">
        <v>3</v>
      </c>
      <c r="X16" s="30" t="s">
        <v>21</v>
      </c>
      <c r="Y16" s="35">
        <v>43892</v>
      </c>
      <c r="Z16" s="35">
        <v>43899</v>
      </c>
      <c r="AA16" s="35">
        <v>43895</v>
      </c>
      <c r="AB16" s="35">
        <v>43895</v>
      </c>
      <c r="AC16" s="35" t="s">
        <v>184</v>
      </c>
      <c r="AD16" s="39">
        <v>100</v>
      </c>
      <c r="AE16" s="39">
        <v>100</v>
      </c>
      <c r="AF16" s="39">
        <v>100</v>
      </c>
      <c r="AG16" s="30" t="s">
        <v>249</v>
      </c>
      <c r="AH16" s="30"/>
    </row>
    <row r="17" spans="1:34" x14ac:dyDescent="0.25">
      <c r="B17" s="39">
        <f t="shared" si="0"/>
        <v>15</v>
      </c>
      <c r="C17" s="32">
        <v>20200303</v>
      </c>
      <c r="D17" s="30" t="s">
        <v>3</v>
      </c>
      <c r="E17" s="30" t="s">
        <v>122</v>
      </c>
      <c r="F17" s="33" t="s">
        <v>219</v>
      </c>
      <c r="G17" s="30">
        <v>1353313</v>
      </c>
      <c r="H17" s="30" t="s">
        <v>124</v>
      </c>
      <c r="I17" s="30" t="s">
        <v>233</v>
      </c>
      <c r="J17" s="30" t="s">
        <v>127</v>
      </c>
      <c r="K17" s="30" t="s">
        <v>129</v>
      </c>
      <c r="L17" s="33" t="str">
        <f t="shared" si="1"/>
        <v>-</v>
      </c>
      <c r="M17" s="33" t="s">
        <v>203</v>
      </c>
      <c r="N17" s="32"/>
      <c r="O17" s="32" t="s">
        <v>190</v>
      </c>
      <c r="P17" s="30" t="s">
        <v>104</v>
      </c>
      <c r="Q17" s="30"/>
      <c r="R17" s="30"/>
      <c r="S17" s="30">
        <v>254</v>
      </c>
      <c r="T17" s="30">
        <v>254</v>
      </c>
      <c r="U17" s="30">
        <v>254</v>
      </c>
      <c r="V17" s="30">
        <f>ROUNDDOWN(T17/HLOOKUP(D17,Table!$C$3:$D$4,2,0)*8,2)</f>
        <v>4.51</v>
      </c>
      <c r="W17" s="30">
        <v>2</v>
      </c>
      <c r="X17" s="30" t="s">
        <v>21</v>
      </c>
      <c r="Y17" s="35">
        <v>43892</v>
      </c>
      <c r="Z17" s="35">
        <v>43899</v>
      </c>
      <c r="AA17" s="35">
        <v>43895</v>
      </c>
      <c r="AB17" s="35">
        <v>43895</v>
      </c>
      <c r="AC17" s="35" t="s">
        <v>184</v>
      </c>
      <c r="AD17" s="39">
        <v>100</v>
      </c>
      <c r="AE17" s="39">
        <v>100</v>
      </c>
      <c r="AF17" s="39">
        <v>100</v>
      </c>
      <c r="AG17" s="30"/>
      <c r="AH17" s="30"/>
    </row>
    <row r="18" spans="1:34" x14ac:dyDescent="0.25">
      <c r="B18" s="39">
        <f t="shared" si="0"/>
        <v>16</v>
      </c>
      <c r="C18" s="32">
        <v>20200303</v>
      </c>
      <c r="D18" s="30" t="s">
        <v>3</v>
      </c>
      <c r="E18" s="30" t="s">
        <v>122</v>
      </c>
      <c r="F18" s="33" t="s">
        <v>220</v>
      </c>
      <c r="G18" s="30">
        <v>1353313</v>
      </c>
      <c r="H18" s="30" t="s">
        <v>125</v>
      </c>
      <c r="I18" s="30" t="s">
        <v>233</v>
      </c>
      <c r="J18" s="30" t="s">
        <v>127</v>
      </c>
      <c r="K18" s="30" t="s">
        <v>129</v>
      </c>
      <c r="L18" s="33" t="str">
        <f t="shared" si="1"/>
        <v>-</v>
      </c>
      <c r="M18" s="33" t="s">
        <v>203</v>
      </c>
      <c r="N18" s="32"/>
      <c r="O18" s="32" t="s">
        <v>190</v>
      </c>
      <c r="P18" s="30" t="s">
        <v>105</v>
      </c>
      <c r="Q18" s="30"/>
      <c r="R18" s="30"/>
      <c r="S18" s="30">
        <v>395</v>
      </c>
      <c r="T18" s="30">
        <v>395</v>
      </c>
      <c r="U18" s="30">
        <v>395</v>
      </c>
      <c r="V18" s="30">
        <f>ROUNDDOWN(T18/HLOOKUP(D18,Table!$C$3:$D$4,2,0)*8,2)</f>
        <v>7.02</v>
      </c>
      <c r="W18" s="30">
        <v>2</v>
      </c>
      <c r="X18" s="30" t="s">
        <v>21</v>
      </c>
      <c r="Y18" s="35">
        <v>43892</v>
      </c>
      <c r="Z18" s="35">
        <v>43899</v>
      </c>
      <c r="AA18" s="35">
        <v>43895</v>
      </c>
      <c r="AB18" s="35">
        <v>43895</v>
      </c>
      <c r="AC18" s="35" t="s">
        <v>184</v>
      </c>
      <c r="AD18" s="30">
        <v>100</v>
      </c>
      <c r="AE18" s="30">
        <v>100</v>
      </c>
      <c r="AF18" s="30">
        <v>100</v>
      </c>
      <c r="AG18" s="30"/>
      <c r="AH18" s="30"/>
    </row>
    <row r="19" spans="1:34" x14ac:dyDescent="0.25">
      <c r="B19" s="39">
        <f t="shared" si="0"/>
        <v>17</v>
      </c>
      <c r="C19" s="32">
        <v>20200303</v>
      </c>
      <c r="D19" s="30" t="s">
        <v>3</v>
      </c>
      <c r="E19" s="30" t="s">
        <v>122</v>
      </c>
      <c r="F19" s="33" t="s">
        <v>221</v>
      </c>
      <c r="G19" s="30">
        <v>1353313</v>
      </c>
      <c r="H19" s="30" t="s">
        <v>125</v>
      </c>
      <c r="I19" s="30" t="s">
        <v>233</v>
      </c>
      <c r="J19" s="30" t="s">
        <v>127</v>
      </c>
      <c r="K19" s="30" t="s">
        <v>129</v>
      </c>
      <c r="L19" s="33" t="str">
        <f t="shared" si="1"/>
        <v>-</v>
      </c>
      <c r="M19" s="33" t="s">
        <v>203</v>
      </c>
      <c r="N19" s="32"/>
      <c r="O19" s="32" t="s">
        <v>190</v>
      </c>
      <c r="P19" s="30" t="s">
        <v>105</v>
      </c>
      <c r="Q19" s="30"/>
      <c r="R19" s="30"/>
      <c r="S19" s="30">
        <v>395</v>
      </c>
      <c r="T19" s="30">
        <v>395</v>
      </c>
      <c r="U19" s="30">
        <v>395</v>
      </c>
      <c r="V19" s="30">
        <f>ROUNDDOWN(T19/HLOOKUP(D19,Table!$C$3:$D$4,2,0)*8,2)</f>
        <v>7.02</v>
      </c>
      <c r="W19" s="30">
        <v>3</v>
      </c>
      <c r="X19" s="30" t="s">
        <v>21</v>
      </c>
      <c r="Y19" s="35">
        <v>43892</v>
      </c>
      <c r="Z19" s="35">
        <v>43899</v>
      </c>
      <c r="AA19" s="35">
        <v>43895</v>
      </c>
      <c r="AB19" s="35">
        <v>43895</v>
      </c>
      <c r="AC19" s="35" t="s">
        <v>184</v>
      </c>
      <c r="AD19" s="30">
        <v>100</v>
      </c>
      <c r="AE19" s="30">
        <v>100</v>
      </c>
      <c r="AF19" s="30">
        <v>100</v>
      </c>
      <c r="AH19" s="30"/>
    </row>
    <row r="20" spans="1:34" x14ac:dyDescent="0.25">
      <c r="B20" s="39">
        <f t="shared" si="0"/>
        <v>18</v>
      </c>
      <c r="C20" s="32">
        <v>20200306</v>
      </c>
      <c r="D20" s="32" t="s">
        <v>3</v>
      </c>
      <c r="E20" s="32" t="s">
        <v>239</v>
      </c>
      <c r="F20" s="56" t="s">
        <v>240</v>
      </c>
      <c r="G20" s="32">
        <v>1360296</v>
      </c>
      <c r="H20" s="32" t="s">
        <v>241</v>
      </c>
      <c r="I20" s="31" t="s">
        <v>234</v>
      </c>
      <c r="J20" s="3">
        <v>99478</v>
      </c>
      <c r="K20" s="30" t="s">
        <v>247</v>
      </c>
      <c r="L20" s="33" t="str">
        <f t="shared" ref="L20:L25" si="2">IF(D20="ASW","PUT_VERSION","-")</f>
        <v>-</v>
      </c>
      <c r="M20" t="s">
        <v>248</v>
      </c>
      <c r="N20" s="32"/>
      <c r="O20" s="32"/>
      <c r="P20" s="30" t="s">
        <v>103</v>
      </c>
      <c r="Q20" s="30" t="s">
        <v>103</v>
      </c>
      <c r="R20" s="30" t="s">
        <v>187</v>
      </c>
      <c r="S20" s="30">
        <v>96</v>
      </c>
      <c r="T20" s="30">
        <v>96</v>
      </c>
      <c r="U20" s="30">
        <v>96</v>
      </c>
      <c r="V20" s="30">
        <f>ROUNDDOWN(T20/HLOOKUP(D20,Table!$C$3:$D$4,2,0)*8,2)</f>
        <v>1.7</v>
      </c>
      <c r="W20" s="30">
        <v>1.5</v>
      </c>
      <c r="X20" s="30" t="s">
        <v>130</v>
      </c>
      <c r="Y20" s="35"/>
      <c r="Z20" s="35">
        <v>43896</v>
      </c>
      <c r="AA20" s="35">
        <v>43896</v>
      </c>
      <c r="AB20" s="35">
        <v>43896</v>
      </c>
      <c r="AC20" s="35" t="s">
        <v>183</v>
      </c>
      <c r="AD20" s="30">
        <v>97</v>
      </c>
      <c r="AE20" s="30">
        <v>95</v>
      </c>
      <c r="AF20" s="30">
        <v>92</v>
      </c>
      <c r="AG20" s="30" t="s">
        <v>252</v>
      </c>
      <c r="AH20" s="30"/>
    </row>
    <row r="21" spans="1:34" x14ac:dyDescent="0.25">
      <c r="B21" s="39">
        <f t="shared" si="0"/>
        <v>19</v>
      </c>
      <c r="C21" s="32">
        <v>20200306</v>
      </c>
      <c r="D21" s="32" t="s">
        <v>3</v>
      </c>
      <c r="E21" s="32" t="s">
        <v>239</v>
      </c>
      <c r="F21" s="56" t="s">
        <v>240</v>
      </c>
      <c r="G21" s="32">
        <v>1360296</v>
      </c>
      <c r="H21" s="32" t="s">
        <v>242</v>
      </c>
      <c r="I21" s="31" t="s">
        <v>234</v>
      </c>
      <c r="J21" s="3">
        <v>99478</v>
      </c>
      <c r="K21" s="30" t="s">
        <v>247</v>
      </c>
      <c r="L21" s="33" t="str">
        <f t="shared" si="2"/>
        <v>-</v>
      </c>
      <c r="M21" s="49" t="s">
        <v>248</v>
      </c>
      <c r="N21" s="32"/>
      <c r="O21" s="32"/>
      <c r="P21" s="30" t="s">
        <v>104</v>
      </c>
      <c r="Q21" s="30" t="s">
        <v>103</v>
      </c>
      <c r="R21" s="30" t="s">
        <v>187</v>
      </c>
      <c r="S21" s="30">
        <v>28</v>
      </c>
      <c r="T21" s="30">
        <v>28</v>
      </c>
      <c r="U21" s="30">
        <v>28</v>
      </c>
      <c r="V21" s="30">
        <f>ROUNDDOWN(T21/HLOOKUP(D21,Table!$C$3:$D$4,2,0)*8,2)</f>
        <v>0.49</v>
      </c>
      <c r="W21" s="30">
        <v>1</v>
      </c>
      <c r="X21" s="30" t="s">
        <v>130</v>
      </c>
      <c r="Y21" s="35"/>
      <c r="Z21" s="35">
        <v>43896</v>
      </c>
      <c r="AA21" s="35">
        <v>43896</v>
      </c>
      <c r="AB21" s="35">
        <v>43896</v>
      </c>
      <c r="AC21" s="35" t="s">
        <v>184</v>
      </c>
      <c r="AD21" s="39">
        <v>100</v>
      </c>
      <c r="AE21" s="39">
        <v>100</v>
      </c>
      <c r="AF21" s="39">
        <v>100</v>
      </c>
      <c r="AG21" s="30"/>
      <c r="AH21" s="30"/>
    </row>
    <row r="22" spans="1:34" x14ac:dyDescent="0.25">
      <c r="B22" s="39">
        <f t="shared" si="0"/>
        <v>20</v>
      </c>
      <c r="C22" s="32">
        <v>20200306</v>
      </c>
      <c r="D22" s="32" t="s">
        <v>3</v>
      </c>
      <c r="E22" s="32" t="s">
        <v>239</v>
      </c>
      <c r="F22" s="56" t="s">
        <v>240</v>
      </c>
      <c r="G22" s="32">
        <v>1360296</v>
      </c>
      <c r="H22" s="32" t="s">
        <v>243</v>
      </c>
      <c r="I22" s="31" t="s">
        <v>234</v>
      </c>
      <c r="J22" s="3">
        <v>99478</v>
      </c>
      <c r="K22" s="30" t="s">
        <v>247</v>
      </c>
      <c r="L22" s="33" t="str">
        <f t="shared" si="2"/>
        <v>-</v>
      </c>
      <c r="M22" s="49" t="s">
        <v>248</v>
      </c>
      <c r="N22" s="32"/>
      <c r="O22" s="32"/>
      <c r="P22" s="30" t="s">
        <v>104</v>
      </c>
      <c r="Q22" s="30" t="s">
        <v>103</v>
      </c>
      <c r="R22" s="30" t="s">
        <v>187</v>
      </c>
      <c r="S22" s="30">
        <v>36</v>
      </c>
      <c r="T22" s="30">
        <v>36</v>
      </c>
      <c r="U22" s="30">
        <v>36</v>
      </c>
      <c r="V22" s="30">
        <f>ROUNDDOWN(T22/HLOOKUP(D22,Table!$C$3:$D$4,2,0)*8,2)</f>
        <v>0.64</v>
      </c>
      <c r="W22" s="30">
        <v>1</v>
      </c>
      <c r="X22" s="30" t="s">
        <v>130</v>
      </c>
      <c r="Y22" s="35"/>
      <c r="Z22" s="35">
        <v>43896</v>
      </c>
      <c r="AA22" s="35">
        <v>43896</v>
      </c>
      <c r="AB22" s="35">
        <v>43896</v>
      </c>
      <c r="AC22" s="38" t="s">
        <v>184</v>
      </c>
      <c r="AD22" s="39">
        <v>100</v>
      </c>
      <c r="AE22" s="39">
        <v>100</v>
      </c>
      <c r="AF22" s="39">
        <v>100</v>
      </c>
      <c r="AG22" s="30"/>
      <c r="AH22" s="30"/>
    </row>
    <row r="23" spans="1:34" x14ac:dyDescent="0.25">
      <c r="B23" s="39">
        <f t="shared" si="0"/>
        <v>21</v>
      </c>
      <c r="C23" s="32">
        <v>20200306</v>
      </c>
      <c r="D23" s="32" t="s">
        <v>3</v>
      </c>
      <c r="E23" s="32" t="s">
        <v>239</v>
      </c>
      <c r="F23" s="56" t="s">
        <v>240</v>
      </c>
      <c r="G23" s="32">
        <v>1360296</v>
      </c>
      <c r="H23" s="32" t="s">
        <v>244</v>
      </c>
      <c r="I23" s="31" t="s">
        <v>234</v>
      </c>
      <c r="J23" s="3">
        <v>99478</v>
      </c>
      <c r="K23" s="30" t="s">
        <v>247</v>
      </c>
      <c r="L23" s="33" t="str">
        <f t="shared" si="2"/>
        <v>-</v>
      </c>
      <c r="M23" s="49" t="s">
        <v>248</v>
      </c>
      <c r="N23" s="32"/>
      <c r="O23" s="32"/>
      <c r="P23" s="30" t="s">
        <v>106</v>
      </c>
      <c r="Q23" s="30" t="s">
        <v>103</v>
      </c>
      <c r="R23" s="30" t="s">
        <v>187</v>
      </c>
      <c r="S23" s="30">
        <v>80</v>
      </c>
      <c r="T23" s="30">
        <v>80</v>
      </c>
      <c r="U23" s="30">
        <v>80</v>
      </c>
      <c r="V23" s="30">
        <f>ROUNDDOWN(T23/HLOOKUP(D23,Table!$C$3:$D$4,2,0)*8,2)</f>
        <v>1.42</v>
      </c>
      <c r="W23" s="30">
        <v>2</v>
      </c>
      <c r="X23" s="30" t="s">
        <v>130</v>
      </c>
      <c r="Y23" s="35"/>
      <c r="Z23" s="35">
        <v>43896</v>
      </c>
      <c r="AA23" s="35">
        <v>43896</v>
      </c>
      <c r="AB23" s="35">
        <v>43896</v>
      </c>
      <c r="AC23" s="38" t="s">
        <v>183</v>
      </c>
      <c r="AD23" s="30">
        <v>100</v>
      </c>
      <c r="AE23" s="30">
        <v>100</v>
      </c>
      <c r="AF23" s="30">
        <v>75</v>
      </c>
      <c r="AG23" s="30" t="s">
        <v>253</v>
      </c>
      <c r="AH23" s="30"/>
    </row>
    <row r="24" spans="1:34" x14ac:dyDescent="0.25">
      <c r="B24" s="39">
        <f t="shared" si="0"/>
        <v>22</v>
      </c>
      <c r="C24" s="32">
        <v>20200306</v>
      </c>
      <c r="D24" s="32" t="s">
        <v>3</v>
      </c>
      <c r="E24" s="32" t="s">
        <v>239</v>
      </c>
      <c r="F24" s="56" t="s">
        <v>240</v>
      </c>
      <c r="G24" s="32">
        <v>1360296</v>
      </c>
      <c r="H24" s="32" t="s">
        <v>245</v>
      </c>
      <c r="I24" s="31" t="s">
        <v>234</v>
      </c>
      <c r="J24" s="3">
        <v>99478</v>
      </c>
      <c r="K24" s="30" t="s">
        <v>247</v>
      </c>
      <c r="L24" s="33" t="str">
        <f t="shared" si="2"/>
        <v>-</v>
      </c>
      <c r="M24" s="49" t="s">
        <v>248</v>
      </c>
      <c r="N24" s="32"/>
      <c r="O24" s="32"/>
      <c r="P24" s="30" t="s">
        <v>104</v>
      </c>
      <c r="Q24" s="30" t="s">
        <v>103</v>
      </c>
      <c r="R24" s="30" t="s">
        <v>187</v>
      </c>
      <c r="S24" s="30">
        <v>33</v>
      </c>
      <c r="T24" s="30">
        <v>33</v>
      </c>
      <c r="U24" s="30">
        <v>33</v>
      </c>
      <c r="V24" s="30">
        <f>ROUNDDOWN(T24/HLOOKUP(D24,Table!$C$3:$D$4,2,0)*8,2)</f>
        <v>0.57999999999999996</v>
      </c>
      <c r="W24" s="30">
        <v>1</v>
      </c>
      <c r="X24" s="30" t="s">
        <v>130</v>
      </c>
      <c r="Y24" s="35"/>
      <c r="Z24" s="35">
        <v>43896</v>
      </c>
      <c r="AA24" s="35">
        <v>43896</v>
      </c>
      <c r="AB24" s="35">
        <v>43896</v>
      </c>
      <c r="AC24" s="38" t="s">
        <v>184</v>
      </c>
      <c r="AD24" s="39">
        <v>100</v>
      </c>
      <c r="AE24" s="39">
        <v>100</v>
      </c>
      <c r="AF24" s="39">
        <v>100</v>
      </c>
      <c r="AG24" s="30"/>
      <c r="AH24" s="30"/>
    </row>
    <row r="25" spans="1:34" x14ac:dyDescent="0.25">
      <c r="B25" s="39">
        <f t="shared" si="0"/>
        <v>23</v>
      </c>
      <c r="C25" s="32">
        <v>20200306</v>
      </c>
      <c r="D25" s="32" t="s">
        <v>3</v>
      </c>
      <c r="E25" s="32" t="s">
        <v>239</v>
      </c>
      <c r="F25" s="56" t="s">
        <v>240</v>
      </c>
      <c r="G25" s="32">
        <v>1360296</v>
      </c>
      <c r="H25" s="32" t="s">
        <v>246</v>
      </c>
      <c r="I25" s="31" t="s">
        <v>234</v>
      </c>
      <c r="J25" s="3">
        <v>99478</v>
      </c>
      <c r="K25" s="30" t="s">
        <v>247</v>
      </c>
      <c r="L25" s="33" t="str">
        <f t="shared" si="2"/>
        <v>-</v>
      </c>
      <c r="M25" s="49" t="s">
        <v>248</v>
      </c>
      <c r="N25" s="32"/>
      <c r="O25" s="32"/>
      <c r="P25" s="30" t="s">
        <v>105</v>
      </c>
      <c r="Q25" s="30" t="s">
        <v>103</v>
      </c>
      <c r="R25" s="30" t="s">
        <v>187</v>
      </c>
      <c r="S25" s="30">
        <v>212</v>
      </c>
      <c r="T25" s="30">
        <v>212</v>
      </c>
      <c r="U25" s="30">
        <v>212</v>
      </c>
      <c r="V25" s="30">
        <f>ROUNDDOWN(T25/HLOOKUP(D25,Table!$C$3:$D$4,2,0)*8,2)</f>
        <v>3.76</v>
      </c>
      <c r="W25" s="30">
        <v>2</v>
      </c>
      <c r="X25" s="30" t="s">
        <v>130</v>
      </c>
      <c r="Y25" s="35"/>
      <c r="Z25" s="35">
        <v>43896</v>
      </c>
      <c r="AA25" s="35">
        <v>43896</v>
      </c>
      <c r="AB25" s="35">
        <v>43896</v>
      </c>
      <c r="AC25" s="38" t="s">
        <v>184</v>
      </c>
      <c r="AD25" s="30">
        <v>100</v>
      </c>
      <c r="AE25" s="30">
        <v>100</v>
      </c>
      <c r="AF25" s="30">
        <v>100</v>
      </c>
      <c r="AG25" s="30"/>
      <c r="AH25" s="30"/>
    </row>
    <row r="26" spans="1:34" x14ac:dyDescent="0.25">
      <c r="B26" s="39">
        <f>B25+1</f>
        <v>24</v>
      </c>
      <c r="C26" s="32">
        <v>20200303</v>
      </c>
      <c r="D26" s="30" t="s">
        <v>2</v>
      </c>
      <c r="E26" s="33" t="s">
        <v>90</v>
      </c>
      <c r="F26" s="33" t="s">
        <v>90</v>
      </c>
      <c r="G26" s="30">
        <v>1353762</v>
      </c>
      <c r="H26" s="30" t="s">
        <v>236</v>
      </c>
      <c r="I26" s="30" t="s">
        <v>233</v>
      </c>
      <c r="J26" s="30" t="s">
        <v>90</v>
      </c>
      <c r="K26" s="30">
        <v>1353762</v>
      </c>
      <c r="L26" s="33" t="s">
        <v>126</v>
      </c>
      <c r="M26" s="33" t="s">
        <v>204</v>
      </c>
      <c r="N26" s="32"/>
      <c r="O26" s="32"/>
      <c r="P26" s="30" t="s">
        <v>103</v>
      </c>
      <c r="Q26" s="30"/>
      <c r="R26" s="30"/>
      <c r="S26" s="30">
        <v>50</v>
      </c>
      <c r="T26" s="30">
        <v>50</v>
      </c>
      <c r="U26" s="30">
        <v>50</v>
      </c>
      <c r="V26" s="30">
        <f>ROUNDDOWN(T26/HLOOKUP(D26,Table!$C$3:$D$4,2,0)*8,2)</f>
        <v>3.07</v>
      </c>
      <c r="W26" s="30">
        <v>3</v>
      </c>
      <c r="X26" s="30" t="s">
        <v>21</v>
      </c>
      <c r="Y26" s="35">
        <v>43892</v>
      </c>
      <c r="Z26" s="35">
        <v>43899</v>
      </c>
      <c r="AA26" s="35">
        <v>43895</v>
      </c>
      <c r="AB26" s="35">
        <v>43896</v>
      </c>
      <c r="AC26" s="35"/>
      <c r="AD26" s="30"/>
      <c r="AE26" s="30"/>
      <c r="AF26" s="30"/>
      <c r="AG26" s="30" t="s">
        <v>251</v>
      </c>
      <c r="AH26" s="30"/>
    </row>
    <row r="27" spans="1:34" x14ac:dyDescent="0.25">
      <c r="B27" s="60">
        <f>B26+1</f>
        <v>25</v>
      </c>
      <c r="C27" s="32">
        <v>20200303</v>
      </c>
      <c r="D27" s="30" t="s">
        <v>3</v>
      </c>
      <c r="E27" s="30" t="s">
        <v>135</v>
      </c>
      <c r="F27" s="33" t="s">
        <v>237</v>
      </c>
      <c r="G27" s="30">
        <v>1341660</v>
      </c>
      <c r="H27" s="34" t="s">
        <v>136</v>
      </c>
      <c r="I27" s="31" t="s">
        <v>234</v>
      </c>
      <c r="J27" s="30" t="s">
        <v>90</v>
      </c>
      <c r="K27" s="30" t="s">
        <v>186</v>
      </c>
      <c r="L27" s="33" t="str">
        <f t="shared" ref="L27:L90" si="3">IF(D27="ASW","PUT_VERSION","-")</f>
        <v>-</v>
      </c>
      <c r="M27" s="33" t="s">
        <v>205</v>
      </c>
      <c r="N27" s="32"/>
      <c r="O27" s="32"/>
      <c r="P27" s="30" t="s">
        <v>103</v>
      </c>
      <c r="Q27" s="30"/>
      <c r="R27" s="30"/>
      <c r="S27" s="30">
        <v>77</v>
      </c>
      <c r="T27" s="30">
        <v>77</v>
      </c>
      <c r="U27" s="30">
        <v>77</v>
      </c>
      <c r="V27" s="30">
        <f>ROUNDDOWN(T27/HLOOKUP(D27,Table!$C$3:$D$4,2,0)*8,2)</f>
        <v>1.36</v>
      </c>
      <c r="W27" s="30">
        <v>1</v>
      </c>
      <c r="X27" s="30" t="s">
        <v>21</v>
      </c>
      <c r="Y27" s="35"/>
      <c r="Z27" s="59">
        <v>43901</v>
      </c>
      <c r="AA27" s="35">
        <v>43900</v>
      </c>
      <c r="AB27" s="35">
        <v>43900</v>
      </c>
      <c r="AC27" s="35" t="s">
        <v>184</v>
      </c>
      <c r="AD27" s="30">
        <v>100</v>
      </c>
      <c r="AE27" s="30">
        <v>100</v>
      </c>
      <c r="AF27" s="30">
        <v>100</v>
      </c>
      <c r="AG27" s="30"/>
      <c r="AH27" s="30"/>
    </row>
    <row r="28" spans="1:34" x14ac:dyDescent="0.25">
      <c r="B28" s="60">
        <f t="shared" si="0"/>
        <v>26</v>
      </c>
      <c r="C28" s="32">
        <v>20200303</v>
      </c>
      <c r="D28" s="30" t="s">
        <v>3</v>
      </c>
      <c r="E28" s="30" t="s">
        <v>135</v>
      </c>
      <c r="F28" s="33" t="s">
        <v>237</v>
      </c>
      <c r="G28" s="30">
        <v>1341660</v>
      </c>
      <c r="H28" s="34" t="s">
        <v>137</v>
      </c>
      <c r="I28" s="31" t="s">
        <v>234</v>
      </c>
      <c r="J28" s="30" t="s">
        <v>90</v>
      </c>
      <c r="K28" s="30" t="s">
        <v>186</v>
      </c>
      <c r="L28" s="33" t="str">
        <f t="shared" si="3"/>
        <v>-</v>
      </c>
      <c r="M28" s="33" t="s">
        <v>205</v>
      </c>
      <c r="N28" s="32"/>
      <c r="O28" s="32"/>
      <c r="P28" s="30" t="s">
        <v>103</v>
      </c>
      <c r="Q28" s="30"/>
      <c r="R28" s="30"/>
      <c r="S28" s="30">
        <v>44</v>
      </c>
      <c r="T28" s="30">
        <v>44</v>
      </c>
      <c r="U28" s="30">
        <v>44</v>
      </c>
      <c r="V28" s="30">
        <f>ROUNDDOWN(T28/HLOOKUP(D28,Table!$C$3:$D$4,2,0)*8,2)</f>
        <v>0.78</v>
      </c>
      <c r="W28" s="30">
        <v>1</v>
      </c>
      <c r="X28" s="30" t="s">
        <v>21</v>
      </c>
      <c r="Y28" s="35"/>
      <c r="Z28" s="59">
        <v>43901</v>
      </c>
      <c r="AA28" s="35">
        <v>43901</v>
      </c>
      <c r="AB28" s="35">
        <v>43901</v>
      </c>
      <c r="AC28" s="35" t="s">
        <v>184</v>
      </c>
      <c r="AD28" s="30">
        <v>100</v>
      </c>
      <c r="AE28" s="30">
        <v>100</v>
      </c>
      <c r="AF28" s="30">
        <v>100</v>
      </c>
      <c r="AG28" s="30"/>
      <c r="AH28" s="30"/>
    </row>
    <row r="29" spans="1:34" x14ac:dyDescent="0.25">
      <c r="B29" s="60">
        <f t="shared" si="0"/>
        <v>27</v>
      </c>
      <c r="C29" s="32">
        <v>20200303</v>
      </c>
      <c r="D29" s="30" t="s">
        <v>3</v>
      </c>
      <c r="E29" s="30" t="s">
        <v>135</v>
      </c>
      <c r="F29" s="33" t="s">
        <v>237</v>
      </c>
      <c r="G29" s="30">
        <v>1341660</v>
      </c>
      <c r="H29" s="34" t="s">
        <v>138</v>
      </c>
      <c r="I29" s="31" t="s">
        <v>234</v>
      </c>
      <c r="J29" s="30" t="s">
        <v>90</v>
      </c>
      <c r="K29" s="30" t="s">
        <v>186</v>
      </c>
      <c r="L29" s="33" t="str">
        <f t="shared" si="3"/>
        <v>-</v>
      </c>
      <c r="M29" s="33" t="s">
        <v>205</v>
      </c>
      <c r="N29" s="32"/>
      <c r="O29" s="32"/>
      <c r="P29" s="30" t="s">
        <v>103</v>
      </c>
      <c r="Q29" s="30"/>
      <c r="R29" s="30"/>
      <c r="S29" s="30">
        <v>210</v>
      </c>
      <c r="T29" s="30">
        <v>210</v>
      </c>
      <c r="U29" s="30">
        <v>210</v>
      </c>
      <c r="V29" s="30">
        <f>ROUNDDOWN(T29/HLOOKUP(D29,Table!$C$3:$D$4,2,0)*8,2)</f>
        <v>3.73</v>
      </c>
      <c r="W29" s="30">
        <v>2</v>
      </c>
      <c r="X29" s="30" t="s">
        <v>21</v>
      </c>
      <c r="Y29" s="35"/>
      <c r="Z29" s="59">
        <v>43901</v>
      </c>
      <c r="AA29" s="35">
        <v>43899</v>
      </c>
      <c r="AB29" s="35">
        <v>43899</v>
      </c>
      <c r="AC29" s="35" t="s">
        <v>184</v>
      </c>
      <c r="AD29" s="30">
        <v>100</v>
      </c>
      <c r="AE29" s="30">
        <v>100</v>
      </c>
      <c r="AF29" s="30">
        <v>100</v>
      </c>
      <c r="AG29" s="30" t="s">
        <v>254</v>
      </c>
      <c r="AH29" s="30"/>
    </row>
    <row r="30" spans="1:34" x14ac:dyDescent="0.25">
      <c r="B30" s="60">
        <f t="shared" si="0"/>
        <v>28</v>
      </c>
      <c r="C30" s="32">
        <v>20200303</v>
      </c>
      <c r="D30" s="30" t="s">
        <v>3</v>
      </c>
      <c r="E30" s="30" t="s">
        <v>135</v>
      </c>
      <c r="F30" s="33" t="s">
        <v>235</v>
      </c>
      <c r="G30" s="30">
        <v>1341660</v>
      </c>
      <c r="H30" s="34" t="s">
        <v>139</v>
      </c>
      <c r="I30" s="31" t="s">
        <v>234</v>
      </c>
      <c r="J30" s="30" t="s">
        <v>90</v>
      </c>
      <c r="K30" s="30" t="s">
        <v>186</v>
      </c>
      <c r="L30" s="33" t="str">
        <f t="shared" si="3"/>
        <v>-</v>
      </c>
      <c r="M30" s="33" t="s">
        <v>205</v>
      </c>
      <c r="N30" s="32"/>
      <c r="O30" s="32"/>
      <c r="P30" s="30" t="s">
        <v>103</v>
      </c>
      <c r="Q30" s="30"/>
      <c r="R30" s="30"/>
      <c r="S30" s="30">
        <v>622</v>
      </c>
      <c r="T30" s="30">
        <v>622</v>
      </c>
      <c r="U30" s="30">
        <v>622</v>
      </c>
      <c r="V30" s="30">
        <f>ROUNDDOWN(T30/HLOOKUP(D30,Table!$C$3:$D$4,2,0)*8,2)</f>
        <v>11.05</v>
      </c>
      <c r="W30" s="30">
        <v>8</v>
      </c>
      <c r="X30" s="30" t="s">
        <v>21</v>
      </c>
      <c r="Y30" s="35"/>
      <c r="Z30" s="59">
        <v>43901</v>
      </c>
      <c r="AA30" s="35">
        <v>43899</v>
      </c>
      <c r="AB30" s="35">
        <v>43899</v>
      </c>
      <c r="AC30" s="35" t="s">
        <v>184</v>
      </c>
      <c r="AD30" s="30">
        <v>100</v>
      </c>
      <c r="AE30" s="30">
        <v>100</v>
      </c>
      <c r="AF30" s="30">
        <v>100</v>
      </c>
      <c r="AG30" s="33" t="s">
        <v>90</v>
      </c>
      <c r="AH30" s="30"/>
    </row>
    <row r="31" spans="1:34" x14ac:dyDescent="0.25">
      <c r="B31" s="60">
        <f t="shared" si="0"/>
        <v>29</v>
      </c>
      <c r="C31" s="32">
        <v>20200303</v>
      </c>
      <c r="D31" s="30" t="s">
        <v>3</v>
      </c>
      <c r="E31" s="30" t="s">
        <v>135</v>
      </c>
      <c r="F31" s="33" t="s">
        <v>235</v>
      </c>
      <c r="G31" s="30">
        <v>1341660</v>
      </c>
      <c r="H31" s="34" t="s">
        <v>140</v>
      </c>
      <c r="I31" s="31" t="s">
        <v>234</v>
      </c>
      <c r="J31" s="30" t="s">
        <v>90</v>
      </c>
      <c r="K31" s="30" t="s">
        <v>186</v>
      </c>
      <c r="L31" s="33" t="str">
        <f t="shared" si="3"/>
        <v>-</v>
      </c>
      <c r="M31" s="33" t="s">
        <v>205</v>
      </c>
      <c r="N31" s="32"/>
      <c r="O31" s="32"/>
      <c r="P31" s="30" t="s">
        <v>106</v>
      </c>
      <c r="Q31" s="30"/>
      <c r="R31" s="30"/>
      <c r="S31" s="30">
        <v>97</v>
      </c>
      <c r="T31" s="30">
        <v>97</v>
      </c>
      <c r="U31" s="30"/>
      <c r="V31" s="30">
        <f>ROUNDDOWN(T31/HLOOKUP(D31,Table!$C$3:$D$4,2,0)*8,2)</f>
        <v>1.72</v>
      </c>
      <c r="W31" s="30">
        <v>1</v>
      </c>
      <c r="X31" s="30" t="s">
        <v>21</v>
      </c>
      <c r="Y31" s="35"/>
      <c r="Z31" s="59">
        <v>43901</v>
      </c>
      <c r="AA31" s="35">
        <v>43899</v>
      </c>
      <c r="AB31" s="35">
        <v>43899</v>
      </c>
      <c r="AC31" s="35" t="s">
        <v>184</v>
      </c>
      <c r="AD31" s="30">
        <v>100</v>
      </c>
      <c r="AE31" s="30">
        <v>100</v>
      </c>
      <c r="AF31" s="30">
        <v>100</v>
      </c>
      <c r="AG31" s="30"/>
      <c r="AH31" s="30"/>
    </row>
    <row r="32" spans="1:34" x14ac:dyDescent="0.25">
      <c r="B32" s="60">
        <f t="shared" si="0"/>
        <v>30</v>
      </c>
      <c r="C32" s="32">
        <v>20200303</v>
      </c>
      <c r="D32" s="30" t="s">
        <v>3</v>
      </c>
      <c r="E32" s="30" t="s">
        <v>135</v>
      </c>
      <c r="F32" s="33" t="s">
        <v>235</v>
      </c>
      <c r="G32" s="30">
        <v>1341660</v>
      </c>
      <c r="H32" s="34" t="s">
        <v>141</v>
      </c>
      <c r="I32" s="31" t="s">
        <v>234</v>
      </c>
      <c r="J32" s="30" t="s">
        <v>90</v>
      </c>
      <c r="K32" s="30" t="s">
        <v>186</v>
      </c>
      <c r="L32" s="33" t="str">
        <f t="shared" si="3"/>
        <v>-</v>
      </c>
      <c r="M32" s="33" t="s">
        <v>205</v>
      </c>
      <c r="N32" s="32"/>
      <c r="O32" s="32"/>
      <c r="P32" s="30" t="s">
        <v>106</v>
      </c>
      <c r="Q32" s="30"/>
      <c r="R32" s="30"/>
      <c r="S32" s="30">
        <v>100</v>
      </c>
      <c r="T32" s="30">
        <v>100</v>
      </c>
      <c r="U32" s="30"/>
      <c r="V32" s="30">
        <f>ROUNDDOWN(T32/HLOOKUP(D32,Table!$C$3:$D$4,2,0)*8,2)</f>
        <v>1.77</v>
      </c>
      <c r="W32" s="30">
        <v>0.75</v>
      </c>
      <c r="X32" s="30" t="s">
        <v>21</v>
      </c>
      <c r="Y32" s="35"/>
      <c r="Z32" s="59">
        <v>43901</v>
      </c>
      <c r="AA32" s="35">
        <v>43899</v>
      </c>
      <c r="AB32" s="35">
        <v>43899</v>
      </c>
      <c r="AC32" s="35" t="s">
        <v>184</v>
      </c>
      <c r="AD32" s="30">
        <v>100</v>
      </c>
      <c r="AE32" s="30">
        <v>100</v>
      </c>
      <c r="AF32" s="30">
        <v>100</v>
      </c>
      <c r="AG32" s="30"/>
      <c r="AH32" s="30"/>
    </row>
    <row r="33" spans="2:34" x14ac:dyDescent="0.25">
      <c r="B33" s="60">
        <f t="shared" si="0"/>
        <v>31</v>
      </c>
      <c r="C33" s="32">
        <v>20200303</v>
      </c>
      <c r="D33" s="30" t="s">
        <v>3</v>
      </c>
      <c r="E33" s="30" t="s">
        <v>135</v>
      </c>
      <c r="F33" s="33" t="s">
        <v>235</v>
      </c>
      <c r="G33" s="30">
        <v>1341660</v>
      </c>
      <c r="H33" s="65" t="s">
        <v>142</v>
      </c>
      <c r="I33" s="31" t="s">
        <v>234</v>
      </c>
      <c r="J33" s="30" t="s">
        <v>90</v>
      </c>
      <c r="K33" s="30" t="s">
        <v>186</v>
      </c>
      <c r="L33" s="33" t="str">
        <f t="shared" si="3"/>
        <v>-</v>
      </c>
      <c r="M33" s="33" t="s">
        <v>205</v>
      </c>
      <c r="N33" s="32"/>
      <c r="O33" s="32"/>
      <c r="P33" s="30" t="s">
        <v>106</v>
      </c>
      <c r="Q33" s="30"/>
      <c r="R33" s="30"/>
      <c r="S33" s="30">
        <v>8</v>
      </c>
      <c r="T33" s="30">
        <v>8</v>
      </c>
      <c r="U33" s="30"/>
      <c r="V33" s="30">
        <f>ROUNDDOWN(T33/HLOOKUP(D33,Table!$C$3:$D$4,2,0)*8,2)</f>
        <v>0.14000000000000001</v>
      </c>
      <c r="W33" s="30">
        <v>0.2</v>
      </c>
      <c r="X33" s="30" t="s">
        <v>21</v>
      </c>
      <c r="Y33" s="35"/>
      <c r="Z33" s="59">
        <v>43901</v>
      </c>
      <c r="AA33" s="35">
        <v>43899</v>
      </c>
      <c r="AB33" s="35">
        <v>43899</v>
      </c>
      <c r="AC33" s="35"/>
      <c r="AD33" s="33" t="s">
        <v>90</v>
      </c>
      <c r="AE33" s="33" t="s">
        <v>90</v>
      </c>
      <c r="AF33" s="33" t="s">
        <v>90</v>
      </c>
      <c r="AG33" s="30" t="s">
        <v>341</v>
      </c>
      <c r="AH33" s="30"/>
    </row>
    <row r="34" spans="2:34" x14ac:dyDescent="0.25">
      <c r="B34" s="60">
        <f t="shared" si="0"/>
        <v>32</v>
      </c>
      <c r="C34" s="32">
        <v>20200303</v>
      </c>
      <c r="D34" s="30" t="s">
        <v>3</v>
      </c>
      <c r="E34" s="30" t="s">
        <v>135</v>
      </c>
      <c r="F34" s="33" t="s">
        <v>235</v>
      </c>
      <c r="G34" s="30">
        <v>1341660</v>
      </c>
      <c r="H34" s="34" t="s">
        <v>143</v>
      </c>
      <c r="I34" s="31" t="s">
        <v>234</v>
      </c>
      <c r="J34" s="30" t="s">
        <v>90</v>
      </c>
      <c r="K34" s="30" t="s">
        <v>186</v>
      </c>
      <c r="L34" s="33" t="str">
        <f t="shared" si="3"/>
        <v>-</v>
      </c>
      <c r="M34" s="33" t="s">
        <v>205</v>
      </c>
      <c r="N34" s="32"/>
      <c r="O34" s="32"/>
      <c r="P34" s="30" t="s">
        <v>106</v>
      </c>
      <c r="Q34" s="30"/>
      <c r="R34" s="30"/>
      <c r="S34" s="30">
        <v>148</v>
      </c>
      <c r="T34" s="30">
        <v>148</v>
      </c>
      <c r="U34" s="30"/>
      <c r="V34" s="30">
        <f>ROUNDDOWN(T34/HLOOKUP(D34,Table!$C$3:$D$4,2,0)*8,2)</f>
        <v>2.63</v>
      </c>
      <c r="W34" s="30">
        <v>1</v>
      </c>
      <c r="X34" s="30" t="s">
        <v>21</v>
      </c>
      <c r="Y34" s="35"/>
      <c r="Z34" s="59">
        <v>43901</v>
      </c>
      <c r="AA34" s="35">
        <v>43899</v>
      </c>
      <c r="AB34" s="35">
        <v>43899</v>
      </c>
      <c r="AC34" s="35" t="s">
        <v>184</v>
      </c>
      <c r="AD34" s="30">
        <v>100</v>
      </c>
      <c r="AE34" s="30">
        <v>100</v>
      </c>
      <c r="AF34" s="30">
        <v>100</v>
      </c>
      <c r="AG34" s="30"/>
      <c r="AH34" s="30"/>
    </row>
    <row r="35" spans="2:34" x14ac:dyDescent="0.25">
      <c r="B35" s="60">
        <f t="shared" si="0"/>
        <v>33</v>
      </c>
      <c r="C35" s="32">
        <v>20200303</v>
      </c>
      <c r="D35" s="30" t="s">
        <v>3</v>
      </c>
      <c r="E35" s="30" t="s">
        <v>135</v>
      </c>
      <c r="F35" s="33" t="s">
        <v>235</v>
      </c>
      <c r="G35" s="30">
        <v>1341660</v>
      </c>
      <c r="H35" s="34" t="s">
        <v>144</v>
      </c>
      <c r="I35" s="31" t="s">
        <v>234</v>
      </c>
      <c r="J35" s="30" t="s">
        <v>90</v>
      </c>
      <c r="K35" s="30" t="s">
        <v>186</v>
      </c>
      <c r="L35" s="33" t="str">
        <f t="shared" si="3"/>
        <v>-</v>
      </c>
      <c r="M35" s="33" t="s">
        <v>205</v>
      </c>
      <c r="N35" s="32"/>
      <c r="O35" s="32"/>
      <c r="P35" s="30" t="s">
        <v>105</v>
      </c>
      <c r="Q35" s="30"/>
      <c r="R35" s="30"/>
      <c r="S35" s="30">
        <v>17</v>
      </c>
      <c r="T35" s="30">
        <v>17</v>
      </c>
      <c r="U35" s="30">
        <v>17</v>
      </c>
      <c r="V35" s="30">
        <f>ROUNDDOWN(T35/HLOOKUP(D35,Table!$C$3:$D$4,2,0)*8,2)</f>
        <v>0.3</v>
      </c>
      <c r="W35" s="30">
        <v>0.5</v>
      </c>
      <c r="X35" s="30" t="s">
        <v>21</v>
      </c>
      <c r="Y35" s="35"/>
      <c r="Z35" s="59">
        <v>43901</v>
      </c>
      <c r="AA35" s="35">
        <v>43900</v>
      </c>
      <c r="AB35" s="35">
        <v>43900</v>
      </c>
      <c r="AC35" s="35" t="s">
        <v>184</v>
      </c>
      <c r="AD35" s="30">
        <v>100</v>
      </c>
      <c r="AE35" s="30">
        <v>100</v>
      </c>
      <c r="AF35" s="30">
        <v>100</v>
      </c>
      <c r="AG35" s="30"/>
      <c r="AH35" s="30"/>
    </row>
    <row r="36" spans="2:34" x14ac:dyDescent="0.25">
      <c r="B36" s="60">
        <f t="shared" si="0"/>
        <v>34</v>
      </c>
      <c r="C36" s="32">
        <v>20200303</v>
      </c>
      <c r="D36" s="30" t="s">
        <v>3</v>
      </c>
      <c r="E36" s="30" t="s">
        <v>135</v>
      </c>
      <c r="F36" s="33" t="s">
        <v>235</v>
      </c>
      <c r="G36" s="30">
        <v>1341660</v>
      </c>
      <c r="H36" s="34" t="s">
        <v>145</v>
      </c>
      <c r="I36" s="31" t="s">
        <v>234</v>
      </c>
      <c r="J36" s="30" t="s">
        <v>90</v>
      </c>
      <c r="K36" s="30" t="s">
        <v>186</v>
      </c>
      <c r="L36" s="33" t="str">
        <f t="shared" si="3"/>
        <v>-</v>
      </c>
      <c r="M36" s="33" t="s">
        <v>205</v>
      </c>
      <c r="N36" s="32"/>
      <c r="O36" s="32"/>
      <c r="P36" s="30" t="s">
        <v>105</v>
      </c>
      <c r="Q36" s="30"/>
      <c r="R36" s="30"/>
      <c r="S36" s="30">
        <v>18</v>
      </c>
      <c r="T36" s="30">
        <v>18</v>
      </c>
      <c r="U36" s="30">
        <v>18</v>
      </c>
      <c r="V36" s="30">
        <f>ROUNDDOWN(T36/HLOOKUP(D36,Table!$C$3:$D$4,2,0)*8,2)</f>
        <v>0.32</v>
      </c>
      <c r="W36" s="30">
        <v>0.5</v>
      </c>
      <c r="X36" s="30" t="s">
        <v>21</v>
      </c>
      <c r="Y36" s="35"/>
      <c r="Z36" s="59">
        <v>43901</v>
      </c>
      <c r="AA36" s="35">
        <v>43900</v>
      </c>
      <c r="AB36" s="35">
        <v>43900</v>
      </c>
      <c r="AC36" s="35" t="s">
        <v>184</v>
      </c>
      <c r="AD36" s="30">
        <v>100</v>
      </c>
      <c r="AE36" s="30">
        <v>100</v>
      </c>
      <c r="AF36" s="30">
        <v>100</v>
      </c>
      <c r="AG36" s="30"/>
      <c r="AH36" s="30"/>
    </row>
    <row r="37" spans="2:34" x14ac:dyDescent="0.25">
      <c r="B37" s="60">
        <f t="shared" si="0"/>
        <v>35</v>
      </c>
      <c r="C37" s="32">
        <v>20200303</v>
      </c>
      <c r="D37" s="30" t="s">
        <v>3</v>
      </c>
      <c r="E37" s="30" t="s">
        <v>135</v>
      </c>
      <c r="F37" s="33" t="s">
        <v>235</v>
      </c>
      <c r="G37" s="30">
        <v>1341660</v>
      </c>
      <c r="H37" s="99" t="s">
        <v>146</v>
      </c>
      <c r="I37" s="31" t="s">
        <v>234</v>
      </c>
      <c r="J37" s="30" t="s">
        <v>90</v>
      </c>
      <c r="K37" s="30" t="s">
        <v>186</v>
      </c>
      <c r="L37" s="33" t="str">
        <f t="shared" si="3"/>
        <v>-</v>
      </c>
      <c r="M37" s="33" t="s">
        <v>205</v>
      </c>
      <c r="N37" s="32"/>
      <c r="O37" s="32"/>
      <c r="P37" s="30" t="s">
        <v>104</v>
      </c>
      <c r="Q37" s="30"/>
      <c r="R37" s="30"/>
      <c r="S37" s="30">
        <v>129</v>
      </c>
      <c r="T37" s="80">
        <v>129</v>
      </c>
      <c r="U37" s="30">
        <v>129</v>
      </c>
      <c r="V37" s="30">
        <f>ROUNDDOWN(T37/HLOOKUP(D37,Table!$C$3:$D$4,2,0)*8,2)</f>
        <v>2.29</v>
      </c>
      <c r="W37" s="30">
        <v>3</v>
      </c>
      <c r="X37" s="30" t="s">
        <v>130</v>
      </c>
      <c r="Y37" s="35"/>
      <c r="Z37" s="59">
        <v>43901</v>
      </c>
      <c r="AA37" s="35">
        <v>43895</v>
      </c>
      <c r="AB37" s="35">
        <v>43895</v>
      </c>
      <c r="AC37" s="35" t="s">
        <v>184</v>
      </c>
      <c r="AD37" s="39">
        <v>100</v>
      </c>
      <c r="AE37" s="39">
        <v>100</v>
      </c>
      <c r="AF37" s="39">
        <v>100</v>
      </c>
      <c r="AG37" s="30"/>
      <c r="AH37" s="30" t="s">
        <v>384</v>
      </c>
    </row>
    <row r="38" spans="2:34" x14ac:dyDescent="0.25">
      <c r="B38" s="60">
        <f t="shared" si="0"/>
        <v>36</v>
      </c>
      <c r="C38" s="32">
        <v>20200303</v>
      </c>
      <c r="D38" s="30" t="s">
        <v>3</v>
      </c>
      <c r="E38" s="30" t="s">
        <v>135</v>
      </c>
      <c r="F38" s="33" t="s">
        <v>235</v>
      </c>
      <c r="G38" s="30">
        <v>1341660</v>
      </c>
      <c r="H38" s="99" t="s">
        <v>147</v>
      </c>
      <c r="I38" s="31" t="s">
        <v>234</v>
      </c>
      <c r="J38" s="30" t="s">
        <v>90</v>
      </c>
      <c r="K38" s="30" t="s">
        <v>186</v>
      </c>
      <c r="L38" s="33" t="str">
        <f t="shared" si="3"/>
        <v>-</v>
      </c>
      <c r="M38" s="33" t="s">
        <v>205</v>
      </c>
      <c r="N38" s="32"/>
      <c r="O38" s="32"/>
      <c r="P38" s="30" t="s">
        <v>104</v>
      </c>
      <c r="Q38" s="30"/>
      <c r="R38" s="30"/>
      <c r="S38" s="30">
        <v>164</v>
      </c>
      <c r="T38" s="81">
        <v>196</v>
      </c>
      <c r="U38" s="30">
        <v>196</v>
      </c>
      <c r="V38" s="30">
        <f>ROUNDDOWN(T38/HLOOKUP(D38,Table!$C$3:$D$4,2,0)*8,2)</f>
        <v>3.48</v>
      </c>
      <c r="W38" s="30">
        <v>4</v>
      </c>
      <c r="X38" s="30" t="s">
        <v>21</v>
      </c>
      <c r="Y38" s="35"/>
      <c r="Z38" s="59">
        <v>43901</v>
      </c>
      <c r="AA38" s="35">
        <v>43896</v>
      </c>
      <c r="AB38" s="35">
        <v>43896</v>
      </c>
      <c r="AC38" s="35" t="s">
        <v>184</v>
      </c>
      <c r="AD38" s="39">
        <v>100</v>
      </c>
      <c r="AE38" s="39">
        <v>100</v>
      </c>
      <c r="AF38" s="39">
        <v>100</v>
      </c>
      <c r="AG38" s="30"/>
      <c r="AH38" s="30" t="s">
        <v>385</v>
      </c>
    </row>
    <row r="39" spans="2:34" x14ac:dyDescent="0.25">
      <c r="B39" s="60">
        <f t="shared" si="0"/>
        <v>37</v>
      </c>
      <c r="C39" s="32">
        <v>20200303</v>
      </c>
      <c r="D39" s="30" t="s">
        <v>3</v>
      </c>
      <c r="E39" s="30" t="s">
        <v>135</v>
      </c>
      <c r="F39" s="33" t="s">
        <v>235</v>
      </c>
      <c r="G39" s="30">
        <v>1341660</v>
      </c>
      <c r="H39" s="99" t="s">
        <v>148</v>
      </c>
      <c r="I39" s="31" t="s">
        <v>234</v>
      </c>
      <c r="J39" s="30" t="s">
        <v>90</v>
      </c>
      <c r="K39" s="30" t="s">
        <v>186</v>
      </c>
      <c r="L39" s="33" t="str">
        <f t="shared" si="3"/>
        <v>-</v>
      </c>
      <c r="M39" s="33" t="s">
        <v>205</v>
      </c>
      <c r="N39" s="32"/>
      <c r="O39" s="32"/>
      <c r="P39" s="30" t="s">
        <v>104</v>
      </c>
      <c r="Q39" s="30"/>
      <c r="R39" s="30"/>
      <c r="S39" s="30">
        <v>104</v>
      </c>
      <c r="T39" s="80">
        <v>104</v>
      </c>
      <c r="U39" s="30">
        <v>104</v>
      </c>
      <c r="V39" s="30">
        <f>ROUNDDOWN(T39/HLOOKUP(D39,Table!$C$3:$D$4,2,0)*8,2)</f>
        <v>1.84</v>
      </c>
      <c r="W39" s="30">
        <v>1</v>
      </c>
      <c r="X39" s="30" t="s">
        <v>21</v>
      </c>
      <c r="Y39" s="35"/>
      <c r="Z39" s="59">
        <v>43901</v>
      </c>
      <c r="AA39" s="35">
        <v>43896</v>
      </c>
      <c r="AB39" s="35">
        <v>43900</v>
      </c>
      <c r="AC39" s="35" t="s">
        <v>183</v>
      </c>
      <c r="AD39" s="30">
        <v>97</v>
      </c>
      <c r="AE39" s="30">
        <v>95</v>
      </c>
      <c r="AF39" s="30">
        <v>100</v>
      </c>
      <c r="AG39" s="30" t="s">
        <v>335</v>
      </c>
      <c r="AH39" s="30" t="s">
        <v>386</v>
      </c>
    </row>
    <row r="40" spans="2:34" x14ac:dyDescent="0.25">
      <c r="B40" s="60">
        <f t="shared" si="0"/>
        <v>38</v>
      </c>
      <c r="C40" s="32">
        <v>20200303</v>
      </c>
      <c r="D40" s="30" t="s">
        <v>3</v>
      </c>
      <c r="E40" s="30" t="s">
        <v>135</v>
      </c>
      <c r="F40" s="33" t="s">
        <v>235</v>
      </c>
      <c r="G40" s="30">
        <v>1341660</v>
      </c>
      <c r="H40" s="99" t="s">
        <v>149</v>
      </c>
      <c r="I40" s="31" t="s">
        <v>234</v>
      </c>
      <c r="J40" s="30" t="s">
        <v>90</v>
      </c>
      <c r="K40" s="30" t="s">
        <v>186</v>
      </c>
      <c r="L40" s="33" t="str">
        <f t="shared" si="3"/>
        <v>-</v>
      </c>
      <c r="M40" s="33" t="s">
        <v>205</v>
      </c>
      <c r="N40" s="32"/>
      <c r="O40" s="32"/>
      <c r="P40" s="30" t="s">
        <v>104</v>
      </c>
      <c r="Q40" s="30"/>
      <c r="R40" s="30"/>
      <c r="S40" s="30">
        <v>154</v>
      </c>
      <c r="T40" s="81">
        <v>154</v>
      </c>
      <c r="U40" s="82">
        <v>154</v>
      </c>
      <c r="V40" s="30">
        <f>ROUNDDOWN(T40/HLOOKUP(D40,Table!$C$3:$D$4,2,0)*8,2)</f>
        <v>2.73</v>
      </c>
      <c r="W40" s="30">
        <v>2</v>
      </c>
      <c r="X40" s="30" t="s">
        <v>21</v>
      </c>
      <c r="Y40" s="35"/>
      <c r="Z40" s="59">
        <v>43901</v>
      </c>
      <c r="AA40" s="35">
        <v>43900</v>
      </c>
      <c r="AB40" s="35">
        <v>43900</v>
      </c>
      <c r="AC40" s="35" t="s">
        <v>183</v>
      </c>
      <c r="AD40" s="30">
        <v>98</v>
      </c>
      <c r="AE40" s="30">
        <v>96</v>
      </c>
      <c r="AF40" s="30">
        <v>100</v>
      </c>
      <c r="AG40" s="30" t="s">
        <v>335</v>
      </c>
      <c r="AH40" s="30" t="s">
        <v>387</v>
      </c>
    </row>
    <row r="41" spans="2:34" x14ac:dyDescent="0.25">
      <c r="B41" s="60">
        <f t="shared" si="0"/>
        <v>39</v>
      </c>
      <c r="C41" s="32">
        <v>20200303</v>
      </c>
      <c r="D41" s="30" t="s">
        <v>3</v>
      </c>
      <c r="E41" s="30" t="s">
        <v>135</v>
      </c>
      <c r="F41" s="33" t="s">
        <v>235</v>
      </c>
      <c r="G41" s="30">
        <v>1341660</v>
      </c>
      <c r="H41" s="99" t="s">
        <v>150</v>
      </c>
      <c r="I41" s="31" t="s">
        <v>234</v>
      </c>
      <c r="J41" s="30" t="s">
        <v>90</v>
      </c>
      <c r="K41" s="30" t="s">
        <v>186</v>
      </c>
      <c r="L41" s="33" t="str">
        <f t="shared" si="3"/>
        <v>-</v>
      </c>
      <c r="M41" s="33" t="s">
        <v>205</v>
      </c>
      <c r="N41" s="32"/>
      <c r="O41" s="32"/>
      <c r="P41" s="30" t="s">
        <v>104</v>
      </c>
      <c r="Q41" s="30"/>
      <c r="R41" s="30"/>
      <c r="S41" s="30">
        <v>167</v>
      </c>
      <c r="T41" s="81">
        <v>167</v>
      </c>
      <c r="U41" s="30">
        <v>167</v>
      </c>
      <c r="V41" s="30">
        <f>ROUNDDOWN(T41/HLOOKUP(D41,Table!$C$3:$D$4,2,0)*8,2)</f>
        <v>2.96</v>
      </c>
      <c r="W41" s="30">
        <v>2</v>
      </c>
      <c r="X41" s="30" t="s">
        <v>21</v>
      </c>
      <c r="Y41" s="35"/>
      <c r="Z41" s="59">
        <v>43901</v>
      </c>
      <c r="AA41" s="35">
        <v>43900</v>
      </c>
      <c r="AB41" s="35">
        <v>43900</v>
      </c>
      <c r="AC41" s="35" t="s">
        <v>184</v>
      </c>
      <c r="AD41" s="73">
        <v>100</v>
      </c>
      <c r="AE41" s="73">
        <v>100</v>
      </c>
      <c r="AF41" s="73">
        <v>100</v>
      </c>
      <c r="AG41" s="30" t="s">
        <v>343</v>
      </c>
      <c r="AH41" s="30" t="s">
        <v>387</v>
      </c>
    </row>
    <row r="42" spans="2:34" x14ac:dyDescent="0.25">
      <c r="B42" s="60">
        <f t="shared" si="0"/>
        <v>40</v>
      </c>
      <c r="C42" s="32">
        <v>20200303</v>
      </c>
      <c r="D42" s="30" t="s">
        <v>3</v>
      </c>
      <c r="E42" s="30" t="s">
        <v>135</v>
      </c>
      <c r="F42" s="33" t="s">
        <v>235</v>
      </c>
      <c r="G42" s="30">
        <v>1341660</v>
      </c>
      <c r="H42" s="99" t="s">
        <v>151</v>
      </c>
      <c r="I42" s="31" t="s">
        <v>234</v>
      </c>
      <c r="J42" s="30" t="s">
        <v>90</v>
      </c>
      <c r="K42" s="30" t="s">
        <v>186</v>
      </c>
      <c r="L42" s="33" t="str">
        <f t="shared" si="3"/>
        <v>-</v>
      </c>
      <c r="M42" s="33" t="s">
        <v>205</v>
      </c>
      <c r="N42" s="32"/>
      <c r="O42" s="32"/>
      <c r="P42" s="30" t="s">
        <v>104</v>
      </c>
      <c r="Q42" s="30"/>
      <c r="R42" s="30"/>
      <c r="S42" s="30">
        <v>147</v>
      </c>
      <c r="T42" s="81">
        <v>147</v>
      </c>
      <c r="U42" s="30">
        <v>147</v>
      </c>
      <c r="V42" s="30">
        <f>ROUNDDOWN(T42/HLOOKUP(D42,Table!$C$3:$D$4,2,0)*8,2)</f>
        <v>2.61</v>
      </c>
      <c r="W42" s="30">
        <v>1</v>
      </c>
      <c r="X42" s="30" t="s">
        <v>21</v>
      </c>
      <c r="Y42" s="35"/>
      <c r="Z42" s="59">
        <v>43901</v>
      </c>
      <c r="AA42" s="35">
        <v>43900</v>
      </c>
      <c r="AB42" s="35">
        <v>43900</v>
      </c>
      <c r="AC42" s="35" t="s">
        <v>184</v>
      </c>
      <c r="AD42" s="73">
        <v>100</v>
      </c>
      <c r="AE42" s="73">
        <v>100</v>
      </c>
      <c r="AF42" s="73">
        <v>100</v>
      </c>
      <c r="AG42" s="30" t="s">
        <v>344</v>
      </c>
      <c r="AH42" s="30"/>
    </row>
    <row r="43" spans="2:34" x14ac:dyDescent="0.25">
      <c r="B43" s="60">
        <f t="shared" si="0"/>
        <v>41</v>
      </c>
      <c r="C43" s="32">
        <v>20200303</v>
      </c>
      <c r="D43" s="30" t="s">
        <v>3</v>
      </c>
      <c r="E43" s="30" t="s">
        <v>135</v>
      </c>
      <c r="F43" s="33" t="s">
        <v>235</v>
      </c>
      <c r="G43" s="30">
        <v>1341660</v>
      </c>
      <c r="H43" s="99" t="s">
        <v>152</v>
      </c>
      <c r="I43" s="31" t="s">
        <v>234</v>
      </c>
      <c r="J43" s="30" t="s">
        <v>90</v>
      </c>
      <c r="K43" s="30" t="s">
        <v>186</v>
      </c>
      <c r="L43" s="33" t="str">
        <f t="shared" si="3"/>
        <v>-</v>
      </c>
      <c r="M43" s="33" t="s">
        <v>205</v>
      </c>
      <c r="N43" s="32"/>
      <c r="O43" s="32"/>
      <c r="P43" s="30" t="s">
        <v>104</v>
      </c>
      <c r="Q43" s="30"/>
      <c r="R43" s="30"/>
      <c r="S43" s="30">
        <v>254</v>
      </c>
      <c r="T43" s="80">
        <v>254</v>
      </c>
      <c r="U43" s="30">
        <v>254</v>
      </c>
      <c r="V43" s="30">
        <f>ROUNDDOWN(T43/HLOOKUP(D43,Table!$C$3:$D$4,2,0)*8,2)</f>
        <v>4.51</v>
      </c>
      <c r="W43" s="30">
        <v>3</v>
      </c>
      <c r="X43" s="30" t="s">
        <v>21</v>
      </c>
      <c r="Y43" s="35"/>
      <c r="Z43" s="59">
        <v>43901</v>
      </c>
      <c r="AA43" s="35">
        <v>43900</v>
      </c>
      <c r="AB43" s="35">
        <v>43900</v>
      </c>
      <c r="AC43" s="35" t="s">
        <v>184</v>
      </c>
      <c r="AD43" s="73">
        <v>100</v>
      </c>
      <c r="AE43" s="73">
        <v>100</v>
      </c>
      <c r="AF43" s="73">
        <v>100</v>
      </c>
      <c r="AG43" s="30" t="s">
        <v>345</v>
      </c>
      <c r="AH43" s="30"/>
    </row>
    <row r="44" spans="2:34" x14ac:dyDescent="0.25">
      <c r="B44" s="60">
        <f t="shared" si="0"/>
        <v>42</v>
      </c>
      <c r="C44" s="32">
        <v>20200303</v>
      </c>
      <c r="D44" s="30" t="s">
        <v>3</v>
      </c>
      <c r="E44" s="30" t="s">
        <v>135</v>
      </c>
      <c r="F44" s="33" t="s">
        <v>235</v>
      </c>
      <c r="G44" s="30">
        <v>1341660</v>
      </c>
      <c r="H44" s="34" t="s">
        <v>153</v>
      </c>
      <c r="I44" s="31" t="s">
        <v>234</v>
      </c>
      <c r="J44" s="30" t="s">
        <v>90</v>
      </c>
      <c r="K44" s="30" t="s">
        <v>186</v>
      </c>
      <c r="L44" s="33" t="str">
        <f t="shared" si="3"/>
        <v>-</v>
      </c>
      <c r="M44" s="33" t="s">
        <v>205</v>
      </c>
      <c r="N44" s="32"/>
      <c r="O44" s="32"/>
      <c r="P44" s="30" t="s">
        <v>106</v>
      </c>
      <c r="Q44" s="30"/>
      <c r="R44" s="30"/>
      <c r="S44" s="30">
        <v>193</v>
      </c>
      <c r="T44" s="81">
        <v>193</v>
      </c>
      <c r="U44" s="30"/>
      <c r="V44" s="30">
        <f>ROUNDDOWN(T44/HLOOKUP(D44,Table!$C$3:$D$4,2,0)*8,2)</f>
        <v>3.43</v>
      </c>
      <c r="W44" s="30">
        <v>2</v>
      </c>
      <c r="X44" s="30" t="s">
        <v>21</v>
      </c>
      <c r="Y44" s="35"/>
      <c r="Z44" s="59">
        <v>43901</v>
      </c>
      <c r="AA44" s="35">
        <v>43899</v>
      </c>
      <c r="AB44" s="35">
        <v>43899</v>
      </c>
      <c r="AC44" s="35" t="s">
        <v>183</v>
      </c>
      <c r="AD44" s="30">
        <v>100</v>
      </c>
      <c r="AE44" s="30">
        <v>100</v>
      </c>
      <c r="AF44" s="30">
        <v>91</v>
      </c>
      <c r="AG44" s="30" t="s">
        <v>253</v>
      </c>
      <c r="AH44" s="30"/>
    </row>
    <row r="45" spans="2:34" x14ac:dyDescent="0.25">
      <c r="B45" s="60">
        <f t="shared" si="0"/>
        <v>43</v>
      </c>
      <c r="C45" s="32">
        <v>20200303</v>
      </c>
      <c r="D45" s="30" t="s">
        <v>3</v>
      </c>
      <c r="E45" s="30" t="s">
        <v>135</v>
      </c>
      <c r="F45" s="33" t="s">
        <v>235</v>
      </c>
      <c r="G45" s="30">
        <v>1341660</v>
      </c>
      <c r="H45" s="30" t="s">
        <v>154</v>
      </c>
      <c r="I45" s="31" t="s">
        <v>234</v>
      </c>
      <c r="J45" s="30" t="s">
        <v>90</v>
      </c>
      <c r="K45" s="30" t="s">
        <v>186</v>
      </c>
      <c r="L45" s="33" t="str">
        <f t="shared" si="3"/>
        <v>-</v>
      </c>
      <c r="M45" s="33" t="s">
        <v>205</v>
      </c>
      <c r="N45" s="32"/>
      <c r="O45" s="32"/>
      <c r="P45" s="30" t="s">
        <v>106</v>
      </c>
      <c r="Q45" s="30"/>
      <c r="R45" s="30"/>
      <c r="S45" s="30">
        <v>204</v>
      </c>
      <c r="T45" s="81">
        <v>204</v>
      </c>
      <c r="U45" s="30"/>
      <c r="V45" s="30">
        <f>ROUNDDOWN(T45/HLOOKUP(D45,Table!$C$3:$D$4,2,0)*8,2)</f>
        <v>3.62</v>
      </c>
      <c r="W45" s="30">
        <v>3</v>
      </c>
      <c r="X45" s="30" t="s">
        <v>21</v>
      </c>
      <c r="Y45" s="35"/>
      <c r="Z45" s="59">
        <v>43901</v>
      </c>
      <c r="AA45" s="35">
        <v>43900</v>
      </c>
      <c r="AB45" s="35">
        <v>43900</v>
      </c>
      <c r="AC45" s="35" t="s">
        <v>184</v>
      </c>
      <c r="AD45" s="30">
        <v>100</v>
      </c>
      <c r="AE45" s="30">
        <v>100</v>
      </c>
      <c r="AF45" s="30">
        <v>100</v>
      </c>
      <c r="AG45" s="30"/>
      <c r="AH45" s="30"/>
    </row>
    <row r="46" spans="2:34" x14ac:dyDescent="0.25">
      <c r="B46" s="60">
        <f t="shared" si="0"/>
        <v>44</v>
      </c>
      <c r="C46" s="32">
        <v>20200303</v>
      </c>
      <c r="D46" s="30" t="s">
        <v>3</v>
      </c>
      <c r="E46" s="30" t="s">
        <v>135</v>
      </c>
      <c r="F46" s="33" t="s">
        <v>235</v>
      </c>
      <c r="G46" s="30">
        <v>1341660</v>
      </c>
      <c r="H46" s="30" t="s">
        <v>155</v>
      </c>
      <c r="I46" s="31" t="s">
        <v>234</v>
      </c>
      <c r="J46" s="30" t="s">
        <v>90</v>
      </c>
      <c r="K46" s="30" t="s">
        <v>186</v>
      </c>
      <c r="L46" s="33" t="str">
        <f t="shared" si="3"/>
        <v>-</v>
      </c>
      <c r="M46" s="33" t="s">
        <v>205</v>
      </c>
      <c r="N46" s="32"/>
      <c r="O46" s="32"/>
      <c r="P46" s="30" t="s">
        <v>106</v>
      </c>
      <c r="Q46" s="30"/>
      <c r="R46" s="30"/>
      <c r="S46" s="30">
        <v>194</v>
      </c>
      <c r="T46" s="81">
        <v>194</v>
      </c>
      <c r="U46" s="30"/>
      <c r="V46" s="30">
        <f>ROUNDDOWN(T46/HLOOKUP(D46,Table!$C$3:$D$4,2,0)*8,2)</f>
        <v>3.44</v>
      </c>
      <c r="W46" s="30">
        <v>1</v>
      </c>
      <c r="X46" s="30" t="s">
        <v>21</v>
      </c>
      <c r="Y46" s="35"/>
      <c r="Z46" s="59">
        <v>43901</v>
      </c>
      <c r="AA46" s="35">
        <v>43900</v>
      </c>
      <c r="AB46" s="35">
        <v>43900</v>
      </c>
      <c r="AC46" s="35" t="s">
        <v>184</v>
      </c>
      <c r="AD46" s="30">
        <v>100</v>
      </c>
      <c r="AE46" s="30">
        <v>100</v>
      </c>
      <c r="AF46" s="30">
        <v>100</v>
      </c>
      <c r="AG46" s="30"/>
      <c r="AH46" s="30"/>
    </row>
    <row r="47" spans="2:34" x14ac:dyDescent="0.25">
      <c r="B47" s="60">
        <f t="shared" si="0"/>
        <v>45</v>
      </c>
      <c r="C47" s="32">
        <v>20200303</v>
      </c>
      <c r="D47" s="30" t="s">
        <v>3</v>
      </c>
      <c r="E47" s="30" t="s">
        <v>135</v>
      </c>
      <c r="F47" s="33" t="s">
        <v>235</v>
      </c>
      <c r="G47" s="30">
        <v>1341660</v>
      </c>
      <c r="H47" s="30" t="s">
        <v>156</v>
      </c>
      <c r="I47" s="31" t="s">
        <v>234</v>
      </c>
      <c r="J47" s="30" t="s">
        <v>90</v>
      </c>
      <c r="K47" s="30" t="s">
        <v>186</v>
      </c>
      <c r="L47" s="33" t="str">
        <f t="shared" si="3"/>
        <v>-</v>
      </c>
      <c r="M47" s="33" t="s">
        <v>205</v>
      </c>
      <c r="N47" s="32"/>
      <c r="O47" s="32"/>
      <c r="P47" s="30" t="s">
        <v>106</v>
      </c>
      <c r="Q47" s="30"/>
      <c r="R47" s="30"/>
      <c r="S47" s="30">
        <v>141</v>
      </c>
      <c r="T47" s="81">
        <v>141</v>
      </c>
      <c r="U47" s="30"/>
      <c r="V47" s="30">
        <f>ROUNDDOWN(T47/HLOOKUP(D47,Table!$C$3:$D$4,2,0)*8,2)</f>
        <v>2.5</v>
      </c>
      <c r="W47" s="30">
        <v>1</v>
      </c>
      <c r="X47" s="30" t="s">
        <v>21</v>
      </c>
      <c r="Y47" s="35"/>
      <c r="Z47" s="59">
        <v>43901</v>
      </c>
      <c r="AA47" s="35">
        <v>43900</v>
      </c>
      <c r="AB47" s="35">
        <v>43900</v>
      </c>
      <c r="AC47" s="35" t="s">
        <v>183</v>
      </c>
      <c r="AD47" s="30">
        <v>98</v>
      </c>
      <c r="AE47" s="30">
        <v>95</v>
      </c>
      <c r="AF47" s="30">
        <v>100</v>
      </c>
      <c r="AG47" s="51" t="s">
        <v>181</v>
      </c>
      <c r="AH47" s="30"/>
    </row>
    <row r="48" spans="2:34" x14ac:dyDescent="0.25">
      <c r="B48" s="60">
        <f t="shared" si="0"/>
        <v>46</v>
      </c>
      <c r="C48" s="32">
        <v>20200303</v>
      </c>
      <c r="D48" s="30" t="s">
        <v>3</v>
      </c>
      <c r="E48" s="30" t="s">
        <v>135</v>
      </c>
      <c r="F48" s="33" t="s">
        <v>235</v>
      </c>
      <c r="G48" s="30">
        <v>1341660</v>
      </c>
      <c r="H48" s="34" t="s">
        <v>157</v>
      </c>
      <c r="I48" s="31" t="s">
        <v>234</v>
      </c>
      <c r="J48" s="30" t="s">
        <v>90</v>
      </c>
      <c r="K48" s="30" t="s">
        <v>186</v>
      </c>
      <c r="L48" s="33" t="str">
        <f t="shared" si="3"/>
        <v>-</v>
      </c>
      <c r="M48" s="33" t="s">
        <v>205</v>
      </c>
      <c r="N48" s="32"/>
      <c r="O48" s="32"/>
      <c r="P48" s="30" t="s">
        <v>105</v>
      </c>
      <c r="Q48" s="30"/>
      <c r="R48" s="30"/>
      <c r="S48" s="30">
        <v>190</v>
      </c>
      <c r="T48" s="81">
        <v>190</v>
      </c>
      <c r="U48" s="30">
        <v>190</v>
      </c>
      <c r="V48" s="30">
        <f>ROUNDDOWN(T48/HLOOKUP(D48,Table!$C$3:$D$4,2,0)*8,2)</f>
        <v>3.37</v>
      </c>
      <c r="W48" s="30">
        <v>4</v>
      </c>
      <c r="X48" s="30" t="s">
        <v>21</v>
      </c>
      <c r="Y48" s="35"/>
      <c r="Z48" s="59">
        <v>43901</v>
      </c>
      <c r="AA48" s="35">
        <v>43899</v>
      </c>
      <c r="AB48" s="35">
        <v>43899</v>
      </c>
      <c r="AC48" s="35" t="s">
        <v>183</v>
      </c>
      <c r="AD48" s="30">
        <v>66</v>
      </c>
      <c r="AE48" s="30">
        <v>100</v>
      </c>
      <c r="AF48" s="30">
        <v>100</v>
      </c>
      <c r="AG48" s="30" t="s">
        <v>249</v>
      </c>
      <c r="AH48" s="30"/>
    </row>
    <row r="49" spans="2:34" x14ac:dyDescent="0.25">
      <c r="B49" s="60">
        <f t="shared" si="0"/>
        <v>47</v>
      </c>
      <c r="C49" s="32">
        <v>20200303</v>
      </c>
      <c r="D49" s="30" t="s">
        <v>3</v>
      </c>
      <c r="E49" s="30" t="s">
        <v>135</v>
      </c>
      <c r="F49" s="33" t="s">
        <v>235</v>
      </c>
      <c r="G49" s="30">
        <v>1341660</v>
      </c>
      <c r="H49" s="34" t="s">
        <v>158</v>
      </c>
      <c r="I49" s="31" t="s">
        <v>234</v>
      </c>
      <c r="J49" s="30" t="s">
        <v>90</v>
      </c>
      <c r="K49" s="30" t="s">
        <v>186</v>
      </c>
      <c r="L49" s="33" t="str">
        <f t="shared" si="3"/>
        <v>-</v>
      </c>
      <c r="M49" s="33" t="s">
        <v>205</v>
      </c>
      <c r="N49" s="32"/>
      <c r="O49" s="32"/>
      <c r="P49" s="30" t="s">
        <v>105</v>
      </c>
      <c r="Q49" s="30"/>
      <c r="R49" s="30"/>
      <c r="S49" s="30">
        <v>107</v>
      </c>
      <c r="T49" s="80">
        <v>107</v>
      </c>
      <c r="U49" s="30">
        <v>107</v>
      </c>
      <c r="V49" s="30">
        <f>ROUNDDOWN(T49/HLOOKUP(D49,Table!$C$3:$D$4,2,0)*8,2)</f>
        <v>1.9</v>
      </c>
      <c r="W49" s="30">
        <v>1</v>
      </c>
      <c r="X49" s="30" t="s">
        <v>21</v>
      </c>
      <c r="Y49" s="35"/>
      <c r="Z49" s="59">
        <v>43901</v>
      </c>
      <c r="AA49" s="35">
        <v>43899</v>
      </c>
      <c r="AB49" s="35">
        <v>43899</v>
      </c>
      <c r="AC49" s="35" t="s">
        <v>183</v>
      </c>
      <c r="AD49" s="30">
        <v>99</v>
      </c>
      <c r="AE49" s="30">
        <v>96</v>
      </c>
      <c r="AF49" s="30">
        <v>100</v>
      </c>
      <c r="AG49" s="30" t="s">
        <v>249</v>
      </c>
      <c r="AH49" s="30"/>
    </row>
    <row r="50" spans="2:34" x14ac:dyDescent="0.25">
      <c r="B50" s="60">
        <f t="shared" si="0"/>
        <v>48</v>
      </c>
      <c r="C50" s="32">
        <v>20200303</v>
      </c>
      <c r="D50" s="30" t="s">
        <v>3</v>
      </c>
      <c r="E50" s="30" t="s">
        <v>135</v>
      </c>
      <c r="F50" s="33" t="s">
        <v>235</v>
      </c>
      <c r="G50" s="30">
        <v>1341660</v>
      </c>
      <c r="H50" s="34" t="s">
        <v>159</v>
      </c>
      <c r="I50" s="31" t="s">
        <v>234</v>
      </c>
      <c r="J50" s="30" t="s">
        <v>90</v>
      </c>
      <c r="K50" s="30" t="s">
        <v>186</v>
      </c>
      <c r="L50" s="33" t="str">
        <f t="shared" si="3"/>
        <v>-</v>
      </c>
      <c r="M50" s="33" t="s">
        <v>205</v>
      </c>
      <c r="N50" s="32"/>
      <c r="O50" s="32"/>
      <c r="P50" s="30" t="s">
        <v>105</v>
      </c>
      <c r="Q50" s="30"/>
      <c r="R50" s="30"/>
      <c r="S50" s="30">
        <v>269</v>
      </c>
      <c r="T50" s="81">
        <v>269</v>
      </c>
      <c r="U50" s="30">
        <v>269</v>
      </c>
      <c r="V50" s="30">
        <f>ROUNDDOWN(T50/HLOOKUP(D50,Table!$C$3:$D$4,2,0)*8,2)</f>
        <v>4.78</v>
      </c>
      <c r="W50" s="30">
        <v>3</v>
      </c>
      <c r="X50" s="30" t="s">
        <v>230</v>
      </c>
      <c r="Y50" s="35"/>
      <c r="Z50" s="59">
        <v>43901</v>
      </c>
      <c r="AA50" s="35">
        <v>43899</v>
      </c>
      <c r="AB50" s="35">
        <v>43899</v>
      </c>
      <c r="AC50" s="35" t="s">
        <v>183</v>
      </c>
      <c r="AD50" s="30">
        <v>99</v>
      </c>
      <c r="AE50" s="30">
        <v>97</v>
      </c>
      <c r="AF50" s="30">
        <v>100</v>
      </c>
      <c r="AG50" s="30" t="s">
        <v>249</v>
      </c>
      <c r="AH50" s="30"/>
    </row>
    <row r="51" spans="2:34" x14ac:dyDescent="0.25">
      <c r="B51" s="60">
        <f t="shared" si="0"/>
        <v>49</v>
      </c>
      <c r="C51" s="32">
        <v>20200303</v>
      </c>
      <c r="D51" s="30" t="s">
        <v>3</v>
      </c>
      <c r="E51" s="30" t="s">
        <v>135</v>
      </c>
      <c r="F51" s="33" t="s">
        <v>235</v>
      </c>
      <c r="G51" s="30">
        <v>1341660</v>
      </c>
      <c r="H51" s="30" t="s">
        <v>160</v>
      </c>
      <c r="I51" s="31" t="s">
        <v>234</v>
      </c>
      <c r="J51" s="30" t="s">
        <v>90</v>
      </c>
      <c r="K51" s="30" t="s">
        <v>186</v>
      </c>
      <c r="L51" s="33" t="str">
        <f t="shared" si="3"/>
        <v>-</v>
      </c>
      <c r="M51" s="33" t="s">
        <v>205</v>
      </c>
      <c r="N51" s="32"/>
      <c r="O51" s="32"/>
      <c r="P51" s="30" t="s">
        <v>106</v>
      </c>
      <c r="Q51" s="30"/>
      <c r="R51" s="30"/>
      <c r="S51" s="30">
        <v>70</v>
      </c>
      <c r="T51" s="81">
        <v>70</v>
      </c>
      <c r="U51" s="30"/>
      <c r="V51" s="30">
        <f>ROUNDDOWN(T51/HLOOKUP(D51,Table!$C$3:$D$4,2,0)*8,2)</f>
        <v>1.24</v>
      </c>
      <c r="W51" s="30">
        <v>0.2</v>
      </c>
      <c r="X51" s="51" t="s">
        <v>21</v>
      </c>
      <c r="Y51" s="35"/>
      <c r="Z51" s="59">
        <v>43901</v>
      </c>
      <c r="AA51" s="35">
        <v>43900</v>
      </c>
      <c r="AB51" s="35">
        <v>43900</v>
      </c>
      <c r="AC51" s="35" t="s">
        <v>184</v>
      </c>
      <c r="AD51" s="30">
        <v>100</v>
      </c>
      <c r="AE51" s="30">
        <v>100</v>
      </c>
      <c r="AF51" s="30">
        <v>100</v>
      </c>
      <c r="AG51" s="30"/>
      <c r="AH51" s="30"/>
    </row>
    <row r="52" spans="2:34" x14ac:dyDescent="0.25">
      <c r="B52" s="60">
        <f t="shared" si="0"/>
        <v>50</v>
      </c>
      <c r="C52" s="32">
        <v>20200303</v>
      </c>
      <c r="D52" s="30" t="s">
        <v>3</v>
      </c>
      <c r="E52" s="30" t="s">
        <v>135</v>
      </c>
      <c r="F52" s="33" t="s">
        <v>238</v>
      </c>
      <c r="G52" s="30">
        <v>1341660</v>
      </c>
      <c r="H52" s="30" t="s">
        <v>161</v>
      </c>
      <c r="I52" s="31" t="s">
        <v>234</v>
      </c>
      <c r="J52" s="30" t="s">
        <v>90</v>
      </c>
      <c r="K52" s="30" t="s">
        <v>186</v>
      </c>
      <c r="L52" s="33" t="str">
        <f t="shared" si="3"/>
        <v>-</v>
      </c>
      <c r="M52" s="33" t="s">
        <v>205</v>
      </c>
      <c r="N52" s="32"/>
      <c r="O52" s="32"/>
      <c r="P52" s="30" t="s">
        <v>105</v>
      </c>
      <c r="Q52" s="30"/>
      <c r="R52" s="30"/>
      <c r="S52" s="30">
        <v>204</v>
      </c>
      <c r="T52" s="30">
        <v>204</v>
      </c>
      <c r="U52" s="30">
        <v>204</v>
      </c>
      <c r="V52" s="30">
        <f>ROUNDDOWN(T52/HLOOKUP(D52,Table!$C$3:$D$4,2,0)*8,2)</f>
        <v>3.62</v>
      </c>
      <c r="W52" s="30">
        <v>3</v>
      </c>
      <c r="X52" s="30" t="s">
        <v>21</v>
      </c>
      <c r="Y52" s="35">
        <v>43895</v>
      </c>
      <c r="Z52" s="59">
        <v>43901</v>
      </c>
      <c r="AA52" s="35">
        <v>43895</v>
      </c>
      <c r="AB52" s="35">
        <v>43896</v>
      </c>
      <c r="AC52" s="35" t="s">
        <v>184</v>
      </c>
      <c r="AD52" s="30">
        <v>100</v>
      </c>
      <c r="AE52" s="30">
        <v>100</v>
      </c>
      <c r="AF52" s="30">
        <v>100</v>
      </c>
      <c r="AG52" s="30"/>
      <c r="AH52" s="30"/>
    </row>
    <row r="53" spans="2:34" x14ac:dyDescent="0.25">
      <c r="B53" s="60">
        <f t="shared" si="0"/>
        <v>51</v>
      </c>
      <c r="C53" s="32">
        <v>20200303</v>
      </c>
      <c r="D53" s="30" t="s">
        <v>3</v>
      </c>
      <c r="E53" s="30" t="s">
        <v>135</v>
      </c>
      <c r="F53" s="33" t="s">
        <v>238</v>
      </c>
      <c r="G53" s="30">
        <v>1341660</v>
      </c>
      <c r="H53" s="30" t="s">
        <v>162</v>
      </c>
      <c r="I53" s="31" t="s">
        <v>234</v>
      </c>
      <c r="J53" s="30" t="s">
        <v>90</v>
      </c>
      <c r="K53" s="30" t="s">
        <v>186</v>
      </c>
      <c r="L53" s="33" t="str">
        <f t="shared" si="3"/>
        <v>-</v>
      </c>
      <c r="M53" s="33" t="s">
        <v>205</v>
      </c>
      <c r="N53" s="32"/>
      <c r="O53" s="32"/>
      <c r="P53" s="30" t="s">
        <v>105</v>
      </c>
      <c r="Q53" s="30"/>
      <c r="R53" s="30"/>
      <c r="S53" s="30">
        <v>185</v>
      </c>
      <c r="T53" s="30">
        <v>185</v>
      </c>
      <c r="U53" s="30">
        <v>185</v>
      </c>
      <c r="V53" s="30">
        <f>ROUNDDOWN(T53/HLOOKUP(D53,Table!$C$3:$D$4,2,0)*8,2)</f>
        <v>3.28</v>
      </c>
      <c r="W53" s="30">
        <v>3</v>
      </c>
      <c r="X53" s="30" t="s">
        <v>21</v>
      </c>
      <c r="Y53" s="35">
        <v>43895</v>
      </c>
      <c r="Z53" s="59">
        <v>43901</v>
      </c>
      <c r="AA53" s="35">
        <v>43895</v>
      </c>
      <c r="AB53" s="35">
        <v>43896</v>
      </c>
      <c r="AC53" s="35" t="s">
        <v>184</v>
      </c>
      <c r="AD53" s="30">
        <v>100</v>
      </c>
      <c r="AE53" s="30">
        <v>100</v>
      </c>
      <c r="AF53" s="30">
        <v>100</v>
      </c>
      <c r="AG53" s="30"/>
      <c r="AH53" s="30"/>
    </row>
    <row r="54" spans="2:34" x14ac:dyDescent="0.25">
      <c r="B54" s="60">
        <f t="shared" si="0"/>
        <v>52</v>
      </c>
      <c r="C54" s="32">
        <v>20200303</v>
      </c>
      <c r="D54" s="30" t="s">
        <v>3</v>
      </c>
      <c r="E54" s="30" t="s">
        <v>135</v>
      </c>
      <c r="F54" s="33" t="s">
        <v>238</v>
      </c>
      <c r="G54" s="30">
        <v>1341660</v>
      </c>
      <c r="H54" s="30" t="s">
        <v>163</v>
      </c>
      <c r="I54" s="31" t="s">
        <v>234</v>
      </c>
      <c r="J54" s="30" t="s">
        <v>90</v>
      </c>
      <c r="K54" s="30" t="s">
        <v>186</v>
      </c>
      <c r="L54" s="33" t="str">
        <f t="shared" si="3"/>
        <v>-</v>
      </c>
      <c r="M54" s="33" t="s">
        <v>205</v>
      </c>
      <c r="N54" s="32"/>
      <c r="O54" s="32"/>
      <c r="P54" s="30" t="s">
        <v>103</v>
      </c>
      <c r="Q54" s="30"/>
      <c r="R54" s="30"/>
      <c r="S54" s="30">
        <v>68</v>
      </c>
      <c r="T54" s="30">
        <v>68</v>
      </c>
      <c r="U54" s="30">
        <v>68</v>
      </c>
      <c r="V54" s="30">
        <f>ROUNDDOWN(T54/HLOOKUP(D54,Table!$C$3:$D$4,2,0)*8,2)</f>
        <v>1.2</v>
      </c>
      <c r="W54" s="30">
        <v>1</v>
      </c>
      <c r="X54" s="30" t="s">
        <v>21</v>
      </c>
      <c r="Y54" s="35"/>
      <c r="Z54" s="59">
        <v>43901</v>
      </c>
      <c r="AA54" s="35">
        <v>43901</v>
      </c>
      <c r="AB54" s="35">
        <v>43901</v>
      </c>
      <c r="AC54" s="35" t="s">
        <v>184</v>
      </c>
      <c r="AD54" s="30">
        <v>100</v>
      </c>
      <c r="AE54" s="30">
        <v>100</v>
      </c>
      <c r="AF54" s="30">
        <v>100</v>
      </c>
      <c r="AG54" s="30"/>
      <c r="AH54" s="30"/>
    </row>
    <row r="55" spans="2:34" x14ac:dyDescent="0.25">
      <c r="B55" s="60">
        <f t="shared" si="0"/>
        <v>53</v>
      </c>
      <c r="C55" s="32">
        <v>20200303</v>
      </c>
      <c r="D55" s="30" t="s">
        <v>3</v>
      </c>
      <c r="E55" s="30" t="s">
        <v>135</v>
      </c>
      <c r="F55" s="33" t="s">
        <v>238</v>
      </c>
      <c r="G55" s="30">
        <v>1341660</v>
      </c>
      <c r="H55" s="30" t="s">
        <v>164</v>
      </c>
      <c r="I55" s="31" t="s">
        <v>234</v>
      </c>
      <c r="J55" s="30" t="s">
        <v>90</v>
      </c>
      <c r="K55" s="30" t="s">
        <v>186</v>
      </c>
      <c r="L55" s="33" t="str">
        <f t="shared" si="3"/>
        <v>-</v>
      </c>
      <c r="M55" s="33" t="s">
        <v>205</v>
      </c>
      <c r="N55" s="32"/>
      <c r="O55" s="32"/>
      <c r="P55" s="30" t="s">
        <v>103</v>
      </c>
      <c r="Q55" s="30"/>
      <c r="R55" s="30"/>
      <c r="S55" s="30">
        <v>150</v>
      </c>
      <c r="T55" s="30">
        <v>150</v>
      </c>
      <c r="U55" s="30">
        <v>150</v>
      </c>
      <c r="V55" s="30">
        <f>ROUNDDOWN(T55/HLOOKUP(D55,Table!$C$3:$D$4,2,0)*8,2)</f>
        <v>2.66</v>
      </c>
      <c r="W55" s="30">
        <v>2</v>
      </c>
      <c r="X55" s="30" t="s">
        <v>21</v>
      </c>
      <c r="Y55" s="35"/>
      <c r="Z55" s="59">
        <v>43901</v>
      </c>
      <c r="AA55" s="35">
        <v>43901</v>
      </c>
      <c r="AB55" s="35">
        <v>43901</v>
      </c>
      <c r="AC55" s="35" t="s">
        <v>184</v>
      </c>
      <c r="AD55" s="30">
        <v>100</v>
      </c>
      <c r="AE55" s="30">
        <v>100</v>
      </c>
      <c r="AF55" s="30">
        <v>100</v>
      </c>
      <c r="AG55" s="30"/>
      <c r="AH55" s="30"/>
    </row>
    <row r="56" spans="2:34" x14ac:dyDescent="0.25">
      <c r="B56" s="60">
        <f t="shared" si="0"/>
        <v>54</v>
      </c>
      <c r="C56" s="32">
        <v>20200303</v>
      </c>
      <c r="D56" s="30" t="s">
        <v>3</v>
      </c>
      <c r="E56" s="30" t="s">
        <v>135</v>
      </c>
      <c r="F56" s="33" t="s">
        <v>238</v>
      </c>
      <c r="G56" s="30">
        <v>1341660</v>
      </c>
      <c r="H56" s="30" t="s">
        <v>165</v>
      </c>
      <c r="I56" s="31" t="s">
        <v>234</v>
      </c>
      <c r="J56" s="30" t="s">
        <v>90</v>
      </c>
      <c r="K56" s="30" t="s">
        <v>186</v>
      </c>
      <c r="L56" s="33" t="str">
        <f t="shared" si="3"/>
        <v>-</v>
      </c>
      <c r="M56" s="33" t="s">
        <v>205</v>
      </c>
      <c r="N56" s="32"/>
      <c r="O56" s="32"/>
      <c r="P56" s="30" t="s">
        <v>105</v>
      </c>
      <c r="Q56" s="30"/>
      <c r="R56" s="30"/>
      <c r="S56" s="30">
        <v>25</v>
      </c>
      <c r="T56" s="30">
        <v>25</v>
      </c>
      <c r="U56" s="30">
        <v>25</v>
      </c>
      <c r="V56" s="30">
        <f>ROUNDDOWN(T56/HLOOKUP(D56,Table!$C$3:$D$4,2,0)*8,2)</f>
        <v>0.44</v>
      </c>
      <c r="W56" s="30">
        <v>0.2</v>
      </c>
      <c r="X56" s="30" t="s">
        <v>21</v>
      </c>
      <c r="Y56" s="35"/>
      <c r="Z56" s="59">
        <v>43901</v>
      </c>
      <c r="AA56" s="35">
        <v>43901</v>
      </c>
      <c r="AB56" s="35">
        <v>43901</v>
      </c>
      <c r="AC56" s="35" t="s">
        <v>184</v>
      </c>
      <c r="AD56" s="30">
        <v>100</v>
      </c>
      <c r="AE56" s="30">
        <v>100</v>
      </c>
      <c r="AF56" s="30">
        <v>100</v>
      </c>
      <c r="AG56" s="30"/>
      <c r="AH56" s="30"/>
    </row>
    <row r="57" spans="2:34" x14ac:dyDescent="0.25">
      <c r="B57" s="60">
        <f t="shared" si="0"/>
        <v>55</v>
      </c>
      <c r="C57" s="32">
        <v>20200303</v>
      </c>
      <c r="D57" s="30" t="s">
        <v>3</v>
      </c>
      <c r="E57" s="30" t="s">
        <v>135</v>
      </c>
      <c r="F57" s="33" t="s">
        <v>231</v>
      </c>
      <c r="G57" s="30">
        <v>1341660</v>
      </c>
      <c r="H57" s="30" t="s">
        <v>95</v>
      </c>
      <c r="I57" s="31" t="s">
        <v>234</v>
      </c>
      <c r="J57" s="30" t="s">
        <v>90</v>
      </c>
      <c r="K57" s="30" t="s">
        <v>186</v>
      </c>
      <c r="L57" s="33" t="str">
        <f t="shared" si="3"/>
        <v>-</v>
      </c>
      <c r="M57" s="33" t="s">
        <v>205</v>
      </c>
      <c r="N57" s="32"/>
      <c r="O57" s="32"/>
      <c r="P57" s="30" t="s">
        <v>106</v>
      </c>
      <c r="Q57" s="30"/>
      <c r="R57" s="30"/>
      <c r="S57" s="30">
        <v>487</v>
      </c>
      <c r="T57" s="30">
        <v>487</v>
      </c>
      <c r="U57" s="30"/>
      <c r="V57" s="30">
        <f>ROUNDDOWN(T57/HLOOKUP(D57,Table!$C$3:$D$4,2,0)*8,2)</f>
        <v>8.65</v>
      </c>
      <c r="W57" s="30">
        <v>2.4</v>
      </c>
      <c r="X57" s="30" t="s">
        <v>21</v>
      </c>
      <c r="Y57" s="35"/>
      <c r="Z57" s="59">
        <v>43901</v>
      </c>
      <c r="AA57" s="35">
        <v>43899</v>
      </c>
      <c r="AB57" s="35">
        <v>43899</v>
      </c>
      <c r="AC57" s="35" t="s">
        <v>184</v>
      </c>
      <c r="AD57" s="30">
        <v>100</v>
      </c>
      <c r="AE57" s="30">
        <v>100</v>
      </c>
      <c r="AF57" s="30">
        <v>100</v>
      </c>
      <c r="AG57" s="30"/>
      <c r="AH57" s="30"/>
    </row>
    <row r="58" spans="2:34" x14ac:dyDescent="0.25">
      <c r="B58" s="60">
        <f t="shared" si="0"/>
        <v>56</v>
      </c>
      <c r="C58" s="32">
        <v>20200303</v>
      </c>
      <c r="D58" s="30" t="s">
        <v>3</v>
      </c>
      <c r="E58" s="30" t="s">
        <v>135</v>
      </c>
      <c r="F58" s="33" t="s">
        <v>231</v>
      </c>
      <c r="G58" s="30">
        <v>1341660</v>
      </c>
      <c r="H58" s="30" t="s">
        <v>166</v>
      </c>
      <c r="I58" s="31" t="s">
        <v>234</v>
      </c>
      <c r="J58" s="30" t="s">
        <v>90</v>
      </c>
      <c r="K58" s="30" t="s">
        <v>186</v>
      </c>
      <c r="L58" s="33" t="str">
        <f t="shared" si="3"/>
        <v>-</v>
      </c>
      <c r="M58" s="33" t="s">
        <v>205</v>
      </c>
      <c r="N58" s="32"/>
      <c r="O58" s="32"/>
      <c r="P58" s="30" t="s">
        <v>105</v>
      </c>
      <c r="Q58" s="30"/>
      <c r="R58" s="30"/>
      <c r="S58" s="30">
        <v>110</v>
      </c>
      <c r="T58" s="30">
        <v>110</v>
      </c>
      <c r="U58" s="30">
        <v>110</v>
      </c>
      <c r="V58" s="30">
        <f>ROUNDDOWN(T58/HLOOKUP(D58,Table!$C$3:$D$4,2,0)*8,2)</f>
        <v>1.95</v>
      </c>
      <c r="W58" s="30">
        <v>2</v>
      </c>
      <c r="X58" s="30" t="s">
        <v>21</v>
      </c>
      <c r="Y58" s="35">
        <v>43895</v>
      </c>
      <c r="Z58" s="59">
        <v>43901</v>
      </c>
      <c r="AA58" s="35">
        <v>43895</v>
      </c>
      <c r="AB58" s="35">
        <v>43895</v>
      </c>
      <c r="AC58" s="35" t="s">
        <v>184</v>
      </c>
      <c r="AD58" s="30">
        <v>100</v>
      </c>
      <c r="AE58" s="30">
        <v>100</v>
      </c>
      <c r="AF58" s="30">
        <v>100</v>
      </c>
      <c r="AG58" s="30"/>
      <c r="AH58" s="30"/>
    </row>
    <row r="59" spans="2:34" x14ac:dyDescent="0.25">
      <c r="B59" s="60">
        <f t="shared" si="0"/>
        <v>57</v>
      </c>
      <c r="C59" s="32">
        <v>20200303</v>
      </c>
      <c r="D59" s="30" t="s">
        <v>3</v>
      </c>
      <c r="E59" s="30" t="s">
        <v>135</v>
      </c>
      <c r="F59" s="33" t="s">
        <v>231</v>
      </c>
      <c r="G59" s="30">
        <v>1341660</v>
      </c>
      <c r="H59" s="30" t="s">
        <v>167</v>
      </c>
      <c r="I59" s="31" t="s">
        <v>234</v>
      </c>
      <c r="J59" s="30" t="s">
        <v>90</v>
      </c>
      <c r="K59" s="30" t="s">
        <v>186</v>
      </c>
      <c r="L59" s="33" t="str">
        <f t="shared" si="3"/>
        <v>-</v>
      </c>
      <c r="M59" s="33" t="s">
        <v>205</v>
      </c>
      <c r="N59" s="32"/>
      <c r="O59" s="32"/>
      <c r="P59" s="30" t="s">
        <v>106</v>
      </c>
      <c r="Q59" s="30"/>
      <c r="R59" s="30"/>
      <c r="S59" s="30">
        <v>167</v>
      </c>
      <c r="T59" s="30">
        <v>167</v>
      </c>
      <c r="U59" s="30"/>
      <c r="V59" s="30">
        <f>ROUNDDOWN(T59/HLOOKUP(D59,Table!$C$3:$D$4,2,0)*8,2)</f>
        <v>2.96</v>
      </c>
      <c r="W59" s="30">
        <v>1</v>
      </c>
      <c r="X59" s="30" t="s">
        <v>21</v>
      </c>
      <c r="Y59" s="35"/>
      <c r="Z59" s="59">
        <v>43901</v>
      </c>
      <c r="AA59" s="35">
        <v>43899</v>
      </c>
      <c r="AB59" s="35">
        <v>43899</v>
      </c>
      <c r="AC59" s="35" t="s">
        <v>184</v>
      </c>
      <c r="AD59" s="30">
        <v>100</v>
      </c>
      <c r="AE59" s="30">
        <v>100</v>
      </c>
      <c r="AF59" s="30">
        <v>100</v>
      </c>
      <c r="AG59" s="30"/>
      <c r="AH59" s="30"/>
    </row>
    <row r="60" spans="2:34" x14ac:dyDescent="0.25">
      <c r="B60" s="60">
        <f t="shared" si="0"/>
        <v>58</v>
      </c>
      <c r="C60" s="32">
        <v>20200303</v>
      </c>
      <c r="D60" s="30" t="s">
        <v>3</v>
      </c>
      <c r="E60" s="30" t="s">
        <v>135</v>
      </c>
      <c r="F60" s="33" t="s">
        <v>231</v>
      </c>
      <c r="G60" s="30">
        <v>1341660</v>
      </c>
      <c r="H60" s="30" t="s">
        <v>168</v>
      </c>
      <c r="I60" s="31" t="s">
        <v>234</v>
      </c>
      <c r="J60" s="30" t="s">
        <v>90</v>
      </c>
      <c r="K60" s="30" t="s">
        <v>186</v>
      </c>
      <c r="L60" s="33" t="str">
        <f t="shared" si="3"/>
        <v>-</v>
      </c>
      <c r="M60" s="33" t="s">
        <v>205</v>
      </c>
      <c r="N60" s="32"/>
      <c r="O60" s="32"/>
      <c r="P60" s="30" t="s">
        <v>105</v>
      </c>
      <c r="Q60" s="30"/>
      <c r="R60" s="30"/>
      <c r="S60" s="30">
        <v>42</v>
      </c>
      <c r="T60" s="30">
        <v>42</v>
      </c>
      <c r="U60" s="30">
        <v>42</v>
      </c>
      <c r="V60" s="30">
        <f>ROUNDDOWN(T60/HLOOKUP(D60,Table!$C$3:$D$4,2,0)*8,2)</f>
        <v>0.74</v>
      </c>
      <c r="W60" s="30">
        <v>0.2</v>
      </c>
      <c r="X60" s="30" t="s">
        <v>21</v>
      </c>
      <c r="Y60" s="35"/>
      <c r="Z60" s="59">
        <v>43901</v>
      </c>
      <c r="AA60" s="35">
        <v>43901</v>
      </c>
      <c r="AB60" s="35">
        <v>43901</v>
      </c>
      <c r="AC60" s="35" t="s">
        <v>184</v>
      </c>
      <c r="AD60" s="30">
        <v>100</v>
      </c>
      <c r="AE60" s="30">
        <v>100</v>
      </c>
      <c r="AF60" s="30">
        <v>100</v>
      </c>
      <c r="AG60" s="30"/>
      <c r="AH60" s="30"/>
    </row>
    <row r="61" spans="2:34" x14ac:dyDescent="0.25">
      <c r="B61" s="60">
        <f t="shared" si="0"/>
        <v>59</v>
      </c>
      <c r="C61" s="30">
        <v>20200303</v>
      </c>
      <c r="D61" s="30" t="s">
        <v>3</v>
      </c>
      <c r="E61" s="30" t="s">
        <v>135</v>
      </c>
      <c r="F61" s="33" t="s">
        <v>231</v>
      </c>
      <c r="G61" s="30">
        <v>1341660</v>
      </c>
      <c r="H61" s="30" t="s">
        <v>169</v>
      </c>
      <c r="I61" s="31" t="s">
        <v>234</v>
      </c>
      <c r="J61" s="30" t="s">
        <v>90</v>
      </c>
      <c r="K61" s="30" t="s">
        <v>186</v>
      </c>
      <c r="L61" s="33" t="str">
        <f t="shared" si="3"/>
        <v>-</v>
      </c>
      <c r="M61" s="33" t="s">
        <v>205</v>
      </c>
      <c r="N61" s="32"/>
      <c r="O61" s="32"/>
      <c r="P61" s="30" t="s">
        <v>105</v>
      </c>
      <c r="Q61" s="30"/>
      <c r="R61" s="30"/>
      <c r="S61" s="30">
        <v>40</v>
      </c>
      <c r="T61" s="30">
        <v>40</v>
      </c>
      <c r="U61" s="30">
        <v>40</v>
      </c>
      <c r="V61" s="30">
        <f>ROUNDDOWN(T61/HLOOKUP(D61,Table!$C$3:$D$4,2,0)*8,2)</f>
        <v>0.71</v>
      </c>
      <c r="W61" s="30">
        <v>0.3</v>
      </c>
      <c r="X61" s="30" t="s">
        <v>21</v>
      </c>
      <c r="Y61" s="35"/>
      <c r="Z61" s="59">
        <v>43901</v>
      </c>
      <c r="AA61" s="35">
        <v>43901</v>
      </c>
      <c r="AB61" s="35">
        <v>43901</v>
      </c>
      <c r="AC61" s="35" t="s">
        <v>184</v>
      </c>
      <c r="AD61" s="30">
        <v>100</v>
      </c>
      <c r="AE61" s="30">
        <v>100</v>
      </c>
      <c r="AF61" s="30">
        <v>100</v>
      </c>
      <c r="AG61" s="30"/>
      <c r="AH61" s="30"/>
    </row>
    <row r="62" spans="2:34" s="71" customFormat="1" x14ac:dyDescent="0.25">
      <c r="B62" s="67">
        <f t="shared" si="0"/>
        <v>60</v>
      </c>
      <c r="C62" s="68">
        <v>20200303</v>
      </c>
      <c r="D62" s="68" t="s">
        <v>3</v>
      </c>
      <c r="E62" s="68" t="s">
        <v>135</v>
      </c>
      <c r="F62" s="69" t="s">
        <v>172</v>
      </c>
      <c r="G62" s="68">
        <v>1341660</v>
      </c>
      <c r="H62" s="68" t="s">
        <v>170</v>
      </c>
      <c r="I62" s="68" t="s">
        <v>234</v>
      </c>
      <c r="J62" s="68" t="s">
        <v>90</v>
      </c>
      <c r="K62" s="68" t="s">
        <v>186</v>
      </c>
      <c r="L62" s="69" t="str">
        <f t="shared" si="3"/>
        <v>-</v>
      </c>
      <c r="M62" s="69" t="s">
        <v>205</v>
      </c>
      <c r="N62" s="68"/>
      <c r="O62" s="68"/>
      <c r="P62" s="68"/>
      <c r="Q62" s="68"/>
      <c r="R62" s="68"/>
      <c r="S62" s="68">
        <v>44</v>
      </c>
      <c r="T62" s="68">
        <v>44</v>
      </c>
      <c r="U62" s="68"/>
      <c r="V62" s="68">
        <f>ROUNDDOWN(T62/HLOOKUP(D62,Table!$C$3:$D$4,2,0)*8,2)</f>
        <v>0.78</v>
      </c>
      <c r="W62" s="68"/>
      <c r="X62" s="68" t="s">
        <v>23</v>
      </c>
      <c r="Y62" s="70"/>
      <c r="Z62" s="70">
        <v>43901</v>
      </c>
      <c r="AA62" s="70"/>
      <c r="AB62" s="70"/>
      <c r="AC62" s="70"/>
      <c r="AD62" s="68"/>
      <c r="AE62" s="68"/>
      <c r="AF62" s="68"/>
      <c r="AG62" s="32" t="s">
        <v>342</v>
      </c>
      <c r="AH62" s="68"/>
    </row>
    <row r="63" spans="2:34" x14ac:dyDescent="0.25">
      <c r="B63" s="60">
        <f t="shared" si="0"/>
        <v>61</v>
      </c>
      <c r="C63" s="30">
        <v>20200303</v>
      </c>
      <c r="D63" s="30" t="s">
        <v>3</v>
      </c>
      <c r="E63" s="30" t="s">
        <v>135</v>
      </c>
      <c r="F63" s="33" t="s">
        <v>172</v>
      </c>
      <c r="G63" s="30">
        <v>1341660</v>
      </c>
      <c r="H63" s="34" t="s">
        <v>171</v>
      </c>
      <c r="I63" s="31" t="s">
        <v>234</v>
      </c>
      <c r="J63" s="30" t="s">
        <v>90</v>
      </c>
      <c r="K63" s="30" t="s">
        <v>186</v>
      </c>
      <c r="L63" s="33" t="str">
        <f t="shared" si="3"/>
        <v>-</v>
      </c>
      <c r="M63" s="33" t="s">
        <v>205</v>
      </c>
      <c r="N63" s="32"/>
      <c r="O63" s="32"/>
      <c r="P63" s="30" t="s">
        <v>105</v>
      </c>
      <c r="Q63" s="30"/>
      <c r="R63" s="30"/>
      <c r="S63" s="30">
        <v>29</v>
      </c>
      <c r="T63" s="30">
        <v>29</v>
      </c>
      <c r="U63" s="30">
        <v>29</v>
      </c>
      <c r="V63" s="30">
        <f>ROUNDDOWN(T63/HLOOKUP(D63,Table!$C$3:$D$4,2,0)*8,2)</f>
        <v>0.51</v>
      </c>
      <c r="W63" s="30">
        <v>0.5</v>
      </c>
      <c r="X63" s="30" t="s">
        <v>21</v>
      </c>
      <c r="Y63" s="35"/>
      <c r="Z63" s="59">
        <v>43901</v>
      </c>
      <c r="AA63" s="35">
        <v>43900</v>
      </c>
      <c r="AB63" s="35">
        <v>43900</v>
      </c>
      <c r="AC63" s="35" t="s">
        <v>184</v>
      </c>
      <c r="AD63" s="30">
        <v>100</v>
      </c>
      <c r="AE63" s="30">
        <v>100</v>
      </c>
      <c r="AF63" s="30">
        <v>100</v>
      </c>
      <c r="AG63" s="30"/>
      <c r="AH63" s="30"/>
    </row>
    <row r="64" spans="2:34" x14ac:dyDescent="0.25">
      <c r="B64" s="60">
        <f t="shared" si="0"/>
        <v>62</v>
      </c>
      <c r="C64" s="30">
        <v>20200303</v>
      </c>
      <c r="D64" s="30" t="s">
        <v>3</v>
      </c>
      <c r="E64" s="30" t="s">
        <v>135</v>
      </c>
      <c r="F64" s="33" t="s">
        <v>172</v>
      </c>
      <c r="G64" s="30">
        <v>1341660</v>
      </c>
      <c r="H64" s="34" t="s">
        <v>166</v>
      </c>
      <c r="I64" s="31" t="s">
        <v>234</v>
      </c>
      <c r="J64" s="30" t="s">
        <v>90</v>
      </c>
      <c r="K64" s="30" t="s">
        <v>186</v>
      </c>
      <c r="L64" s="33" t="str">
        <f t="shared" si="3"/>
        <v>-</v>
      </c>
      <c r="M64" s="33" t="s">
        <v>205</v>
      </c>
      <c r="N64" s="32"/>
      <c r="O64" s="32"/>
      <c r="P64" s="30" t="s">
        <v>105</v>
      </c>
      <c r="Q64" s="30"/>
      <c r="R64" s="30"/>
      <c r="S64" s="30">
        <v>110</v>
      </c>
      <c r="T64" s="30">
        <v>110</v>
      </c>
      <c r="U64" s="30">
        <v>110</v>
      </c>
      <c r="V64" s="30">
        <f>ROUNDDOWN(T64/HLOOKUP(D64,Table!$C$3:$D$4,2,0)*8,2)</f>
        <v>1.95</v>
      </c>
      <c r="W64" s="30">
        <v>1.5</v>
      </c>
      <c r="X64" s="30" t="s">
        <v>21</v>
      </c>
      <c r="Y64" s="35"/>
      <c r="Z64" s="59">
        <v>43901</v>
      </c>
      <c r="AA64" s="35">
        <v>43900</v>
      </c>
      <c r="AB64" s="35">
        <v>43900</v>
      </c>
      <c r="AC64" s="35" t="s">
        <v>184</v>
      </c>
      <c r="AD64" s="30">
        <v>100</v>
      </c>
      <c r="AE64" s="30">
        <v>100</v>
      </c>
      <c r="AF64" s="30">
        <v>100</v>
      </c>
      <c r="AG64" s="30"/>
      <c r="AH64" s="30"/>
    </row>
    <row r="65" spans="1:34" x14ac:dyDescent="0.25">
      <c r="B65" s="60">
        <f t="shared" si="0"/>
        <v>63</v>
      </c>
      <c r="C65" s="30">
        <v>20200303</v>
      </c>
      <c r="D65" s="30" t="s">
        <v>3</v>
      </c>
      <c r="E65" s="30" t="s">
        <v>135</v>
      </c>
      <c r="F65" s="33" t="s">
        <v>172</v>
      </c>
      <c r="G65" s="30">
        <v>1341660</v>
      </c>
      <c r="H65" s="34" t="s">
        <v>168</v>
      </c>
      <c r="I65" s="31" t="s">
        <v>234</v>
      </c>
      <c r="J65" s="30" t="s">
        <v>90</v>
      </c>
      <c r="K65" s="30" t="s">
        <v>186</v>
      </c>
      <c r="L65" s="33" t="str">
        <f t="shared" si="3"/>
        <v>-</v>
      </c>
      <c r="M65" s="33" t="s">
        <v>205</v>
      </c>
      <c r="N65" s="32"/>
      <c r="O65" s="32"/>
      <c r="P65" s="30" t="s">
        <v>105</v>
      </c>
      <c r="Q65" s="30"/>
      <c r="R65" s="30"/>
      <c r="S65" s="30">
        <v>42</v>
      </c>
      <c r="T65" s="30">
        <v>42</v>
      </c>
      <c r="U65" s="30">
        <v>42</v>
      </c>
      <c r="V65" s="30">
        <f>ROUNDDOWN(T65/HLOOKUP(D65,Table!$C$3:$D$4,2,0)*8,2)</f>
        <v>0.74</v>
      </c>
      <c r="W65" s="30">
        <v>0.5</v>
      </c>
      <c r="X65" s="30" t="s">
        <v>21</v>
      </c>
      <c r="Y65" s="35"/>
      <c r="Z65" s="59">
        <v>43901</v>
      </c>
      <c r="AA65" s="35">
        <v>43900</v>
      </c>
      <c r="AB65" s="35">
        <v>43900</v>
      </c>
      <c r="AC65" s="35" t="s">
        <v>184</v>
      </c>
      <c r="AD65" s="30">
        <v>100</v>
      </c>
      <c r="AE65" s="30">
        <v>100</v>
      </c>
      <c r="AF65" s="30">
        <v>100</v>
      </c>
      <c r="AG65" s="30"/>
      <c r="AH65" s="30"/>
    </row>
    <row r="66" spans="1:34" x14ac:dyDescent="0.25">
      <c r="B66" s="60">
        <f t="shared" si="0"/>
        <v>64</v>
      </c>
      <c r="C66" s="30">
        <v>20200303</v>
      </c>
      <c r="D66" s="30" t="s">
        <v>3</v>
      </c>
      <c r="E66" s="30" t="s">
        <v>135</v>
      </c>
      <c r="F66" s="33" t="s">
        <v>172</v>
      </c>
      <c r="G66" s="30">
        <v>1341660</v>
      </c>
      <c r="H66" s="34" t="s">
        <v>170</v>
      </c>
      <c r="I66" s="31" t="s">
        <v>234</v>
      </c>
      <c r="J66" s="30" t="s">
        <v>90</v>
      </c>
      <c r="K66" s="30" t="s">
        <v>186</v>
      </c>
      <c r="L66" s="33" t="str">
        <f t="shared" si="3"/>
        <v>-</v>
      </c>
      <c r="M66" s="33" t="s">
        <v>205</v>
      </c>
      <c r="N66" s="32"/>
      <c r="O66" s="32"/>
      <c r="P66" s="30" t="s">
        <v>105</v>
      </c>
      <c r="Q66" s="30"/>
      <c r="R66" s="30"/>
      <c r="S66" s="30">
        <v>44</v>
      </c>
      <c r="T66" s="30">
        <v>44</v>
      </c>
      <c r="U66" s="30">
        <v>44</v>
      </c>
      <c r="V66" s="30">
        <f>ROUNDDOWN(T66/HLOOKUP(D66,Table!$C$3:$D$4,2,0)*8,2)</f>
        <v>0.78</v>
      </c>
      <c r="W66" s="30">
        <v>0.7</v>
      </c>
      <c r="X66" s="30" t="s">
        <v>21</v>
      </c>
      <c r="Y66" s="35"/>
      <c r="Z66" s="59">
        <v>43901</v>
      </c>
      <c r="AA66" s="35">
        <v>43900</v>
      </c>
      <c r="AB66" s="35">
        <v>43900</v>
      </c>
      <c r="AC66" s="35" t="s">
        <v>184</v>
      </c>
      <c r="AD66" s="30">
        <v>100</v>
      </c>
      <c r="AE66" s="30">
        <v>100</v>
      </c>
      <c r="AF66" s="30">
        <v>100</v>
      </c>
      <c r="AG66" s="30"/>
      <c r="AH66" s="30"/>
    </row>
    <row r="67" spans="1:34" x14ac:dyDescent="0.25">
      <c r="B67" s="60">
        <f t="shared" si="0"/>
        <v>65</v>
      </c>
      <c r="C67" s="65">
        <v>20200305</v>
      </c>
      <c r="D67" s="30" t="s">
        <v>3</v>
      </c>
      <c r="E67" s="30" t="s">
        <v>259</v>
      </c>
      <c r="F67" s="33" t="s">
        <v>255</v>
      </c>
      <c r="G67" s="30">
        <v>1359400</v>
      </c>
      <c r="H67" s="30" t="s">
        <v>260</v>
      </c>
      <c r="I67" s="30" t="s">
        <v>233</v>
      </c>
      <c r="J67" s="30" t="s">
        <v>90</v>
      </c>
      <c r="K67" s="30" t="s">
        <v>111</v>
      </c>
      <c r="L67" s="33" t="str">
        <f t="shared" si="3"/>
        <v>-</v>
      </c>
      <c r="M67" s="33" t="s">
        <v>266</v>
      </c>
      <c r="N67" s="32"/>
      <c r="O67" s="32"/>
      <c r="P67" s="30" t="s">
        <v>105</v>
      </c>
      <c r="Q67" s="30"/>
      <c r="R67" s="30"/>
      <c r="S67" s="30">
        <v>117</v>
      </c>
      <c r="T67" s="30">
        <v>117</v>
      </c>
      <c r="U67" s="30">
        <v>117</v>
      </c>
      <c r="V67" s="30">
        <f>ROUNDDOWN(T67/HLOOKUP(D67,Table!$C$3:$D$4,2,0)*8,2)</f>
        <v>2.08</v>
      </c>
      <c r="W67" s="30">
        <v>3</v>
      </c>
      <c r="X67" s="30" t="s">
        <v>21</v>
      </c>
      <c r="Y67" s="35"/>
      <c r="Z67" s="59">
        <v>43901</v>
      </c>
      <c r="AA67" s="35">
        <v>43900</v>
      </c>
      <c r="AB67" s="35">
        <v>43900</v>
      </c>
      <c r="AC67" s="38" t="s">
        <v>184</v>
      </c>
      <c r="AD67" s="30">
        <v>100</v>
      </c>
      <c r="AE67" s="30">
        <v>100</v>
      </c>
      <c r="AF67" s="30">
        <v>100</v>
      </c>
      <c r="AG67" s="30"/>
      <c r="AH67" s="30"/>
    </row>
    <row r="68" spans="1:34" x14ac:dyDescent="0.25">
      <c r="B68" s="60">
        <f t="shared" si="0"/>
        <v>66</v>
      </c>
      <c r="C68" s="65">
        <v>20200305</v>
      </c>
      <c r="D68" s="30" t="s">
        <v>3</v>
      </c>
      <c r="E68" s="30" t="s">
        <v>93</v>
      </c>
      <c r="F68" s="33" t="s">
        <v>256</v>
      </c>
      <c r="G68" s="30">
        <v>1357606</v>
      </c>
      <c r="H68" s="30" t="s">
        <v>261</v>
      </c>
      <c r="I68" s="30" t="s">
        <v>233</v>
      </c>
      <c r="J68" s="30" t="s">
        <v>90</v>
      </c>
      <c r="K68" s="30" t="s">
        <v>111</v>
      </c>
      <c r="L68" s="33" t="str">
        <f t="shared" si="3"/>
        <v>-</v>
      </c>
      <c r="M68" s="33" t="s">
        <v>267</v>
      </c>
      <c r="N68" s="32"/>
      <c r="O68" s="32"/>
      <c r="P68" s="30" t="s">
        <v>105</v>
      </c>
      <c r="Q68" s="30"/>
      <c r="R68" s="30"/>
      <c r="S68" s="30">
        <v>55</v>
      </c>
      <c r="T68" s="31">
        <v>122</v>
      </c>
      <c r="U68" s="30">
        <v>122</v>
      </c>
      <c r="V68" s="30">
        <f>ROUNDDOWN(T68/HLOOKUP(D68,Table!$C$3:$D$4,2,0)*8,2)</f>
        <v>2.16</v>
      </c>
      <c r="W68" s="30">
        <v>1.5</v>
      </c>
      <c r="X68" s="30" t="s">
        <v>21</v>
      </c>
      <c r="Y68" s="35"/>
      <c r="Z68" s="59">
        <v>43901</v>
      </c>
      <c r="AA68" s="35">
        <v>43901</v>
      </c>
      <c r="AB68" s="35">
        <v>43901</v>
      </c>
      <c r="AC68" s="38" t="s">
        <v>184</v>
      </c>
      <c r="AD68" s="30">
        <v>100</v>
      </c>
      <c r="AE68" s="30">
        <v>100</v>
      </c>
      <c r="AF68" s="30">
        <v>100</v>
      </c>
      <c r="AG68" s="30" t="s">
        <v>346</v>
      </c>
      <c r="AH68" s="30"/>
    </row>
    <row r="69" spans="1:34" x14ac:dyDescent="0.25">
      <c r="B69" s="60">
        <f t="shared" ref="B69:B148" si="4">B68+1</f>
        <v>67</v>
      </c>
      <c r="C69" s="65">
        <v>20200305</v>
      </c>
      <c r="D69" s="30" t="s">
        <v>3</v>
      </c>
      <c r="E69" s="30" t="s">
        <v>93</v>
      </c>
      <c r="F69" s="33" t="s">
        <v>257</v>
      </c>
      <c r="G69" s="30">
        <v>1357606</v>
      </c>
      <c r="H69" s="30" t="s">
        <v>262</v>
      </c>
      <c r="I69" s="30" t="s">
        <v>233</v>
      </c>
      <c r="J69" s="30" t="s">
        <v>90</v>
      </c>
      <c r="K69" s="30" t="s">
        <v>111</v>
      </c>
      <c r="L69" s="33" t="str">
        <f t="shared" si="3"/>
        <v>-</v>
      </c>
      <c r="M69" s="33" t="s">
        <v>267</v>
      </c>
      <c r="N69" s="32"/>
      <c r="O69" s="32"/>
      <c r="P69" s="30" t="s">
        <v>105</v>
      </c>
      <c r="Q69" s="30"/>
      <c r="R69" s="30"/>
      <c r="S69" s="30">
        <v>60</v>
      </c>
      <c r="T69" s="30">
        <v>60</v>
      </c>
      <c r="U69" s="30">
        <v>60</v>
      </c>
      <c r="V69" s="30">
        <f>ROUNDDOWN(T69/HLOOKUP(D69,Table!$C$3:$D$4,2,0)*8,2)</f>
        <v>1.06</v>
      </c>
      <c r="W69" s="30">
        <v>0.5</v>
      </c>
      <c r="X69" s="30" t="s">
        <v>21</v>
      </c>
      <c r="Y69" s="35"/>
      <c r="Z69" s="59">
        <v>43901</v>
      </c>
      <c r="AA69" s="35">
        <v>43901</v>
      </c>
      <c r="AB69" s="35">
        <v>43901</v>
      </c>
      <c r="AC69" s="38" t="s">
        <v>184</v>
      </c>
      <c r="AD69" s="30">
        <v>100</v>
      </c>
      <c r="AE69" s="30">
        <v>100</v>
      </c>
      <c r="AF69" s="30">
        <v>100</v>
      </c>
      <c r="AG69" s="30"/>
      <c r="AH69" s="30"/>
    </row>
    <row r="70" spans="1:34" x14ac:dyDescent="0.25">
      <c r="B70" s="60">
        <f t="shared" si="4"/>
        <v>68</v>
      </c>
      <c r="C70" s="65">
        <v>20200305</v>
      </c>
      <c r="D70" s="30" t="s">
        <v>3</v>
      </c>
      <c r="E70" s="30" t="s">
        <v>93</v>
      </c>
      <c r="F70" s="33" t="s">
        <v>257</v>
      </c>
      <c r="G70" s="30">
        <v>1357606</v>
      </c>
      <c r="H70" s="30" t="s">
        <v>263</v>
      </c>
      <c r="I70" s="30" t="s">
        <v>233</v>
      </c>
      <c r="J70" s="30" t="s">
        <v>90</v>
      </c>
      <c r="K70" s="30" t="s">
        <v>111</v>
      </c>
      <c r="L70" s="33" t="str">
        <f t="shared" si="3"/>
        <v>-</v>
      </c>
      <c r="M70" s="33" t="s">
        <v>267</v>
      </c>
      <c r="N70" s="32"/>
      <c r="O70" s="32"/>
      <c r="P70" s="30" t="s">
        <v>105</v>
      </c>
      <c r="Q70" s="30"/>
      <c r="R70" s="30"/>
      <c r="S70" s="30">
        <v>30</v>
      </c>
      <c r="T70" s="30">
        <v>30</v>
      </c>
      <c r="U70" s="30">
        <v>30</v>
      </c>
      <c r="V70" s="30">
        <f>ROUNDDOWN(T70/HLOOKUP(D70,Table!$C$3:$D$4,2,0)*8,2)</f>
        <v>0.53</v>
      </c>
      <c r="W70" s="30">
        <v>0.2</v>
      </c>
      <c r="X70" s="30" t="s">
        <v>21</v>
      </c>
      <c r="Y70" s="35"/>
      <c r="Z70" s="59">
        <v>43901</v>
      </c>
      <c r="AA70" s="35">
        <v>43901</v>
      </c>
      <c r="AB70" s="35">
        <v>43901</v>
      </c>
      <c r="AC70" s="38" t="s">
        <v>184</v>
      </c>
      <c r="AD70" s="30">
        <v>100</v>
      </c>
      <c r="AE70" s="30">
        <v>100</v>
      </c>
      <c r="AF70" s="30">
        <v>100</v>
      </c>
      <c r="AG70" s="30"/>
      <c r="AH70" s="30"/>
    </row>
    <row r="71" spans="1:34" x14ac:dyDescent="0.25">
      <c r="B71" s="60">
        <f t="shared" si="4"/>
        <v>69</v>
      </c>
      <c r="C71" s="65">
        <v>20200305</v>
      </c>
      <c r="D71" s="30" t="s">
        <v>3</v>
      </c>
      <c r="E71" s="30" t="s">
        <v>93</v>
      </c>
      <c r="F71" s="33" t="s">
        <v>257</v>
      </c>
      <c r="G71" s="30">
        <v>1357606</v>
      </c>
      <c r="H71" s="30" t="s">
        <v>264</v>
      </c>
      <c r="I71" s="30" t="s">
        <v>233</v>
      </c>
      <c r="J71" s="30" t="s">
        <v>90</v>
      </c>
      <c r="K71" s="30" t="s">
        <v>111</v>
      </c>
      <c r="L71" s="33" t="str">
        <f t="shared" si="3"/>
        <v>-</v>
      </c>
      <c r="M71" s="33" t="s">
        <v>267</v>
      </c>
      <c r="N71" s="32"/>
      <c r="O71" s="32"/>
      <c r="P71" s="30" t="s">
        <v>105</v>
      </c>
      <c r="Q71" s="30"/>
      <c r="R71" s="30"/>
      <c r="S71" s="30">
        <v>34</v>
      </c>
      <c r="T71" s="30">
        <v>34</v>
      </c>
      <c r="U71" s="30">
        <v>34</v>
      </c>
      <c r="V71" s="30">
        <f>ROUNDDOWN(T71/HLOOKUP(D71,Table!$C$3:$D$4,2,0)*8,2)</f>
        <v>0.6</v>
      </c>
      <c r="W71" s="30">
        <v>0.3</v>
      </c>
      <c r="X71" s="30" t="s">
        <v>21</v>
      </c>
      <c r="Y71" s="35"/>
      <c r="Z71" s="59">
        <v>43901</v>
      </c>
      <c r="AA71" s="35">
        <v>43901</v>
      </c>
      <c r="AB71" s="35">
        <v>43901</v>
      </c>
      <c r="AC71" s="38" t="s">
        <v>184</v>
      </c>
      <c r="AD71" s="30">
        <v>100</v>
      </c>
      <c r="AE71" s="30">
        <v>100</v>
      </c>
      <c r="AF71" s="30">
        <v>100</v>
      </c>
      <c r="AG71" s="30"/>
      <c r="AH71" s="30"/>
    </row>
    <row r="72" spans="1:34" x14ac:dyDescent="0.25">
      <c r="B72" s="60">
        <f t="shared" si="4"/>
        <v>70</v>
      </c>
      <c r="C72" s="65">
        <v>20200305</v>
      </c>
      <c r="D72" s="30" t="s">
        <v>3</v>
      </c>
      <c r="E72" s="30" t="s">
        <v>93</v>
      </c>
      <c r="F72" s="33" t="s">
        <v>257</v>
      </c>
      <c r="G72" s="30">
        <v>1357606</v>
      </c>
      <c r="H72" s="30" t="s">
        <v>84</v>
      </c>
      <c r="I72" s="30" t="s">
        <v>233</v>
      </c>
      <c r="J72" s="30" t="s">
        <v>90</v>
      </c>
      <c r="K72" s="30" t="s">
        <v>111</v>
      </c>
      <c r="L72" s="33" t="str">
        <f t="shared" si="3"/>
        <v>-</v>
      </c>
      <c r="M72" s="33" t="s">
        <v>267</v>
      </c>
      <c r="N72" s="32"/>
      <c r="O72" s="32"/>
      <c r="P72" s="30" t="s">
        <v>106</v>
      </c>
      <c r="Q72" s="30"/>
      <c r="R72" s="30"/>
      <c r="S72" s="30">
        <v>357</v>
      </c>
      <c r="T72" s="30">
        <v>357</v>
      </c>
      <c r="U72" s="30"/>
      <c r="V72" s="51">
        <f>ROUNDDOWN(T72/HLOOKUP(D72,Table!$C$3:$D$4,2,0)*8,2)</f>
        <v>6.34</v>
      </c>
      <c r="W72" s="30">
        <v>1</v>
      </c>
      <c r="X72" s="30" t="s">
        <v>21</v>
      </c>
      <c r="Y72" s="35"/>
      <c r="Z72" s="59">
        <v>43901</v>
      </c>
      <c r="AA72" s="35">
        <v>43900</v>
      </c>
      <c r="AB72" s="35">
        <v>43900</v>
      </c>
      <c r="AC72" s="35" t="s">
        <v>184</v>
      </c>
      <c r="AD72" s="30">
        <v>100</v>
      </c>
      <c r="AE72" s="30">
        <v>100</v>
      </c>
      <c r="AF72" s="30">
        <v>100</v>
      </c>
      <c r="AG72" s="30"/>
      <c r="AH72" s="30"/>
    </row>
    <row r="73" spans="1:34" x14ac:dyDescent="0.25">
      <c r="B73" s="60">
        <f t="shared" si="4"/>
        <v>71</v>
      </c>
      <c r="C73" s="65">
        <v>20200305</v>
      </c>
      <c r="D73" s="30" t="s">
        <v>3</v>
      </c>
      <c r="E73" s="30" t="s">
        <v>93</v>
      </c>
      <c r="F73" s="33" t="s">
        <v>258</v>
      </c>
      <c r="G73" s="30">
        <v>1357606</v>
      </c>
      <c r="H73" s="30" t="s">
        <v>265</v>
      </c>
      <c r="I73" s="30" t="s">
        <v>233</v>
      </c>
      <c r="J73" s="30" t="s">
        <v>90</v>
      </c>
      <c r="K73" s="30" t="s">
        <v>111</v>
      </c>
      <c r="L73" s="33" t="str">
        <f t="shared" si="3"/>
        <v>-</v>
      </c>
      <c r="M73" s="33" t="s">
        <v>267</v>
      </c>
      <c r="N73" s="32"/>
      <c r="O73" s="32"/>
      <c r="P73" s="30" t="s">
        <v>106</v>
      </c>
      <c r="Q73" s="30"/>
      <c r="R73" s="30"/>
      <c r="S73" s="30">
        <v>431</v>
      </c>
      <c r="T73" s="30">
        <v>431</v>
      </c>
      <c r="U73" s="30"/>
      <c r="V73" s="30">
        <f>ROUNDDOWN(T73/HLOOKUP(D73,Table!$C$3:$D$4,2,0)*8,2)</f>
        <v>7.66</v>
      </c>
      <c r="W73" s="30">
        <v>1</v>
      </c>
      <c r="X73" s="51" t="s">
        <v>21</v>
      </c>
      <c r="Y73" s="35"/>
      <c r="Z73" s="59">
        <v>43901</v>
      </c>
      <c r="AA73" s="35">
        <v>43900</v>
      </c>
      <c r="AB73" s="35">
        <v>43900</v>
      </c>
      <c r="AC73" s="35" t="s">
        <v>184</v>
      </c>
      <c r="AD73" s="30">
        <v>100</v>
      </c>
      <c r="AE73" s="30">
        <v>100</v>
      </c>
      <c r="AF73" s="30">
        <v>100</v>
      </c>
      <c r="AG73" s="30"/>
      <c r="AH73" s="30"/>
    </row>
    <row r="74" spans="1:34" ht="15.75" thickBot="1" x14ac:dyDescent="0.3">
      <c r="B74" s="64">
        <f t="shared" si="4"/>
        <v>72</v>
      </c>
      <c r="C74" s="30">
        <v>20200304</v>
      </c>
      <c r="D74" s="30" t="s">
        <v>3</v>
      </c>
      <c r="E74" s="30" t="s">
        <v>268</v>
      </c>
      <c r="F74" s="33" t="s">
        <v>286</v>
      </c>
      <c r="G74" s="58">
        <v>1357257</v>
      </c>
      <c r="H74" s="87" t="s">
        <v>269</v>
      </c>
      <c r="I74" s="31" t="s">
        <v>234</v>
      </c>
      <c r="J74" s="30" t="s">
        <v>90</v>
      </c>
      <c r="K74" s="30" t="s">
        <v>283</v>
      </c>
      <c r="L74" s="33" t="str">
        <f t="shared" si="3"/>
        <v>-</v>
      </c>
      <c r="M74" s="33" t="s">
        <v>284</v>
      </c>
      <c r="N74" s="32"/>
      <c r="O74" s="32"/>
      <c r="P74" s="30" t="s">
        <v>106</v>
      </c>
      <c r="Q74" s="30"/>
      <c r="R74" s="30"/>
      <c r="S74" s="30">
        <v>1993</v>
      </c>
      <c r="T74" s="30">
        <v>1993</v>
      </c>
      <c r="U74" s="30"/>
      <c r="V74" s="30">
        <f>ROUNDDOWN(T74/HLOOKUP(D74,Table!$C$3:$D$4,2,0)*8,2)</f>
        <v>35.43</v>
      </c>
      <c r="W74" s="30">
        <v>3</v>
      </c>
      <c r="X74" s="51" t="s">
        <v>21</v>
      </c>
      <c r="Y74" s="35"/>
      <c r="Z74" s="35">
        <v>43902</v>
      </c>
      <c r="AA74" s="38">
        <v>43901</v>
      </c>
      <c r="AB74" s="38">
        <v>43901</v>
      </c>
      <c r="AC74" s="38" t="s">
        <v>183</v>
      </c>
      <c r="AD74" s="30">
        <v>100</v>
      </c>
      <c r="AE74" s="30">
        <v>100</v>
      </c>
      <c r="AF74" s="30">
        <v>100</v>
      </c>
      <c r="AG74" s="30" t="s">
        <v>347</v>
      </c>
      <c r="AH74" s="30"/>
    </row>
    <row r="75" spans="1:34" ht="15.75" thickBot="1" x14ac:dyDescent="0.3">
      <c r="B75" s="64">
        <f t="shared" si="4"/>
        <v>73</v>
      </c>
      <c r="C75" s="30">
        <v>20200304</v>
      </c>
      <c r="D75" s="30" t="s">
        <v>3</v>
      </c>
      <c r="E75" s="30" t="s">
        <v>268</v>
      </c>
      <c r="F75" s="33" t="s">
        <v>286</v>
      </c>
      <c r="G75" s="58">
        <v>1357257</v>
      </c>
      <c r="H75" s="87" t="s">
        <v>270</v>
      </c>
      <c r="I75" s="31" t="s">
        <v>234</v>
      </c>
      <c r="J75" s="30" t="s">
        <v>90</v>
      </c>
      <c r="K75" s="30" t="s">
        <v>283</v>
      </c>
      <c r="L75" s="33" t="str">
        <f t="shared" si="3"/>
        <v>-</v>
      </c>
      <c r="M75" s="33" t="s">
        <v>284</v>
      </c>
      <c r="N75" s="32"/>
      <c r="O75" s="32"/>
      <c r="P75" s="30" t="s">
        <v>106</v>
      </c>
      <c r="Q75" s="30"/>
      <c r="R75" s="30"/>
      <c r="S75" s="30">
        <v>489</v>
      </c>
      <c r="T75" s="30">
        <v>489</v>
      </c>
      <c r="U75" s="30"/>
      <c r="V75" s="30">
        <f>ROUNDDOWN(T75/HLOOKUP(D75,Table!$C$3:$D$4,2,0)*8,2)</f>
        <v>8.69</v>
      </c>
      <c r="W75" s="30">
        <v>2</v>
      </c>
      <c r="X75" s="51" t="s">
        <v>21</v>
      </c>
      <c r="Y75" s="35"/>
      <c r="Z75" s="35">
        <v>43902</v>
      </c>
      <c r="AA75" s="38">
        <v>43901</v>
      </c>
      <c r="AB75" s="38">
        <v>43901</v>
      </c>
      <c r="AC75" s="38" t="s">
        <v>184</v>
      </c>
      <c r="AD75" s="30">
        <v>100</v>
      </c>
      <c r="AE75" s="30">
        <v>100</v>
      </c>
      <c r="AF75" s="30">
        <v>100</v>
      </c>
      <c r="AG75" s="30"/>
      <c r="AH75" s="30"/>
    </row>
    <row r="76" spans="1:34" ht="15.75" thickBot="1" x14ac:dyDescent="0.3">
      <c r="B76" s="64">
        <f t="shared" si="4"/>
        <v>74</v>
      </c>
      <c r="C76" s="30">
        <v>20200304</v>
      </c>
      <c r="D76" s="30" t="s">
        <v>3</v>
      </c>
      <c r="E76" s="30" t="s">
        <v>268</v>
      </c>
      <c r="F76" s="33" t="s">
        <v>286</v>
      </c>
      <c r="G76" s="58">
        <v>1357257</v>
      </c>
      <c r="H76" s="87" t="s">
        <v>271</v>
      </c>
      <c r="I76" s="31" t="s">
        <v>234</v>
      </c>
      <c r="J76" s="30" t="s">
        <v>90</v>
      </c>
      <c r="K76" s="30" t="s">
        <v>283</v>
      </c>
      <c r="L76" s="33" t="str">
        <f t="shared" si="3"/>
        <v>-</v>
      </c>
      <c r="M76" s="33" t="s">
        <v>284</v>
      </c>
      <c r="N76" s="32"/>
      <c r="O76" s="32"/>
      <c r="P76" s="30" t="s">
        <v>105</v>
      </c>
      <c r="Q76" s="30"/>
      <c r="R76" s="30"/>
      <c r="S76" s="30">
        <v>593</v>
      </c>
      <c r="T76" s="31">
        <v>587</v>
      </c>
      <c r="U76" s="30">
        <v>587</v>
      </c>
      <c r="V76" s="30">
        <f>ROUNDDOWN(T76/HLOOKUP(D76,Table!$C$3:$D$4,2,0)*8,2)</f>
        <v>10.43</v>
      </c>
      <c r="W76" s="30">
        <v>5.8</v>
      </c>
      <c r="X76" s="30" t="s">
        <v>21</v>
      </c>
      <c r="Y76" s="35"/>
      <c r="Z76" s="35">
        <v>43902</v>
      </c>
      <c r="AA76" s="38">
        <v>43901</v>
      </c>
      <c r="AB76" s="38">
        <v>43902</v>
      </c>
      <c r="AC76" s="38" t="s">
        <v>184</v>
      </c>
      <c r="AD76" s="30">
        <v>100</v>
      </c>
      <c r="AE76" s="30">
        <v>100</v>
      </c>
      <c r="AF76" s="30">
        <v>100</v>
      </c>
      <c r="AG76" s="30"/>
      <c r="AH76" s="30"/>
    </row>
    <row r="77" spans="1:34" x14ac:dyDescent="0.25">
      <c r="B77" s="64">
        <f t="shared" si="4"/>
        <v>75</v>
      </c>
      <c r="C77" s="30">
        <v>20200304</v>
      </c>
      <c r="D77" s="30" t="s">
        <v>3</v>
      </c>
      <c r="E77" s="30" t="s">
        <v>268</v>
      </c>
      <c r="F77" s="33" t="s">
        <v>287</v>
      </c>
      <c r="G77" s="30">
        <v>1357355</v>
      </c>
      <c r="H77" s="87" t="s">
        <v>272</v>
      </c>
      <c r="I77" s="31" t="s">
        <v>234</v>
      </c>
      <c r="J77" s="30" t="s">
        <v>90</v>
      </c>
      <c r="K77" s="30" t="s">
        <v>283</v>
      </c>
      <c r="L77" s="33" t="str">
        <f t="shared" si="3"/>
        <v>-</v>
      </c>
      <c r="M77" s="33" t="s">
        <v>285</v>
      </c>
      <c r="N77" s="32"/>
      <c r="O77" s="32"/>
      <c r="P77" s="30" t="s">
        <v>103</v>
      </c>
      <c r="Q77" s="30"/>
      <c r="R77" s="30"/>
      <c r="S77" s="30">
        <v>165</v>
      </c>
      <c r="T77" s="30">
        <v>165</v>
      </c>
      <c r="U77" s="30"/>
      <c r="V77" s="30">
        <f>ROUNDDOWN(T77/HLOOKUP(D77,Table!$C$3:$D$4,2,0)*8,2)</f>
        <v>2.93</v>
      </c>
      <c r="W77" s="30">
        <v>3</v>
      </c>
      <c r="X77" s="30" t="s">
        <v>23</v>
      </c>
      <c r="Y77" s="35"/>
      <c r="Z77" s="35">
        <v>43902</v>
      </c>
      <c r="AA77" s="38"/>
      <c r="AB77" s="38"/>
      <c r="AC77" s="38"/>
      <c r="AD77" s="30"/>
      <c r="AE77" s="30"/>
      <c r="AF77" s="30"/>
      <c r="AG77" s="30"/>
      <c r="AH77" s="30"/>
    </row>
    <row r="78" spans="1:34" x14ac:dyDescent="0.25">
      <c r="B78" s="64">
        <f t="shared" si="4"/>
        <v>76</v>
      </c>
      <c r="C78" s="30">
        <v>20200304</v>
      </c>
      <c r="D78" s="30" t="s">
        <v>3</v>
      </c>
      <c r="E78" s="30" t="s">
        <v>268</v>
      </c>
      <c r="F78" s="33" t="s">
        <v>288</v>
      </c>
      <c r="G78" s="30">
        <v>1357355</v>
      </c>
      <c r="H78" s="87" t="s">
        <v>273</v>
      </c>
      <c r="I78" s="31" t="s">
        <v>234</v>
      </c>
      <c r="J78" s="30" t="s">
        <v>90</v>
      </c>
      <c r="K78" s="30" t="s">
        <v>283</v>
      </c>
      <c r="L78" s="33" t="str">
        <f t="shared" si="3"/>
        <v>-</v>
      </c>
      <c r="M78" s="33" t="s">
        <v>285</v>
      </c>
      <c r="N78" s="32"/>
      <c r="O78" s="32"/>
      <c r="P78" s="51" t="s">
        <v>106</v>
      </c>
      <c r="Q78" s="30"/>
      <c r="R78" s="30"/>
      <c r="S78" s="30">
        <v>8</v>
      </c>
      <c r="T78" s="30">
        <v>8</v>
      </c>
      <c r="U78" s="30">
        <v>8</v>
      </c>
      <c r="V78" s="30">
        <f>ROUNDDOWN(T78/HLOOKUP(D78,Table!$C$3:$D$4,2,0)*8,2)</f>
        <v>0.14000000000000001</v>
      </c>
      <c r="W78" s="30">
        <v>0.2</v>
      </c>
      <c r="X78" s="30" t="s">
        <v>21</v>
      </c>
      <c r="Y78" s="35"/>
      <c r="Z78" s="35">
        <v>43902</v>
      </c>
      <c r="AA78" s="38">
        <v>43901</v>
      </c>
      <c r="AB78" s="38">
        <v>43901</v>
      </c>
      <c r="AC78" s="38" t="s">
        <v>184</v>
      </c>
      <c r="AD78" s="30">
        <v>100</v>
      </c>
      <c r="AE78" s="30">
        <v>100</v>
      </c>
      <c r="AF78" s="30">
        <v>100</v>
      </c>
      <c r="AG78" s="30"/>
      <c r="AH78" s="30"/>
    </row>
    <row r="79" spans="1:34" x14ac:dyDescent="0.25">
      <c r="B79" s="64">
        <f t="shared" si="4"/>
        <v>77</v>
      </c>
      <c r="C79" s="30">
        <v>20200304</v>
      </c>
      <c r="D79" s="30" t="s">
        <v>3</v>
      </c>
      <c r="E79" s="30" t="s">
        <v>268</v>
      </c>
      <c r="F79" s="33" t="s">
        <v>289</v>
      </c>
      <c r="G79" s="30">
        <v>1357355</v>
      </c>
      <c r="H79" s="87" t="s">
        <v>274</v>
      </c>
      <c r="I79" s="31" t="s">
        <v>234</v>
      </c>
      <c r="J79" s="30" t="s">
        <v>90</v>
      </c>
      <c r="K79" s="30" t="s">
        <v>283</v>
      </c>
      <c r="L79" s="33" t="str">
        <f t="shared" si="3"/>
        <v>-</v>
      </c>
      <c r="M79" s="33" t="s">
        <v>285</v>
      </c>
      <c r="N79" s="32"/>
      <c r="O79" s="32"/>
      <c r="P79" s="30" t="s">
        <v>106</v>
      </c>
      <c r="Q79" s="30"/>
      <c r="R79" s="30"/>
      <c r="S79" s="30">
        <v>71</v>
      </c>
      <c r="T79" s="30">
        <v>71</v>
      </c>
      <c r="U79" s="30"/>
      <c r="V79" s="30">
        <f>ROUNDDOWN(T79/HLOOKUP(D79,Table!$C$3:$D$4,2,0)*8,2)</f>
        <v>1.26</v>
      </c>
      <c r="W79" s="30">
        <v>0.5</v>
      </c>
      <c r="X79" s="30" t="s">
        <v>21</v>
      </c>
      <c r="Y79" s="35"/>
      <c r="Z79" s="35">
        <v>43902</v>
      </c>
      <c r="AA79" s="38">
        <v>43901</v>
      </c>
      <c r="AB79" s="38">
        <v>43901</v>
      </c>
      <c r="AC79" s="38" t="s">
        <v>184</v>
      </c>
      <c r="AD79" s="30">
        <v>100</v>
      </c>
      <c r="AE79" s="30">
        <v>100</v>
      </c>
      <c r="AF79" s="30">
        <v>100</v>
      </c>
      <c r="AG79" s="30"/>
      <c r="AH79" s="30"/>
    </row>
    <row r="80" spans="1:34" x14ac:dyDescent="0.25">
      <c r="B80" s="64">
        <f t="shared" si="4"/>
        <v>78</v>
      </c>
      <c r="C80" s="30">
        <v>20200304</v>
      </c>
      <c r="D80" s="30" t="s">
        <v>3</v>
      </c>
      <c r="E80" s="30" t="s">
        <v>268</v>
      </c>
      <c r="F80" s="33" t="s">
        <v>289</v>
      </c>
      <c r="G80" s="30">
        <v>1357355</v>
      </c>
      <c r="H80" s="87" t="s">
        <v>261</v>
      </c>
      <c r="I80" s="31" t="s">
        <v>234</v>
      </c>
      <c r="J80" s="30" t="s">
        <v>90</v>
      </c>
      <c r="K80" s="30" t="s">
        <v>283</v>
      </c>
      <c r="L80" s="33" t="str">
        <f t="shared" si="3"/>
        <v>-</v>
      </c>
      <c r="M80" s="33" t="s">
        <v>285</v>
      </c>
      <c r="N80" s="32"/>
      <c r="O80" s="32"/>
      <c r="P80" s="51" t="s">
        <v>106</v>
      </c>
      <c r="Q80" s="30"/>
      <c r="R80" s="30"/>
      <c r="S80" s="30">
        <v>55</v>
      </c>
      <c r="T80" s="30"/>
      <c r="U80" s="30"/>
      <c r="V80" s="30">
        <f>ROUNDDOWN(T80/HLOOKUP(D80,Table!$C$3:$D$4,2,0)*8,2)</f>
        <v>0</v>
      </c>
      <c r="W80" s="30">
        <v>0.5</v>
      </c>
      <c r="X80" s="30" t="s">
        <v>21</v>
      </c>
      <c r="Y80" s="35"/>
      <c r="Z80" s="35">
        <v>43902</v>
      </c>
      <c r="AA80" s="38">
        <v>43901</v>
      </c>
      <c r="AB80" s="38">
        <v>43901</v>
      </c>
      <c r="AC80" s="38" t="s">
        <v>184</v>
      </c>
      <c r="AD80" s="30">
        <v>100</v>
      </c>
      <c r="AE80" s="30">
        <v>100</v>
      </c>
      <c r="AF80" s="30">
        <v>100</v>
      </c>
      <c r="AG80" s="30"/>
      <c r="AH80" s="30"/>
    </row>
    <row r="81" spans="1:34" x14ac:dyDescent="0.25">
      <c r="B81" s="64">
        <f t="shared" si="4"/>
        <v>79</v>
      </c>
      <c r="C81" s="30">
        <v>20200304</v>
      </c>
      <c r="D81" s="30" t="s">
        <v>3</v>
      </c>
      <c r="E81" s="30" t="s">
        <v>268</v>
      </c>
      <c r="F81" s="33" t="s">
        <v>289</v>
      </c>
      <c r="G81" s="30">
        <v>1357355</v>
      </c>
      <c r="H81" s="87" t="s">
        <v>275</v>
      </c>
      <c r="I81" s="31" t="s">
        <v>234</v>
      </c>
      <c r="J81" s="30" t="s">
        <v>90</v>
      </c>
      <c r="K81" s="30" t="s">
        <v>283</v>
      </c>
      <c r="L81" s="33" t="str">
        <f t="shared" si="3"/>
        <v>-</v>
      </c>
      <c r="M81" s="33" t="s">
        <v>285</v>
      </c>
      <c r="N81" s="32"/>
      <c r="O81" s="32"/>
      <c r="P81" s="51" t="s">
        <v>106</v>
      </c>
      <c r="Q81" s="30"/>
      <c r="R81" s="30"/>
      <c r="S81" s="30">
        <v>64</v>
      </c>
      <c r="T81" s="30"/>
      <c r="U81" s="30"/>
      <c r="V81" s="30">
        <f>ROUNDDOWN(T81/HLOOKUP(D81,Table!$C$3:$D$4,2,0)*8,2)</f>
        <v>0</v>
      </c>
      <c r="W81" s="30">
        <v>0.5</v>
      </c>
      <c r="X81" s="30" t="s">
        <v>21</v>
      </c>
      <c r="Y81" s="35"/>
      <c r="Z81" s="35">
        <v>43902</v>
      </c>
      <c r="AA81" s="38">
        <v>43901</v>
      </c>
      <c r="AB81" s="38">
        <v>43901</v>
      </c>
      <c r="AC81" s="38" t="s">
        <v>184</v>
      </c>
      <c r="AD81" s="30">
        <v>100</v>
      </c>
      <c r="AE81" s="30">
        <v>100</v>
      </c>
      <c r="AF81" s="30">
        <v>100</v>
      </c>
      <c r="AG81" s="30"/>
      <c r="AH81" s="30"/>
    </row>
    <row r="82" spans="1:34" x14ac:dyDescent="0.25">
      <c r="B82" s="64">
        <f t="shared" si="4"/>
        <v>80</v>
      </c>
      <c r="C82" s="30">
        <v>20200304</v>
      </c>
      <c r="D82" s="30" t="s">
        <v>3</v>
      </c>
      <c r="E82" s="30" t="s">
        <v>268</v>
      </c>
      <c r="F82" s="33" t="s">
        <v>289</v>
      </c>
      <c r="G82" s="30">
        <v>1357355</v>
      </c>
      <c r="H82" s="87" t="s">
        <v>276</v>
      </c>
      <c r="I82" s="31" t="s">
        <v>234</v>
      </c>
      <c r="J82" s="30" t="s">
        <v>90</v>
      </c>
      <c r="K82" s="30" t="s">
        <v>283</v>
      </c>
      <c r="L82" s="33" t="str">
        <f t="shared" si="3"/>
        <v>-</v>
      </c>
      <c r="M82" s="33" t="s">
        <v>285</v>
      </c>
      <c r="N82" s="32"/>
      <c r="O82" s="32"/>
      <c r="P82" s="30" t="s">
        <v>106</v>
      </c>
      <c r="Q82" s="30"/>
      <c r="R82" s="30"/>
      <c r="S82" s="30">
        <v>69</v>
      </c>
      <c r="T82" s="30">
        <v>69</v>
      </c>
      <c r="U82" s="30"/>
      <c r="V82" s="30">
        <f>ROUNDDOWN(T82/HLOOKUP(D82,Table!$C$3:$D$4,2,0)*8,2)</f>
        <v>1.22</v>
      </c>
      <c r="W82" s="30">
        <v>0.2</v>
      </c>
      <c r="X82" s="30" t="s">
        <v>21</v>
      </c>
      <c r="Y82" s="35"/>
      <c r="Z82" s="35">
        <v>43902</v>
      </c>
      <c r="AA82" s="38">
        <v>43901</v>
      </c>
      <c r="AB82" s="38">
        <v>43901</v>
      </c>
      <c r="AC82" s="38" t="s">
        <v>184</v>
      </c>
      <c r="AD82" s="30">
        <v>100</v>
      </c>
      <c r="AE82" s="30">
        <v>100</v>
      </c>
      <c r="AF82" s="30">
        <v>100</v>
      </c>
      <c r="AG82" s="30"/>
      <c r="AH82" s="30"/>
    </row>
    <row r="83" spans="1:34" x14ac:dyDescent="0.25">
      <c r="B83" s="64">
        <f t="shared" si="4"/>
        <v>81</v>
      </c>
      <c r="C83" s="30">
        <v>20200304</v>
      </c>
      <c r="D83" s="30" t="s">
        <v>3</v>
      </c>
      <c r="E83" s="30" t="s">
        <v>268</v>
      </c>
      <c r="F83" s="33" t="s">
        <v>290</v>
      </c>
      <c r="G83" s="30">
        <v>1357355</v>
      </c>
      <c r="H83" s="29" t="s">
        <v>277</v>
      </c>
      <c r="I83" s="31" t="s">
        <v>234</v>
      </c>
      <c r="J83" s="30" t="s">
        <v>90</v>
      </c>
      <c r="K83" s="30" t="s">
        <v>283</v>
      </c>
      <c r="L83" s="33" t="str">
        <f t="shared" si="3"/>
        <v>-</v>
      </c>
      <c r="M83" s="33" t="s">
        <v>285</v>
      </c>
      <c r="N83" s="32"/>
      <c r="O83" s="32"/>
      <c r="P83" s="30" t="s">
        <v>106</v>
      </c>
      <c r="Q83" s="30"/>
      <c r="R83" s="30"/>
      <c r="S83" s="30">
        <v>5</v>
      </c>
      <c r="T83" s="30"/>
      <c r="U83" s="30"/>
      <c r="V83" s="30">
        <f>ROUNDDOWN(T83/HLOOKUP(D83,Table!$C$3:$D$4,2,0)*8,2)</f>
        <v>0</v>
      </c>
      <c r="W83" s="30">
        <v>0.1</v>
      </c>
      <c r="X83" s="51" t="s">
        <v>21</v>
      </c>
      <c r="Y83" s="35"/>
      <c r="Z83" s="35">
        <v>43902</v>
      </c>
      <c r="AA83" s="38">
        <v>43901</v>
      </c>
      <c r="AB83" s="38">
        <v>43901</v>
      </c>
      <c r="AC83" s="38"/>
      <c r="AD83" s="30" t="s">
        <v>90</v>
      </c>
      <c r="AE83" s="30" t="s">
        <v>90</v>
      </c>
      <c r="AF83" s="30" t="s">
        <v>90</v>
      </c>
      <c r="AG83" s="30" t="s">
        <v>348</v>
      </c>
      <c r="AH83" s="30"/>
    </row>
    <row r="84" spans="1:34" x14ac:dyDescent="0.25">
      <c r="B84" s="64">
        <f t="shared" si="4"/>
        <v>82</v>
      </c>
      <c r="C84" s="30">
        <v>20200304</v>
      </c>
      <c r="D84" s="30" t="s">
        <v>3</v>
      </c>
      <c r="E84" s="30" t="s">
        <v>268</v>
      </c>
      <c r="F84" s="33" t="s">
        <v>291</v>
      </c>
      <c r="G84" s="30">
        <v>1357355</v>
      </c>
      <c r="H84" s="87" t="s">
        <v>278</v>
      </c>
      <c r="I84" s="31" t="s">
        <v>234</v>
      </c>
      <c r="J84" s="30" t="s">
        <v>90</v>
      </c>
      <c r="K84" s="30" t="s">
        <v>283</v>
      </c>
      <c r="L84" s="33" t="str">
        <f t="shared" si="3"/>
        <v>-</v>
      </c>
      <c r="M84" s="33" t="s">
        <v>285</v>
      </c>
      <c r="N84" s="32"/>
      <c r="O84" s="32"/>
      <c r="P84" s="30" t="s">
        <v>106</v>
      </c>
      <c r="Q84" s="30"/>
      <c r="R84" s="30"/>
      <c r="S84" s="30">
        <v>3</v>
      </c>
      <c r="T84" s="30">
        <v>3</v>
      </c>
      <c r="U84" s="30">
        <v>3</v>
      </c>
      <c r="V84" s="30">
        <f>ROUNDDOWN(T84/HLOOKUP(D84,Table!$C$3:$D$4,2,0)*8,2)</f>
        <v>0.05</v>
      </c>
      <c r="W84" s="30">
        <v>0.2</v>
      </c>
      <c r="X84" s="30" t="s">
        <v>21</v>
      </c>
      <c r="Y84" s="35"/>
      <c r="Z84" s="35">
        <v>43902</v>
      </c>
      <c r="AA84" s="38">
        <v>43901</v>
      </c>
      <c r="AB84" s="38">
        <v>43901</v>
      </c>
      <c r="AC84" s="38" t="s">
        <v>184</v>
      </c>
      <c r="AD84" s="30">
        <v>100</v>
      </c>
      <c r="AE84" s="30">
        <v>100</v>
      </c>
      <c r="AF84" s="30">
        <v>100</v>
      </c>
      <c r="AG84" s="30"/>
      <c r="AH84" s="30"/>
    </row>
    <row r="85" spans="1:34" x14ac:dyDescent="0.25">
      <c r="B85" s="64">
        <f t="shared" si="4"/>
        <v>83</v>
      </c>
      <c r="C85" s="30">
        <v>20200304</v>
      </c>
      <c r="D85" s="30" t="s">
        <v>3</v>
      </c>
      <c r="E85" s="30" t="s">
        <v>268</v>
      </c>
      <c r="F85" s="56" t="s">
        <v>292</v>
      </c>
      <c r="G85" s="30">
        <v>1357355</v>
      </c>
      <c r="H85" s="34" t="s">
        <v>279</v>
      </c>
      <c r="I85" s="31" t="s">
        <v>234</v>
      </c>
      <c r="J85" s="30" t="s">
        <v>90</v>
      </c>
      <c r="K85" s="30" t="s">
        <v>283</v>
      </c>
      <c r="L85" s="33" t="str">
        <f t="shared" si="3"/>
        <v>-</v>
      </c>
      <c r="M85" s="33" t="s">
        <v>285</v>
      </c>
      <c r="N85" s="32"/>
      <c r="O85" s="32"/>
      <c r="P85" s="30" t="s">
        <v>103</v>
      </c>
      <c r="Q85" s="30"/>
      <c r="R85" s="30"/>
      <c r="S85" s="30">
        <v>220</v>
      </c>
      <c r="T85" s="30">
        <v>220</v>
      </c>
      <c r="U85" s="30">
        <v>220</v>
      </c>
      <c r="V85" s="30">
        <f>ROUNDDOWN(T85/HLOOKUP(D85,Table!$C$3:$D$4,2,0)*8,2)</f>
        <v>3.91</v>
      </c>
      <c r="W85" s="30">
        <v>3</v>
      </c>
      <c r="X85" s="30" t="s">
        <v>23</v>
      </c>
      <c r="Y85" s="35"/>
      <c r="Z85" s="35">
        <v>43902</v>
      </c>
      <c r="AA85" s="38"/>
      <c r="AB85" s="38"/>
      <c r="AC85" s="38"/>
      <c r="AD85" s="30"/>
      <c r="AE85" s="30"/>
      <c r="AF85" s="30"/>
      <c r="AG85" s="30"/>
      <c r="AH85" s="30"/>
    </row>
    <row r="86" spans="1:34" x14ac:dyDescent="0.25">
      <c r="B86" s="64">
        <f t="shared" si="4"/>
        <v>84</v>
      </c>
      <c r="C86" s="30">
        <v>20200304</v>
      </c>
      <c r="D86" s="30" t="s">
        <v>3</v>
      </c>
      <c r="E86" s="30" t="s">
        <v>268</v>
      </c>
      <c r="F86" s="86" t="s">
        <v>293</v>
      </c>
      <c r="G86" s="30">
        <v>1357355</v>
      </c>
      <c r="H86" s="34" t="s">
        <v>280</v>
      </c>
      <c r="I86" s="31" t="s">
        <v>234</v>
      </c>
      <c r="J86" s="30" t="s">
        <v>90</v>
      </c>
      <c r="K86" s="30" t="s">
        <v>283</v>
      </c>
      <c r="L86" s="33" t="str">
        <f t="shared" si="3"/>
        <v>-</v>
      </c>
      <c r="M86" s="33" t="s">
        <v>285</v>
      </c>
      <c r="N86" s="32"/>
      <c r="O86" s="32"/>
      <c r="P86" s="30" t="s">
        <v>103</v>
      </c>
      <c r="Q86" s="30"/>
      <c r="R86" s="30"/>
      <c r="S86" s="30">
        <v>4</v>
      </c>
      <c r="T86" s="30">
        <v>4</v>
      </c>
      <c r="U86" s="30">
        <v>4</v>
      </c>
      <c r="V86" s="30">
        <f>ROUNDDOWN(T86/HLOOKUP(D86,Table!$C$3:$D$4,2,0)*8,2)</f>
        <v>7.0000000000000007E-2</v>
      </c>
      <c r="W86" s="30">
        <v>0</v>
      </c>
      <c r="X86" s="30" t="s">
        <v>23</v>
      </c>
      <c r="Y86" s="35"/>
      <c r="Z86" s="35">
        <v>43902</v>
      </c>
      <c r="AA86" s="35">
        <v>43902</v>
      </c>
      <c r="AB86" s="35">
        <v>43902</v>
      </c>
      <c r="AC86" s="38" t="s">
        <v>184</v>
      </c>
      <c r="AD86" s="30">
        <v>100</v>
      </c>
      <c r="AE86" s="30">
        <v>100</v>
      </c>
      <c r="AF86" s="30">
        <v>100</v>
      </c>
      <c r="AG86" s="30"/>
      <c r="AH86" s="30"/>
    </row>
    <row r="87" spans="1:34" x14ac:dyDescent="0.25">
      <c r="B87" s="64">
        <f t="shared" si="4"/>
        <v>85</v>
      </c>
      <c r="C87" s="30">
        <v>20200304</v>
      </c>
      <c r="D87" s="30" t="s">
        <v>3</v>
      </c>
      <c r="E87" s="30" t="s">
        <v>268</v>
      </c>
      <c r="F87" s="33" t="s">
        <v>294</v>
      </c>
      <c r="G87" s="30">
        <v>1357355</v>
      </c>
      <c r="H87" s="30" t="s">
        <v>281</v>
      </c>
      <c r="I87" s="31" t="s">
        <v>234</v>
      </c>
      <c r="J87" s="30" t="s">
        <v>90</v>
      </c>
      <c r="K87" s="30" t="s">
        <v>283</v>
      </c>
      <c r="L87" s="33" t="str">
        <f t="shared" si="3"/>
        <v>-</v>
      </c>
      <c r="M87" s="33" t="s">
        <v>285</v>
      </c>
      <c r="N87" s="32"/>
      <c r="O87" s="32"/>
      <c r="P87" s="30" t="s">
        <v>103</v>
      </c>
      <c r="Q87" s="30"/>
      <c r="R87" s="30"/>
      <c r="S87" s="30">
        <v>12</v>
      </c>
      <c r="T87" s="30">
        <v>12</v>
      </c>
      <c r="U87" s="30">
        <v>12</v>
      </c>
      <c r="V87" s="30">
        <f>ROUNDDOWN(T87/HLOOKUP(D87,Table!$C$3:$D$4,2,0)*8,2)</f>
        <v>0.21</v>
      </c>
      <c r="W87" s="30">
        <v>0.1</v>
      </c>
      <c r="X87" s="30" t="s">
        <v>23</v>
      </c>
      <c r="Y87" s="35"/>
      <c r="Z87" s="35">
        <v>43902</v>
      </c>
      <c r="AA87" s="35">
        <v>43902</v>
      </c>
      <c r="AB87" s="35">
        <v>43902</v>
      </c>
      <c r="AC87" s="38"/>
      <c r="AD87" s="30" t="s">
        <v>90</v>
      </c>
      <c r="AE87" s="30" t="s">
        <v>90</v>
      </c>
      <c r="AF87" s="30" t="s">
        <v>90</v>
      </c>
      <c r="AG87" s="30" t="s">
        <v>349</v>
      </c>
      <c r="AH87" s="30"/>
    </row>
    <row r="88" spans="1:34" x14ac:dyDescent="0.25">
      <c r="B88" s="64">
        <f t="shared" si="4"/>
        <v>86</v>
      </c>
      <c r="C88" s="30">
        <v>20200304</v>
      </c>
      <c r="D88" s="30" t="s">
        <v>3</v>
      </c>
      <c r="E88" s="30" t="s">
        <v>268</v>
      </c>
      <c r="F88" s="33" t="s">
        <v>294</v>
      </c>
      <c r="G88" s="30">
        <v>1357355</v>
      </c>
      <c r="H88" s="34" t="s">
        <v>282</v>
      </c>
      <c r="I88" s="31" t="s">
        <v>234</v>
      </c>
      <c r="J88" s="30" t="s">
        <v>90</v>
      </c>
      <c r="K88" s="30" t="s">
        <v>283</v>
      </c>
      <c r="L88" s="33" t="str">
        <f t="shared" si="3"/>
        <v>-</v>
      </c>
      <c r="M88" s="33" t="s">
        <v>285</v>
      </c>
      <c r="N88" s="32"/>
      <c r="O88" s="32"/>
      <c r="P88" s="30" t="s">
        <v>103</v>
      </c>
      <c r="Q88" s="30"/>
      <c r="R88" s="30"/>
      <c r="S88" s="30">
        <v>37</v>
      </c>
      <c r="T88" s="30">
        <v>37</v>
      </c>
      <c r="U88" s="30">
        <v>37</v>
      </c>
      <c r="V88" s="30">
        <f>ROUNDDOWN(T88/HLOOKUP(D88,Table!$C$3:$D$4,2,0)*8,2)</f>
        <v>0.65</v>
      </c>
      <c r="W88" s="30">
        <v>0.2</v>
      </c>
      <c r="X88" s="30" t="s">
        <v>23</v>
      </c>
      <c r="Y88" s="35"/>
      <c r="Z88" s="35">
        <v>43902</v>
      </c>
      <c r="AA88" s="35">
        <v>43902</v>
      </c>
      <c r="AB88" s="35">
        <v>43902</v>
      </c>
      <c r="AC88" s="38" t="s">
        <v>184</v>
      </c>
      <c r="AD88" s="30">
        <v>100</v>
      </c>
      <c r="AE88" s="30">
        <v>100</v>
      </c>
      <c r="AF88" s="30">
        <v>100</v>
      </c>
      <c r="AG88" s="30"/>
      <c r="AH88" s="30"/>
    </row>
    <row r="89" spans="1:34" ht="15.75" thickBot="1" x14ac:dyDescent="0.3">
      <c r="B89" s="66">
        <f t="shared" si="4"/>
        <v>87</v>
      </c>
      <c r="C89" s="30">
        <v>20200309</v>
      </c>
      <c r="D89" s="30" t="s">
        <v>3</v>
      </c>
      <c r="E89" s="30" t="s">
        <v>295</v>
      </c>
      <c r="F89" s="33" t="s">
        <v>300</v>
      </c>
      <c r="G89" s="61">
        <v>1364387</v>
      </c>
      <c r="H89" s="30" t="s">
        <v>312</v>
      </c>
      <c r="I89" s="63" t="s">
        <v>233</v>
      </c>
      <c r="J89" s="30">
        <v>99478</v>
      </c>
      <c r="K89" s="30" t="s">
        <v>332</v>
      </c>
      <c r="L89" s="33" t="str">
        <f t="shared" si="3"/>
        <v>-</v>
      </c>
      <c r="M89" s="33" t="s">
        <v>248</v>
      </c>
      <c r="N89" s="32"/>
      <c r="O89" s="32"/>
      <c r="P89" s="51"/>
      <c r="Q89" s="30"/>
      <c r="R89" s="30"/>
      <c r="S89" s="79">
        <v>67</v>
      </c>
      <c r="T89" s="30"/>
      <c r="U89" s="30"/>
      <c r="V89" s="30">
        <f>ROUNDDOWN(T89/HLOOKUP(D89,Table!$C$3:$D$4,2,0)*8,2)</f>
        <v>0</v>
      </c>
      <c r="W89" s="30"/>
      <c r="X89" s="30"/>
      <c r="Y89" s="35"/>
      <c r="Z89" s="35"/>
      <c r="AA89" s="38"/>
      <c r="AB89" s="38"/>
      <c r="AC89" s="38"/>
      <c r="AD89" s="30"/>
      <c r="AE89" s="30"/>
      <c r="AF89" s="30"/>
      <c r="AG89" s="30"/>
      <c r="AH89" s="30"/>
    </row>
    <row r="90" spans="1:34" ht="15.75" thickBot="1" x14ac:dyDescent="0.3">
      <c r="B90" s="66">
        <f t="shared" si="4"/>
        <v>88</v>
      </c>
      <c r="C90" s="30">
        <v>20200309</v>
      </c>
      <c r="D90" s="30" t="s">
        <v>3</v>
      </c>
      <c r="E90" s="30" t="s">
        <v>296</v>
      </c>
      <c r="F90" s="33" t="s">
        <v>301</v>
      </c>
      <c r="G90" s="61">
        <v>1362438</v>
      </c>
      <c r="H90" s="30" t="s">
        <v>313</v>
      </c>
      <c r="I90" s="63" t="s">
        <v>233</v>
      </c>
      <c r="J90" s="30" t="s">
        <v>325</v>
      </c>
      <c r="K90" s="30" t="s">
        <v>296</v>
      </c>
      <c r="L90" s="33" t="str">
        <f t="shared" si="3"/>
        <v>-</v>
      </c>
      <c r="M90" s="33" t="s">
        <v>248</v>
      </c>
      <c r="N90" s="32"/>
      <c r="O90" s="32"/>
      <c r="P90" s="51" t="s">
        <v>105</v>
      </c>
      <c r="Q90" s="30"/>
      <c r="R90" s="30"/>
      <c r="S90" s="79">
        <v>130</v>
      </c>
      <c r="T90" s="31">
        <v>288</v>
      </c>
      <c r="U90" s="30"/>
      <c r="V90" s="30">
        <f>ROUNDDOWN(T90/HLOOKUP(D90,Table!$C$3:$D$4,2,0)*8,2)</f>
        <v>5.12</v>
      </c>
      <c r="W90" s="30">
        <v>4</v>
      </c>
      <c r="X90" s="30"/>
      <c r="Y90" s="35"/>
      <c r="Z90" s="35"/>
      <c r="AA90" s="35">
        <v>43902</v>
      </c>
      <c r="AB90" s="35">
        <v>43902</v>
      </c>
      <c r="AC90" s="38" t="s">
        <v>184</v>
      </c>
      <c r="AD90" s="30">
        <v>100</v>
      </c>
      <c r="AE90" s="30">
        <v>100</v>
      </c>
      <c r="AF90" s="30">
        <v>100</v>
      </c>
      <c r="AG90" s="30"/>
      <c r="AH90" s="30"/>
    </row>
    <row r="91" spans="1:34" ht="15.75" thickBot="1" x14ac:dyDescent="0.3">
      <c r="B91" s="66">
        <f t="shared" si="4"/>
        <v>89</v>
      </c>
      <c r="C91" s="30">
        <v>20200309</v>
      </c>
      <c r="D91" s="30" t="s">
        <v>3</v>
      </c>
      <c r="E91" s="30" t="s">
        <v>297</v>
      </c>
      <c r="F91" s="33" t="s">
        <v>308</v>
      </c>
      <c r="G91" s="62">
        <v>1362431</v>
      </c>
      <c r="H91" s="30" t="s">
        <v>314</v>
      </c>
      <c r="I91" s="63" t="s">
        <v>233</v>
      </c>
      <c r="J91" s="32" t="s">
        <v>326</v>
      </c>
      <c r="K91" s="30" t="s">
        <v>333</v>
      </c>
      <c r="L91" s="33" t="str">
        <f t="shared" ref="L91:L117" si="5">IF(D91="ASW","PUT_VERSION","-")</f>
        <v>-</v>
      </c>
      <c r="M91" s="33" t="s">
        <v>336</v>
      </c>
      <c r="N91" s="32"/>
      <c r="O91" s="32"/>
      <c r="P91" s="51" t="s">
        <v>104</v>
      </c>
      <c r="Q91" s="30"/>
      <c r="R91" s="30"/>
      <c r="S91" s="79">
        <v>1703</v>
      </c>
      <c r="T91" s="30">
        <v>1703</v>
      </c>
      <c r="U91" s="30">
        <v>1703</v>
      </c>
      <c r="V91" s="30">
        <f>ROUNDDOWN(T91/HLOOKUP(D91,Table!$C$3:$D$4,2,0)*8,2)</f>
        <v>30.27</v>
      </c>
      <c r="W91" s="30">
        <v>8</v>
      </c>
      <c r="X91" s="30" t="s">
        <v>21</v>
      </c>
      <c r="Y91" s="35"/>
      <c r="Z91" s="35"/>
      <c r="AA91" s="38">
        <v>43901</v>
      </c>
      <c r="AB91" s="38">
        <v>43901</v>
      </c>
      <c r="AC91" s="38" t="s">
        <v>184</v>
      </c>
      <c r="AD91" s="30">
        <v>100</v>
      </c>
      <c r="AE91" s="30">
        <v>100</v>
      </c>
      <c r="AF91" s="30">
        <v>100</v>
      </c>
      <c r="AG91" s="30"/>
      <c r="AH91" s="30"/>
    </row>
    <row r="92" spans="1:34" ht="15.75" thickBot="1" x14ac:dyDescent="0.3">
      <c r="B92" s="66">
        <f t="shared" si="4"/>
        <v>90</v>
      </c>
      <c r="C92" s="30">
        <v>20200309</v>
      </c>
      <c r="D92" s="30" t="s">
        <v>3</v>
      </c>
      <c r="E92" s="30" t="s">
        <v>297</v>
      </c>
      <c r="F92" s="33" t="s">
        <v>309</v>
      </c>
      <c r="G92" s="62">
        <v>1362431</v>
      </c>
      <c r="H92" s="30" t="s">
        <v>143</v>
      </c>
      <c r="I92" s="63" t="s">
        <v>233</v>
      </c>
      <c r="J92" s="30" t="s">
        <v>327</v>
      </c>
      <c r="K92" s="30" t="s">
        <v>333</v>
      </c>
      <c r="L92" s="33" t="str">
        <f t="shared" si="5"/>
        <v>-</v>
      </c>
      <c r="M92" s="33" t="s">
        <v>336</v>
      </c>
      <c r="N92" s="32"/>
      <c r="O92" s="32"/>
      <c r="P92" s="51" t="s">
        <v>105</v>
      </c>
      <c r="Q92" s="30"/>
      <c r="R92" s="30"/>
      <c r="S92" s="79">
        <v>144</v>
      </c>
      <c r="T92" s="31">
        <v>165</v>
      </c>
      <c r="U92" s="30">
        <v>165</v>
      </c>
      <c r="V92" s="30">
        <f>ROUNDDOWN(T92/HLOOKUP(D92,Table!$C$3:$D$4,2,0)*8,2)</f>
        <v>2.93</v>
      </c>
      <c r="W92" s="30">
        <v>1</v>
      </c>
      <c r="X92" s="30" t="s">
        <v>21</v>
      </c>
      <c r="Y92" s="35"/>
      <c r="Z92" s="35"/>
      <c r="AA92" s="38">
        <v>43902</v>
      </c>
      <c r="AB92" s="38">
        <v>43902</v>
      </c>
      <c r="AC92" s="38" t="s">
        <v>184</v>
      </c>
      <c r="AD92" s="30">
        <v>100</v>
      </c>
      <c r="AE92" s="30">
        <v>100</v>
      </c>
      <c r="AF92" s="30">
        <v>100</v>
      </c>
      <c r="AG92" s="30"/>
      <c r="AH92" s="30"/>
    </row>
    <row r="93" spans="1:34" ht="15.75" thickBot="1" x14ac:dyDescent="0.3">
      <c r="B93" s="66">
        <f t="shared" si="4"/>
        <v>91</v>
      </c>
      <c r="C93" s="30">
        <v>20200309</v>
      </c>
      <c r="D93" s="30" t="s">
        <v>3</v>
      </c>
      <c r="E93" s="30" t="s">
        <v>297</v>
      </c>
      <c r="F93" s="33" t="s">
        <v>310</v>
      </c>
      <c r="G93" s="62">
        <v>1362431</v>
      </c>
      <c r="H93" s="30" t="s">
        <v>315</v>
      </c>
      <c r="I93" s="63" t="s">
        <v>233</v>
      </c>
      <c r="J93" s="32" t="s">
        <v>328</v>
      </c>
      <c r="K93" s="30" t="s">
        <v>333</v>
      </c>
      <c r="L93" s="33" t="str">
        <f t="shared" si="5"/>
        <v>-</v>
      </c>
      <c r="M93" s="33" t="s">
        <v>336</v>
      </c>
      <c r="N93" s="32"/>
      <c r="O93" s="32"/>
      <c r="P93" s="51" t="s">
        <v>104</v>
      </c>
      <c r="Q93" s="30"/>
      <c r="R93" s="30"/>
      <c r="S93" s="79">
        <v>111</v>
      </c>
      <c r="T93" s="30">
        <v>111</v>
      </c>
      <c r="U93" s="30">
        <v>111</v>
      </c>
      <c r="V93" s="30">
        <f>ROUNDDOWN(T93/HLOOKUP(D93,Table!$C$3:$D$4,2,0)*8,2)</f>
        <v>1.97</v>
      </c>
      <c r="W93" s="30">
        <v>1</v>
      </c>
      <c r="X93" s="30" t="s">
        <v>21</v>
      </c>
      <c r="Y93" s="35"/>
      <c r="Z93" s="35"/>
      <c r="AA93" s="38">
        <v>43902</v>
      </c>
      <c r="AB93" s="38">
        <v>43902</v>
      </c>
      <c r="AC93" s="38" t="s">
        <v>184</v>
      </c>
      <c r="AD93" s="30">
        <v>100</v>
      </c>
      <c r="AE93" s="30">
        <v>100</v>
      </c>
      <c r="AF93" s="30">
        <v>100</v>
      </c>
      <c r="AG93" s="30"/>
      <c r="AH93" s="30"/>
    </row>
    <row r="94" spans="1:34" ht="15.75" thickBot="1" x14ac:dyDescent="0.3">
      <c r="B94" s="66">
        <f t="shared" si="4"/>
        <v>92</v>
      </c>
      <c r="C94" s="30">
        <v>20200309</v>
      </c>
      <c r="D94" s="30" t="s">
        <v>3</v>
      </c>
      <c r="E94" s="30" t="s">
        <v>297</v>
      </c>
      <c r="F94" s="33" t="s">
        <v>311</v>
      </c>
      <c r="G94" s="62">
        <v>1362431</v>
      </c>
      <c r="H94" s="30" t="s">
        <v>316</v>
      </c>
      <c r="I94" s="63" t="s">
        <v>233</v>
      </c>
      <c r="J94" s="30" t="s">
        <v>329</v>
      </c>
      <c r="K94" s="30" t="s">
        <v>333</v>
      </c>
      <c r="L94" s="33" t="str">
        <f t="shared" si="5"/>
        <v>-</v>
      </c>
      <c r="M94" s="33" t="s">
        <v>336</v>
      </c>
      <c r="N94" s="32"/>
      <c r="O94" s="32"/>
      <c r="P94" s="51" t="s">
        <v>104</v>
      </c>
      <c r="Q94" s="30"/>
      <c r="R94" s="30"/>
      <c r="S94" s="79">
        <v>12</v>
      </c>
      <c r="T94" s="30">
        <v>12</v>
      </c>
      <c r="U94" s="30"/>
      <c r="V94" s="30">
        <f>ROUNDDOWN(T94/HLOOKUP(D94,Table!$C$3:$D$4,2,0)*8,2)</f>
        <v>0.21</v>
      </c>
      <c r="W94" s="30">
        <v>0.1</v>
      </c>
      <c r="X94" s="30" t="s">
        <v>21</v>
      </c>
      <c r="Y94" s="35"/>
      <c r="Z94" s="35"/>
      <c r="AA94" s="38">
        <v>43902</v>
      </c>
      <c r="AB94" s="38">
        <v>43902</v>
      </c>
      <c r="AC94" s="38"/>
      <c r="AD94" s="30" t="s">
        <v>90</v>
      </c>
      <c r="AE94" s="30" t="s">
        <v>90</v>
      </c>
      <c r="AF94" s="30" t="s">
        <v>90</v>
      </c>
      <c r="AG94" s="30" t="s">
        <v>369</v>
      </c>
      <c r="AH94" s="30"/>
    </row>
    <row r="95" spans="1:34" ht="15.75" thickBot="1" x14ac:dyDescent="0.3">
      <c r="B95" s="66">
        <f t="shared" si="4"/>
        <v>93</v>
      </c>
      <c r="C95" s="30">
        <v>20200309</v>
      </c>
      <c r="D95" s="30" t="s">
        <v>3</v>
      </c>
      <c r="E95" s="30" t="s">
        <v>297</v>
      </c>
      <c r="F95" s="33" t="s">
        <v>310</v>
      </c>
      <c r="G95" s="62">
        <v>1362431</v>
      </c>
      <c r="H95" s="30" t="s">
        <v>317</v>
      </c>
      <c r="I95" s="63" t="s">
        <v>233</v>
      </c>
      <c r="J95" s="30" t="s">
        <v>330</v>
      </c>
      <c r="K95" s="30" t="s">
        <v>333</v>
      </c>
      <c r="L95" s="33" t="str">
        <f t="shared" si="5"/>
        <v>-</v>
      </c>
      <c r="M95" s="33" t="s">
        <v>336</v>
      </c>
      <c r="N95" s="32"/>
      <c r="O95" s="32"/>
      <c r="P95" s="51" t="s">
        <v>105</v>
      </c>
      <c r="Q95" s="30"/>
      <c r="R95" s="30"/>
      <c r="S95" s="79">
        <v>191</v>
      </c>
      <c r="T95" s="30">
        <v>191</v>
      </c>
      <c r="U95" s="30">
        <v>191</v>
      </c>
      <c r="V95" s="30">
        <f>ROUNDDOWN(T95/HLOOKUP(D95,Table!$C$3:$D$4,2,0)*8,2)</f>
        <v>3.39</v>
      </c>
      <c r="W95" s="30">
        <v>0.2</v>
      </c>
      <c r="X95" s="30" t="s">
        <v>21</v>
      </c>
      <c r="Y95" s="35"/>
      <c r="Z95" s="35"/>
      <c r="AA95" s="38">
        <v>43902</v>
      </c>
      <c r="AB95" s="38">
        <v>43902</v>
      </c>
      <c r="AC95" s="38"/>
      <c r="AD95" s="30" t="s">
        <v>90</v>
      </c>
      <c r="AE95" s="30" t="s">
        <v>90</v>
      </c>
      <c r="AF95" s="30" t="s">
        <v>90</v>
      </c>
      <c r="AG95" s="30" t="s">
        <v>369</v>
      </c>
      <c r="AH95" s="30"/>
    </row>
    <row r="96" spans="1:34" ht="15.75" thickBot="1" x14ac:dyDescent="0.3">
      <c r="B96" s="66">
        <f t="shared" si="4"/>
        <v>94</v>
      </c>
      <c r="C96" s="30">
        <v>20200309</v>
      </c>
      <c r="D96" s="30" t="s">
        <v>3</v>
      </c>
      <c r="E96" s="30" t="s">
        <v>297</v>
      </c>
      <c r="F96" s="33" t="s">
        <v>302</v>
      </c>
      <c r="G96" s="61">
        <v>1362409</v>
      </c>
      <c r="H96" s="30" t="s">
        <v>318</v>
      </c>
      <c r="I96" s="63" t="s">
        <v>233</v>
      </c>
      <c r="J96" s="32" t="s">
        <v>331</v>
      </c>
      <c r="K96" s="30" t="s">
        <v>333</v>
      </c>
      <c r="L96" s="33" t="str">
        <f t="shared" si="5"/>
        <v>-</v>
      </c>
      <c r="M96" s="33" t="s">
        <v>336</v>
      </c>
      <c r="N96" s="32"/>
      <c r="O96" s="32"/>
      <c r="P96" s="51" t="s">
        <v>104</v>
      </c>
      <c r="Q96" s="30"/>
      <c r="R96" s="30"/>
      <c r="S96" s="79">
        <v>21</v>
      </c>
      <c r="T96" s="31">
        <v>131</v>
      </c>
      <c r="U96" s="30"/>
      <c r="V96" s="30">
        <f>ROUNDDOWN(T96/HLOOKUP(D96,Table!$C$3:$D$4,2,0)*8,2)</f>
        <v>2.3199999999999998</v>
      </c>
      <c r="W96" s="30">
        <v>6.9</v>
      </c>
      <c r="X96" s="30" t="s">
        <v>21</v>
      </c>
      <c r="Y96" s="35"/>
      <c r="Z96" s="35"/>
      <c r="AA96" s="38">
        <v>43902</v>
      </c>
      <c r="AB96" s="38">
        <v>43902</v>
      </c>
      <c r="AC96" s="38" t="s">
        <v>184</v>
      </c>
      <c r="AD96" s="30">
        <v>100</v>
      </c>
      <c r="AE96" s="30">
        <v>100</v>
      </c>
      <c r="AF96" s="30">
        <v>100</v>
      </c>
      <c r="AG96" s="30"/>
      <c r="AH96" s="30"/>
    </row>
    <row r="97" spans="2:34" ht="15.75" thickBot="1" x14ac:dyDescent="0.3">
      <c r="B97" s="66">
        <f t="shared" si="4"/>
        <v>95</v>
      </c>
      <c r="C97" s="30">
        <v>20200309</v>
      </c>
      <c r="D97" s="30" t="s">
        <v>3</v>
      </c>
      <c r="E97" s="30" t="s">
        <v>298</v>
      </c>
      <c r="F97" s="33" t="s">
        <v>303</v>
      </c>
      <c r="G97" s="62">
        <v>1362280</v>
      </c>
      <c r="H97" s="30" t="s">
        <v>319</v>
      </c>
      <c r="I97" s="63" t="s">
        <v>233</v>
      </c>
      <c r="J97" s="30">
        <v>80507</v>
      </c>
      <c r="K97" s="30" t="s">
        <v>334</v>
      </c>
      <c r="L97" s="33" t="str">
        <f t="shared" si="5"/>
        <v>-</v>
      </c>
      <c r="M97" s="33" t="s">
        <v>337</v>
      </c>
      <c r="N97" s="32"/>
      <c r="O97" s="32"/>
      <c r="P97" s="51" t="s">
        <v>105</v>
      </c>
      <c r="Q97" s="30"/>
      <c r="R97" s="30"/>
      <c r="S97" s="79">
        <v>25</v>
      </c>
      <c r="T97" s="30">
        <v>25</v>
      </c>
      <c r="U97" s="30">
        <v>25</v>
      </c>
      <c r="V97" s="30">
        <f>ROUNDDOWN(T97/HLOOKUP(D97,Table!$C$3:$D$4,2,0)*8,2)</f>
        <v>0.44</v>
      </c>
      <c r="W97" s="30">
        <v>0.2</v>
      </c>
      <c r="X97" s="30" t="s">
        <v>21</v>
      </c>
      <c r="Y97" s="35"/>
      <c r="Z97" s="35"/>
      <c r="AA97" s="38">
        <v>43902</v>
      </c>
      <c r="AB97" s="38">
        <v>43902</v>
      </c>
      <c r="AC97" s="38" t="s">
        <v>184</v>
      </c>
      <c r="AD97" s="30">
        <v>100</v>
      </c>
      <c r="AE97" s="30">
        <v>100</v>
      </c>
      <c r="AF97" s="30">
        <v>100</v>
      </c>
      <c r="AG97" s="30"/>
      <c r="AH97" s="30"/>
    </row>
    <row r="98" spans="2:34" ht="15.75" thickBot="1" x14ac:dyDescent="0.3">
      <c r="B98" s="66">
        <f t="shared" si="4"/>
        <v>96</v>
      </c>
      <c r="C98" s="30">
        <v>20200309</v>
      </c>
      <c r="D98" s="30" t="s">
        <v>3</v>
      </c>
      <c r="E98" s="30" t="s">
        <v>298</v>
      </c>
      <c r="F98" s="33" t="s">
        <v>304</v>
      </c>
      <c r="G98" s="62">
        <v>1362280</v>
      </c>
      <c r="H98" s="30" t="s">
        <v>320</v>
      </c>
      <c r="I98" s="63" t="s">
        <v>233</v>
      </c>
      <c r="J98" s="30">
        <v>80507</v>
      </c>
      <c r="K98" s="30" t="s">
        <v>334</v>
      </c>
      <c r="L98" s="33" t="str">
        <f t="shared" si="5"/>
        <v>-</v>
      </c>
      <c r="M98" s="33" t="s">
        <v>337</v>
      </c>
      <c r="N98" s="32"/>
      <c r="O98" s="32"/>
      <c r="P98" s="51" t="s">
        <v>105</v>
      </c>
      <c r="Q98" s="30"/>
      <c r="R98" s="30"/>
      <c r="S98" s="79">
        <v>151</v>
      </c>
      <c r="T98" s="30">
        <v>151</v>
      </c>
      <c r="U98" s="30">
        <v>151</v>
      </c>
      <c r="V98" s="30">
        <f>ROUNDDOWN(T98/HLOOKUP(D98,Table!$C$3:$D$4,2,0)*8,2)</f>
        <v>2.68</v>
      </c>
      <c r="W98" s="30">
        <v>0.8</v>
      </c>
      <c r="X98" s="30" t="s">
        <v>21</v>
      </c>
      <c r="Y98" s="35"/>
      <c r="Z98" s="35"/>
      <c r="AA98" s="38">
        <v>43902</v>
      </c>
      <c r="AB98" s="38">
        <v>43902</v>
      </c>
      <c r="AC98" s="38" t="s">
        <v>184</v>
      </c>
      <c r="AD98" s="30">
        <v>100</v>
      </c>
      <c r="AE98" s="30">
        <v>100</v>
      </c>
      <c r="AF98" s="30">
        <v>100</v>
      </c>
      <c r="AG98" s="30"/>
      <c r="AH98" s="30"/>
    </row>
    <row r="99" spans="2:34" ht="15.75" thickBot="1" x14ac:dyDescent="0.3">
      <c r="B99" s="66">
        <f t="shared" si="4"/>
        <v>97</v>
      </c>
      <c r="C99" s="30">
        <v>20200309</v>
      </c>
      <c r="D99" s="30" t="s">
        <v>3</v>
      </c>
      <c r="E99" s="30" t="s">
        <v>298</v>
      </c>
      <c r="F99" s="33" t="s">
        <v>307</v>
      </c>
      <c r="G99" s="62">
        <v>1362280</v>
      </c>
      <c r="H99" s="30" t="s">
        <v>321</v>
      </c>
      <c r="I99" s="63" t="s">
        <v>233</v>
      </c>
      <c r="J99" s="30">
        <v>80507</v>
      </c>
      <c r="K99" s="30" t="s">
        <v>334</v>
      </c>
      <c r="L99" s="33" t="str">
        <f t="shared" si="5"/>
        <v>-</v>
      </c>
      <c r="M99" s="33" t="s">
        <v>337</v>
      </c>
      <c r="N99" s="32"/>
      <c r="O99" s="32"/>
      <c r="P99" s="29" t="s">
        <v>103</v>
      </c>
      <c r="Q99" s="30"/>
      <c r="R99" s="30"/>
      <c r="S99" s="79">
        <v>178</v>
      </c>
      <c r="T99" s="30">
        <v>178</v>
      </c>
      <c r="U99" s="30">
        <v>178</v>
      </c>
      <c r="V99" s="30">
        <f>ROUNDDOWN(T99/HLOOKUP(D99,Table!$C$3:$D$4,2,0)*8,2)</f>
        <v>3.16</v>
      </c>
      <c r="W99" s="30">
        <v>3</v>
      </c>
      <c r="X99" s="30" t="s">
        <v>21</v>
      </c>
      <c r="Y99" s="35"/>
      <c r="Z99" s="35"/>
      <c r="AA99" s="38"/>
      <c r="AB99" s="38"/>
      <c r="AC99" s="38"/>
      <c r="AD99" s="30"/>
      <c r="AE99" s="30"/>
      <c r="AF99" s="30"/>
      <c r="AG99" s="30"/>
      <c r="AH99" s="30"/>
    </row>
    <row r="100" spans="2:34" ht="15.75" thickBot="1" x14ac:dyDescent="0.3">
      <c r="B100" s="66">
        <f t="shared" si="4"/>
        <v>98</v>
      </c>
      <c r="C100" s="30">
        <v>20200309</v>
      </c>
      <c r="D100" s="30" t="s">
        <v>3</v>
      </c>
      <c r="E100" s="30" t="s">
        <v>297</v>
      </c>
      <c r="F100" s="33" t="s">
        <v>305</v>
      </c>
      <c r="G100" s="61">
        <v>1362197</v>
      </c>
      <c r="H100" s="30" t="s">
        <v>322</v>
      </c>
      <c r="I100" s="63" t="s">
        <v>233</v>
      </c>
      <c r="J100" s="30">
        <v>81033</v>
      </c>
      <c r="K100" s="30" t="s">
        <v>333</v>
      </c>
      <c r="L100" s="33" t="str">
        <f t="shared" si="5"/>
        <v>-</v>
      </c>
      <c r="M100" s="33" t="s">
        <v>338</v>
      </c>
      <c r="N100" s="32"/>
      <c r="O100" s="32"/>
      <c r="P100" s="51" t="s">
        <v>105</v>
      </c>
      <c r="Q100" s="30"/>
      <c r="R100" s="30"/>
      <c r="S100" s="79">
        <v>280</v>
      </c>
      <c r="T100" s="31">
        <v>277</v>
      </c>
      <c r="U100" s="30">
        <v>277</v>
      </c>
      <c r="V100" s="30">
        <f>ROUNDDOWN(T100/HLOOKUP(D100,Table!$C$3:$D$4,2,0)*8,2)</f>
        <v>4.92</v>
      </c>
      <c r="W100" s="30">
        <v>2</v>
      </c>
      <c r="X100" s="30" t="s">
        <v>21</v>
      </c>
      <c r="Y100" s="35"/>
      <c r="Z100" s="35"/>
      <c r="AA100" s="38">
        <v>43903</v>
      </c>
      <c r="AB100" s="38">
        <v>43903</v>
      </c>
      <c r="AC100" s="38" t="s">
        <v>184</v>
      </c>
      <c r="AD100" s="30">
        <v>100</v>
      </c>
      <c r="AE100" s="30">
        <v>100</v>
      </c>
      <c r="AF100" s="30">
        <v>100</v>
      </c>
      <c r="AG100" s="30"/>
      <c r="AH100" s="30"/>
    </row>
    <row r="101" spans="2:34" ht="15.75" thickBot="1" x14ac:dyDescent="0.3">
      <c r="B101" s="66">
        <f t="shared" si="4"/>
        <v>99</v>
      </c>
      <c r="C101" s="30">
        <v>20200309</v>
      </c>
      <c r="D101" s="30" t="s">
        <v>3</v>
      </c>
      <c r="E101" s="30" t="s">
        <v>297</v>
      </c>
      <c r="F101" s="33" t="s">
        <v>310</v>
      </c>
      <c r="G101" s="61">
        <v>1362163</v>
      </c>
      <c r="H101" s="30" t="s">
        <v>323</v>
      </c>
      <c r="I101" s="63" t="s">
        <v>233</v>
      </c>
      <c r="J101" s="30">
        <v>81033</v>
      </c>
      <c r="K101" s="30" t="s">
        <v>333</v>
      </c>
      <c r="L101" s="33" t="str">
        <f t="shared" si="5"/>
        <v>-</v>
      </c>
      <c r="M101" s="33" t="s">
        <v>339</v>
      </c>
      <c r="N101" s="32"/>
      <c r="O101" s="32"/>
      <c r="P101" s="29" t="s">
        <v>103</v>
      </c>
      <c r="Q101" s="30"/>
      <c r="R101" s="30"/>
      <c r="S101" s="79">
        <v>259</v>
      </c>
      <c r="T101" s="30">
        <v>259</v>
      </c>
      <c r="U101" s="30">
        <v>259</v>
      </c>
      <c r="V101" s="30">
        <f>ROUNDDOWN(T101/HLOOKUP(D101,Table!$C$3:$D$4,2,0)*8,2)</f>
        <v>4.5999999999999996</v>
      </c>
      <c r="W101" s="30">
        <v>3</v>
      </c>
      <c r="X101" s="30"/>
      <c r="Y101" s="35"/>
      <c r="Z101" s="35"/>
      <c r="AA101" s="38"/>
      <c r="AB101" s="38"/>
      <c r="AC101" s="38"/>
      <c r="AD101" s="30"/>
      <c r="AE101" s="30"/>
      <c r="AF101" s="30"/>
      <c r="AG101" s="30"/>
      <c r="AH101" s="30"/>
    </row>
    <row r="102" spans="2:34" ht="15.75" thickBot="1" x14ac:dyDescent="0.3">
      <c r="B102" s="66">
        <f t="shared" si="4"/>
        <v>100</v>
      </c>
      <c r="C102" s="30">
        <v>20200309</v>
      </c>
      <c r="D102" s="30" t="s">
        <v>3</v>
      </c>
      <c r="E102" s="30" t="s">
        <v>299</v>
      </c>
      <c r="F102" s="33" t="s">
        <v>306</v>
      </c>
      <c r="G102" s="61">
        <v>1360524</v>
      </c>
      <c r="H102" s="30" t="s">
        <v>324</v>
      </c>
      <c r="I102" s="63" t="s">
        <v>233</v>
      </c>
      <c r="J102" s="30" t="s">
        <v>127</v>
      </c>
      <c r="K102" s="30" t="s">
        <v>111</v>
      </c>
      <c r="L102" s="33" t="str">
        <f t="shared" si="5"/>
        <v>-</v>
      </c>
      <c r="M102" s="33" t="s">
        <v>340</v>
      </c>
      <c r="N102" s="32"/>
      <c r="O102" s="32"/>
      <c r="P102" s="51"/>
      <c r="Q102" s="30"/>
      <c r="R102" s="30"/>
      <c r="S102" s="79">
        <v>35</v>
      </c>
      <c r="T102" s="30"/>
      <c r="U102" s="30"/>
      <c r="V102" s="30">
        <f>ROUNDDOWN(T102/HLOOKUP(D102,Table!$C$3:$D$4,2,0)*8,2)</f>
        <v>0</v>
      </c>
      <c r="W102" s="30"/>
      <c r="X102" s="30"/>
      <c r="Y102" s="35"/>
      <c r="Z102" s="35"/>
      <c r="AA102" s="38"/>
      <c r="AB102" s="38"/>
      <c r="AC102" s="38"/>
      <c r="AD102" s="30"/>
      <c r="AE102" s="30"/>
      <c r="AF102" s="30"/>
      <c r="AG102" s="30"/>
      <c r="AH102" s="30"/>
    </row>
    <row r="103" spans="2:34" ht="15.75" thickBot="1" x14ac:dyDescent="0.3">
      <c r="B103" s="83">
        <f>B102+1</f>
        <v>101</v>
      </c>
      <c r="C103" s="30">
        <v>20200312</v>
      </c>
      <c r="D103" s="30" t="s">
        <v>3</v>
      </c>
      <c r="E103" s="30" t="s">
        <v>295</v>
      </c>
      <c r="F103" s="33" t="s">
        <v>352</v>
      </c>
      <c r="G103" s="84">
        <v>1368920</v>
      </c>
      <c r="H103" s="30" t="s">
        <v>356</v>
      </c>
      <c r="I103" s="63" t="s">
        <v>233</v>
      </c>
      <c r="J103" s="30">
        <v>99478</v>
      </c>
      <c r="K103" s="30" t="s">
        <v>247</v>
      </c>
      <c r="L103" s="33" t="str">
        <f t="shared" si="5"/>
        <v>-</v>
      </c>
      <c r="M103" s="33" t="s">
        <v>248</v>
      </c>
      <c r="N103" s="32"/>
      <c r="O103" s="32"/>
      <c r="P103" s="30" t="s">
        <v>103</v>
      </c>
      <c r="Q103" s="30"/>
      <c r="R103" s="30"/>
      <c r="S103" s="79">
        <v>191</v>
      </c>
      <c r="T103" s="30"/>
      <c r="U103" s="30"/>
      <c r="V103" s="30">
        <f>ROUNDDOWN(T103/HLOOKUP(D103,Table!$C$3:$D$4,2,0)*8,2)</f>
        <v>0</v>
      </c>
      <c r="W103" s="30"/>
      <c r="X103" s="30"/>
      <c r="Y103" s="35"/>
      <c r="Z103" s="35"/>
      <c r="AA103" s="38"/>
      <c r="AB103" s="38"/>
      <c r="AC103" s="38"/>
      <c r="AD103" s="30"/>
      <c r="AE103" s="30"/>
      <c r="AF103" s="30"/>
      <c r="AG103" s="30"/>
      <c r="AH103" s="30"/>
    </row>
    <row r="104" spans="2:34" ht="15.75" thickBot="1" x14ac:dyDescent="0.3">
      <c r="B104" s="83">
        <f t="shared" si="4"/>
        <v>102</v>
      </c>
      <c r="C104" s="30">
        <v>20200312</v>
      </c>
      <c r="D104" s="30" t="s">
        <v>3</v>
      </c>
      <c r="E104" s="30" t="s">
        <v>295</v>
      </c>
      <c r="F104" s="33" t="s">
        <v>300</v>
      </c>
      <c r="G104" s="84">
        <v>1368920</v>
      </c>
      <c r="H104" s="30" t="s">
        <v>312</v>
      </c>
      <c r="I104" s="63" t="s">
        <v>233</v>
      </c>
      <c r="J104" s="30">
        <v>99478</v>
      </c>
      <c r="K104" s="30" t="s">
        <v>247</v>
      </c>
      <c r="L104" s="33" t="str">
        <f t="shared" si="5"/>
        <v>-</v>
      </c>
      <c r="M104" s="33" t="s">
        <v>248</v>
      </c>
      <c r="N104" s="32"/>
      <c r="O104" s="32"/>
      <c r="P104" s="30"/>
      <c r="Q104" s="30"/>
      <c r="R104" s="30"/>
      <c r="S104" s="79">
        <v>67</v>
      </c>
      <c r="T104" s="30"/>
      <c r="U104" s="30"/>
      <c r="V104" s="30">
        <f>ROUNDDOWN(T104/HLOOKUP(D104,Table!$C$3:$D$4,2,0)*8,2)</f>
        <v>0</v>
      </c>
      <c r="W104" s="30"/>
      <c r="X104" s="30"/>
      <c r="Y104" s="35"/>
      <c r="Z104" s="35"/>
      <c r="AA104" s="38"/>
      <c r="AB104" s="38"/>
      <c r="AC104" s="38"/>
      <c r="AD104" s="30"/>
      <c r="AE104" s="30"/>
      <c r="AF104" s="30"/>
      <c r="AG104" s="30"/>
      <c r="AH104" s="30"/>
    </row>
    <row r="105" spans="2:34" ht="15.75" thickBot="1" x14ac:dyDescent="0.3">
      <c r="B105" s="83">
        <f t="shared" si="4"/>
        <v>103</v>
      </c>
      <c r="C105" s="30">
        <v>20200312</v>
      </c>
      <c r="D105" s="30" t="s">
        <v>3</v>
      </c>
      <c r="E105" s="30" t="s">
        <v>93</v>
      </c>
      <c r="F105" s="33" t="s">
        <v>258</v>
      </c>
      <c r="G105" s="84">
        <v>1368889</v>
      </c>
      <c r="H105" s="30" t="s">
        <v>265</v>
      </c>
      <c r="I105" s="63" t="s">
        <v>233</v>
      </c>
      <c r="J105" s="30">
        <v>80504</v>
      </c>
      <c r="K105" s="30" t="s">
        <v>111</v>
      </c>
      <c r="L105" s="33" t="str">
        <f t="shared" si="5"/>
        <v>-</v>
      </c>
      <c r="M105" s="33" t="s">
        <v>267</v>
      </c>
      <c r="N105" s="32"/>
      <c r="O105" s="32"/>
      <c r="P105" s="30" t="s">
        <v>103</v>
      </c>
      <c r="Q105" s="30"/>
      <c r="R105" s="30"/>
      <c r="S105" s="79">
        <v>431</v>
      </c>
      <c r="T105" s="30"/>
      <c r="U105" s="30"/>
      <c r="V105" s="30">
        <f>ROUNDDOWN(T105/HLOOKUP(D105,Table!$C$3:$D$4,2,0)*8,2)</f>
        <v>0</v>
      </c>
      <c r="W105" s="30"/>
      <c r="X105" s="30"/>
      <c r="Y105" s="35"/>
      <c r="Z105" s="35"/>
      <c r="AA105" s="38"/>
      <c r="AB105" s="38"/>
      <c r="AC105" s="38"/>
      <c r="AD105" s="30"/>
      <c r="AE105" s="30"/>
      <c r="AF105" s="30"/>
      <c r="AG105" s="30"/>
      <c r="AH105" s="30"/>
    </row>
    <row r="106" spans="2:34" ht="15.75" thickBot="1" x14ac:dyDescent="0.3">
      <c r="B106" s="83">
        <f t="shared" si="4"/>
        <v>104</v>
      </c>
      <c r="C106" s="30">
        <v>20200312</v>
      </c>
      <c r="D106" s="30" t="s">
        <v>3</v>
      </c>
      <c r="E106" s="30" t="s">
        <v>93</v>
      </c>
      <c r="F106" s="33" t="s">
        <v>258</v>
      </c>
      <c r="G106" s="84">
        <v>1368889</v>
      </c>
      <c r="H106" s="30" t="s">
        <v>357</v>
      </c>
      <c r="I106" s="63" t="s">
        <v>233</v>
      </c>
      <c r="J106" s="30">
        <v>80504</v>
      </c>
      <c r="K106" s="30" t="s">
        <v>111</v>
      </c>
      <c r="L106" s="33" t="str">
        <f t="shared" si="5"/>
        <v>-</v>
      </c>
      <c r="M106" s="33" t="s">
        <v>267</v>
      </c>
      <c r="N106" s="32"/>
      <c r="O106" s="32"/>
      <c r="P106" s="30" t="s">
        <v>106</v>
      </c>
      <c r="Q106" s="30"/>
      <c r="R106" s="30"/>
      <c r="S106" s="79">
        <v>184</v>
      </c>
      <c r="T106" s="30"/>
      <c r="U106" s="30"/>
      <c r="V106" s="30">
        <f>ROUNDDOWN(T106/HLOOKUP(D106,Table!$C$3:$D$4,2,0)*8,2)</f>
        <v>0</v>
      </c>
      <c r="W106" s="30"/>
      <c r="X106" s="30"/>
      <c r="Y106" s="35"/>
      <c r="Z106" s="35"/>
      <c r="AA106" s="38"/>
      <c r="AB106" s="38"/>
      <c r="AC106" s="38"/>
      <c r="AD106" s="30"/>
      <c r="AE106" s="30"/>
      <c r="AF106" s="30"/>
      <c r="AG106" s="30"/>
      <c r="AH106" s="30"/>
    </row>
    <row r="107" spans="2:34" ht="15.75" thickBot="1" x14ac:dyDescent="0.3">
      <c r="B107" s="83">
        <f t="shared" si="4"/>
        <v>105</v>
      </c>
      <c r="C107" s="30">
        <v>20200312</v>
      </c>
      <c r="D107" s="30" t="s">
        <v>3</v>
      </c>
      <c r="E107" s="30" t="s">
        <v>350</v>
      </c>
      <c r="F107" s="33"/>
      <c r="G107" s="85">
        <v>1359407</v>
      </c>
      <c r="H107" s="30" t="s">
        <v>358</v>
      </c>
      <c r="I107" s="63" t="s">
        <v>233</v>
      </c>
      <c r="J107" s="30"/>
      <c r="K107" s="30" t="s">
        <v>128</v>
      </c>
      <c r="L107" s="33" t="str">
        <f t="shared" si="5"/>
        <v>-</v>
      </c>
      <c r="M107" s="33" t="s">
        <v>202</v>
      </c>
      <c r="N107" s="32"/>
      <c r="O107" s="32"/>
      <c r="P107" s="51" t="s">
        <v>105</v>
      </c>
      <c r="Q107" s="30"/>
      <c r="R107" s="30"/>
      <c r="S107" s="79">
        <v>1023</v>
      </c>
      <c r="T107" s="30"/>
      <c r="U107" s="30"/>
      <c r="V107" s="30">
        <f>ROUNDDOWN(T107/HLOOKUP(D107,Table!$C$3:$D$4,2,0)*8,2)</f>
        <v>0</v>
      </c>
      <c r="W107" s="30"/>
      <c r="X107" s="30"/>
      <c r="Y107" s="35"/>
      <c r="Z107" s="35"/>
      <c r="AA107" s="38"/>
      <c r="AB107" s="38"/>
      <c r="AC107" s="38"/>
      <c r="AD107" s="30"/>
      <c r="AE107" s="30"/>
      <c r="AF107" s="30"/>
      <c r="AG107" s="30"/>
      <c r="AH107" s="30"/>
    </row>
    <row r="108" spans="2:34" ht="15.75" thickBot="1" x14ac:dyDescent="0.3">
      <c r="B108" s="83">
        <f t="shared" si="4"/>
        <v>106</v>
      </c>
      <c r="C108" s="30">
        <v>20200312</v>
      </c>
      <c r="D108" s="30" t="s">
        <v>3</v>
      </c>
      <c r="E108" s="30" t="s">
        <v>351</v>
      </c>
      <c r="F108" s="33" t="s">
        <v>353</v>
      </c>
      <c r="G108" s="84">
        <v>1264979</v>
      </c>
      <c r="H108" s="30" t="s">
        <v>359</v>
      </c>
      <c r="I108" s="63" t="s">
        <v>233</v>
      </c>
      <c r="J108" s="30">
        <v>81728</v>
      </c>
      <c r="K108" s="30" t="s">
        <v>367</v>
      </c>
      <c r="L108" s="33" t="str">
        <f t="shared" si="5"/>
        <v>-</v>
      </c>
      <c r="M108" s="33" t="s">
        <v>368</v>
      </c>
      <c r="N108" s="32"/>
      <c r="O108" s="32"/>
      <c r="P108" s="30"/>
      <c r="Q108" s="30"/>
      <c r="R108" s="30"/>
      <c r="S108" s="79">
        <v>43</v>
      </c>
      <c r="T108" s="30"/>
      <c r="U108" s="30"/>
      <c r="V108" s="30">
        <f>ROUNDDOWN(T108/HLOOKUP(D108,Table!$C$3:$D$4,2,0)*8,2)</f>
        <v>0</v>
      </c>
      <c r="W108" s="30"/>
      <c r="X108" s="30"/>
      <c r="Y108" s="35"/>
      <c r="Z108" s="35"/>
      <c r="AA108" s="38"/>
      <c r="AB108" s="38"/>
      <c r="AC108" s="38"/>
      <c r="AD108" s="30"/>
      <c r="AE108" s="30"/>
      <c r="AF108" s="30"/>
      <c r="AG108" s="30"/>
      <c r="AH108" s="30"/>
    </row>
    <row r="109" spans="2:34" ht="15.75" thickBot="1" x14ac:dyDescent="0.3">
      <c r="B109" s="83">
        <f t="shared" si="4"/>
        <v>107</v>
      </c>
      <c r="C109" s="30">
        <v>20200312</v>
      </c>
      <c r="D109" s="30" t="s">
        <v>3</v>
      </c>
      <c r="E109" s="30" t="s">
        <v>351</v>
      </c>
      <c r="F109" s="33" t="s">
        <v>353</v>
      </c>
      <c r="G109" s="84">
        <v>1264979</v>
      </c>
      <c r="H109" s="30" t="s">
        <v>360</v>
      </c>
      <c r="I109" s="63" t="s">
        <v>233</v>
      </c>
      <c r="J109" s="30">
        <v>81728</v>
      </c>
      <c r="K109" s="30" t="s">
        <v>367</v>
      </c>
      <c r="L109" s="33" t="str">
        <f t="shared" si="5"/>
        <v>-</v>
      </c>
      <c r="M109" s="33" t="s">
        <v>368</v>
      </c>
      <c r="N109" s="32"/>
      <c r="O109" s="32"/>
      <c r="P109" s="30" t="s">
        <v>105</v>
      </c>
      <c r="Q109" s="30"/>
      <c r="R109" s="30"/>
      <c r="S109" s="79">
        <v>231</v>
      </c>
      <c r="T109" s="30"/>
      <c r="U109" s="30"/>
      <c r="V109" s="30">
        <f>ROUNDDOWN(T109/HLOOKUP(D109,Table!$C$3:$D$4,2,0)*8,2)</f>
        <v>0</v>
      </c>
      <c r="W109" s="30"/>
      <c r="X109" s="30"/>
      <c r="Y109" s="35"/>
      <c r="Z109" s="35"/>
      <c r="AA109" s="38"/>
      <c r="AB109" s="38"/>
      <c r="AC109" s="38"/>
      <c r="AD109" s="30"/>
      <c r="AE109" s="30"/>
      <c r="AF109" s="30"/>
      <c r="AG109" s="30"/>
      <c r="AH109" s="30"/>
    </row>
    <row r="110" spans="2:34" ht="15.75" thickBot="1" x14ac:dyDescent="0.3">
      <c r="B110" s="83">
        <f t="shared" si="4"/>
        <v>108</v>
      </c>
      <c r="C110" s="30">
        <v>20200312</v>
      </c>
      <c r="D110" s="30" t="s">
        <v>3</v>
      </c>
      <c r="E110" s="30" t="s">
        <v>351</v>
      </c>
      <c r="F110" s="33" t="s">
        <v>353</v>
      </c>
      <c r="G110" s="84">
        <v>1264979</v>
      </c>
      <c r="H110" s="30" t="s">
        <v>361</v>
      </c>
      <c r="I110" s="63" t="s">
        <v>233</v>
      </c>
      <c r="J110" s="30">
        <v>81728</v>
      </c>
      <c r="K110" s="30" t="s">
        <v>367</v>
      </c>
      <c r="L110" s="33" t="str">
        <f t="shared" si="5"/>
        <v>-</v>
      </c>
      <c r="M110" s="33" t="s">
        <v>368</v>
      </c>
      <c r="N110" s="32"/>
      <c r="O110" s="32"/>
      <c r="P110" s="30" t="s">
        <v>106</v>
      </c>
      <c r="Q110" s="30"/>
      <c r="R110" s="30"/>
      <c r="S110" s="79">
        <v>360</v>
      </c>
      <c r="T110" s="30"/>
      <c r="U110" s="30"/>
      <c r="V110" s="30">
        <f>ROUNDDOWN(T110/HLOOKUP(D110,Table!$C$3:$D$4,2,0)*8,2)</f>
        <v>0</v>
      </c>
      <c r="W110" s="30"/>
      <c r="X110" s="30"/>
      <c r="Y110" s="35"/>
      <c r="Z110" s="35"/>
      <c r="AA110" s="38"/>
      <c r="AB110" s="38"/>
      <c r="AC110" s="38"/>
      <c r="AD110" s="30"/>
      <c r="AE110" s="30"/>
      <c r="AF110" s="30"/>
      <c r="AG110" s="30"/>
      <c r="AH110" s="30"/>
    </row>
    <row r="111" spans="2:34" ht="15.75" thickBot="1" x14ac:dyDescent="0.3">
      <c r="B111" s="83">
        <f t="shared" si="4"/>
        <v>109</v>
      </c>
      <c r="C111" s="30">
        <v>20200312</v>
      </c>
      <c r="D111" s="30" t="s">
        <v>3</v>
      </c>
      <c r="E111" s="30" t="s">
        <v>351</v>
      </c>
      <c r="F111" s="33" t="s">
        <v>353</v>
      </c>
      <c r="G111" s="84">
        <v>1264979</v>
      </c>
      <c r="H111" s="30" t="s">
        <v>358</v>
      </c>
      <c r="I111" s="63" t="s">
        <v>233</v>
      </c>
      <c r="J111" s="31">
        <v>81728</v>
      </c>
      <c r="K111" s="30" t="s">
        <v>367</v>
      </c>
      <c r="L111" s="33" t="str">
        <f t="shared" si="5"/>
        <v>-</v>
      </c>
      <c r="M111" s="33" t="s">
        <v>368</v>
      </c>
      <c r="N111" s="32"/>
      <c r="O111" s="32"/>
      <c r="P111" s="30" t="s">
        <v>104</v>
      </c>
      <c r="Q111" s="30"/>
      <c r="R111" s="30"/>
      <c r="S111" s="79">
        <v>1023</v>
      </c>
      <c r="T111" s="30">
        <v>1023</v>
      </c>
      <c r="U111" s="30">
        <v>1000</v>
      </c>
      <c r="V111" s="30">
        <f>ROUNDDOWN(T111/HLOOKUP(D111,Table!$C$3:$D$4,2,0)*8,2)</f>
        <v>18.18</v>
      </c>
      <c r="W111" s="30">
        <v>8</v>
      </c>
      <c r="X111" s="30"/>
      <c r="Y111" s="35"/>
      <c r="Z111" s="35"/>
      <c r="AA111" s="38"/>
      <c r="AB111" s="38"/>
      <c r="AC111" s="38"/>
      <c r="AD111" s="30"/>
      <c r="AE111" s="30"/>
      <c r="AF111" s="30"/>
      <c r="AG111" s="30"/>
      <c r="AH111" s="30"/>
    </row>
    <row r="112" spans="2:34" ht="15.75" thickBot="1" x14ac:dyDescent="0.3">
      <c r="B112" s="83">
        <f t="shared" si="4"/>
        <v>110</v>
      </c>
      <c r="C112" s="30">
        <v>20200312</v>
      </c>
      <c r="D112" s="30" t="s">
        <v>3</v>
      </c>
      <c r="E112" s="30" t="s">
        <v>351</v>
      </c>
      <c r="F112" s="33" t="s">
        <v>353</v>
      </c>
      <c r="G112" s="84">
        <v>1264979</v>
      </c>
      <c r="H112" s="30" t="s">
        <v>362</v>
      </c>
      <c r="I112" s="63" t="s">
        <v>233</v>
      </c>
      <c r="J112" s="30">
        <v>81728</v>
      </c>
      <c r="K112" s="30" t="s">
        <v>367</v>
      </c>
      <c r="L112" s="33" t="str">
        <f t="shared" si="5"/>
        <v>-</v>
      </c>
      <c r="M112" s="33" t="s">
        <v>368</v>
      </c>
      <c r="N112" s="32"/>
      <c r="O112" s="32"/>
      <c r="P112" s="30" t="s">
        <v>104</v>
      </c>
      <c r="Q112" s="30"/>
      <c r="R112" s="30"/>
      <c r="S112" s="79">
        <v>303</v>
      </c>
      <c r="T112" s="30"/>
      <c r="U112" s="30"/>
      <c r="V112" s="30">
        <f>ROUNDDOWN(T112/HLOOKUP(D112,Table!$C$3:$D$4,2,0)*8,2)</f>
        <v>0</v>
      </c>
      <c r="W112" s="30"/>
      <c r="X112" s="30"/>
      <c r="Y112" s="35"/>
      <c r="Z112" s="35"/>
      <c r="AA112" s="38"/>
      <c r="AB112" s="38"/>
      <c r="AC112" s="38"/>
      <c r="AD112" s="30"/>
      <c r="AE112" s="30"/>
      <c r="AF112" s="30"/>
      <c r="AG112" s="30"/>
      <c r="AH112" s="30"/>
    </row>
    <row r="113" spans="2:34" ht="15.75" thickBot="1" x14ac:dyDescent="0.3">
      <c r="B113" s="83">
        <f t="shared" si="4"/>
        <v>111</v>
      </c>
      <c r="C113" s="30">
        <v>20200312</v>
      </c>
      <c r="D113" s="30" t="s">
        <v>3</v>
      </c>
      <c r="E113" s="30" t="s">
        <v>351</v>
      </c>
      <c r="F113" s="33" t="s">
        <v>353</v>
      </c>
      <c r="G113" s="84">
        <v>1264979</v>
      </c>
      <c r="H113" s="30" t="s">
        <v>363</v>
      </c>
      <c r="I113" s="63" t="s">
        <v>233</v>
      </c>
      <c r="J113" s="30">
        <v>81728</v>
      </c>
      <c r="K113" s="30" t="s">
        <v>367</v>
      </c>
      <c r="L113" s="33" t="str">
        <f t="shared" si="5"/>
        <v>-</v>
      </c>
      <c r="M113" s="33" t="s">
        <v>368</v>
      </c>
      <c r="N113" s="32"/>
      <c r="O113" s="32"/>
      <c r="P113" s="30"/>
      <c r="Q113" s="30"/>
      <c r="R113" s="30"/>
      <c r="S113" s="79">
        <v>87</v>
      </c>
      <c r="T113" s="30"/>
      <c r="U113" s="30"/>
      <c r="V113" s="30">
        <f>ROUNDDOWN(T113/HLOOKUP(D113,Table!$C$3:$D$4,2,0)*8,2)</f>
        <v>0</v>
      </c>
      <c r="W113" s="30"/>
      <c r="X113" s="30"/>
      <c r="Y113" s="35"/>
      <c r="Z113" s="35"/>
      <c r="AA113" s="38"/>
      <c r="AB113" s="38"/>
      <c r="AC113" s="38"/>
      <c r="AD113" s="30"/>
      <c r="AE113" s="30"/>
      <c r="AF113" s="30"/>
      <c r="AG113" s="30"/>
      <c r="AH113" s="30"/>
    </row>
    <row r="114" spans="2:34" ht="15.75" thickBot="1" x14ac:dyDescent="0.3">
      <c r="B114" s="83">
        <f t="shared" si="4"/>
        <v>112</v>
      </c>
      <c r="C114" s="30">
        <v>20200312</v>
      </c>
      <c r="D114" s="30" t="s">
        <v>3</v>
      </c>
      <c r="E114" s="30" t="s">
        <v>351</v>
      </c>
      <c r="F114" s="33" t="s">
        <v>353</v>
      </c>
      <c r="G114" s="84">
        <v>1264979</v>
      </c>
      <c r="H114" s="30" t="s">
        <v>121</v>
      </c>
      <c r="I114" s="63" t="s">
        <v>233</v>
      </c>
      <c r="J114" s="30">
        <v>81728</v>
      </c>
      <c r="K114" s="30" t="s">
        <v>367</v>
      </c>
      <c r="L114" s="33" t="str">
        <f t="shared" si="5"/>
        <v>-</v>
      </c>
      <c r="M114" s="33" t="s">
        <v>368</v>
      </c>
      <c r="N114" s="32"/>
      <c r="O114" s="32"/>
      <c r="P114" s="30" t="s">
        <v>103</v>
      </c>
      <c r="Q114" s="30"/>
      <c r="R114" s="30"/>
      <c r="S114" s="79">
        <v>828</v>
      </c>
      <c r="T114" s="30"/>
      <c r="U114" s="30"/>
      <c r="V114" s="30">
        <f>ROUNDDOWN(T114/HLOOKUP(D114,Table!$C$3:$D$4,2,0)*8,2)</f>
        <v>0</v>
      </c>
      <c r="W114" s="30"/>
      <c r="X114" s="30"/>
      <c r="Y114" s="35"/>
      <c r="Z114" s="35"/>
      <c r="AA114" s="38"/>
      <c r="AB114" s="38"/>
      <c r="AC114" s="38"/>
      <c r="AD114" s="30"/>
      <c r="AE114" s="30"/>
      <c r="AF114" s="30"/>
      <c r="AG114" s="30"/>
      <c r="AH114" s="30"/>
    </row>
    <row r="115" spans="2:34" ht="15.75" thickBot="1" x14ac:dyDescent="0.3">
      <c r="B115" s="83">
        <f t="shared" si="4"/>
        <v>113</v>
      </c>
      <c r="C115" s="30">
        <v>20200312</v>
      </c>
      <c r="D115" s="30" t="s">
        <v>3</v>
      </c>
      <c r="E115" s="30" t="s">
        <v>351</v>
      </c>
      <c r="F115" s="33" t="s">
        <v>353</v>
      </c>
      <c r="G115" s="84">
        <v>1264979</v>
      </c>
      <c r="H115" s="30" t="s">
        <v>364</v>
      </c>
      <c r="I115" s="63" t="s">
        <v>233</v>
      </c>
      <c r="J115" s="30">
        <v>81728</v>
      </c>
      <c r="K115" s="30" t="s">
        <v>367</v>
      </c>
      <c r="L115" s="33" t="str">
        <f t="shared" si="5"/>
        <v>-</v>
      </c>
      <c r="M115" s="33" t="s">
        <v>368</v>
      </c>
      <c r="N115" s="32"/>
      <c r="O115" s="32"/>
      <c r="P115" s="30"/>
      <c r="Q115" s="30"/>
      <c r="R115" s="30"/>
      <c r="S115" s="79">
        <v>107</v>
      </c>
      <c r="T115" s="30"/>
      <c r="U115" s="30"/>
      <c r="V115" s="30">
        <f>ROUNDDOWN(T115/HLOOKUP(D115,Table!$C$3:$D$4,2,0)*8,2)</f>
        <v>0</v>
      </c>
      <c r="W115" s="30"/>
      <c r="X115" s="30"/>
      <c r="Y115" s="35"/>
      <c r="Z115" s="35"/>
      <c r="AA115" s="38"/>
      <c r="AB115" s="38"/>
      <c r="AC115" s="38"/>
      <c r="AD115" s="30"/>
      <c r="AE115" s="30"/>
      <c r="AF115" s="30"/>
      <c r="AG115" s="30"/>
      <c r="AH115" s="30"/>
    </row>
    <row r="116" spans="2:34" ht="15.75" thickBot="1" x14ac:dyDescent="0.3">
      <c r="B116" s="83">
        <f t="shared" si="4"/>
        <v>114</v>
      </c>
      <c r="C116" s="30">
        <v>20200312</v>
      </c>
      <c r="D116" s="30" t="s">
        <v>3</v>
      </c>
      <c r="E116" s="30" t="s">
        <v>351</v>
      </c>
      <c r="F116" s="33" t="s">
        <v>354</v>
      </c>
      <c r="G116" s="84">
        <v>1264979</v>
      </c>
      <c r="H116" s="30" t="s">
        <v>365</v>
      </c>
      <c r="I116" s="63" t="s">
        <v>233</v>
      </c>
      <c r="J116" s="30">
        <v>81728</v>
      </c>
      <c r="K116" s="30" t="s">
        <v>367</v>
      </c>
      <c r="L116" s="33" t="str">
        <f t="shared" si="5"/>
        <v>-</v>
      </c>
      <c r="M116" s="33" t="s">
        <v>368</v>
      </c>
      <c r="N116" s="32"/>
      <c r="O116" s="32"/>
      <c r="P116" s="30" t="s">
        <v>106</v>
      </c>
      <c r="Q116" s="30"/>
      <c r="R116" s="30"/>
      <c r="S116" s="79">
        <v>1193</v>
      </c>
      <c r="T116" s="30"/>
      <c r="U116" s="30"/>
      <c r="V116" s="30">
        <f>ROUNDDOWN(T116/HLOOKUP(D116,Table!$C$3:$D$4,2,0)*8,2)</f>
        <v>0</v>
      </c>
      <c r="W116" s="30"/>
      <c r="X116" s="30"/>
      <c r="Y116" s="35"/>
      <c r="Z116" s="35"/>
      <c r="AA116" s="38">
        <v>43902</v>
      </c>
      <c r="AB116" s="38">
        <v>43902</v>
      </c>
      <c r="AC116" s="38" t="s">
        <v>184</v>
      </c>
      <c r="AD116" s="30">
        <v>100</v>
      </c>
      <c r="AE116" s="30">
        <v>100</v>
      </c>
      <c r="AF116" s="30">
        <v>100</v>
      </c>
      <c r="AG116" s="30"/>
      <c r="AH116" s="30"/>
    </row>
    <row r="117" spans="2:34" ht="15.75" thickBot="1" x14ac:dyDescent="0.3">
      <c r="B117" s="83">
        <f t="shared" si="4"/>
        <v>115</v>
      </c>
      <c r="C117" s="30">
        <v>20200312</v>
      </c>
      <c r="D117" s="30" t="s">
        <v>3</v>
      </c>
      <c r="E117" s="30" t="s">
        <v>351</v>
      </c>
      <c r="F117" s="33" t="s">
        <v>355</v>
      </c>
      <c r="G117" s="84">
        <v>1264979</v>
      </c>
      <c r="H117" s="30" t="s">
        <v>366</v>
      </c>
      <c r="I117" s="63" t="s">
        <v>233</v>
      </c>
      <c r="J117" s="30">
        <v>81728</v>
      </c>
      <c r="K117" s="30" t="s">
        <v>367</v>
      </c>
      <c r="L117" s="33" t="str">
        <f t="shared" si="5"/>
        <v>-</v>
      </c>
      <c r="M117" s="33" t="s">
        <v>368</v>
      </c>
      <c r="N117" s="32"/>
      <c r="O117" s="32"/>
      <c r="P117" s="30"/>
      <c r="Q117" s="30"/>
      <c r="R117" s="30"/>
      <c r="S117" s="79">
        <v>23</v>
      </c>
      <c r="T117" s="30"/>
      <c r="U117" s="30"/>
      <c r="V117" s="30">
        <f>ROUNDDOWN(T117/HLOOKUP(D117,Table!$C$3:$D$4,2,0)*8,2)</f>
        <v>0</v>
      </c>
      <c r="W117" s="30"/>
      <c r="X117" s="30"/>
      <c r="Y117" s="35"/>
      <c r="Z117" s="35"/>
      <c r="AA117" s="38"/>
      <c r="AB117" s="38"/>
      <c r="AC117" s="38"/>
      <c r="AD117" s="30"/>
      <c r="AE117" s="30"/>
      <c r="AF117" s="30"/>
      <c r="AG117" s="30"/>
      <c r="AH117" s="30"/>
    </row>
    <row r="118" spans="2:34" ht="15.75" thickBot="1" x14ac:dyDescent="0.3">
      <c r="B118" s="97">
        <f t="shared" si="4"/>
        <v>116</v>
      </c>
      <c r="C118" s="30">
        <v>20200312</v>
      </c>
      <c r="D118" s="31" t="s">
        <v>2</v>
      </c>
      <c r="E118" s="89" t="s">
        <v>370</v>
      </c>
      <c r="F118" s="33" t="s">
        <v>90</v>
      </c>
      <c r="G118" s="91">
        <v>1367009</v>
      </c>
      <c r="H118" s="93" t="s">
        <v>371</v>
      </c>
      <c r="I118" s="30"/>
      <c r="J118" s="30"/>
      <c r="K118" s="90" t="s">
        <v>382</v>
      </c>
      <c r="L118" s="89">
        <v>1.2</v>
      </c>
      <c r="M118" s="96" t="s">
        <v>381</v>
      </c>
      <c r="N118" s="32"/>
      <c r="O118" s="32"/>
      <c r="P118" s="30" t="s">
        <v>103</v>
      </c>
      <c r="Q118" s="30"/>
      <c r="R118" s="30"/>
      <c r="S118" s="94" t="s">
        <v>377</v>
      </c>
      <c r="T118" s="30"/>
      <c r="U118" s="30"/>
      <c r="V118" s="94">
        <v>3</v>
      </c>
      <c r="W118" s="30"/>
      <c r="X118" s="30"/>
      <c r="Y118" s="35"/>
      <c r="Z118" s="98">
        <v>20200320</v>
      </c>
      <c r="AA118" s="38"/>
      <c r="AB118" s="38"/>
      <c r="AC118" s="38"/>
      <c r="AD118" s="30"/>
      <c r="AE118" s="30"/>
      <c r="AF118" s="30"/>
      <c r="AG118" s="30"/>
      <c r="AH118" s="30"/>
    </row>
    <row r="119" spans="2:34" ht="15.75" thickBot="1" x14ac:dyDescent="0.3">
      <c r="B119" s="97">
        <f t="shared" si="4"/>
        <v>117</v>
      </c>
      <c r="C119" s="30">
        <v>20200312</v>
      </c>
      <c r="D119" s="31" t="s">
        <v>2</v>
      </c>
      <c r="E119" s="90" t="s">
        <v>370</v>
      </c>
      <c r="F119" s="33" t="s">
        <v>90</v>
      </c>
      <c r="G119" s="92">
        <v>1367009</v>
      </c>
      <c r="H119" s="88" t="s">
        <v>372</v>
      </c>
      <c r="I119" s="30"/>
      <c r="J119" s="30"/>
      <c r="K119" s="90" t="s">
        <v>382</v>
      </c>
      <c r="L119" s="90" t="s">
        <v>376</v>
      </c>
      <c r="M119" s="33" t="s">
        <v>381</v>
      </c>
      <c r="N119" s="32"/>
      <c r="O119" s="32"/>
      <c r="P119" s="30"/>
      <c r="Q119" s="30"/>
      <c r="R119" s="30"/>
      <c r="S119" s="95" t="s">
        <v>378</v>
      </c>
      <c r="T119" s="30"/>
      <c r="U119" s="30"/>
      <c r="V119" s="95">
        <v>5</v>
      </c>
      <c r="W119" s="30"/>
      <c r="X119" s="30"/>
      <c r="Y119" s="35"/>
      <c r="Z119" s="98">
        <v>20200320</v>
      </c>
      <c r="AA119" s="38"/>
      <c r="AB119" s="38"/>
      <c r="AC119" s="38"/>
      <c r="AD119" s="30"/>
      <c r="AE119" s="30"/>
      <c r="AF119" s="30"/>
      <c r="AG119" s="30"/>
      <c r="AH119" s="30"/>
    </row>
    <row r="120" spans="2:34" ht="15.75" thickBot="1" x14ac:dyDescent="0.3">
      <c r="B120" s="97">
        <f t="shared" si="4"/>
        <v>118</v>
      </c>
      <c r="C120" s="30">
        <v>20200312</v>
      </c>
      <c r="D120" s="31" t="s">
        <v>2</v>
      </c>
      <c r="E120" s="89" t="s">
        <v>370</v>
      </c>
      <c r="F120" s="33" t="s">
        <v>90</v>
      </c>
      <c r="G120" s="91">
        <v>1366969</v>
      </c>
      <c r="H120" s="93" t="s">
        <v>373</v>
      </c>
      <c r="I120" s="30"/>
      <c r="J120" s="30"/>
      <c r="K120" s="90" t="s">
        <v>383</v>
      </c>
      <c r="L120" s="89">
        <v>1.1000000000000001</v>
      </c>
      <c r="M120" s="33" t="s">
        <v>381</v>
      </c>
      <c r="N120" s="32"/>
      <c r="O120" s="32"/>
      <c r="P120" s="30" t="s">
        <v>104</v>
      </c>
      <c r="Q120" s="30"/>
      <c r="R120" s="30"/>
      <c r="S120" s="94" t="s">
        <v>379</v>
      </c>
      <c r="T120" s="30"/>
      <c r="U120" s="30"/>
      <c r="V120" s="94">
        <v>3</v>
      </c>
      <c r="W120" s="30"/>
      <c r="X120" s="30"/>
      <c r="Y120" s="35"/>
      <c r="Z120" s="98">
        <v>20200320</v>
      </c>
      <c r="AA120" s="38"/>
      <c r="AB120" s="38"/>
      <c r="AC120" s="38"/>
      <c r="AD120" s="30"/>
      <c r="AE120" s="30"/>
      <c r="AF120" s="30"/>
      <c r="AG120" s="30"/>
      <c r="AH120" s="30"/>
    </row>
    <row r="121" spans="2:34" ht="15.75" thickBot="1" x14ac:dyDescent="0.3">
      <c r="B121" s="97">
        <f t="shared" si="4"/>
        <v>119</v>
      </c>
      <c r="C121" s="30">
        <v>20200312</v>
      </c>
      <c r="D121" s="31" t="s">
        <v>2</v>
      </c>
      <c r="E121" s="90" t="s">
        <v>370</v>
      </c>
      <c r="F121" s="33" t="s">
        <v>90</v>
      </c>
      <c r="G121" s="92">
        <v>1366969</v>
      </c>
      <c r="H121" s="88" t="s">
        <v>374</v>
      </c>
      <c r="I121" s="30"/>
      <c r="J121" s="30"/>
      <c r="K121" s="90" t="s">
        <v>383</v>
      </c>
      <c r="L121" s="90">
        <v>1</v>
      </c>
      <c r="M121" s="33" t="s">
        <v>381</v>
      </c>
      <c r="N121" s="32"/>
      <c r="O121" s="32"/>
      <c r="P121" s="51" t="s">
        <v>105</v>
      </c>
      <c r="Q121" s="30"/>
      <c r="R121" s="30"/>
      <c r="S121" s="95" t="s">
        <v>379</v>
      </c>
      <c r="T121" s="30"/>
      <c r="U121" s="30"/>
      <c r="V121" s="95">
        <v>3</v>
      </c>
      <c r="W121" s="30"/>
      <c r="X121" s="30"/>
      <c r="Y121" s="35"/>
      <c r="Z121" s="98">
        <v>20200320</v>
      </c>
      <c r="AA121" s="38"/>
      <c r="AB121" s="38"/>
      <c r="AC121" s="38"/>
      <c r="AD121" s="30"/>
      <c r="AE121" s="30"/>
      <c r="AF121" s="30"/>
      <c r="AG121" s="30"/>
      <c r="AH121" s="30"/>
    </row>
    <row r="122" spans="2:34" ht="15.75" thickBot="1" x14ac:dyDescent="0.3">
      <c r="B122" s="97">
        <f t="shared" si="4"/>
        <v>120</v>
      </c>
      <c r="C122" s="30">
        <v>20200312</v>
      </c>
      <c r="D122" s="31" t="s">
        <v>2</v>
      </c>
      <c r="E122" s="89" t="s">
        <v>370</v>
      </c>
      <c r="F122" s="33" t="s">
        <v>90</v>
      </c>
      <c r="G122" s="91">
        <v>1371465</v>
      </c>
      <c r="H122" s="93" t="s">
        <v>375</v>
      </c>
      <c r="I122" s="30"/>
      <c r="J122" s="30"/>
      <c r="K122" s="90" t="s">
        <v>382</v>
      </c>
      <c r="L122" s="89">
        <v>1.1000000000000001</v>
      </c>
      <c r="M122" s="33" t="s">
        <v>381</v>
      </c>
      <c r="N122" s="32"/>
      <c r="O122" s="32"/>
      <c r="P122" s="30"/>
      <c r="Q122" s="30"/>
      <c r="R122" s="30"/>
      <c r="S122" s="94" t="s">
        <v>380</v>
      </c>
      <c r="T122" s="30"/>
      <c r="U122" s="30"/>
      <c r="V122" s="94">
        <v>7</v>
      </c>
      <c r="W122" s="30"/>
      <c r="X122" s="30"/>
      <c r="Y122" s="35"/>
      <c r="Z122" s="98">
        <v>20200320</v>
      </c>
      <c r="AA122" s="38"/>
      <c r="AB122" s="38"/>
      <c r="AC122" s="38"/>
      <c r="AD122" s="30"/>
      <c r="AE122" s="30"/>
      <c r="AF122" s="30"/>
      <c r="AG122" s="30"/>
      <c r="AH122" s="30"/>
    </row>
    <row r="123" spans="2:34" x14ac:dyDescent="0.25">
      <c r="B123" s="39">
        <f t="shared" si="4"/>
        <v>121</v>
      </c>
      <c r="C123" s="30"/>
      <c r="D123" s="30"/>
      <c r="E123" s="30"/>
      <c r="F123" s="33"/>
      <c r="G123" s="30"/>
      <c r="H123" s="30"/>
      <c r="I123" s="30"/>
      <c r="J123" s="30"/>
      <c r="K123" s="30"/>
      <c r="L123" s="33"/>
      <c r="M123" s="33"/>
      <c r="N123" s="32"/>
      <c r="O123" s="32"/>
      <c r="P123" s="30"/>
      <c r="Q123" s="30"/>
      <c r="R123" s="30"/>
      <c r="S123" s="30"/>
      <c r="T123" s="30"/>
      <c r="U123" s="30"/>
      <c r="V123" s="30"/>
      <c r="W123" s="30"/>
      <c r="X123" s="30"/>
      <c r="Y123" s="35"/>
      <c r="Z123" s="35"/>
      <c r="AA123" s="38"/>
      <c r="AB123" s="38"/>
      <c r="AC123" s="38"/>
      <c r="AD123" s="30"/>
      <c r="AE123" s="30"/>
      <c r="AF123" s="30"/>
      <c r="AG123" s="30"/>
      <c r="AH123" s="30"/>
    </row>
    <row r="124" spans="2:34" x14ac:dyDescent="0.25">
      <c r="B124" s="39">
        <f t="shared" si="4"/>
        <v>122</v>
      </c>
      <c r="C124" s="30"/>
      <c r="D124" s="30"/>
      <c r="E124" s="30"/>
      <c r="F124" s="33"/>
      <c r="G124" s="30"/>
      <c r="H124" s="30"/>
      <c r="I124" s="30"/>
      <c r="J124" s="30"/>
      <c r="K124" s="30"/>
      <c r="L124" s="33"/>
      <c r="M124" s="33"/>
      <c r="N124" s="32"/>
      <c r="O124" s="32"/>
      <c r="P124" s="30"/>
      <c r="Q124" s="30"/>
      <c r="R124" s="30"/>
      <c r="S124" s="30"/>
      <c r="T124" s="30"/>
      <c r="U124" s="30"/>
      <c r="V124" s="30"/>
      <c r="W124" s="30"/>
      <c r="X124" s="30"/>
      <c r="Y124" s="35"/>
      <c r="Z124" s="35"/>
      <c r="AA124" s="38"/>
      <c r="AB124" s="38"/>
      <c r="AC124" s="38"/>
      <c r="AD124" s="30"/>
      <c r="AE124" s="30"/>
      <c r="AF124" s="30"/>
      <c r="AG124" s="30"/>
      <c r="AH124" s="30"/>
    </row>
    <row r="125" spans="2:34" x14ac:dyDescent="0.25">
      <c r="B125" s="39">
        <f t="shared" si="4"/>
        <v>123</v>
      </c>
      <c r="C125" s="30"/>
      <c r="D125" s="30"/>
      <c r="E125" s="30"/>
      <c r="F125" s="33"/>
      <c r="G125" s="30"/>
      <c r="H125" s="30"/>
      <c r="I125" s="30"/>
      <c r="J125" s="30"/>
      <c r="K125" s="30"/>
      <c r="L125" s="33"/>
      <c r="M125" s="33"/>
      <c r="N125" s="32"/>
      <c r="O125" s="32"/>
      <c r="P125" s="30"/>
      <c r="Q125" s="30"/>
      <c r="R125" s="30"/>
      <c r="S125" s="30"/>
      <c r="T125" s="30"/>
      <c r="U125" s="30"/>
      <c r="V125" s="30"/>
      <c r="W125" s="30"/>
      <c r="X125" s="30"/>
      <c r="Y125" s="35"/>
      <c r="Z125" s="35"/>
      <c r="AA125" s="38"/>
      <c r="AB125" s="38"/>
      <c r="AC125" s="38"/>
      <c r="AD125" s="30"/>
      <c r="AE125" s="30"/>
      <c r="AF125" s="30"/>
      <c r="AG125" s="30"/>
      <c r="AH125" s="30"/>
    </row>
    <row r="126" spans="2:34" x14ac:dyDescent="0.25">
      <c r="B126" s="39">
        <f t="shared" si="4"/>
        <v>124</v>
      </c>
      <c r="C126" s="30"/>
      <c r="D126" s="30"/>
      <c r="E126" s="30"/>
      <c r="F126" s="33"/>
      <c r="G126" s="30"/>
      <c r="H126" s="30"/>
      <c r="I126" s="30"/>
      <c r="J126" s="30"/>
      <c r="K126" s="30"/>
      <c r="L126" s="33"/>
      <c r="M126" s="33"/>
      <c r="N126" s="32"/>
      <c r="O126" s="32"/>
      <c r="P126" s="30"/>
      <c r="Q126" s="30"/>
      <c r="R126" s="30"/>
      <c r="S126" s="30"/>
      <c r="T126" s="30"/>
      <c r="U126" s="30"/>
      <c r="V126" s="30"/>
      <c r="W126" s="30"/>
      <c r="X126" s="30"/>
      <c r="Y126" s="35"/>
      <c r="Z126" s="35"/>
      <c r="AA126" s="38"/>
      <c r="AB126" s="38"/>
      <c r="AC126" s="38"/>
      <c r="AD126" s="30"/>
      <c r="AE126" s="30"/>
      <c r="AF126" s="30"/>
      <c r="AG126" s="30"/>
      <c r="AH126" s="30"/>
    </row>
    <row r="127" spans="2:34" x14ac:dyDescent="0.25">
      <c r="B127" s="39">
        <f t="shared" si="4"/>
        <v>125</v>
      </c>
      <c r="C127" s="30"/>
      <c r="D127" s="30"/>
      <c r="E127" s="30"/>
      <c r="F127" s="33"/>
      <c r="G127" s="30"/>
      <c r="H127" s="30"/>
      <c r="I127" s="30"/>
      <c r="J127" s="30"/>
      <c r="K127" s="30"/>
      <c r="L127" s="33"/>
      <c r="M127" s="33"/>
      <c r="N127" s="32"/>
      <c r="O127" s="32"/>
      <c r="P127" s="30"/>
      <c r="Q127" s="30"/>
      <c r="R127" s="30"/>
      <c r="S127" s="30"/>
      <c r="T127" s="30"/>
      <c r="U127" s="30"/>
      <c r="V127" s="30"/>
      <c r="W127" s="30"/>
      <c r="X127" s="30"/>
      <c r="Y127" s="35"/>
      <c r="Z127" s="35"/>
      <c r="AA127" s="38"/>
      <c r="AB127" s="38"/>
      <c r="AC127" s="38"/>
      <c r="AD127" s="30"/>
      <c r="AE127" s="30"/>
      <c r="AF127" s="30"/>
      <c r="AG127" s="30"/>
      <c r="AH127" s="30"/>
    </row>
    <row r="128" spans="2:34" x14ac:dyDescent="0.25">
      <c r="B128" s="39">
        <f t="shared" si="4"/>
        <v>126</v>
      </c>
      <c r="C128" s="30"/>
      <c r="D128" s="30"/>
      <c r="E128" s="30"/>
      <c r="F128" s="33"/>
      <c r="G128" s="30"/>
      <c r="H128" s="30"/>
      <c r="I128" s="30"/>
      <c r="J128" s="30"/>
      <c r="K128" s="30"/>
      <c r="L128" s="33"/>
      <c r="M128" s="33"/>
      <c r="N128" s="32"/>
      <c r="O128" s="32"/>
      <c r="P128" s="30"/>
      <c r="Q128" s="30"/>
      <c r="R128" s="30"/>
      <c r="S128" s="30"/>
      <c r="T128" s="30"/>
      <c r="U128" s="30"/>
      <c r="V128" s="30"/>
      <c r="W128" s="30"/>
      <c r="X128" s="30"/>
      <c r="Y128" s="35"/>
      <c r="Z128" s="35"/>
      <c r="AA128" s="38"/>
      <c r="AB128" s="38"/>
      <c r="AC128" s="38"/>
      <c r="AD128" s="30"/>
      <c r="AE128" s="30"/>
      <c r="AF128" s="30"/>
      <c r="AG128" s="30"/>
      <c r="AH128" s="30"/>
    </row>
    <row r="129" spans="2:34" x14ac:dyDescent="0.25">
      <c r="B129" s="39">
        <f t="shared" si="4"/>
        <v>127</v>
      </c>
      <c r="C129" s="30"/>
      <c r="D129" s="30"/>
      <c r="E129" s="30"/>
      <c r="F129" s="33"/>
      <c r="G129" s="30"/>
      <c r="H129" s="30"/>
      <c r="I129" s="30"/>
      <c r="J129" s="30"/>
      <c r="K129" s="30"/>
      <c r="L129" s="33"/>
      <c r="M129" s="33"/>
      <c r="N129" s="32"/>
      <c r="O129" s="32"/>
      <c r="P129" s="30"/>
      <c r="Q129" s="30"/>
      <c r="R129" s="30"/>
      <c r="S129" s="30"/>
      <c r="T129" s="30"/>
      <c r="U129" s="30"/>
      <c r="V129" s="30"/>
      <c r="W129" s="30"/>
      <c r="X129" s="30"/>
      <c r="Y129" s="35"/>
      <c r="Z129" s="35"/>
      <c r="AA129" s="38"/>
      <c r="AB129" s="38"/>
      <c r="AC129" s="38"/>
      <c r="AD129" s="30"/>
      <c r="AE129" s="30"/>
      <c r="AF129" s="30"/>
      <c r="AG129" s="30"/>
      <c r="AH129" s="30"/>
    </row>
    <row r="130" spans="2:34" x14ac:dyDescent="0.25">
      <c r="B130" s="39">
        <f t="shared" si="4"/>
        <v>128</v>
      </c>
      <c r="C130" s="30"/>
      <c r="D130" s="30"/>
      <c r="E130" s="30"/>
      <c r="F130" s="33"/>
      <c r="G130" s="30"/>
      <c r="H130" s="30"/>
      <c r="I130" s="30"/>
      <c r="J130" s="30"/>
      <c r="K130" s="30"/>
      <c r="L130" s="33"/>
      <c r="M130" s="33"/>
      <c r="N130" s="32"/>
      <c r="O130" s="32"/>
      <c r="P130" s="30"/>
      <c r="Q130" s="30"/>
      <c r="R130" s="30"/>
      <c r="S130" s="30"/>
      <c r="T130" s="30"/>
      <c r="U130" s="30"/>
      <c r="V130" s="30"/>
      <c r="W130" s="30"/>
      <c r="X130" s="30"/>
      <c r="Y130" s="35"/>
      <c r="Z130" s="35"/>
      <c r="AA130" s="38"/>
      <c r="AB130" s="38"/>
      <c r="AC130" s="38"/>
      <c r="AD130" s="30"/>
      <c r="AE130" s="30"/>
      <c r="AF130" s="30"/>
      <c r="AG130" s="30"/>
      <c r="AH130" s="30"/>
    </row>
    <row r="131" spans="2:34" x14ac:dyDescent="0.25">
      <c r="B131" s="39">
        <f t="shared" si="4"/>
        <v>129</v>
      </c>
      <c r="C131" s="30"/>
      <c r="D131" s="30"/>
      <c r="E131" s="30"/>
      <c r="F131" s="33"/>
      <c r="G131" s="30"/>
      <c r="H131" s="30"/>
      <c r="I131" s="30"/>
      <c r="J131" s="30"/>
      <c r="K131" s="30"/>
      <c r="L131" s="33"/>
      <c r="M131" s="33"/>
      <c r="N131" s="32"/>
      <c r="O131" s="32"/>
      <c r="P131" s="30"/>
      <c r="Q131" s="30"/>
      <c r="R131" s="30"/>
      <c r="S131" s="30"/>
      <c r="T131" s="30"/>
      <c r="U131" s="30"/>
      <c r="V131" s="30"/>
      <c r="W131" s="30"/>
      <c r="X131" s="30"/>
      <c r="Y131" s="35"/>
      <c r="Z131" s="35"/>
      <c r="AA131" s="38"/>
      <c r="AB131" s="38"/>
      <c r="AC131" s="38"/>
      <c r="AD131" s="30"/>
      <c r="AE131" s="30"/>
      <c r="AF131" s="30"/>
      <c r="AG131" s="30"/>
      <c r="AH131" s="30"/>
    </row>
    <row r="132" spans="2:34" x14ac:dyDescent="0.25">
      <c r="B132" s="39">
        <f t="shared" si="4"/>
        <v>130</v>
      </c>
      <c r="C132" s="30"/>
      <c r="D132" s="30"/>
      <c r="E132" s="30"/>
      <c r="F132" s="33"/>
      <c r="G132" s="30"/>
      <c r="H132" s="30"/>
      <c r="I132" s="30"/>
      <c r="J132" s="30"/>
      <c r="K132" s="30"/>
      <c r="L132" s="33"/>
      <c r="M132" s="33"/>
      <c r="N132" s="32"/>
      <c r="O132" s="32"/>
      <c r="P132" s="30"/>
      <c r="Q132" s="30"/>
      <c r="R132" s="30"/>
      <c r="S132" s="30"/>
      <c r="T132" s="30"/>
      <c r="U132" s="30"/>
      <c r="V132" s="30"/>
      <c r="W132" s="30"/>
      <c r="X132" s="30"/>
      <c r="Y132" s="35"/>
      <c r="Z132" s="35"/>
      <c r="AA132" s="38"/>
      <c r="AB132" s="38"/>
      <c r="AC132" s="38"/>
      <c r="AD132" s="30"/>
      <c r="AE132" s="30"/>
      <c r="AF132" s="30"/>
      <c r="AG132" s="30"/>
      <c r="AH132" s="30"/>
    </row>
    <row r="133" spans="2:34" x14ac:dyDescent="0.25">
      <c r="B133" s="39">
        <f t="shared" si="4"/>
        <v>131</v>
      </c>
      <c r="C133" s="30"/>
      <c r="D133" s="30"/>
      <c r="E133" s="30"/>
      <c r="F133" s="33"/>
      <c r="G133" s="30"/>
      <c r="H133" s="30"/>
      <c r="I133" s="30"/>
      <c r="J133" s="30"/>
      <c r="K133" s="30"/>
      <c r="L133" s="33"/>
      <c r="M133" s="33"/>
      <c r="N133" s="32"/>
      <c r="O133" s="32"/>
      <c r="P133" s="30"/>
      <c r="Q133" s="30"/>
      <c r="R133" s="30"/>
      <c r="S133" s="30"/>
      <c r="T133" s="30"/>
      <c r="U133" s="30"/>
      <c r="V133" s="30"/>
      <c r="W133" s="30"/>
      <c r="X133" s="30"/>
      <c r="Y133" s="35"/>
      <c r="Z133" s="35"/>
      <c r="AA133" s="38"/>
      <c r="AB133" s="38"/>
      <c r="AC133" s="38"/>
      <c r="AD133" s="30"/>
      <c r="AE133" s="30"/>
      <c r="AF133" s="30"/>
      <c r="AG133" s="30"/>
      <c r="AH133" s="30"/>
    </row>
    <row r="134" spans="2:34" x14ac:dyDescent="0.25">
      <c r="B134" s="39">
        <f t="shared" si="4"/>
        <v>132</v>
      </c>
      <c r="C134" s="30"/>
      <c r="D134" s="30"/>
      <c r="E134" s="30"/>
      <c r="F134" s="33"/>
      <c r="G134" s="30"/>
      <c r="H134" s="30"/>
      <c r="I134" s="30"/>
      <c r="J134" s="30"/>
      <c r="K134" s="30"/>
      <c r="L134" s="33"/>
      <c r="M134" s="33"/>
      <c r="N134" s="32"/>
      <c r="O134" s="32"/>
      <c r="P134" s="30"/>
      <c r="Q134" s="30"/>
      <c r="R134" s="30"/>
      <c r="S134" s="30"/>
      <c r="T134" s="30"/>
      <c r="U134" s="30"/>
      <c r="V134" s="30"/>
      <c r="W134" s="30"/>
      <c r="X134" s="30"/>
      <c r="Y134" s="35"/>
      <c r="Z134" s="35"/>
      <c r="AA134" s="38"/>
      <c r="AB134" s="38"/>
      <c r="AC134" s="38"/>
      <c r="AD134" s="30"/>
      <c r="AE134" s="30"/>
      <c r="AF134" s="30"/>
      <c r="AG134" s="30"/>
      <c r="AH134" s="30"/>
    </row>
    <row r="135" spans="2:34" x14ac:dyDescent="0.25">
      <c r="B135" s="39">
        <f t="shared" si="4"/>
        <v>133</v>
      </c>
      <c r="C135" s="30"/>
      <c r="D135" s="30"/>
      <c r="E135" s="30"/>
      <c r="F135" s="33"/>
      <c r="G135" s="30"/>
      <c r="H135" s="30"/>
      <c r="I135" s="30"/>
      <c r="J135" s="30"/>
      <c r="K135" s="30"/>
      <c r="L135" s="33"/>
      <c r="M135" s="33"/>
      <c r="N135" s="32"/>
      <c r="O135" s="32"/>
      <c r="P135" s="30"/>
      <c r="Q135" s="30"/>
      <c r="R135" s="30"/>
      <c r="S135" s="30"/>
      <c r="T135" s="30"/>
      <c r="U135" s="30"/>
      <c r="V135" s="30"/>
      <c r="W135" s="30"/>
      <c r="X135" s="30"/>
      <c r="Y135" s="35"/>
      <c r="Z135" s="35"/>
      <c r="AA135" s="38"/>
      <c r="AB135" s="38"/>
      <c r="AC135" s="38"/>
      <c r="AD135" s="30"/>
      <c r="AE135" s="30"/>
      <c r="AF135" s="30"/>
      <c r="AG135" s="30"/>
      <c r="AH135" s="30"/>
    </row>
    <row r="136" spans="2:34" x14ac:dyDescent="0.25">
      <c r="B136" s="39">
        <f t="shared" si="4"/>
        <v>134</v>
      </c>
      <c r="C136" s="30"/>
      <c r="D136" s="30"/>
      <c r="E136" s="30"/>
      <c r="F136" s="33"/>
      <c r="G136" s="30"/>
      <c r="H136" s="30"/>
      <c r="I136" s="30"/>
      <c r="J136" s="30"/>
      <c r="K136" s="30"/>
      <c r="L136" s="33"/>
      <c r="M136" s="33"/>
      <c r="N136" s="32"/>
      <c r="O136" s="32"/>
      <c r="P136" s="30"/>
      <c r="Q136" s="30"/>
      <c r="R136" s="30"/>
      <c r="S136" s="30"/>
      <c r="T136" s="30"/>
      <c r="U136" s="30"/>
      <c r="V136" s="30"/>
      <c r="W136" s="30"/>
      <c r="X136" s="30"/>
      <c r="Y136" s="35"/>
      <c r="Z136" s="35"/>
      <c r="AA136" s="38"/>
      <c r="AB136" s="38"/>
      <c r="AC136" s="38"/>
      <c r="AD136" s="30"/>
      <c r="AE136" s="30"/>
      <c r="AF136" s="30"/>
      <c r="AG136" s="30"/>
      <c r="AH136" s="30"/>
    </row>
    <row r="137" spans="2:34" x14ac:dyDescent="0.25">
      <c r="B137" s="39">
        <f t="shared" si="4"/>
        <v>135</v>
      </c>
      <c r="C137" s="30"/>
      <c r="D137" s="30"/>
      <c r="E137" s="30"/>
      <c r="F137" s="33"/>
      <c r="G137" s="30"/>
      <c r="H137" s="30"/>
      <c r="I137" s="30"/>
      <c r="J137" s="30"/>
      <c r="K137" s="30"/>
      <c r="L137" s="33"/>
      <c r="M137" s="33"/>
      <c r="N137" s="32"/>
      <c r="O137" s="32"/>
      <c r="P137" s="30"/>
      <c r="Q137" s="30"/>
      <c r="R137" s="30"/>
      <c r="S137" s="30"/>
      <c r="T137" s="30"/>
      <c r="U137" s="30"/>
      <c r="V137" s="30"/>
      <c r="W137" s="30"/>
      <c r="X137" s="30"/>
      <c r="Y137" s="35"/>
      <c r="Z137" s="35"/>
      <c r="AA137" s="38"/>
      <c r="AB137" s="38"/>
      <c r="AC137" s="38"/>
      <c r="AD137" s="30"/>
      <c r="AE137" s="30"/>
      <c r="AF137" s="30"/>
      <c r="AG137" s="30"/>
      <c r="AH137" s="30"/>
    </row>
    <row r="138" spans="2:34" x14ac:dyDescent="0.25">
      <c r="B138" s="39">
        <f t="shared" si="4"/>
        <v>136</v>
      </c>
      <c r="C138" s="30"/>
      <c r="D138" s="30"/>
      <c r="E138" s="30"/>
      <c r="F138" s="33"/>
      <c r="G138" s="30"/>
      <c r="H138" s="30"/>
      <c r="I138" s="30"/>
      <c r="J138" s="30"/>
      <c r="K138" s="30"/>
      <c r="L138" s="33"/>
      <c r="M138" s="33"/>
      <c r="N138" s="32"/>
      <c r="O138" s="32"/>
      <c r="P138" s="30"/>
      <c r="Q138" s="30"/>
      <c r="R138" s="30"/>
      <c r="S138" s="30"/>
      <c r="T138" s="30"/>
      <c r="U138" s="30"/>
      <c r="V138" s="30"/>
      <c r="W138" s="30"/>
      <c r="X138" s="30"/>
      <c r="Y138" s="35"/>
      <c r="Z138" s="35"/>
      <c r="AA138" s="38"/>
      <c r="AB138" s="38"/>
      <c r="AC138" s="38"/>
      <c r="AD138" s="30"/>
      <c r="AE138" s="30"/>
      <c r="AF138" s="30"/>
      <c r="AG138" s="30"/>
      <c r="AH138" s="30"/>
    </row>
    <row r="139" spans="2:34" x14ac:dyDescent="0.25">
      <c r="B139" s="39">
        <f t="shared" si="4"/>
        <v>137</v>
      </c>
      <c r="C139" s="30"/>
      <c r="D139" s="30"/>
      <c r="E139" s="30"/>
      <c r="F139" s="33"/>
      <c r="G139" s="30"/>
      <c r="H139" s="30"/>
      <c r="I139" s="30"/>
      <c r="J139" s="30"/>
      <c r="K139" s="30"/>
      <c r="L139" s="33"/>
      <c r="M139" s="33"/>
      <c r="N139" s="32"/>
      <c r="O139" s="32"/>
      <c r="P139" s="30"/>
      <c r="Q139" s="30"/>
      <c r="R139" s="30"/>
      <c r="S139" s="30"/>
      <c r="T139" s="30"/>
      <c r="U139" s="30"/>
      <c r="V139" s="30"/>
      <c r="W139" s="30"/>
      <c r="X139" s="30"/>
      <c r="Y139" s="35"/>
      <c r="Z139" s="35"/>
      <c r="AA139" s="38"/>
      <c r="AB139" s="38"/>
      <c r="AC139" s="38"/>
      <c r="AD139" s="30"/>
      <c r="AE139" s="30"/>
      <c r="AF139" s="30"/>
      <c r="AG139" s="30"/>
      <c r="AH139" s="30"/>
    </row>
    <row r="140" spans="2:34" x14ac:dyDescent="0.25">
      <c r="B140" s="39">
        <f t="shared" si="4"/>
        <v>138</v>
      </c>
      <c r="C140" s="30"/>
      <c r="D140" s="30"/>
      <c r="E140" s="30"/>
      <c r="F140" s="33"/>
      <c r="G140" s="30"/>
      <c r="H140" s="30"/>
      <c r="I140" s="30"/>
      <c r="J140" s="30"/>
      <c r="K140" s="30"/>
      <c r="L140" s="33"/>
      <c r="M140" s="33"/>
      <c r="N140" s="32"/>
      <c r="O140" s="32"/>
      <c r="P140" s="30"/>
      <c r="Q140" s="30"/>
      <c r="R140" s="30"/>
      <c r="S140" s="30"/>
      <c r="T140" s="30"/>
      <c r="U140" s="30"/>
      <c r="V140" s="30"/>
      <c r="W140" s="30"/>
      <c r="X140" s="30"/>
      <c r="Y140" s="35"/>
      <c r="Z140" s="35"/>
      <c r="AA140" s="38"/>
      <c r="AB140" s="38"/>
      <c r="AC140" s="38"/>
      <c r="AD140" s="30"/>
      <c r="AE140" s="30"/>
      <c r="AF140" s="30"/>
      <c r="AG140" s="30"/>
      <c r="AH140" s="30"/>
    </row>
    <row r="141" spans="2:34" x14ac:dyDescent="0.25">
      <c r="B141" s="39">
        <f t="shared" si="4"/>
        <v>139</v>
      </c>
      <c r="C141" s="30"/>
      <c r="D141" s="30"/>
      <c r="E141" s="30"/>
      <c r="F141" s="33"/>
      <c r="G141" s="30"/>
      <c r="H141" s="30"/>
      <c r="I141" s="30"/>
      <c r="J141" s="30"/>
      <c r="K141" s="30"/>
      <c r="L141" s="33"/>
      <c r="M141" s="33"/>
      <c r="N141" s="32"/>
      <c r="O141" s="32"/>
      <c r="P141" s="30"/>
      <c r="Q141" s="30"/>
      <c r="R141" s="30"/>
      <c r="S141" s="30"/>
      <c r="T141" s="30"/>
      <c r="U141" s="30"/>
      <c r="V141" s="30"/>
      <c r="W141" s="30"/>
      <c r="X141" s="30"/>
      <c r="Y141" s="35"/>
      <c r="Z141" s="35"/>
      <c r="AA141" s="38"/>
      <c r="AB141" s="38"/>
      <c r="AC141" s="38"/>
      <c r="AD141" s="30"/>
      <c r="AE141" s="30"/>
      <c r="AF141" s="30"/>
      <c r="AG141" s="30"/>
      <c r="AH141" s="30"/>
    </row>
    <row r="142" spans="2:34" x14ac:dyDescent="0.25">
      <c r="B142" s="39">
        <f t="shared" si="4"/>
        <v>140</v>
      </c>
      <c r="C142" s="30"/>
      <c r="D142" s="30"/>
      <c r="E142" s="30"/>
      <c r="F142" s="33"/>
      <c r="G142" s="30"/>
      <c r="H142" s="30"/>
      <c r="I142" s="30"/>
      <c r="J142" s="30"/>
      <c r="K142" s="30"/>
      <c r="L142" s="33"/>
      <c r="M142" s="33"/>
      <c r="N142" s="32"/>
      <c r="O142" s="32"/>
      <c r="P142" s="30"/>
      <c r="Q142" s="30"/>
      <c r="R142" s="30"/>
      <c r="S142" s="30"/>
      <c r="T142" s="30"/>
      <c r="U142" s="30"/>
      <c r="V142" s="30"/>
      <c r="W142" s="30"/>
      <c r="X142" s="30"/>
      <c r="Y142" s="35"/>
      <c r="Z142" s="35"/>
      <c r="AA142" s="38"/>
      <c r="AB142" s="38"/>
      <c r="AC142" s="38"/>
      <c r="AD142" s="30"/>
      <c r="AE142" s="30"/>
      <c r="AF142" s="30"/>
      <c r="AG142" s="30"/>
      <c r="AH142" s="30"/>
    </row>
    <row r="143" spans="2:34" x14ac:dyDescent="0.25">
      <c r="B143" s="39">
        <f t="shared" si="4"/>
        <v>141</v>
      </c>
      <c r="C143" s="30"/>
      <c r="D143" s="30"/>
      <c r="E143" s="30"/>
      <c r="F143" s="33"/>
      <c r="G143" s="30"/>
      <c r="H143" s="30"/>
      <c r="I143" s="30"/>
      <c r="J143" s="30"/>
      <c r="K143" s="30"/>
      <c r="L143" s="33"/>
      <c r="M143" s="33"/>
      <c r="N143" s="32"/>
      <c r="O143" s="32"/>
      <c r="P143" s="30"/>
      <c r="Q143" s="30"/>
      <c r="R143" s="30"/>
      <c r="S143" s="30"/>
      <c r="T143" s="30"/>
      <c r="U143" s="30"/>
      <c r="V143" s="30"/>
      <c r="W143" s="30"/>
      <c r="X143" s="30"/>
      <c r="Y143" s="35"/>
      <c r="Z143" s="35"/>
      <c r="AA143" s="38"/>
      <c r="AB143" s="38"/>
      <c r="AC143" s="38"/>
      <c r="AD143" s="30"/>
      <c r="AE143" s="30"/>
      <c r="AF143" s="30"/>
      <c r="AG143" s="30"/>
      <c r="AH143" s="30"/>
    </row>
    <row r="144" spans="2:34" x14ac:dyDescent="0.25">
      <c r="B144" s="39">
        <f t="shared" si="4"/>
        <v>142</v>
      </c>
      <c r="C144" s="30"/>
      <c r="D144" s="30"/>
      <c r="E144" s="30"/>
      <c r="F144" s="33"/>
      <c r="G144" s="30"/>
      <c r="H144" s="30"/>
      <c r="I144" s="30"/>
      <c r="J144" s="30"/>
      <c r="K144" s="30"/>
      <c r="L144" s="33"/>
      <c r="M144" s="33"/>
      <c r="N144" s="32"/>
      <c r="O144" s="32"/>
      <c r="P144" s="30"/>
      <c r="Q144" s="30"/>
      <c r="R144" s="30"/>
      <c r="S144" s="30"/>
      <c r="T144" s="30"/>
      <c r="U144" s="30"/>
      <c r="V144" s="30"/>
      <c r="W144" s="30"/>
      <c r="X144" s="30"/>
      <c r="Y144" s="35"/>
      <c r="Z144" s="35"/>
      <c r="AA144" s="38"/>
      <c r="AB144" s="38"/>
      <c r="AC144" s="38"/>
      <c r="AD144" s="30"/>
      <c r="AE144" s="30"/>
      <c r="AF144" s="30"/>
      <c r="AG144" s="30"/>
      <c r="AH144" s="30"/>
    </row>
    <row r="145" spans="2:34" x14ac:dyDescent="0.25">
      <c r="B145" s="39">
        <f t="shared" si="4"/>
        <v>143</v>
      </c>
      <c r="C145" s="30"/>
      <c r="D145" s="30"/>
      <c r="E145" s="30"/>
      <c r="F145" s="33"/>
      <c r="G145" s="30"/>
      <c r="H145" s="30"/>
      <c r="I145" s="30"/>
      <c r="J145" s="30"/>
      <c r="K145" s="30"/>
      <c r="L145" s="33"/>
      <c r="M145" s="33"/>
      <c r="N145" s="32"/>
      <c r="O145" s="32"/>
      <c r="P145" s="30"/>
      <c r="Q145" s="30"/>
      <c r="R145" s="30"/>
      <c r="S145" s="30"/>
      <c r="T145" s="30"/>
      <c r="U145" s="30"/>
      <c r="V145" s="30"/>
      <c r="W145" s="30"/>
      <c r="X145" s="30"/>
      <c r="Y145" s="35"/>
      <c r="Z145" s="35"/>
      <c r="AA145" s="38"/>
      <c r="AB145" s="38"/>
      <c r="AC145" s="38"/>
      <c r="AD145" s="30"/>
      <c r="AE145" s="30"/>
      <c r="AF145" s="30"/>
      <c r="AG145" s="30"/>
      <c r="AH145" s="30"/>
    </row>
    <row r="146" spans="2:34" x14ac:dyDescent="0.25">
      <c r="B146" s="39">
        <f t="shared" si="4"/>
        <v>144</v>
      </c>
      <c r="C146" s="30"/>
      <c r="D146" s="30"/>
      <c r="E146" s="30"/>
      <c r="F146" s="33"/>
      <c r="G146" s="30"/>
      <c r="H146" s="30"/>
      <c r="I146" s="30"/>
      <c r="J146" s="30"/>
      <c r="K146" s="30"/>
      <c r="L146" s="33"/>
      <c r="M146" s="33"/>
      <c r="N146" s="32"/>
      <c r="O146" s="32"/>
      <c r="P146" s="30"/>
      <c r="Q146" s="30"/>
      <c r="R146" s="30"/>
      <c r="S146" s="30"/>
      <c r="T146" s="30"/>
      <c r="U146" s="30"/>
      <c r="V146" s="30"/>
      <c r="W146" s="30"/>
      <c r="X146" s="30"/>
      <c r="Y146" s="35"/>
      <c r="Z146" s="35"/>
      <c r="AA146" s="38"/>
      <c r="AB146" s="38"/>
      <c r="AC146" s="38"/>
      <c r="AD146" s="30"/>
      <c r="AE146" s="30"/>
      <c r="AF146" s="30"/>
      <c r="AG146" s="30"/>
      <c r="AH146" s="30"/>
    </row>
    <row r="147" spans="2:34" x14ac:dyDescent="0.25">
      <c r="B147" s="39">
        <f t="shared" si="4"/>
        <v>145</v>
      </c>
      <c r="C147" s="30"/>
      <c r="D147" s="30"/>
      <c r="E147" s="30"/>
      <c r="F147" s="33"/>
      <c r="G147" s="30"/>
      <c r="H147" s="30"/>
      <c r="I147" s="30"/>
      <c r="J147" s="30"/>
      <c r="K147" s="30"/>
      <c r="L147" s="33"/>
      <c r="M147" s="33"/>
      <c r="N147" s="32"/>
      <c r="O147" s="32"/>
      <c r="P147" s="30"/>
      <c r="Q147" s="30"/>
      <c r="R147" s="30"/>
      <c r="S147" s="30"/>
      <c r="T147" s="30"/>
      <c r="U147" s="30"/>
      <c r="V147" s="30"/>
      <c r="W147" s="30"/>
      <c r="X147" s="30"/>
      <c r="Y147" s="35"/>
      <c r="Z147" s="35"/>
      <c r="AA147" s="38"/>
      <c r="AB147" s="38"/>
      <c r="AC147" s="38"/>
      <c r="AD147" s="30"/>
      <c r="AE147" s="30"/>
      <c r="AF147" s="30"/>
      <c r="AG147" s="30"/>
      <c r="AH147" s="30"/>
    </row>
    <row r="148" spans="2:34" x14ac:dyDescent="0.25">
      <c r="B148" s="39">
        <f t="shared" si="4"/>
        <v>146</v>
      </c>
      <c r="C148" s="30"/>
      <c r="D148" s="30"/>
      <c r="E148" s="30"/>
      <c r="F148" s="33"/>
      <c r="G148" s="30"/>
      <c r="H148" s="30"/>
      <c r="I148" s="30"/>
      <c r="J148" s="30"/>
      <c r="K148" s="30"/>
      <c r="L148" s="33"/>
      <c r="M148" s="33"/>
      <c r="N148" s="32"/>
      <c r="O148" s="32"/>
      <c r="P148" s="30"/>
      <c r="Q148" s="30"/>
      <c r="R148" s="30"/>
      <c r="S148" s="30"/>
      <c r="T148" s="30"/>
      <c r="U148" s="30"/>
      <c r="V148" s="30"/>
      <c r="W148" s="30"/>
      <c r="X148" s="30"/>
      <c r="Y148" s="35"/>
      <c r="Z148" s="35"/>
      <c r="AA148" s="38"/>
      <c r="AB148" s="38"/>
      <c r="AC148" s="38"/>
      <c r="AD148" s="30"/>
      <c r="AE148" s="30"/>
      <c r="AF148" s="30"/>
      <c r="AG148" s="30"/>
      <c r="AH148" s="30"/>
    </row>
    <row r="149" spans="2:34" x14ac:dyDescent="0.25">
      <c r="B149" s="39">
        <f t="shared" ref="B149:B158" si="6">B148+1</f>
        <v>147</v>
      </c>
      <c r="C149" s="30"/>
      <c r="D149" s="30"/>
      <c r="E149" s="30"/>
      <c r="F149" s="33"/>
      <c r="G149" s="30"/>
      <c r="H149" s="30"/>
      <c r="I149" s="30"/>
      <c r="J149" s="30"/>
      <c r="K149" s="30"/>
      <c r="L149" s="33"/>
      <c r="M149" s="33"/>
      <c r="N149" s="32"/>
      <c r="O149" s="32"/>
      <c r="P149" s="30"/>
      <c r="Q149" s="30"/>
      <c r="R149" s="30"/>
      <c r="S149" s="30"/>
      <c r="T149" s="30"/>
      <c r="U149" s="30"/>
      <c r="V149" s="30"/>
      <c r="W149" s="30"/>
      <c r="X149" s="30"/>
      <c r="Y149" s="35"/>
      <c r="Z149" s="35"/>
      <c r="AA149" s="38"/>
      <c r="AB149" s="38"/>
      <c r="AC149" s="38"/>
      <c r="AD149" s="30"/>
      <c r="AE149" s="30"/>
      <c r="AF149" s="30"/>
      <c r="AG149" s="30"/>
      <c r="AH149" s="30"/>
    </row>
    <row r="150" spans="2:34" x14ac:dyDescent="0.25">
      <c r="B150" s="39">
        <f t="shared" si="6"/>
        <v>148</v>
      </c>
      <c r="C150" s="30"/>
      <c r="D150" s="30"/>
      <c r="E150" s="30"/>
      <c r="F150" s="33"/>
      <c r="G150" s="30"/>
      <c r="H150" s="30"/>
      <c r="I150" s="30"/>
      <c r="J150" s="30"/>
      <c r="K150" s="30"/>
      <c r="L150" s="30"/>
      <c r="M150" s="30"/>
      <c r="N150" s="32"/>
      <c r="O150" s="32"/>
      <c r="P150" s="30"/>
      <c r="Q150" s="30"/>
      <c r="R150" s="30"/>
      <c r="S150" s="30"/>
      <c r="T150" s="30"/>
      <c r="U150" s="30"/>
      <c r="V150" s="30"/>
      <c r="W150" s="30"/>
      <c r="X150" s="30"/>
      <c r="Y150" s="35"/>
      <c r="Z150" s="35"/>
      <c r="AA150" s="38"/>
      <c r="AB150" s="38"/>
      <c r="AC150" s="38"/>
      <c r="AD150" s="30"/>
      <c r="AE150" s="30"/>
      <c r="AF150" s="30"/>
      <c r="AG150" s="30"/>
      <c r="AH150" s="30"/>
    </row>
    <row r="151" spans="2:34" x14ac:dyDescent="0.25">
      <c r="B151" s="39">
        <f t="shared" si="6"/>
        <v>149</v>
      </c>
      <c r="C151" s="30"/>
      <c r="D151" s="30"/>
      <c r="E151" s="30"/>
      <c r="F151" s="33"/>
      <c r="G151" s="30"/>
      <c r="H151" s="30"/>
      <c r="I151" s="30"/>
      <c r="J151" s="30"/>
      <c r="K151" s="30"/>
      <c r="L151" s="30"/>
      <c r="M151" s="30"/>
      <c r="N151" s="32"/>
      <c r="O151" s="32"/>
      <c r="P151" s="30"/>
      <c r="Q151" s="30"/>
      <c r="R151" s="30"/>
      <c r="S151" s="30"/>
      <c r="T151" s="30"/>
      <c r="U151" s="30"/>
      <c r="V151" s="30"/>
      <c r="W151" s="30"/>
      <c r="X151" s="30"/>
      <c r="Y151" s="35"/>
      <c r="Z151" s="35"/>
      <c r="AA151" s="38"/>
      <c r="AB151" s="38"/>
      <c r="AC151" s="38"/>
      <c r="AD151" s="30"/>
      <c r="AE151" s="30"/>
      <c r="AF151" s="30"/>
      <c r="AG151" s="30"/>
      <c r="AH151" s="30"/>
    </row>
    <row r="152" spans="2:34" x14ac:dyDescent="0.25">
      <c r="B152" s="39">
        <f t="shared" si="6"/>
        <v>150</v>
      </c>
      <c r="C152" s="30"/>
      <c r="D152" s="30"/>
      <c r="E152" s="30"/>
      <c r="F152" s="33"/>
      <c r="G152" s="30"/>
      <c r="H152" s="30"/>
      <c r="I152" s="30"/>
      <c r="J152" s="30"/>
      <c r="K152" s="30"/>
      <c r="L152" s="30"/>
      <c r="M152" s="30"/>
      <c r="N152" s="32"/>
      <c r="O152" s="32"/>
      <c r="P152" s="30"/>
      <c r="Q152" s="30"/>
      <c r="R152" s="30"/>
      <c r="S152" s="30"/>
      <c r="T152" s="30"/>
      <c r="U152" s="30"/>
      <c r="V152" s="30"/>
      <c r="W152" s="30"/>
      <c r="X152" s="30"/>
      <c r="Y152" s="35"/>
      <c r="Z152" s="35"/>
      <c r="AA152" s="38"/>
      <c r="AB152" s="38"/>
      <c r="AC152" s="38"/>
      <c r="AD152" s="30"/>
      <c r="AE152" s="30"/>
      <c r="AF152" s="30"/>
      <c r="AG152" s="30"/>
      <c r="AH152" s="30"/>
    </row>
    <row r="153" spans="2:34" x14ac:dyDescent="0.25">
      <c r="B153" s="39">
        <f t="shared" si="6"/>
        <v>151</v>
      </c>
      <c r="C153" s="30"/>
      <c r="D153" s="30"/>
      <c r="E153" s="30"/>
      <c r="F153" s="33"/>
      <c r="G153" s="30"/>
      <c r="H153" s="30"/>
      <c r="I153" s="30"/>
      <c r="J153" s="30"/>
      <c r="K153" s="30"/>
      <c r="L153" s="30"/>
      <c r="M153" s="30"/>
      <c r="N153" s="32"/>
      <c r="O153" s="32"/>
      <c r="P153" s="30"/>
      <c r="Q153" s="30"/>
      <c r="R153" s="30"/>
      <c r="S153" s="30"/>
      <c r="T153" s="30"/>
      <c r="U153" s="30"/>
      <c r="V153" s="30"/>
      <c r="W153" s="30"/>
      <c r="X153" s="30"/>
      <c r="Y153" s="35"/>
      <c r="Z153" s="35"/>
      <c r="AA153" s="38"/>
      <c r="AB153" s="38"/>
      <c r="AC153" s="38"/>
      <c r="AD153" s="30"/>
      <c r="AE153" s="30"/>
      <c r="AF153" s="30"/>
      <c r="AG153" s="30"/>
      <c r="AH153" s="30"/>
    </row>
    <row r="154" spans="2:34" x14ac:dyDescent="0.25">
      <c r="B154" s="39">
        <f t="shared" si="6"/>
        <v>152</v>
      </c>
      <c r="C154" s="30"/>
      <c r="D154" s="30"/>
      <c r="E154" s="30"/>
      <c r="F154" s="33"/>
      <c r="G154" s="30"/>
      <c r="H154" s="30"/>
      <c r="I154" s="30"/>
      <c r="J154" s="30"/>
      <c r="K154" s="30"/>
      <c r="L154" s="30"/>
      <c r="M154" s="30"/>
      <c r="N154" s="32"/>
      <c r="O154" s="32"/>
      <c r="P154" s="30"/>
      <c r="Q154" s="30"/>
      <c r="R154" s="30"/>
      <c r="S154" s="30"/>
      <c r="T154" s="30"/>
      <c r="U154" s="30"/>
      <c r="V154" s="30"/>
      <c r="W154" s="30"/>
      <c r="X154" s="30"/>
      <c r="Y154" s="35"/>
      <c r="Z154" s="35"/>
      <c r="AA154" s="38"/>
      <c r="AB154" s="38"/>
      <c r="AC154" s="38"/>
      <c r="AD154" s="30"/>
      <c r="AE154" s="30"/>
      <c r="AF154" s="30"/>
      <c r="AG154" s="30"/>
      <c r="AH154" s="30"/>
    </row>
    <row r="155" spans="2:34" x14ac:dyDescent="0.25">
      <c r="B155" s="39">
        <f t="shared" si="6"/>
        <v>153</v>
      </c>
      <c r="C155" s="30"/>
      <c r="D155" s="30"/>
      <c r="E155" s="30"/>
      <c r="F155" s="33"/>
      <c r="G155" s="30"/>
      <c r="H155" s="30"/>
      <c r="I155" s="30"/>
      <c r="J155" s="30"/>
      <c r="K155" s="30"/>
      <c r="L155" s="30"/>
      <c r="M155" s="30"/>
      <c r="N155" s="32"/>
      <c r="O155" s="32"/>
      <c r="P155" s="30"/>
      <c r="Q155" s="30"/>
      <c r="R155" s="30"/>
      <c r="S155" s="30"/>
      <c r="T155" s="30"/>
      <c r="U155" s="30"/>
      <c r="V155" s="30"/>
      <c r="W155" s="30"/>
      <c r="X155" s="30"/>
      <c r="Y155" s="38"/>
      <c r="Z155" s="38"/>
      <c r="AA155" s="38"/>
      <c r="AB155" s="38"/>
      <c r="AC155" s="38"/>
      <c r="AD155" s="30"/>
      <c r="AE155" s="30"/>
      <c r="AF155" s="30"/>
      <c r="AG155" s="30"/>
      <c r="AH155" s="30"/>
    </row>
    <row r="156" spans="2:34" x14ac:dyDescent="0.25">
      <c r="B156" s="39">
        <f t="shared" si="6"/>
        <v>154</v>
      </c>
      <c r="C156" s="30"/>
      <c r="D156" s="30"/>
      <c r="E156" s="30"/>
      <c r="F156" s="33"/>
      <c r="G156" s="30"/>
      <c r="H156" s="30"/>
      <c r="I156" s="30"/>
      <c r="J156" s="30"/>
      <c r="K156" s="30"/>
      <c r="L156" s="30"/>
      <c r="M156" s="30"/>
      <c r="N156" s="32"/>
      <c r="O156" s="32"/>
      <c r="P156" s="30"/>
      <c r="Q156" s="30"/>
      <c r="R156" s="30"/>
      <c r="S156" s="30"/>
      <c r="T156" s="30"/>
      <c r="U156" s="30"/>
      <c r="V156" s="30"/>
      <c r="W156" s="30"/>
      <c r="X156" s="30"/>
      <c r="Y156" s="38"/>
      <c r="Z156" s="38"/>
      <c r="AA156" s="38"/>
      <c r="AB156" s="38"/>
      <c r="AC156" s="38"/>
      <c r="AD156" s="30"/>
      <c r="AE156" s="30"/>
      <c r="AF156" s="30"/>
      <c r="AG156" s="30"/>
      <c r="AH156" s="30"/>
    </row>
    <row r="157" spans="2:34" x14ac:dyDescent="0.25">
      <c r="B157" s="39">
        <f t="shared" si="6"/>
        <v>155</v>
      </c>
      <c r="C157" s="30"/>
      <c r="D157" s="30"/>
      <c r="E157" s="30"/>
      <c r="F157" s="33"/>
      <c r="G157" s="30"/>
      <c r="H157" s="30"/>
      <c r="I157" s="30"/>
      <c r="J157" s="30"/>
      <c r="K157" s="30"/>
      <c r="L157" s="30"/>
      <c r="M157" s="30"/>
      <c r="N157" s="32"/>
      <c r="O157" s="32"/>
      <c r="P157" s="30"/>
      <c r="Q157" s="30"/>
      <c r="R157" s="30"/>
      <c r="S157" s="30"/>
      <c r="T157" s="30"/>
      <c r="U157" s="30"/>
      <c r="V157" s="30"/>
      <c r="W157" s="30"/>
      <c r="X157" s="30"/>
      <c r="Y157" s="38"/>
      <c r="Z157" s="38"/>
      <c r="AA157" s="38"/>
      <c r="AB157" s="38"/>
      <c r="AC157" s="38"/>
      <c r="AD157" s="30"/>
      <c r="AE157" s="30"/>
      <c r="AF157" s="30"/>
      <c r="AG157" s="30"/>
      <c r="AH157" s="30"/>
    </row>
    <row r="158" spans="2:34" x14ac:dyDescent="0.25">
      <c r="B158" s="39">
        <f t="shared" si="6"/>
        <v>156</v>
      </c>
      <c r="C158" s="30"/>
      <c r="D158" s="30"/>
      <c r="E158" s="30"/>
      <c r="F158" s="33"/>
      <c r="G158" s="30"/>
      <c r="H158" s="30"/>
      <c r="I158" s="30"/>
      <c r="J158" s="30"/>
      <c r="K158" s="30"/>
      <c r="L158" s="30"/>
      <c r="M158" s="30"/>
      <c r="N158" s="32"/>
      <c r="O158" s="32"/>
      <c r="P158" s="30"/>
      <c r="Q158" s="30"/>
      <c r="R158" s="30"/>
      <c r="S158" s="30"/>
      <c r="T158" s="30"/>
      <c r="U158" s="30"/>
      <c r="V158" s="30"/>
      <c r="W158" s="30"/>
      <c r="X158" s="30"/>
      <c r="Y158" s="38"/>
      <c r="Z158" s="38"/>
      <c r="AA158" s="38"/>
      <c r="AB158" s="38"/>
      <c r="AC158" s="38"/>
      <c r="AD158" s="30"/>
      <c r="AE158" s="30"/>
      <c r="AF158" s="30"/>
      <c r="AG158" s="30"/>
      <c r="AH158" s="30"/>
    </row>
    <row r="159" spans="2:34" x14ac:dyDescent="0.25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54"/>
      <c r="O159" s="6"/>
      <c r="P159" s="6"/>
      <c r="Q159" s="6"/>
    </row>
    <row r="160" spans="2:34" x14ac:dyDescent="0.25">
      <c r="B160" s="1" t="s">
        <v>64</v>
      </c>
    </row>
    <row r="161" spans="2:11" x14ac:dyDescent="0.25">
      <c r="B161" s="2" t="s">
        <v>0</v>
      </c>
      <c r="C161" s="2" t="s">
        <v>9</v>
      </c>
      <c r="D161" s="2" t="s">
        <v>28</v>
      </c>
      <c r="E161" s="2" t="s">
        <v>29</v>
      </c>
      <c r="F161" s="2" t="s">
        <v>26</v>
      </c>
      <c r="G161" s="2" t="s">
        <v>25</v>
      </c>
      <c r="H161" s="4" t="s">
        <v>30</v>
      </c>
      <c r="K161" s="57"/>
    </row>
    <row r="162" spans="2:11" x14ac:dyDescent="0.25">
      <c r="B162" s="3">
        <v>1</v>
      </c>
      <c r="C162" s="47" t="s">
        <v>103</v>
      </c>
      <c r="D162" s="3">
        <f>SUMIFS($T$3:$T$158,$D$3:$D$158,Table!$C$3,$P$3:$P$158,C162)</f>
        <v>50</v>
      </c>
      <c r="E162" s="3">
        <f>SUMIFS($U$3:$U$158,$D$3:$D$158,Table!$C$3,$P$3:$P$158,C162)-SUM(SUMIFS($U$3:$U$158,$D$3:$D$158,Table!$C$3,$P$3:$P$158,C162,$X$3:$X$158,{"Ongoing","N/A",""}))</f>
        <v>50</v>
      </c>
      <c r="F162" s="3">
        <f>1/8*(SUMIFS($W$3:$W$158,$D$3:$D$158,Table!$C$3,$P$3:$P$158,C162)-SUM(SUMIFS($W$3:$W$158,$D$3:$D$158,Table!$C$3,$P$3:$P$158,C162,$X$3:$X$158,{"Ongoing","N/A",""})))</f>
        <v>0.375</v>
      </c>
      <c r="G162" s="3">
        <f t="shared" ref="G162:G165" si="7">IF(ISERROR(E162/(F162)),"N/A",E162/F162)</f>
        <v>133.33333333333334</v>
      </c>
      <c r="H162" s="7">
        <f t="shared" ref="H162:H165" si="8">IF(ISERROR(E162/D162),"N/A",E162/D162)</f>
        <v>1</v>
      </c>
    </row>
    <row r="163" spans="2:11" x14ac:dyDescent="0.25">
      <c r="B163" s="3">
        <v>2</v>
      </c>
      <c r="C163" s="47" t="s">
        <v>104</v>
      </c>
      <c r="D163" s="3">
        <f>SUMIFS($T$3:$T$158,$D$3:$D$158,Table!$C$3,$P$3:$P$158,C163)</f>
        <v>0</v>
      </c>
      <c r="E163" s="3">
        <f>SUMIFS($U$3:$U$158,$D$3:$D$158,Table!$C$3,$P$3:$P$158,C163)-SUM(SUMIFS($U$3:$U$158,$D$3:$D$158,Table!$C$3,$P$3:$P$158,C163,$X$3:$X$158,{"Ongoing","N/A",""}))</f>
        <v>0</v>
      </c>
      <c r="F163" s="3">
        <f>1/8*(SUMIFS($W$3:$W$158,$D$3:$D$158,Table!$C$3,$P$3:$P$158,C163)-SUM(SUMIFS($W$3:$W$158,$D$3:$D$158,Table!$C$3,$P$3:$P$158,C163,$X$3:$X$158,{"Ongoing","N/A",""})))</f>
        <v>0</v>
      </c>
      <c r="G163" s="3" t="str">
        <f t="shared" si="7"/>
        <v>N/A</v>
      </c>
      <c r="H163" s="7" t="str">
        <f t="shared" si="8"/>
        <v>N/A</v>
      </c>
    </row>
    <row r="164" spans="2:11" x14ac:dyDescent="0.25">
      <c r="B164" s="3">
        <v>3</v>
      </c>
      <c r="C164" s="47" t="s">
        <v>105</v>
      </c>
      <c r="D164" s="3">
        <f>SUMIFS($T$3:$T$158,$D$3:$D$158,Table!$C$3,$P$3:$P$158,C164)</f>
        <v>19</v>
      </c>
      <c r="E164" s="3">
        <f>SUMIFS($U$3:$U$158,$D$3:$D$158,Table!$C$3,$P$3:$P$158,C164)-SUM(SUMIFS($U$3:$U$158,$D$3:$D$158,Table!$C$3,$P$3:$P$158,C164,$X$3:$X$158,{"Ongoing","N/A",""}))</f>
        <v>19</v>
      </c>
      <c r="F164" s="3">
        <f>1/8*(SUMIFS($W$3:$W$158,$D$3:$D$158,Table!$C$3,$P$3:$P$158,C164)-SUM(SUMIFS($W$3:$W$158,$D$3:$D$158,Table!$C$3,$P$3:$P$158,C164,$X$3:$X$158,{"Ongoing","N/A",""})))</f>
        <v>0.5</v>
      </c>
      <c r="G164" s="3">
        <f t="shared" si="7"/>
        <v>38</v>
      </c>
      <c r="H164" s="7">
        <f t="shared" si="8"/>
        <v>1</v>
      </c>
    </row>
    <row r="165" spans="2:11" x14ac:dyDescent="0.25">
      <c r="B165" s="3">
        <v>4</v>
      </c>
      <c r="C165" s="47" t="s">
        <v>106</v>
      </c>
      <c r="D165" s="3">
        <f>SUMIFS($T$3:$T$158,$D$3:$D$158,Table!$C$3,$P$3:$P$158,C165)</f>
        <v>0</v>
      </c>
      <c r="E165" s="3">
        <f>SUMIFS($U$3:$U$158,$D$3:$D$158,Table!$C$3,$P$3:$P$158,C165)-SUM(SUMIFS($U$3:$U$158,$D$3:$D$158,Table!$C$3,$P$3:$P$158,C165,$X$3:$X$158,{"Ongoing","N/A"}))</f>
        <v>0</v>
      </c>
      <c r="F165" s="3">
        <f>1/8*(SUMIFS($W$3:$W$158,$D$3:$D$158,Table!$C$3,$P$3:$P$158,C165)-SUM(SUMIFS($W$3:$W$158,$D$3:$D$158,Table!$C$3,$P$3:$P$158,C165,$X$3:$X$158,{"Ongoing","N/A",""})))</f>
        <v>0</v>
      </c>
      <c r="G165" s="3" t="str">
        <f t="shared" si="7"/>
        <v>N/A</v>
      </c>
      <c r="H165" s="7" t="str">
        <f t="shared" si="8"/>
        <v>N/A</v>
      </c>
    </row>
    <row r="168" spans="2:11" x14ac:dyDescent="0.25">
      <c r="B168" s="1" t="s">
        <v>65</v>
      </c>
    </row>
    <row r="169" spans="2:11" x14ac:dyDescent="0.25">
      <c r="B169" s="2" t="s">
        <v>0</v>
      </c>
      <c r="C169" s="2" t="s">
        <v>9</v>
      </c>
      <c r="D169" s="2" t="s">
        <v>28</v>
      </c>
      <c r="E169" s="2" t="s">
        <v>29</v>
      </c>
      <c r="F169" s="2" t="s">
        <v>26</v>
      </c>
      <c r="G169" s="2" t="s">
        <v>25</v>
      </c>
      <c r="H169" s="4" t="s">
        <v>30</v>
      </c>
    </row>
    <row r="170" spans="2:11" x14ac:dyDescent="0.25">
      <c r="B170" s="3">
        <v>1</v>
      </c>
      <c r="C170" s="47" t="s">
        <v>103</v>
      </c>
      <c r="D170" s="3">
        <f>SUMIFS($T$3:$T$158,$D$3:$D$158,Table!$D$3,$P$3:$P$158,C170)</f>
        <v>2636</v>
      </c>
      <c r="E170" s="3">
        <f>SUMIFS($T$3:$T$158,$D$3:$D$158,Table!$D$3,$P$3:$P$158,C170)-SUM(SUMIFS($T$3:$T$158,$D$3:$D$158,Table!$D$3,$P$3:$P$158,C170,$X$3:$X$158,{"Ongoing","N/A",""}))</f>
        <v>1939</v>
      </c>
      <c r="F170" s="3">
        <f>1/8*(SUMIFS($W$3:$W$158,$D$3:$D$158,Table!$D$3,$P$3:$P$158,C170)-SUM(SUMIFS($W$3:$W$158,$D$3:$D$158,Table!$D$3,$P$3:$P$158,C170,$X$3:$X$158,{"Ongoing","N/A"})))</f>
        <v>4.8125000000000009</v>
      </c>
      <c r="G170" s="3">
        <f t="shared" ref="G170:G172" si="9">IF(ISERROR(E170/(F170)),"N/A",E170/F170)</f>
        <v>402.90909090909082</v>
      </c>
      <c r="H170" s="7">
        <f t="shared" ref="H170:H173" si="10">IF(ISERROR(E170/D170),"N/A",E170/D170)</f>
        <v>0.73558421851289835</v>
      </c>
    </row>
    <row r="171" spans="2:11" x14ac:dyDescent="0.25">
      <c r="B171" s="3">
        <v>2</v>
      </c>
      <c r="C171" s="47" t="s">
        <v>104</v>
      </c>
      <c r="D171" s="3">
        <f>SUMIFS($T$3:$T$158,$D$3:$D$158,Table!$D$3,$P$3:$P$158,C171)</f>
        <v>6074</v>
      </c>
      <c r="E171" s="3">
        <f>SUMIFS($T$3:$T$158,$D$3:$D$158,Table!$D$3,$P$3:$P$158,C171)-SUM(SUMIFS($T$3:$T$158,$D$3:$D$158,Table!$D$3,$P$3:$P$158,C171,$X$3:$X$158,{"Ongoing","N/A",""}))</f>
        <v>5051</v>
      </c>
      <c r="F171" s="3">
        <f>1/8*(SUMIFS($W$3:$W$158,$D$3:$D$158,Table!$D$3,$P$3:$P$158,C171)-SUM(SUMIFS($W$3:$W$158,$D$3:$D$158,Table!$D$3,$P$3:$P$158,C171,$X$3:$X$158,{"Ongoing","N/A"})))</f>
        <v>8.25</v>
      </c>
      <c r="G171" s="3">
        <f>IF(ISERROR(E171/(F171)),"N/A",E171/F171)</f>
        <v>612.24242424242425</v>
      </c>
      <c r="H171" s="7">
        <f t="shared" si="10"/>
        <v>0.83157721435627263</v>
      </c>
    </row>
    <row r="172" spans="2:11" x14ac:dyDescent="0.25">
      <c r="B172" s="3">
        <v>3</v>
      </c>
      <c r="C172" s="47" t="s">
        <v>105</v>
      </c>
      <c r="D172" s="3">
        <f>SUMIFS($T$3:$T$158,$D$3:$D$158,Table!$D$3,$P$3:$P$158,C172)</f>
        <v>4959</v>
      </c>
      <c r="E172" s="3">
        <f>SUMIFS($T$3:$T$158,$D$3:$D$158,Table!$D$3,$P$3:$P$158,C172)-SUM(SUMIFS($T$3:$T$158,$D$3:$D$158,Table!$D$3,$P$3:$P$158,C172,$X$3:$X$158,{"Ongoing","N/A",""}))</f>
        <v>4671</v>
      </c>
      <c r="F172" s="3">
        <f>1/8*(SUMIFS($W$3:$W$158,$D$3:$D$158,Table!$D$3,$P$3:$P$158,C172)-SUM(SUMIFS($W$3:$W$158,$D$3:$D$158,Table!$D$3,$P$3:$P$158,C172,$X$3:$X$158,{"Ongoing","N/A"})))</f>
        <v>7.6750000000000007</v>
      </c>
      <c r="G172" s="3">
        <f t="shared" si="9"/>
        <v>608.59934853420191</v>
      </c>
      <c r="H172" s="7">
        <f t="shared" si="10"/>
        <v>0.94192377495462798</v>
      </c>
    </row>
    <row r="173" spans="2:11" x14ac:dyDescent="0.25">
      <c r="B173" s="3">
        <v>4</v>
      </c>
      <c r="C173" s="47" t="s">
        <v>106</v>
      </c>
      <c r="D173" s="3">
        <f>SUMIFS($T$3:$T$158,$D$3:$D$158,Table!$D$3,$P$3:$P$158,C173)</f>
        <v>6502</v>
      </c>
      <c r="E173" s="3">
        <f>SUMIFS($T$3:$T$158,$D$3:$D$158,Table!$D$3,$P$3:$P$158,C173)-SUM(SUMIFS($T$3:$T$158,$D$3:$D$158,Table!$D$3,$P$3:$P$158,C173,$X$3:$X$158,{"Ongoing","N/A",""}))</f>
        <v>6502</v>
      </c>
      <c r="F173" s="3">
        <f>1/8*(SUMIFS($W$3:$W$158,$D$3:$D$158,Table!$D$3,$P$3:$P$158,C173)-SUM(SUMIFS($W$3:$W$158,$D$3:$D$158,Table!$D$3,$P$3:$P$158,C173,$X$3:$X$158,{"Ongoing","N/A"})))</f>
        <v>6.8437500000000018</v>
      </c>
      <c r="G173" s="3">
        <f>IF(ISERROR(E173/(F173)),"N/A",E173/F173)</f>
        <v>950.06392694063902</v>
      </c>
      <c r="H173" s="7">
        <f t="shared" si="10"/>
        <v>1</v>
      </c>
    </row>
  </sheetData>
  <customSheetViews>
    <customSheetView guid="{7E0EA425-A420-4443-B9E0-CDF0AA9E5D09}" hiddenColumns="1" topLeftCell="A143">
      <selection activeCell="E171" sqref="E171"/>
      <pageMargins left="0.7" right="0.7" top="0.75" bottom="0.75" header="0.3" footer="0.3"/>
      <pageSetup orientation="portrait" r:id="rId1"/>
    </customSheetView>
    <customSheetView guid="{72A6EB0A-84D5-4B8A-AC51-54CCD061630B}" scale="70" filter="1" showAutoFilter="1" hiddenColumns="1">
      <selection activeCell="U4" sqref="U4:U113"/>
      <pageMargins left="0.7" right="0.7" top="0.75" bottom="0.75" header="0.3" footer="0.3"/>
      <pageSetup orientation="portrait" r:id="rId2"/>
      <autoFilter ref="P2:P175">
        <filterColumn colId="0">
          <filters>
            <filter val="loc.do-phu"/>
          </filters>
        </filterColumn>
      </autoFilter>
    </customSheetView>
    <customSheetView guid="{4E06BDBF-2CED-473B-850B-2A6C7311FF41}" showAutoFilter="1" hiddenColumns="1" topLeftCell="R79">
      <selection activeCell="AF102" sqref="AF102"/>
      <pageMargins left="0.7" right="0.7" top="0.75" bottom="0.75" header="0.3" footer="0.3"/>
      <pageSetup orientation="portrait" r:id="rId3"/>
      <autoFilter ref="A2:AH26"/>
    </customSheetView>
    <customSheetView guid="{60D2C030-4E31-4E07-8E1C-44D2EE84B177}" scale="85" showAutoFilter="1" topLeftCell="K91">
      <selection activeCell="P109" sqref="P109"/>
      <pageMargins left="0.7" right="0.7" top="0.75" bottom="0.75" header="0.3" footer="0.3"/>
      <pageSetup orientation="portrait" r:id="rId4"/>
      <autoFilter ref="B2:AH160"/>
    </customSheetView>
    <customSheetView guid="{7ECC2B8E-6A82-42F5-8AB0-4A51C54EA5EC}" hiddenColumns="1" topLeftCell="O28">
      <selection activeCell="AG47" sqref="AG47"/>
      <pageMargins left="0.7" right="0.7" top="0.75" bottom="0.75" header="0.3" footer="0.3"/>
      <pageSetup orientation="portrait" r:id="rId5"/>
    </customSheetView>
    <customSheetView guid="{250915DF-0B97-45D7-B29D-7EED4C89C1C1}" scale="85">
      <selection activeCell="F61" sqref="F61"/>
      <pageMargins left="0.7" right="0.7" top="0.75" bottom="0.75" header="0.3" footer="0.3"/>
      <pageSetup orientation="portrait" r:id="rId6"/>
    </customSheetView>
  </customSheetViews>
  <conditionalFormatting sqref="H170:H173 H162:H165">
    <cfRule type="cellIs" dxfId="16" priority="6" operator="equal">
      <formula>1</formula>
    </cfRule>
    <cfRule type="cellIs" dxfId="15" priority="7" operator="lessThan">
      <formula>1</formula>
    </cfRule>
  </conditionalFormatting>
  <conditionalFormatting sqref="AC3:AC158">
    <cfRule type="cellIs" dxfId="14" priority="2" operator="equal">
      <formula>"OK"</formula>
    </cfRule>
    <cfRule type="cellIs" dxfId="13" priority="3" operator="equal">
      <formula>"NG"</formula>
    </cfRule>
  </conditionalFormatting>
  <conditionalFormatting sqref="L3:M19 L26:M66">
    <cfRule type="cellIs" dxfId="12" priority="1" operator="equal">
      <formula>"PUT_VERSION"</formula>
    </cfRule>
  </conditionalFormatting>
  <dataValidations count="2">
    <dataValidation type="list" allowBlank="1" showInputMessage="1" showErrorMessage="1" sqref="AC3:AC158">
      <formula1>"OK,NG"</formula1>
    </dataValidation>
    <dataValidation type="list" allowBlank="1" showInputMessage="1" showErrorMessage="1" sqref="R3:R158">
      <formula1>"Yes,No"</formula1>
    </dataValidation>
  </dataValidations>
  <pageMargins left="0.7" right="0.7" top="0.75" bottom="0.75" header="0.3" footer="0.3"/>
  <pageSetup orientation="portrait" r:id="rId7"/>
  <legacyDrawing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" operator="greaterThanOrEqual" id="{A2DBCDAC-112C-4EB1-9137-4C59CE189EEE}">
            <xm:f>Table!$C$4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" operator="lessThan" id="{F93A1AC6-53A2-4404-902D-A62DCB6880F9}">
            <xm:f>Table!$C$4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G162:G165</xm:sqref>
        </x14:conditionalFormatting>
        <x14:conditionalFormatting xmlns:xm="http://schemas.microsoft.com/office/excel/2006/main">
          <x14:cfRule type="cellIs" priority="10" operator="greaterThanOrEqual" id="{4226BAC8-183D-4343-90C4-3398666B9C59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1" operator="lessThan" id="{2C456F9B-0386-48E4-B7ED-E463A343237A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G170:G173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Table!$C$13:$C$20</xm:f>
          </x14:formula1>
          <xm:sqref>S89:S102 P103:Q158 Q89:Q102 P3:Q88</xm:sqref>
        </x14:dataValidation>
        <x14:dataValidation type="list" allowBlank="1" showInputMessage="1" showErrorMessage="1">
          <x14:formula1>
            <xm:f>Table!$C$24:$C$30</xm:f>
          </x14:formula1>
          <xm:sqref>X3:X158</xm:sqref>
        </x14:dataValidation>
        <x14:dataValidation type="list" allowBlank="1" showInputMessage="1" showErrorMessage="1">
          <x14:formula1>
            <xm:f>Table!$C$8:$C$9</xm:f>
          </x14:formula1>
          <xm:sqref>D3:D158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67"/>
  <sheetViews>
    <sheetView topLeftCell="A91" workbookViewId="0">
      <selection activeCell="F21" sqref="F21"/>
    </sheetView>
  </sheetViews>
  <sheetFormatPr defaultRowHeight="15" x14ac:dyDescent="0.25"/>
  <sheetData>
    <row r="2" spans="1:2" x14ac:dyDescent="0.25">
      <c r="A2" s="72" t="s">
        <v>72</v>
      </c>
      <c r="B2" s="72" t="s">
        <v>74</v>
      </c>
    </row>
    <row r="3" spans="1:2" x14ac:dyDescent="0.25">
      <c r="A3" s="51" t="s">
        <v>173</v>
      </c>
      <c r="B3" s="51" t="s">
        <v>83</v>
      </c>
    </row>
    <row r="4" spans="1:2" x14ac:dyDescent="0.25">
      <c r="A4" s="73" t="s">
        <v>174</v>
      </c>
      <c r="B4" s="73" t="s">
        <v>84</v>
      </c>
    </row>
    <row r="5" spans="1:2" x14ac:dyDescent="0.25">
      <c r="A5" s="51" t="s">
        <v>175</v>
      </c>
      <c r="B5" s="51" t="s">
        <v>85</v>
      </c>
    </row>
    <row r="6" spans="1:2" x14ac:dyDescent="0.25">
      <c r="A6" s="51" t="s">
        <v>176</v>
      </c>
      <c r="B6" s="51" t="s">
        <v>86</v>
      </c>
    </row>
    <row r="7" spans="1:2" x14ac:dyDescent="0.25">
      <c r="A7" s="52" t="s">
        <v>90</v>
      </c>
      <c r="B7" s="51" t="s">
        <v>70</v>
      </c>
    </row>
    <row r="8" spans="1:2" x14ac:dyDescent="0.25">
      <c r="A8" s="52" t="s">
        <v>231</v>
      </c>
      <c r="B8" s="51" t="s">
        <v>95</v>
      </c>
    </row>
    <row r="9" spans="1:2" x14ac:dyDescent="0.25">
      <c r="A9" s="52" t="s">
        <v>225</v>
      </c>
      <c r="B9" s="73" t="s">
        <v>96</v>
      </c>
    </row>
    <row r="10" spans="1:2" x14ac:dyDescent="0.25">
      <c r="A10" s="52" t="s">
        <v>225</v>
      </c>
      <c r="B10" s="73" t="s">
        <v>98</v>
      </c>
    </row>
    <row r="11" spans="1:2" x14ac:dyDescent="0.25">
      <c r="A11" s="74" t="s">
        <v>226</v>
      </c>
      <c r="B11" s="51" t="s">
        <v>222</v>
      </c>
    </row>
    <row r="12" spans="1:2" x14ac:dyDescent="0.25">
      <c r="A12" s="52" t="s">
        <v>226</v>
      </c>
      <c r="B12" s="51" t="s">
        <v>223</v>
      </c>
    </row>
    <row r="13" spans="1:2" x14ac:dyDescent="0.25">
      <c r="A13" s="52" t="s">
        <v>227</v>
      </c>
      <c r="B13" s="73" t="s">
        <v>224</v>
      </c>
    </row>
    <row r="14" spans="1:2" x14ac:dyDescent="0.25">
      <c r="A14" s="52" t="s">
        <v>177</v>
      </c>
      <c r="B14" s="51" t="s">
        <v>108</v>
      </c>
    </row>
    <row r="15" spans="1:2" x14ac:dyDescent="0.25">
      <c r="A15" s="52" t="s">
        <v>250</v>
      </c>
      <c r="B15" s="51" t="s">
        <v>121</v>
      </c>
    </row>
    <row r="16" spans="1:2" x14ac:dyDescent="0.25">
      <c r="A16" s="52" t="s">
        <v>219</v>
      </c>
      <c r="B16" s="51" t="s">
        <v>123</v>
      </c>
    </row>
    <row r="17" spans="1:2" x14ac:dyDescent="0.25">
      <c r="A17" s="52" t="s">
        <v>219</v>
      </c>
      <c r="B17" s="51" t="s">
        <v>124</v>
      </c>
    </row>
    <row r="18" spans="1:2" x14ac:dyDescent="0.25">
      <c r="A18" s="52" t="s">
        <v>220</v>
      </c>
      <c r="B18" s="51" t="s">
        <v>125</v>
      </c>
    </row>
    <row r="19" spans="1:2" x14ac:dyDescent="0.25">
      <c r="A19" s="52" t="s">
        <v>221</v>
      </c>
      <c r="B19" s="51" t="s">
        <v>125</v>
      </c>
    </row>
    <row r="20" spans="1:2" x14ac:dyDescent="0.25">
      <c r="A20" s="52" t="s">
        <v>240</v>
      </c>
      <c r="B20" s="51" t="s">
        <v>241</v>
      </c>
    </row>
    <row r="21" spans="1:2" x14ac:dyDescent="0.25">
      <c r="A21" s="52" t="s">
        <v>240</v>
      </c>
      <c r="B21" s="51" t="s">
        <v>242</v>
      </c>
    </row>
    <row r="22" spans="1:2" x14ac:dyDescent="0.25">
      <c r="A22" s="52" t="s">
        <v>240</v>
      </c>
      <c r="B22" s="51" t="s">
        <v>243</v>
      </c>
    </row>
    <row r="23" spans="1:2" x14ac:dyDescent="0.25">
      <c r="A23" s="52" t="s">
        <v>240</v>
      </c>
      <c r="B23" s="51" t="s">
        <v>244</v>
      </c>
    </row>
    <row r="24" spans="1:2" x14ac:dyDescent="0.25">
      <c r="A24" s="52" t="s">
        <v>240</v>
      </c>
      <c r="B24" s="51" t="s">
        <v>245</v>
      </c>
    </row>
    <row r="25" spans="1:2" x14ac:dyDescent="0.25">
      <c r="A25" s="52" t="s">
        <v>240</v>
      </c>
      <c r="B25" s="51" t="s">
        <v>246</v>
      </c>
    </row>
    <row r="26" spans="1:2" x14ac:dyDescent="0.25">
      <c r="A26" s="52" t="s">
        <v>90</v>
      </c>
      <c r="B26" s="51" t="s">
        <v>236</v>
      </c>
    </row>
    <row r="27" spans="1:2" x14ac:dyDescent="0.25">
      <c r="A27" s="51"/>
      <c r="B27" s="51"/>
    </row>
    <row r="28" spans="1:2" x14ac:dyDescent="0.25">
      <c r="A28" s="51"/>
      <c r="B28" s="51"/>
    </row>
    <row r="29" spans="1:2" x14ac:dyDescent="0.25">
      <c r="A29" s="52" t="s">
        <v>237</v>
      </c>
      <c r="B29" s="51" t="s">
        <v>136</v>
      </c>
    </row>
    <row r="30" spans="1:2" x14ac:dyDescent="0.25">
      <c r="A30" s="52" t="s">
        <v>237</v>
      </c>
      <c r="B30" s="51" t="s">
        <v>137</v>
      </c>
    </row>
    <row r="31" spans="1:2" x14ac:dyDescent="0.25">
      <c r="A31" s="52" t="s">
        <v>237</v>
      </c>
      <c r="B31" s="51" t="s">
        <v>138</v>
      </c>
    </row>
    <row r="32" spans="1:2" x14ac:dyDescent="0.25">
      <c r="A32" s="52" t="s">
        <v>235</v>
      </c>
      <c r="B32" s="77" t="s">
        <v>139</v>
      </c>
    </row>
    <row r="33" spans="1:2" x14ac:dyDescent="0.25">
      <c r="A33" s="52" t="s">
        <v>235</v>
      </c>
      <c r="B33" s="77" t="s">
        <v>140</v>
      </c>
    </row>
    <row r="34" spans="1:2" x14ac:dyDescent="0.25">
      <c r="A34" s="52" t="s">
        <v>235</v>
      </c>
      <c r="B34" s="77" t="s">
        <v>141</v>
      </c>
    </row>
    <row r="35" spans="1:2" x14ac:dyDescent="0.25">
      <c r="A35" s="52" t="s">
        <v>235</v>
      </c>
      <c r="B35" s="78" t="s">
        <v>142</v>
      </c>
    </row>
    <row r="36" spans="1:2" x14ac:dyDescent="0.25">
      <c r="A36" s="52" t="s">
        <v>235</v>
      </c>
      <c r="B36" s="77" t="s">
        <v>143</v>
      </c>
    </row>
    <row r="37" spans="1:2" x14ac:dyDescent="0.25">
      <c r="A37" s="52" t="s">
        <v>235</v>
      </c>
      <c r="B37" s="51" t="s">
        <v>144</v>
      </c>
    </row>
    <row r="38" spans="1:2" x14ac:dyDescent="0.25">
      <c r="A38" s="52" t="s">
        <v>235</v>
      </c>
      <c r="B38" s="51" t="s">
        <v>145</v>
      </c>
    </row>
    <row r="39" spans="1:2" x14ac:dyDescent="0.25">
      <c r="A39" s="52" t="s">
        <v>235</v>
      </c>
      <c r="B39" s="77" t="s">
        <v>146</v>
      </c>
    </row>
    <row r="40" spans="1:2" x14ac:dyDescent="0.25">
      <c r="A40" s="52" t="s">
        <v>235</v>
      </c>
      <c r="B40" s="77" t="s">
        <v>147</v>
      </c>
    </row>
    <row r="41" spans="1:2" x14ac:dyDescent="0.25">
      <c r="A41" s="52" t="s">
        <v>235</v>
      </c>
      <c r="B41" s="77" t="s">
        <v>148</v>
      </c>
    </row>
    <row r="42" spans="1:2" x14ac:dyDescent="0.25">
      <c r="A42" s="52" t="s">
        <v>235</v>
      </c>
      <c r="B42" s="51" t="s">
        <v>149</v>
      </c>
    </row>
    <row r="43" spans="1:2" x14ac:dyDescent="0.25">
      <c r="A43" s="52" t="s">
        <v>235</v>
      </c>
      <c r="B43" s="51" t="s">
        <v>150</v>
      </c>
    </row>
    <row r="44" spans="1:2" x14ac:dyDescent="0.25">
      <c r="A44" s="52" t="s">
        <v>235</v>
      </c>
      <c r="B44" s="51" t="s">
        <v>151</v>
      </c>
    </row>
    <row r="45" spans="1:2" x14ac:dyDescent="0.25">
      <c r="A45" s="52" t="s">
        <v>235</v>
      </c>
      <c r="B45" s="51" t="s">
        <v>152</v>
      </c>
    </row>
    <row r="46" spans="1:2" x14ac:dyDescent="0.25">
      <c r="A46" s="52" t="s">
        <v>235</v>
      </c>
      <c r="B46" s="77" t="s">
        <v>153</v>
      </c>
    </row>
    <row r="47" spans="1:2" x14ac:dyDescent="0.25">
      <c r="A47" s="52" t="s">
        <v>235</v>
      </c>
      <c r="B47" s="51" t="s">
        <v>154</v>
      </c>
    </row>
    <row r="48" spans="1:2" x14ac:dyDescent="0.25">
      <c r="A48" s="52" t="s">
        <v>235</v>
      </c>
      <c r="B48" s="51" t="s">
        <v>155</v>
      </c>
    </row>
    <row r="49" spans="1:2" x14ac:dyDescent="0.25">
      <c r="A49" s="52" t="s">
        <v>235</v>
      </c>
      <c r="B49" s="51" t="s">
        <v>156</v>
      </c>
    </row>
    <row r="50" spans="1:2" x14ac:dyDescent="0.25">
      <c r="A50" s="52" t="s">
        <v>235</v>
      </c>
      <c r="B50" s="77" t="s">
        <v>157</v>
      </c>
    </row>
    <row r="51" spans="1:2" x14ac:dyDescent="0.25">
      <c r="A51" s="52" t="s">
        <v>235</v>
      </c>
      <c r="B51" s="77" t="s">
        <v>158</v>
      </c>
    </row>
    <row r="52" spans="1:2" x14ac:dyDescent="0.25">
      <c r="A52" s="52" t="s">
        <v>235</v>
      </c>
      <c r="B52" s="77" t="s">
        <v>159</v>
      </c>
    </row>
    <row r="53" spans="1:2" x14ac:dyDescent="0.25">
      <c r="A53" s="52" t="s">
        <v>235</v>
      </c>
      <c r="B53" s="51" t="s">
        <v>160</v>
      </c>
    </row>
    <row r="54" spans="1:2" x14ac:dyDescent="0.25">
      <c r="A54" s="52" t="s">
        <v>238</v>
      </c>
      <c r="B54" s="51" t="s">
        <v>161</v>
      </c>
    </row>
    <row r="55" spans="1:2" x14ac:dyDescent="0.25">
      <c r="A55" s="52" t="s">
        <v>238</v>
      </c>
      <c r="B55" s="51" t="s">
        <v>162</v>
      </c>
    </row>
    <row r="56" spans="1:2" x14ac:dyDescent="0.25">
      <c r="A56" s="52" t="s">
        <v>238</v>
      </c>
      <c r="B56" s="51" t="s">
        <v>163</v>
      </c>
    </row>
    <row r="57" spans="1:2" x14ac:dyDescent="0.25">
      <c r="A57" s="52" t="s">
        <v>238</v>
      </c>
      <c r="B57" s="51" t="s">
        <v>164</v>
      </c>
    </row>
    <row r="58" spans="1:2" x14ac:dyDescent="0.25">
      <c r="A58" s="52" t="s">
        <v>238</v>
      </c>
      <c r="B58" s="51" t="s">
        <v>165</v>
      </c>
    </row>
    <row r="59" spans="1:2" x14ac:dyDescent="0.25">
      <c r="A59" s="52" t="s">
        <v>231</v>
      </c>
      <c r="B59" s="51" t="s">
        <v>95</v>
      </c>
    </row>
    <row r="60" spans="1:2" x14ac:dyDescent="0.25">
      <c r="A60" s="52" t="s">
        <v>231</v>
      </c>
      <c r="B60" s="51" t="s">
        <v>166</v>
      </c>
    </row>
    <row r="61" spans="1:2" x14ac:dyDescent="0.25">
      <c r="A61" s="52" t="s">
        <v>231</v>
      </c>
      <c r="B61" s="51" t="s">
        <v>167</v>
      </c>
    </row>
    <row r="62" spans="1:2" x14ac:dyDescent="0.25">
      <c r="A62" s="52" t="s">
        <v>231</v>
      </c>
      <c r="B62" s="51" t="s">
        <v>168</v>
      </c>
    </row>
    <row r="63" spans="1:2" x14ac:dyDescent="0.25">
      <c r="A63" s="52" t="s">
        <v>231</v>
      </c>
      <c r="B63" s="51" t="s">
        <v>169</v>
      </c>
    </row>
    <row r="64" spans="1:2" x14ac:dyDescent="0.25">
      <c r="A64" s="76" t="s">
        <v>172</v>
      </c>
      <c r="B64" s="75" t="s">
        <v>170</v>
      </c>
    </row>
    <row r="65" spans="1:2" x14ac:dyDescent="0.25">
      <c r="A65" s="52" t="s">
        <v>172</v>
      </c>
      <c r="B65" s="51" t="s">
        <v>171</v>
      </c>
    </row>
    <row r="66" spans="1:2" x14ac:dyDescent="0.25">
      <c r="A66" s="52" t="s">
        <v>172</v>
      </c>
      <c r="B66" s="51" t="s">
        <v>166</v>
      </c>
    </row>
    <row r="67" spans="1:2" x14ac:dyDescent="0.25">
      <c r="A67" s="52" t="s">
        <v>172</v>
      </c>
      <c r="B67" s="51" t="s">
        <v>168</v>
      </c>
    </row>
    <row r="68" spans="1:2" x14ac:dyDescent="0.25">
      <c r="A68" s="52" t="s">
        <v>172</v>
      </c>
      <c r="B68" s="51" t="s">
        <v>170</v>
      </c>
    </row>
    <row r="69" spans="1:2" x14ac:dyDescent="0.25">
      <c r="A69" s="52" t="s">
        <v>255</v>
      </c>
      <c r="B69" s="51" t="s">
        <v>260</v>
      </c>
    </row>
    <row r="70" spans="1:2" x14ac:dyDescent="0.25">
      <c r="A70" s="52" t="s">
        <v>256</v>
      </c>
      <c r="B70" s="51" t="s">
        <v>261</v>
      </c>
    </row>
    <row r="71" spans="1:2" x14ac:dyDescent="0.25">
      <c r="A71" s="52" t="s">
        <v>257</v>
      </c>
      <c r="B71" s="51" t="s">
        <v>262</v>
      </c>
    </row>
    <row r="72" spans="1:2" x14ac:dyDescent="0.25">
      <c r="A72" s="52" t="s">
        <v>257</v>
      </c>
      <c r="B72" s="51" t="s">
        <v>263</v>
      </c>
    </row>
    <row r="73" spans="1:2" x14ac:dyDescent="0.25">
      <c r="A73" s="52" t="s">
        <v>257</v>
      </c>
      <c r="B73" s="51" t="s">
        <v>264</v>
      </c>
    </row>
    <row r="74" spans="1:2" x14ac:dyDescent="0.25">
      <c r="A74" s="52" t="s">
        <v>257</v>
      </c>
      <c r="B74" s="51" t="s">
        <v>84</v>
      </c>
    </row>
    <row r="75" spans="1:2" x14ac:dyDescent="0.25">
      <c r="A75" s="52" t="s">
        <v>258</v>
      </c>
      <c r="B75" s="51" t="s">
        <v>265</v>
      </c>
    </row>
    <row r="76" spans="1:2" x14ac:dyDescent="0.25">
      <c r="A76" s="52" t="s">
        <v>286</v>
      </c>
      <c r="B76" s="73" t="s">
        <v>269</v>
      </c>
    </row>
    <row r="77" spans="1:2" x14ac:dyDescent="0.25">
      <c r="A77" s="52" t="s">
        <v>286</v>
      </c>
      <c r="B77" s="73" t="s">
        <v>270</v>
      </c>
    </row>
    <row r="78" spans="1:2" x14ac:dyDescent="0.25">
      <c r="A78" s="52" t="s">
        <v>286</v>
      </c>
      <c r="B78" s="73" t="s">
        <v>271</v>
      </c>
    </row>
    <row r="79" spans="1:2" x14ac:dyDescent="0.25">
      <c r="A79" s="52" t="s">
        <v>287</v>
      </c>
      <c r="B79" s="73" t="s">
        <v>272</v>
      </c>
    </row>
    <row r="80" spans="1:2" x14ac:dyDescent="0.25">
      <c r="A80" s="52" t="s">
        <v>288</v>
      </c>
      <c r="B80" s="73" t="s">
        <v>273</v>
      </c>
    </row>
    <row r="81" spans="1:2" x14ac:dyDescent="0.25">
      <c r="A81" s="52" t="s">
        <v>289</v>
      </c>
      <c r="B81" s="73" t="s">
        <v>274</v>
      </c>
    </row>
    <row r="82" spans="1:2" x14ac:dyDescent="0.25">
      <c r="A82" s="52" t="s">
        <v>289</v>
      </c>
      <c r="B82" s="73" t="s">
        <v>261</v>
      </c>
    </row>
    <row r="83" spans="1:2" x14ac:dyDescent="0.25">
      <c r="A83" s="52" t="s">
        <v>289</v>
      </c>
      <c r="B83" s="73" t="s">
        <v>275</v>
      </c>
    </row>
    <row r="84" spans="1:2" x14ac:dyDescent="0.25">
      <c r="A84" s="52" t="s">
        <v>289</v>
      </c>
      <c r="B84" s="73" t="s">
        <v>276</v>
      </c>
    </row>
    <row r="85" spans="1:2" x14ac:dyDescent="0.25">
      <c r="A85" s="52" t="s">
        <v>290</v>
      </c>
      <c r="B85" s="73" t="s">
        <v>277</v>
      </c>
    </row>
    <row r="86" spans="1:2" x14ac:dyDescent="0.25">
      <c r="A86" s="52" t="s">
        <v>291</v>
      </c>
      <c r="B86" s="73" t="s">
        <v>278</v>
      </c>
    </row>
    <row r="87" spans="1:2" x14ac:dyDescent="0.25">
      <c r="A87" s="52" t="s">
        <v>292</v>
      </c>
      <c r="B87" s="51" t="s">
        <v>279</v>
      </c>
    </row>
    <row r="88" spans="1:2" x14ac:dyDescent="0.25">
      <c r="A88" s="52" t="s">
        <v>293</v>
      </c>
      <c r="B88" s="51" t="s">
        <v>280</v>
      </c>
    </row>
    <row r="89" spans="1:2" x14ac:dyDescent="0.25">
      <c r="A89" s="52" t="s">
        <v>294</v>
      </c>
      <c r="B89" s="51" t="s">
        <v>281</v>
      </c>
    </row>
    <row r="90" spans="1:2" x14ac:dyDescent="0.25">
      <c r="A90" s="52" t="s">
        <v>294</v>
      </c>
      <c r="B90" s="51" t="s">
        <v>282</v>
      </c>
    </row>
    <row r="91" spans="1:2" x14ac:dyDescent="0.25">
      <c r="A91" s="52" t="s">
        <v>300</v>
      </c>
      <c r="B91" s="51" t="s">
        <v>312</v>
      </c>
    </row>
    <row r="92" spans="1:2" x14ac:dyDescent="0.25">
      <c r="A92" s="52" t="s">
        <v>301</v>
      </c>
      <c r="B92" s="51" t="s">
        <v>313</v>
      </c>
    </row>
    <row r="93" spans="1:2" x14ac:dyDescent="0.25">
      <c r="A93" s="52" t="s">
        <v>308</v>
      </c>
      <c r="B93" s="51" t="s">
        <v>314</v>
      </c>
    </row>
    <row r="94" spans="1:2" x14ac:dyDescent="0.25">
      <c r="A94" s="52" t="s">
        <v>309</v>
      </c>
      <c r="B94" s="51" t="s">
        <v>143</v>
      </c>
    </row>
    <row r="95" spans="1:2" x14ac:dyDescent="0.25">
      <c r="A95" s="52" t="s">
        <v>310</v>
      </c>
      <c r="B95" s="51" t="s">
        <v>315</v>
      </c>
    </row>
    <row r="96" spans="1:2" x14ac:dyDescent="0.25">
      <c r="A96" s="52" t="s">
        <v>311</v>
      </c>
      <c r="B96" s="51" t="s">
        <v>316</v>
      </c>
    </row>
    <row r="97" spans="1:2" x14ac:dyDescent="0.25">
      <c r="A97" s="52" t="s">
        <v>310</v>
      </c>
      <c r="B97" s="51" t="s">
        <v>317</v>
      </c>
    </row>
    <row r="98" spans="1:2" x14ac:dyDescent="0.25">
      <c r="A98" s="52" t="s">
        <v>302</v>
      </c>
      <c r="B98" s="51" t="s">
        <v>318</v>
      </c>
    </row>
    <row r="99" spans="1:2" x14ac:dyDescent="0.25">
      <c r="A99" s="52" t="s">
        <v>303</v>
      </c>
      <c r="B99" s="51" t="s">
        <v>319</v>
      </c>
    </row>
    <row r="100" spans="1:2" x14ac:dyDescent="0.25">
      <c r="A100" s="52" t="s">
        <v>304</v>
      </c>
      <c r="B100" s="51" t="s">
        <v>320</v>
      </c>
    </row>
    <row r="101" spans="1:2" x14ac:dyDescent="0.25">
      <c r="A101" s="52" t="s">
        <v>307</v>
      </c>
      <c r="B101" s="51" t="s">
        <v>321</v>
      </c>
    </row>
    <row r="102" spans="1:2" x14ac:dyDescent="0.25">
      <c r="A102" s="52" t="s">
        <v>305</v>
      </c>
      <c r="B102" s="51" t="s">
        <v>322</v>
      </c>
    </row>
    <row r="103" spans="1:2" x14ac:dyDescent="0.25">
      <c r="A103" s="52" t="s">
        <v>310</v>
      </c>
      <c r="B103" s="51" t="s">
        <v>323</v>
      </c>
    </row>
    <row r="104" spans="1:2" x14ac:dyDescent="0.25">
      <c r="A104" s="52" t="s">
        <v>306</v>
      </c>
      <c r="B104" s="51" t="s">
        <v>324</v>
      </c>
    </row>
    <row r="105" spans="1:2" x14ac:dyDescent="0.25">
      <c r="A105" s="51"/>
      <c r="B105" s="51"/>
    </row>
    <row r="106" spans="1:2" x14ac:dyDescent="0.25">
      <c r="A106" s="51"/>
      <c r="B106" s="51"/>
    </row>
    <row r="107" spans="1:2" x14ac:dyDescent="0.25">
      <c r="A107" s="51"/>
      <c r="B107" s="51"/>
    </row>
    <row r="108" spans="1:2" x14ac:dyDescent="0.25">
      <c r="A108" s="51"/>
      <c r="B108" s="51"/>
    </row>
    <row r="109" spans="1:2" x14ac:dyDescent="0.25">
      <c r="A109" s="51"/>
      <c r="B109" s="51"/>
    </row>
    <row r="110" spans="1:2" x14ac:dyDescent="0.25">
      <c r="A110" s="51"/>
      <c r="B110" s="51"/>
    </row>
    <row r="111" spans="1:2" x14ac:dyDescent="0.25">
      <c r="A111" s="51"/>
      <c r="B111" s="51"/>
    </row>
    <row r="112" spans="1:2" x14ac:dyDescent="0.25">
      <c r="A112" s="51"/>
      <c r="B112" s="51"/>
    </row>
    <row r="113" spans="1:2" x14ac:dyDescent="0.25">
      <c r="A113" s="51"/>
      <c r="B113" s="51"/>
    </row>
    <row r="114" spans="1:2" x14ac:dyDescent="0.25">
      <c r="A114" s="51"/>
      <c r="B114" s="51"/>
    </row>
    <row r="115" spans="1:2" x14ac:dyDescent="0.25">
      <c r="A115" s="51"/>
      <c r="B115" s="51"/>
    </row>
    <row r="116" spans="1:2" x14ac:dyDescent="0.25">
      <c r="A116" s="51"/>
      <c r="B116" s="51"/>
    </row>
    <row r="117" spans="1:2" x14ac:dyDescent="0.25">
      <c r="A117" s="51"/>
      <c r="B117" s="51"/>
    </row>
    <row r="118" spans="1:2" x14ac:dyDescent="0.25">
      <c r="A118" s="51"/>
      <c r="B118" s="51"/>
    </row>
    <row r="119" spans="1:2" x14ac:dyDescent="0.25">
      <c r="A119" s="51"/>
      <c r="B119" s="51"/>
    </row>
    <row r="120" spans="1:2" x14ac:dyDescent="0.25">
      <c r="A120" s="51"/>
      <c r="B120" s="51"/>
    </row>
    <row r="121" spans="1:2" x14ac:dyDescent="0.25">
      <c r="A121" s="51"/>
      <c r="B121" s="51"/>
    </row>
    <row r="122" spans="1:2" x14ac:dyDescent="0.25">
      <c r="A122" s="51"/>
      <c r="B122" s="51"/>
    </row>
    <row r="123" spans="1:2" x14ac:dyDescent="0.25">
      <c r="A123" s="51"/>
      <c r="B123" s="51"/>
    </row>
    <row r="124" spans="1:2" x14ac:dyDescent="0.25">
      <c r="A124" s="51"/>
      <c r="B124" s="51"/>
    </row>
    <row r="125" spans="1:2" x14ac:dyDescent="0.25">
      <c r="A125" s="51"/>
      <c r="B125" s="51"/>
    </row>
    <row r="126" spans="1:2" x14ac:dyDescent="0.25">
      <c r="A126" s="51"/>
      <c r="B126" s="51"/>
    </row>
    <row r="127" spans="1:2" x14ac:dyDescent="0.25">
      <c r="A127" s="51"/>
      <c r="B127" s="51"/>
    </row>
    <row r="128" spans="1:2" x14ac:dyDescent="0.25">
      <c r="A128" s="51"/>
      <c r="B128" s="51"/>
    </row>
    <row r="129" spans="1:2" x14ac:dyDescent="0.25">
      <c r="A129" s="51"/>
      <c r="B129" s="51"/>
    </row>
    <row r="130" spans="1:2" x14ac:dyDescent="0.25">
      <c r="A130" s="51"/>
      <c r="B130" s="51"/>
    </row>
    <row r="131" spans="1:2" x14ac:dyDescent="0.25">
      <c r="A131" s="51"/>
      <c r="B131" s="51"/>
    </row>
    <row r="132" spans="1:2" x14ac:dyDescent="0.25">
      <c r="A132" s="51"/>
      <c r="B132" s="51"/>
    </row>
    <row r="133" spans="1:2" x14ac:dyDescent="0.25">
      <c r="A133" s="51"/>
      <c r="B133" s="51"/>
    </row>
    <row r="134" spans="1:2" x14ac:dyDescent="0.25">
      <c r="A134" s="51"/>
      <c r="B134" s="51"/>
    </row>
    <row r="135" spans="1:2" x14ac:dyDescent="0.25">
      <c r="A135" s="51"/>
      <c r="B135" s="51"/>
    </row>
    <row r="136" spans="1:2" x14ac:dyDescent="0.25">
      <c r="A136" s="51"/>
      <c r="B136" s="51"/>
    </row>
    <row r="137" spans="1:2" x14ac:dyDescent="0.25">
      <c r="A137" s="51"/>
      <c r="B137" s="51"/>
    </row>
    <row r="138" spans="1:2" x14ac:dyDescent="0.25">
      <c r="A138" s="51"/>
      <c r="B138" s="51"/>
    </row>
    <row r="139" spans="1:2" x14ac:dyDescent="0.25">
      <c r="A139" s="51"/>
      <c r="B139" s="51"/>
    </row>
    <row r="140" spans="1:2" x14ac:dyDescent="0.25">
      <c r="A140" s="51"/>
      <c r="B140" s="51"/>
    </row>
    <row r="141" spans="1:2" x14ac:dyDescent="0.25">
      <c r="A141" s="51"/>
      <c r="B141" s="51"/>
    </row>
    <row r="142" spans="1:2" x14ac:dyDescent="0.25">
      <c r="A142" s="51"/>
      <c r="B142" s="51"/>
    </row>
    <row r="143" spans="1:2" x14ac:dyDescent="0.25">
      <c r="A143" s="51"/>
      <c r="B143" s="51"/>
    </row>
    <row r="144" spans="1:2" x14ac:dyDescent="0.25">
      <c r="A144" s="51"/>
      <c r="B144" s="51"/>
    </row>
    <row r="147" spans="1:2" x14ac:dyDescent="0.25">
      <c r="A147" s="72" t="s">
        <v>26</v>
      </c>
      <c r="B147" s="72" t="s">
        <v>30</v>
      </c>
    </row>
    <row r="148" spans="1:2" x14ac:dyDescent="0.25">
      <c r="A148" s="3">
        <f ca="1">1/8*(SUMIFS($W$3:$W$144,$D$3:$D$144,Table!$C$3,$P$3:$P$144,#REF!)-SUM(SUMIFS($W$3:$W$144,$D$3:$D$144,Table!$C$3,$P$3:$P$144,#REF!,$X$3:$X$144,{"Ongoing","N/A"})))</f>
        <v>0</v>
      </c>
      <c r="B148" s="7" t="str">
        <f>IF(ISERROR(#REF!/#REF!),"N/A",#REF!/#REF!)</f>
        <v>N/A</v>
      </c>
    </row>
    <row r="149" spans="1:2" x14ac:dyDescent="0.25">
      <c r="A149" s="3">
        <f ca="1">1/8*(SUMIFS($W$3:$W$144,$D$3:$D$144,Table!$C$3,$P$3:$P$144,#REF!)-SUM(SUMIFS($W$3:$W$144,$D$3:$D$144,Table!$C$3,$P$3:$P$144,#REF!,$X$3:$X$144,{"Ongoing","N/A"})))</f>
        <v>0</v>
      </c>
      <c r="B149" s="7" t="str">
        <f>IF(ISERROR(#REF!/#REF!),"N/A",#REF!/#REF!)</f>
        <v>N/A</v>
      </c>
    </row>
    <row r="150" spans="1:2" x14ac:dyDescent="0.25">
      <c r="A150" s="3">
        <f ca="1">1/8*(SUMIFS($W$3:$W$144,$D$3:$D$144,Table!$C$3,$P$3:$P$144,#REF!)-SUM(SUMIFS($W$3:$W$144,$D$3:$D$144,Table!$C$3,$P$3:$P$144,#REF!,$X$3:$X$144,{"Ongoing","N/A"})))</f>
        <v>0</v>
      </c>
      <c r="B150" s="7" t="str">
        <f>IF(ISERROR(#REF!/#REF!),"N/A",#REF!/#REF!)</f>
        <v>N/A</v>
      </c>
    </row>
    <row r="151" spans="1:2" x14ac:dyDescent="0.25">
      <c r="A151" s="3">
        <f ca="1">1/8*(SUMIFS($W$3:$W$144,$D$3:$D$144,Table!$C$3,$P$3:$P$144,#REF!)-SUM(SUMIFS($W$3:$W$144,$D$3:$D$144,Table!$C$3,$P$3:$P$144,#REF!,$X$3:$X$144,{"Ongoing","N/A"})))</f>
        <v>0</v>
      </c>
      <c r="B151" s="7" t="str">
        <f>IF(ISERROR(#REF!/#REF!),"N/A",#REF!/#REF!)</f>
        <v>N/A</v>
      </c>
    </row>
    <row r="152" spans="1:2" x14ac:dyDescent="0.25">
      <c r="A152" s="3">
        <f ca="1">1/8*(SUMIFS($W$3:$W$144,$D$3:$D$144,Table!$C$3,$P$3:$P$144,#REF!)-SUM(SUMIFS($W$3:$W$144,$D$3:$D$144,Table!$C$3,$P$3:$P$144,#REF!,$X$3:$X$144,{"Ongoing","N/A"})))</f>
        <v>0</v>
      </c>
      <c r="B152" s="7" t="str">
        <f>IF(ISERROR(#REF!/#REF!),"N/A",#REF!/#REF!)</f>
        <v>N/A</v>
      </c>
    </row>
    <row r="153" spans="1:2" x14ac:dyDescent="0.25">
      <c r="A153" s="3">
        <f ca="1">1/8*(SUMIFS($W$3:$W$144,$D$3:$D$144,Table!$C$3,$P$3:$P$144,#REF!)-SUM(SUMIFS($W$3:$W$144,$D$3:$D$144,Table!$C$3,$P$3:$P$144,#REF!,$X$3:$X$144,{"Ongoing","N/A"})))</f>
        <v>0</v>
      </c>
      <c r="B153" s="7" t="str">
        <f>IF(ISERROR(#REF!/#REF!),"N/A",#REF!/#REF!)</f>
        <v>N/A</v>
      </c>
    </row>
    <row r="154" spans="1:2" x14ac:dyDescent="0.25">
      <c r="A154" s="3">
        <f ca="1">1/8*(SUMIFS($W$3:$W$144,$D$3:$D$144,Table!$C$3,$P$3:$P$144,#REF!)-SUM(SUMIFS($W$3:$W$144,$D$3:$D$144,Table!$C$3,$P$3:$P$144,#REF!,$X$3:$X$144,{"Ongoing","N/A"})))</f>
        <v>0</v>
      </c>
      <c r="B154" s="7" t="str">
        <f>IF(ISERROR(#REF!/#REF!),"N/A",#REF!/#REF!)</f>
        <v>N/A</v>
      </c>
    </row>
    <row r="155" spans="1:2" x14ac:dyDescent="0.25">
      <c r="A155" s="3">
        <f ca="1">1/8*(SUMIFS($W$3:$W$144,$D$3:$D$144,Table!$C$3,$P$3:$P$144,#REF!)-SUM(SUMIFS($W$3:$W$144,$D$3:$D$144,Table!$C$3,$P$3:$P$144,#REF!,$X$3:$X$144,{"Ongoing","N/A"})))</f>
        <v>0</v>
      </c>
      <c r="B155" s="7" t="str">
        <f>IF(ISERROR(#REF!/#REF!),"N/A",#REF!/#REF!)</f>
        <v>N/A</v>
      </c>
    </row>
    <row r="159" spans="1:2" x14ac:dyDescent="0.25">
      <c r="A159" s="72" t="s">
        <v>26</v>
      </c>
      <c r="B159" s="72" t="s">
        <v>30</v>
      </c>
    </row>
    <row r="160" spans="1:2" x14ac:dyDescent="0.25">
      <c r="A160" s="3">
        <f ca="1">1/8*(SUMIFS($W$3:$W$144,$D$3:$D$144,Table!$D$3,$P$3:$P$144,#REF!)-SUM(SUMIFS($W$3:$W$144,$D$3:$D$144,Table!$D$3,$P$3:$P$144,#REF!,$X$3:$X$144,{"Ongoing","N/A"})))</f>
        <v>0</v>
      </c>
      <c r="B160" s="7" t="str">
        <f>IF(ISERROR(#REF!/#REF!),"N/A",#REF!/#REF!)</f>
        <v>N/A</v>
      </c>
    </row>
    <row r="161" spans="1:2" x14ac:dyDescent="0.25">
      <c r="A161" s="3">
        <f ca="1">1/8*(SUMIFS($W$3:$W$144,$D$3:$D$144,Table!$D$3,$P$3:$P$144,#REF!)-SUM(SUMIFS($W$3:$W$144,$D$3:$D$144,Table!$D$3,$P$3:$P$144,#REF!,$X$3:$X$144,{"Ongoing","N/A"})))</f>
        <v>0</v>
      </c>
      <c r="B161" s="7" t="str">
        <f>IF(ISERROR(#REF!/#REF!),"N/A",#REF!/#REF!)</f>
        <v>N/A</v>
      </c>
    </row>
    <row r="162" spans="1:2" x14ac:dyDescent="0.25">
      <c r="A162" s="3">
        <f ca="1">1/8*(SUMIFS($W$3:$W$144,$D$3:$D$144,Table!$D$3,$P$3:$P$144,#REF!)-SUM(SUMIFS($W$3:$W$144,$D$3:$D$144,Table!$D$3,$P$3:$P$144,#REF!,$X$3:$X$144,{"Ongoing","N/A"})))</f>
        <v>0</v>
      </c>
      <c r="B162" s="7" t="str">
        <f>IF(ISERROR(#REF!/#REF!),"N/A",#REF!/#REF!)</f>
        <v>N/A</v>
      </c>
    </row>
    <row r="163" spans="1:2" x14ac:dyDescent="0.25">
      <c r="A163" s="3">
        <f ca="1">1/8*(SUMIFS($W$3:$W$144,$D$3:$D$144,Table!$D$3,$P$3:$P$144,#REF!)-SUM(SUMIFS($W$3:$W$144,$D$3:$D$144,Table!$D$3,$P$3:$P$144,#REF!,$X$3:$X$144,{"Ongoing","N/A"})))</f>
        <v>0</v>
      </c>
      <c r="B163" s="7" t="str">
        <f>IF(ISERROR(#REF!/#REF!),"N/A",#REF!/#REF!)</f>
        <v>N/A</v>
      </c>
    </row>
    <row r="164" spans="1:2" x14ac:dyDescent="0.25">
      <c r="A164" s="3">
        <f ca="1">1/8*(SUMIFS($W$3:$W$144,$D$3:$D$144,Table!$D$3,$P$3:$P$144,#REF!)-SUM(SUMIFS($W$3:$W$144,$D$3:$D$144,Table!$D$3,$P$3:$P$144,#REF!,$X$3:$X$144,{"Ongoing","N/A"})))</f>
        <v>0</v>
      </c>
      <c r="B164" s="7" t="str">
        <f>IF(ISERROR(#REF!/#REF!),"N/A",#REF!/#REF!)</f>
        <v>N/A</v>
      </c>
    </row>
    <row r="165" spans="1:2" x14ac:dyDescent="0.25">
      <c r="A165" s="3">
        <f ca="1">1/8*(SUMIFS($W$3:$W$144,$D$3:$D$144,Table!$D$3,$P$3:$P$144,#REF!)-SUM(SUMIFS($W$3:$W$144,$D$3:$D$144,Table!$D$3,$P$3:$P$144,#REF!,$X$3:$X$144,{"Ongoing","N/A"})))</f>
        <v>0</v>
      </c>
      <c r="B165" s="7" t="str">
        <f>IF(ISERROR(#REF!/#REF!),"N/A",#REF!/#REF!)</f>
        <v>N/A</v>
      </c>
    </row>
    <row r="166" spans="1:2" x14ac:dyDescent="0.25">
      <c r="A166" s="3">
        <f ca="1">1/8*(SUMIFS($W$3:$W$144,$D$3:$D$144,Table!$D$3,$P$3:$P$144,#REF!)-SUM(SUMIFS($W$3:$W$144,$D$3:$D$144,Table!$D$3,$P$3:$P$144,#REF!,$X$3:$X$144,{"Ongoing","N/A"})))</f>
        <v>0</v>
      </c>
      <c r="B166" s="7" t="str">
        <f>IF(ISERROR(#REF!/#REF!),"N/A",#REF!/#REF!)</f>
        <v>N/A</v>
      </c>
    </row>
    <row r="167" spans="1:2" x14ac:dyDescent="0.25">
      <c r="A167" s="3">
        <f ca="1">1/8*(SUMIFS($W$3:$W$144,$D$3:$D$144,Table!$D$3,$P$3:$P$144,#REF!)-SUM(SUMIFS($W$3:$W$144,$D$3:$D$144,Table!$D$3,$P$3:$P$144,#REF!,$X$3:$X$144,{"Ongoing","N/A"})))</f>
        <v>0</v>
      </c>
      <c r="B167" s="7" t="str">
        <f>IF(ISERROR(#REF!/#REF!),"N/A",#REF!/#REF!)</f>
        <v>N/A</v>
      </c>
    </row>
  </sheetData>
  <customSheetViews>
    <customSheetView guid="{7E0EA425-A420-4443-B9E0-CDF0AA9E5D09}" topLeftCell="A91">
      <selection activeCell="F21" sqref="F21"/>
      <pageMargins left="0.7" right="0.7" top="0.75" bottom="0.75" header="0.3" footer="0.3"/>
    </customSheetView>
    <customSheetView guid="{72A6EB0A-84D5-4B8A-AC51-54CCD061630B}">
      <selection activeCell="B1" sqref="B1:B1048576"/>
      <pageMargins left="0.7" right="0.7" top="0.75" bottom="0.75" header="0.3" footer="0.3"/>
    </customSheetView>
    <customSheetView guid="{4E06BDBF-2CED-473B-850B-2A6C7311FF41}">
      <selection activeCell="B1" sqref="B1:B1048576"/>
      <pageMargins left="0.7" right="0.7" top="0.75" bottom="0.75" header="0.3" footer="0.3"/>
    </customSheetView>
    <customSheetView guid="{60D2C030-4E31-4E07-8E1C-44D2EE84B177}">
      <selection activeCell="B1" sqref="B1:B1048576"/>
      <pageMargins left="0.7" right="0.7" top="0.75" bottom="0.75" header="0.3" footer="0.3"/>
    </customSheetView>
    <customSheetView guid="{250915DF-0B97-45D7-B29D-7EED4C89C1C1}" topLeftCell="A16">
      <selection activeCell="B1" sqref="B1:B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39" sqref="C39"/>
    </sheetView>
  </sheetViews>
  <sheetFormatPr defaultRowHeight="15" x14ac:dyDescent="0.25"/>
  <sheetData/>
  <customSheetViews>
    <customSheetView guid="{7E0EA425-A420-4443-B9E0-CDF0AA9E5D09}">
      <selection activeCell="C39" sqref="C39"/>
      <pageMargins left="0.7" right="0.7" top="0.75" bottom="0.75" header="0.3" footer="0.3"/>
    </customSheetView>
    <customSheetView guid="{72A6EB0A-84D5-4B8A-AC51-54CCD061630B}">
      <selection activeCell="C39" sqref="C39"/>
      <pageMargins left="0.7" right="0.7" top="0.75" bottom="0.75" header="0.3" footer="0.3"/>
    </customSheetView>
    <customSheetView guid="{4E06BDBF-2CED-473B-850B-2A6C7311FF41}">
      <selection activeCell="C39" sqref="C39"/>
      <pageMargins left="0.7" right="0.7" top="0.75" bottom="0.75" header="0.3" footer="0.3"/>
    </customSheetView>
    <customSheetView guid="{60D2C030-4E31-4E07-8E1C-44D2EE84B177}">
      <selection activeCell="C39" sqref="C39"/>
      <pageMargins left="0.7" right="0.7" top="0.75" bottom="0.75" header="0.3" footer="0.3"/>
    </customSheetView>
    <customSheetView guid="{7ECC2B8E-6A82-42F5-8AB0-4A51C54EA5EC}">
      <selection activeCell="C39" sqref="C39"/>
      <pageMargins left="0.7" right="0.7" top="0.75" bottom="0.75" header="0.3" footer="0.3"/>
    </customSheetView>
    <customSheetView guid="{250915DF-0B97-45D7-B29D-7EED4C89C1C1}">
      <selection activeCell="C39" sqref="C3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Y38"/>
  <sheetViews>
    <sheetView zoomScale="85" zoomScaleNormal="85" workbookViewId="0">
      <selection activeCell="M23" sqref="M23"/>
    </sheetView>
  </sheetViews>
  <sheetFormatPr defaultRowHeight="15" x14ac:dyDescent="0.25"/>
  <cols>
    <col min="3" max="3" width="19.140625" bestFit="1" customWidth="1"/>
    <col min="4" max="4" width="17" customWidth="1"/>
    <col min="5" max="6" width="50.5703125" bestFit="1" customWidth="1"/>
    <col min="7" max="7" width="8.7109375" bestFit="1" customWidth="1"/>
    <col min="8" max="8" width="38.85546875" bestFit="1" customWidth="1"/>
    <col min="9" max="9" width="10.42578125" bestFit="1" customWidth="1"/>
    <col min="10" max="10" width="8.42578125" bestFit="1" customWidth="1"/>
    <col min="11" max="11" width="10.42578125" bestFit="1" customWidth="1"/>
    <col min="12" max="12" width="19.140625" bestFit="1" customWidth="1"/>
    <col min="14" max="14" width="11.140625" bestFit="1" customWidth="1"/>
    <col min="16" max="17" width="12.85546875" bestFit="1" customWidth="1"/>
    <col min="18" max="18" width="12" bestFit="1" customWidth="1"/>
    <col min="19" max="19" width="8.7109375" bestFit="1" customWidth="1"/>
  </cols>
  <sheetData>
    <row r="2" spans="2:25" x14ac:dyDescent="0.25">
      <c r="B2" s="2" t="s">
        <v>0</v>
      </c>
      <c r="C2" s="2" t="s">
        <v>99</v>
      </c>
      <c r="D2" s="2" t="s">
        <v>1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91</v>
      </c>
      <c r="J2" s="22" t="s">
        <v>69</v>
      </c>
      <c r="K2" s="22" t="s">
        <v>8</v>
      </c>
      <c r="L2" s="4" t="s">
        <v>9</v>
      </c>
      <c r="M2" s="4" t="s">
        <v>15</v>
      </c>
      <c r="N2" s="4" t="s">
        <v>66</v>
      </c>
      <c r="O2" s="4" t="s">
        <v>68</v>
      </c>
      <c r="P2" s="4" t="s">
        <v>67</v>
      </c>
      <c r="Q2" s="4" t="s">
        <v>20</v>
      </c>
      <c r="R2" s="4" t="s">
        <v>88</v>
      </c>
      <c r="S2" s="4" t="s">
        <v>89</v>
      </c>
      <c r="T2" s="2" t="s">
        <v>13</v>
      </c>
      <c r="U2" s="2" t="s">
        <v>14</v>
      </c>
      <c r="V2" s="2" t="s">
        <v>16</v>
      </c>
      <c r="W2" s="2" t="s">
        <v>17</v>
      </c>
      <c r="X2" s="4" t="s">
        <v>18</v>
      </c>
      <c r="Y2" s="4" t="s">
        <v>19</v>
      </c>
    </row>
    <row r="3" spans="2:25" x14ac:dyDescent="0.25">
      <c r="B3" s="3">
        <v>1</v>
      </c>
      <c r="C3" s="3">
        <v>1</v>
      </c>
      <c r="D3" s="3" t="s">
        <v>3</v>
      </c>
      <c r="E3" s="3" t="s">
        <v>75</v>
      </c>
      <c r="F3" s="3" t="s">
        <v>79</v>
      </c>
      <c r="G3" s="3">
        <v>1348323</v>
      </c>
      <c r="H3" s="3" t="s">
        <v>83</v>
      </c>
      <c r="I3" s="24" t="s">
        <v>90</v>
      </c>
      <c r="J3" s="23" t="s">
        <v>23</v>
      </c>
      <c r="K3" s="23"/>
      <c r="L3" s="3"/>
      <c r="M3" s="3">
        <v>113</v>
      </c>
      <c r="N3" s="3"/>
      <c r="O3" s="3">
        <f>ROUNDDOWN(M3/HLOOKUP(Template!D3,Table!$C$3:$D$4,2,0)*8,2)</f>
        <v>2</v>
      </c>
      <c r="P3" s="3"/>
      <c r="Q3" s="3" t="s">
        <v>27</v>
      </c>
      <c r="R3" s="5">
        <v>43892</v>
      </c>
      <c r="S3" s="5">
        <v>43924</v>
      </c>
      <c r="T3" s="5">
        <v>43892</v>
      </c>
      <c r="U3" s="5"/>
      <c r="V3" s="3"/>
      <c r="W3" s="3"/>
      <c r="X3" s="3"/>
      <c r="Y3" s="3"/>
    </row>
    <row r="4" spans="2:25" x14ac:dyDescent="0.25">
      <c r="B4" s="3">
        <v>2</v>
      </c>
      <c r="C4" s="3">
        <v>1</v>
      </c>
      <c r="D4" s="3" t="s">
        <v>3</v>
      </c>
      <c r="E4" s="3" t="s">
        <v>76</v>
      </c>
      <c r="F4" s="3" t="s">
        <v>80</v>
      </c>
      <c r="G4" s="3">
        <v>1345876</v>
      </c>
      <c r="H4" s="3" t="s">
        <v>84</v>
      </c>
      <c r="I4" s="24" t="s">
        <v>90</v>
      </c>
      <c r="J4" s="23" t="s">
        <v>23</v>
      </c>
      <c r="K4" s="23"/>
      <c r="L4" s="3"/>
      <c r="M4" s="3">
        <v>148</v>
      </c>
      <c r="N4" s="3"/>
      <c r="O4" s="3">
        <f>ROUNDDOWN(M4/HLOOKUP(Template!D4,Table!$C$3:$D$4,2,0)*8,2)</f>
        <v>2.63</v>
      </c>
      <c r="P4" s="3"/>
      <c r="Q4" s="3" t="s">
        <v>27</v>
      </c>
      <c r="R4" s="5">
        <v>43892</v>
      </c>
      <c r="S4" s="5">
        <v>43924</v>
      </c>
      <c r="T4" s="5">
        <v>43892</v>
      </c>
      <c r="U4" s="5"/>
      <c r="V4" s="3"/>
      <c r="W4" s="3"/>
      <c r="X4" s="3"/>
      <c r="Y4" s="3"/>
    </row>
    <row r="5" spans="2:25" x14ac:dyDescent="0.25">
      <c r="B5" s="3">
        <v>3</v>
      </c>
      <c r="C5" s="3">
        <v>1</v>
      </c>
      <c r="D5" s="3" t="s">
        <v>3</v>
      </c>
      <c r="E5" s="3" t="s">
        <v>77</v>
      </c>
      <c r="F5" s="3" t="s">
        <v>81</v>
      </c>
      <c r="G5" s="3">
        <v>1350941</v>
      </c>
      <c r="H5" s="3" t="s">
        <v>85</v>
      </c>
      <c r="I5" s="24" t="s">
        <v>90</v>
      </c>
      <c r="J5" s="23" t="s">
        <v>23</v>
      </c>
      <c r="K5" s="23"/>
      <c r="L5" s="3"/>
      <c r="M5" s="3">
        <v>291</v>
      </c>
      <c r="N5" s="3"/>
      <c r="O5" s="3">
        <f>ROUNDDOWN(M5/HLOOKUP(Template!D5,Table!$C$3:$D$4,2,0)*8,2)</f>
        <v>5.17</v>
      </c>
      <c r="P5" s="3"/>
      <c r="Q5" s="3" t="s">
        <v>27</v>
      </c>
      <c r="R5" s="5">
        <v>43892</v>
      </c>
      <c r="S5" s="5">
        <v>43924</v>
      </c>
      <c r="T5" s="5">
        <v>43892</v>
      </c>
      <c r="U5" s="5"/>
      <c r="V5" s="3"/>
      <c r="W5" s="3"/>
      <c r="X5" s="3"/>
      <c r="Y5" s="3"/>
    </row>
    <row r="6" spans="2:25" x14ac:dyDescent="0.25">
      <c r="B6" s="3">
        <v>4</v>
      </c>
      <c r="C6" s="3">
        <v>1</v>
      </c>
      <c r="D6" s="3" t="s">
        <v>3</v>
      </c>
      <c r="E6" s="3" t="s">
        <v>78</v>
      </c>
      <c r="F6" s="3" t="s">
        <v>82</v>
      </c>
      <c r="G6" s="3">
        <v>1351929</v>
      </c>
      <c r="H6" s="3" t="s">
        <v>86</v>
      </c>
      <c r="I6" s="24" t="s">
        <v>90</v>
      </c>
      <c r="J6" s="23" t="s">
        <v>23</v>
      </c>
      <c r="K6" s="23"/>
      <c r="L6" s="3"/>
      <c r="M6" s="3">
        <v>254</v>
      </c>
      <c r="N6" s="3"/>
      <c r="O6" s="3">
        <f>ROUNDDOWN(M6/HLOOKUP(Template!D6,Table!$C$3:$D$4,2,0)*8,2)</f>
        <v>4.51</v>
      </c>
      <c r="P6" s="3"/>
      <c r="Q6" s="3" t="s">
        <v>27</v>
      </c>
      <c r="R6" s="5">
        <v>43892</v>
      </c>
      <c r="S6" s="5">
        <v>43924</v>
      </c>
      <c r="T6" s="5">
        <v>43892</v>
      </c>
      <c r="U6" s="5"/>
      <c r="V6" s="3"/>
      <c r="W6" s="3"/>
      <c r="X6" s="3"/>
      <c r="Y6" s="3"/>
    </row>
    <row r="7" spans="2:25" x14ac:dyDescent="0.25">
      <c r="B7" s="3">
        <v>5</v>
      </c>
      <c r="C7" s="3">
        <v>1</v>
      </c>
      <c r="D7" s="3" t="s">
        <v>2</v>
      </c>
      <c r="E7" s="3" t="s">
        <v>87</v>
      </c>
      <c r="F7" s="24" t="s">
        <v>90</v>
      </c>
      <c r="G7" s="3">
        <v>1351929</v>
      </c>
      <c r="H7" s="3" t="s">
        <v>70</v>
      </c>
      <c r="I7" s="3" t="s">
        <v>92</v>
      </c>
      <c r="J7" s="23" t="s">
        <v>23</v>
      </c>
      <c r="K7" s="23"/>
      <c r="L7" s="3"/>
      <c r="M7" s="3">
        <v>19</v>
      </c>
      <c r="N7" s="3"/>
      <c r="O7" s="3">
        <f>ROUNDDOWN(M7/HLOOKUP(Template!D7,Table!$C$3:$D$4,2,0)*8,2)</f>
        <v>1.1599999999999999</v>
      </c>
      <c r="P7" s="3"/>
      <c r="Q7" s="3" t="s">
        <v>27</v>
      </c>
      <c r="R7" s="5">
        <v>43892</v>
      </c>
      <c r="S7" s="5">
        <v>43924</v>
      </c>
      <c r="T7" s="5">
        <v>43892</v>
      </c>
      <c r="U7" s="5"/>
      <c r="V7" s="3"/>
      <c r="W7" s="3"/>
      <c r="X7" s="3"/>
      <c r="Y7" s="3"/>
    </row>
    <row r="8" spans="2:25" x14ac:dyDescent="0.25">
      <c r="B8" s="3">
        <v>6</v>
      </c>
      <c r="C8" s="3">
        <v>2</v>
      </c>
      <c r="D8" s="3" t="s">
        <v>3</v>
      </c>
      <c r="E8" s="3" t="s">
        <v>93</v>
      </c>
      <c r="F8" s="24" t="s">
        <v>94</v>
      </c>
      <c r="G8" s="3">
        <v>1351848</v>
      </c>
      <c r="H8" s="3" t="s">
        <v>95</v>
      </c>
      <c r="I8" s="3" t="s">
        <v>90</v>
      </c>
      <c r="J8" s="23" t="s">
        <v>23</v>
      </c>
      <c r="K8" s="23"/>
      <c r="L8" s="3"/>
      <c r="M8" s="3">
        <v>478</v>
      </c>
      <c r="N8" s="3"/>
      <c r="O8" s="3">
        <f>ROUNDDOWN(M8/HLOOKUP(Template!D8,Table!$C$3:$D$4,2,0)*8,2)</f>
        <v>8.49</v>
      </c>
      <c r="P8" s="3"/>
      <c r="Q8" s="3" t="s">
        <v>27</v>
      </c>
      <c r="R8" s="5">
        <v>43892</v>
      </c>
      <c r="S8" s="5">
        <v>43924</v>
      </c>
      <c r="T8" s="5">
        <v>43892</v>
      </c>
      <c r="U8" s="5"/>
      <c r="V8" s="3"/>
      <c r="W8" s="3"/>
      <c r="X8" s="3"/>
      <c r="Y8" s="3"/>
    </row>
    <row r="9" spans="2:25" x14ac:dyDescent="0.25">
      <c r="B9" s="3">
        <v>7</v>
      </c>
      <c r="C9" s="3">
        <v>2</v>
      </c>
      <c r="D9" s="3" t="s">
        <v>3</v>
      </c>
      <c r="E9" s="3" t="s">
        <v>93</v>
      </c>
      <c r="F9" s="24" t="s">
        <v>94</v>
      </c>
      <c r="G9" s="3">
        <v>1351848</v>
      </c>
      <c r="H9" s="3" t="s">
        <v>96</v>
      </c>
      <c r="I9" s="3" t="s">
        <v>90</v>
      </c>
      <c r="J9" s="23" t="s">
        <v>23</v>
      </c>
      <c r="K9" s="23"/>
      <c r="L9" s="3"/>
      <c r="M9" s="3">
        <v>286</v>
      </c>
      <c r="N9" s="3"/>
      <c r="O9" s="3">
        <f>ROUNDDOWN(M9/HLOOKUP(Template!D9,Table!$C$3:$D$4,2,0)*8,2)</f>
        <v>5.08</v>
      </c>
      <c r="P9" s="3"/>
      <c r="Q9" s="3" t="s">
        <v>27</v>
      </c>
      <c r="R9" s="5">
        <v>43892</v>
      </c>
      <c r="S9" s="5">
        <v>43924</v>
      </c>
      <c r="T9" s="5">
        <v>43892</v>
      </c>
      <c r="U9" s="5"/>
      <c r="V9" s="3"/>
      <c r="W9" s="3"/>
      <c r="X9" s="3"/>
      <c r="Y9" s="3"/>
    </row>
    <row r="10" spans="2:25" x14ac:dyDescent="0.25">
      <c r="B10" s="3">
        <v>8</v>
      </c>
      <c r="C10" s="3">
        <v>2</v>
      </c>
      <c r="D10" s="3" t="s">
        <v>3</v>
      </c>
      <c r="E10" s="3" t="s">
        <v>93</v>
      </c>
      <c r="F10" s="24" t="s">
        <v>97</v>
      </c>
      <c r="G10" s="3">
        <v>1351848</v>
      </c>
      <c r="H10" s="3" t="s">
        <v>98</v>
      </c>
      <c r="I10" s="3" t="s">
        <v>90</v>
      </c>
      <c r="J10" s="23" t="s">
        <v>23</v>
      </c>
      <c r="K10" s="23"/>
      <c r="L10" s="3"/>
      <c r="M10" s="3">
        <v>110</v>
      </c>
      <c r="N10" s="3"/>
      <c r="O10" s="3">
        <f>ROUNDDOWN(M10/HLOOKUP(Template!D10,Table!$C$3:$D$4,2,0)*8,2)</f>
        <v>1.95</v>
      </c>
      <c r="P10" s="3"/>
      <c r="Q10" s="3" t="s">
        <v>27</v>
      </c>
      <c r="R10" s="5">
        <v>43892</v>
      </c>
      <c r="S10" s="5">
        <v>43924</v>
      </c>
      <c r="T10" s="5">
        <v>43892</v>
      </c>
      <c r="U10" s="5"/>
      <c r="V10" s="3"/>
      <c r="W10" s="3"/>
      <c r="X10" s="3"/>
      <c r="Y10" s="3"/>
    </row>
    <row r="11" spans="2:25" x14ac:dyDescent="0.25">
      <c r="B11" s="3"/>
      <c r="C11" s="3"/>
      <c r="D11" s="3"/>
      <c r="E11" s="3"/>
      <c r="F11" s="24"/>
      <c r="G11" s="3"/>
      <c r="H11" s="3"/>
      <c r="I11" s="3"/>
      <c r="J11" s="23"/>
      <c r="K11" s="23"/>
      <c r="L11" s="3"/>
      <c r="M11" s="3"/>
      <c r="N11" s="3"/>
      <c r="O11" s="3"/>
      <c r="P11" s="3"/>
      <c r="Q11" s="3"/>
      <c r="R11" s="5"/>
      <c r="S11" s="5"/>
      <c r="T11" s="5"/>
      <c r="U11" s="5"/>
      <c r="V11" s="3"/>
      <c r="W11" s="3"/>
      <c r="X11" s="3"/>
      <c r="Y11" s="3"/>
    </row>
    <row r="12" spans="2:25" x14ac:dyDescent="0.25">
      <c r="B12" s="3"/>
      <c r="C12" s="3"/>
      <c r="D12" s="3"/>
      <c r="E12" s="3"/>
      <c r="F12" s="24"/>
      <c r="G12" s="3"/>
      <c r="H12" s="3"/>
      <c r="I12" s="3"/>
      <c r="J12" s="23"/>
      <c r="K12" s="23"/>
      <c r="L12" s="3"/>
      <c r="M12" s="3"/>
      <c r="N12" s="3"/>
      <c r="O12" s="3"/>
      <c r="P12" s="3"/>
      <c r="Q12" s="3"/>
      <c r="R12" s="5"/>
      <c r="S12" s="5"/>
      <c r="T12" s="5"/>
      <c r="U12" s="5"/>
      <c r="V12" s="3"/>
      <c r="W12" s="3"/>
      <c r="X12" s="3"/>
      <c r="Y12" s="3"/>
    </row>
    <row r="13" spans="2:25" x14ac:dyDescent="0.25">
      <c r="B13" s="3"/>
      <c r="C13" s="3"/>
      <c r="D13" s="3"/>
      <c r="E13" s="3"/>
      <c r="F13" s="24"/>
      <c r="G13" s="3"/>
      <c r="H13" s="3"/>
      <c r="I13" s="3"/>
      <c r="J13" s="23"/>
      <c r="K13" s="23"/>
      <c r="L13" s="3"/>
      <c r="M13" s="3"/>
      <c r="N13" s="3"/>
      <c r="O13" s="3"/>
      <c r="P13" s="3"/>
      <c r="Q13" s="3"/>
      <c r="R13" s="5"/>
      <c r="S13" s="5"/>
      <c r="T13" s="5"/>
      <c r="U13" s="5"/>
      <c r="V13" s="3"/>
      <c r="W13" s="3"/>
      <c r="X13" s="3"/>
      <c r="Y13" s="3"/>
    </row>
    <row r="14" spans="2:25" x14ac:dyDescent="0.25">
      <c r="B14" s="3"/>
      <c r="C14" s="3"/>
      <c r="D14" s="3"/>
      <c r="E14" s="3"/>
      <c r="F14" s="24"/>
      <c r="G14" s="3"/>
      <c r="H14" s="3"/>
      <c r="I14" s="3"/>
      <c r="J14" s="23"/>
      <c r="K14" s="23"/>
      <c r="L14" s="3"/>
      <c r="M14" s="3"/>
      <c r="N14" s="3"/>
      <c r="O14" s="3"/>
      <c r="P14" s="3"/>
      <c r="Q14" s="3"/>
      <c r="R14" s="5"/>
      <c r="S14" s="5"/>
      <c r="T14" s="5"/>
      <c r="U14" s="5"/>
      <c r="V14" s="3"/>
      <c r="W14" s="3"/>
      <c r="X14" s="3"/>
      <c r="Y14" s="3"/>
    </row>
    <row r="15" spans="2:25" x14ac:dyDescent="0.25">
      <c r="B15" s="3"/>
      <c r="C15" s="3"/>
      <c r="D15" s="3"/>
      <c r="E15" s="3"/>
      <c r="F15" s="24"/>
      <c r="G15" s="3"/>
      <c r="H15" s="3"/>
      <c r="I15" s="3"/>
      <c r="J15" s="23"/>
      <c r="K15" s="23"/>
      <c r="L15" s="3"/>
      <c r="M15" s="3"/>
      <c r="N15" s="3"/>
      <c r="O15" s="3"/>
      <c r="P15" s="3"/>
      <c r="Q15" s="3"/>
      <c r="R15" s="5"/>
      <c r="S15" s="5"/>
      <c r="T15" s="5"/>
      <c r="U15" s="5"/>
      <c r="V15" s="3"/>
      <c r="W15" s="3"/>
      <c r="X15" s="3"/>
      <c r="Y15" s="3"/>
    </row>
    <row r="16" spans="2:25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2:8" x14ac:dyDescent="0.25">
      <c r="B17" s="1" t="s">
        <v>64</v>
      </c>
    </row>
    <row r="18" spans="2:8" x14ac:dyDescent="0.25">
      <c r="B18" s="2" t="s">
        <v>0</v>
      </c>
      <c r="C18" s="2" t="s">
        <v>9</v>
      </c>
      <c r="D18" s="2" t="s">
        <v>28</v>
      </c>
      <c r="E18" s="2" t="s">
        <v>29</v>
      </c>
      <c r="F18" s="2" t="s">
        <v>26</v>
      </c>
      <c r="G18" s="2" t="s">
        <v>25</v>
      </c>
      <c r="H18" s="4" t="s">
        <v>30</v>
      </c>
    </row>
    <row r="19" spans="2:8" x14ac:dyDescent="0.25">
      <c r="B19" s="3">
        <v>1</v>
      </c>
      <c r="C19" s="3" t="s">
        <v>6</v>
      </c>
      <c r="D19" s="3">
        <f>SUMIFS($M$3:$M$6,$D$3:$D$6,Table!$C$3,$L$3:$L$6,Table!C13)</f>
        <v>0</v>
      </c>
      <c r="E19" s="3">
        <f>SUMIFS($N$3:$N$6,$D$3:$D$6,Table!$C$3,$L$3:$L$6,Table!C13)-SUM(SUMIFS($N$3:$N$6,$D$3:$D$6,Table!$C$3,$L$3:$L$6,Table!C13,$Q$3:$Q$6,{"Ongoing","N/A"}))</f>
        <v>0</v>
      </c>
      <c r="F19" s="3">
        <f>1/8*(SUMIFS($P$3:$P$6,$D$3:$D$6,Table!$C$3,$L$3:$L$6,Table!C13)-SUM(SUMIFS($P$3:$P$6,$D$3:$D$6,Table!$C$3,$L$3:$L$6,Table!C13,$Q$3:$Q$6,{"Ongoing","N/A"})))</f>
        <v>0</v>
      </c>
      <c r="G19" s="3" t="e">
        <f>E19/(F19)</f>
        <v>#DIV/0!</v>
      </c>
      <c r="H19" s="7" t="e">
        <f>E19/D19</f>
        <v>#DIV/0!</v>
      </c>
    </row>
    <row r="20" spans="2:8" x14ac:dyDescent="0.25">
      <c r="B20" s="3">
        <v>2</v>
      </c>
      <c r="C20" s="3" t="s">
        <v>7</v>
      </c>
      <c r="D20" s="3">
        <f>SUMIFS($M$3:$M$6,$D$3:$D$6,Table!$C$3,$L$3:$L$6,Table!#REF!)</f>
        <v>0</v>
      </c>
      <c r="E20" s="3">
        <f>SUMIFS($N$3:$N$6,$D$3:$D$6,Table!$C$3,$L$3:$L$6,Table!#REF!)-SUM(SUMIFS($N$3:$N$6,$D$3:$D$6,Table!$C$3,$L$3:$L$6,Table!#REF!,$Q$3:$Q$6,{"Ongoing","N/A"}))</f>
        <v>0</v>
      </c>
      <c r="F20" s="3">
        <f>1/8*(SUMIFS($P$3:$P$6,$D$3:$D$6,Table!$C$3,$L$3:$L$6,Table!#REF!)-SUM(SUMIFS($P$3:$P$6,$D$3:$D$6,Table!$C$3,$L$3:$L$6,Table!#REF!,$Q$3:$Q$6,{"Ongoing","N/A"})))</f>
        <v>0</v>
      </c>
      <c r="G20" s="3" t="e">
        <f>E20/(F20)</f>
        <v>#DIV/0!</v>
      </c>
      <c r="H20" s="7" t="e">
        <f>E20/D20</f>
        <v>#DIV/0!</v>
      </c>
    </row>
    <row r="21" spans="2:8" x14ac:dyDescent="0.25">
      <c r="B21" s="3">
        <v>3</v>
      </c>
      <c r="C21" s="3" t="s">
        <v>7</v>
      </c>
      <c r="D21" s="3">
        <f>SUMIFS($M$3:$M$6,$D$3:$D$6,Table!$C$3,$L$3:$L$6,Table!C21)</f>
        <v>0</v>
      </c>
      <c r="E21" s="3">
        <f>SUMIFS($N$3:$N$6,$D$3:$D$6,Table!$C$3,$L$3:$L$6,Table!C21)-SUM(SUMIFS($N$3:$N$6,$D$3:$D$6,Table!$C$3,$L$3:$L$6,Table!C21,$Q$3:$Q$6,{"Ongoing","N/A"}))</f>
        <v>0</v>
      </c>
      <c r="F21" s="3">
        <f>1/8*(SUMIFS($P$3:$P$6,$D$3:$D$6,Table!$C$3,$L$3:$L$6,Table!C21)-SUM(SUMIFS($P$3:$P$6,$D$3:$D$6,Table!$C$3,$L$3:$L$6,Table!C21,$Q$3:$Q$6,{"Ongoing","N/A"})))</f>
        <v>0</v>
      </c>
      <c r="G21" s="3" t="e">
        <f t="shared" ref="G21:G30" si="0">E21/(F21)</f>
        <v>#DIV/0!</v>
      </c>
      <c r="H21" s="7" t="e">
        <f t="shared" ref="H21:H30" si="1">E21/D21</f>
        <v>#DIV/0!</v>
      </c>
    </row>
    <row r="22" spans="2:8" x14ac:dyDescent="0.25">
      <c r="B22" s="3">
        <v>4</v>
      </c>
      <c r="C22" s="3" t="s">
        <v>7</v>
      </c>
      <c r="D22" s="3">
        <f>SUMIFS($M$3:$M$6,$D$3:$D$6,Table!$C$3,$L$3:$L$6,Table!C22)</f>
        <v>0</v>
      </c>
      <c r="E22" s="3">
        <f>SUMIFS($N$3:$N$6,$D$3:$D$6,Table!$C$3,$L$3:$L$6,Table!C22)-SUM(SUMIFS($N$3:$N$6,$D$3:$D$6,Table!$C$3,$L$3:$L$6,Table!C22,$Q$3:$Q$6,{"Ongoing","N/A"}))</f>
        <v>0</v>
      </c>
      <c r="F22" s="3">
        <f>1/8*(SUMIFS($P$3:$P$6,$D$3:$D$6,Table!$C$3,$L$3:$L$6,Table!C22)-SUM(SUMIFS($P$3:$P$6,$D$3:$D$6,Table!$C$3,$L$3:$L$6,Table!C22,$Q$3:$Q$6,{"Ongoing","N/A"})))</f>
        <v>0</v>
      </c>
      <c r="G22" s="3" t="e">
        <f t="shared" si="0"/>
        <v>#DIV/0!</v>
      </c>
      <c r="H22" s="7" t="e">
        <f t="shared" si="1"/>
        <v>#DIV/0!</v>
      </c>
    </row>
    <row r="23" spans="2:8" x14ac:dyDescent="0.25">
      <c r="B23" s="3">
        <v>5</v>
      </c>
      <c r="C23" s="3" t="s">
        <v>7</v>
      </c>
      <c r="D23" s="3">
        <f>SUMIFS($M$3:$M$6,$D$3:$D$6,Table!$C$3,$L$3:$L$6,Table!C23)</f>
        <v>0</v>
      </c>
      <c r="E23" s="3">
        <f>SUMIFS($N$3:$N$6,$D$3:$D$6,Table!$C$3,$L$3:$L$6,Table!C23)-SUM(SUMIFS($N$3:$N$6,$D$3:$D$6,Table!$C$3,$L$3:$L$6,Table!C23,$Q$3:$Q$6,{"Ongoing","N/A"}))</f>
        <v>0</v>
      </c>
      <c r="F23" s="3">
        <f>1/8*(SUMIFS($P$3:$P$6,$D$3:$D$6,Table!$C$3,$L$3:$L$6,Table!C23)-SUM(SUMIFS($P$3:$P$6,$D$3:$D$6,Table!$C$3,$L$3:$L$6,Table!C23,$Q$3:$Q$6,{"Ongoing","N/A"})))</f>
        <v>0</v>
      </c>
      <c r="G23" s="3" t="e">
        <f t="shared" si="0"/>
        <v>#DIV/0!</v>
      </c>
      <c r="H23" s="7" t="e">
        <f t="shared" si="1"/>
        <v>#DIV/0!</v>
      </c>
    </row>
    <row r="24" spans="2:8" x14ac:dyDescent="0.25">
      <c r="B24" s="3">
        <v>6</v>
      </c>
      <c r="C24" s="3" t="s">
        <v>7</v>
      </c>
      <c r="D24" s="3">
        <f>SUMIFS($M$3:$M$6,$D$3:$D$6,Table!$C$3,$L$3:$L$6,Table!C24)</f>
        <v>0</v>
      </c>
      <c r="E24" s="3">
        <f>SUMIFS($N$3:$N$6,$D$3:$D$6,Table!$C$3,$L$3:$L$6,Table!C24)-SUM(SUMIFS($N$3:$N$6,$D$3:$D$6,Table!$C$3,$L$3:$L$6,Table!C24,$Q$3:$Q$6,{"Ongoing","N/A"}))</f>
        <v>0</v>
      </c>
      <c r="F24" s="3">
        <f>1/8*(SUMIFS($P$3:$P$6,$D$3:$D$6,Table!$C$3,$L$3:$L$6,Table!C24)-SUM(SUMIFS($P$3:$P$6,$D$3:$D$6,Table!$C$3,$L$3:$L$6,Table!C24,$Q$3:$Q$6,{"Ongoing","N/A"})))</f>
        <v>0</v>
      </c>
      <c r="G24" s="3" t="e">
        <f t="shared" si="0"/>
        <v>#DIV/0!</v>
      </c>
      <c r="H24" s="7" t="e">
        <f t="shared" si="1"/>
        <v>#DIV/0!</v>
      </c>
    </row>
    <row r="25" spans="2:8" x14ac:dyDescent="0.25">
      <c r="B25" s="3">
        <v>7</v>
      </c>
      <c r="C25" s="3" t="s">
        <v>7</v>
      </c>
      <c r="D25" s="3">
        <f>SUMIFS($M$3:$M$6,$D$3:$D$6,Table!$C$3,$L$3:$L$6,Table!C25)</f>
        <v>0</v>
      </c>
      <c r="E25" s="3">
        <f>SUMIFS($N$3:$N$6,$D$3:$D$6,Table!$C$3,$L$3:$L$6,Table!C25)-SUM(SUMIFS($N$3:$N$6,$D$3:$D$6,Table!$C$3,$L$3:$L$6,Table!C25,$Q$3:$Q$6,{"Ongoing","N/A"}))</f>
        <v>0</v>
      </c>
      <c r="F25" s="3">
        <f>1/8*(SUMIFS($P$3:$P$6,$D$3:$D$6,Table!$C$3,$L$3:$L$6,Table!C25)-SUM(SUMIFS($P$3:$P$6,$D$3:$D$6,Table!$C$3,$L$3:$L$6,Table!C25,$Q$3:$Q$6,{"Ongoing","N/A"})))</f>
        <v>0</v>
      </c>
      <c r="G25" s="3" t="e">
        <f t="shared" si="0"/>
        <v>#DIV/0!</v>
      </c>
      <c r="H25" s="7" t="e">
        <f t="shared" si="1"/>
        <v>#DIV/0!</v>
      </c>
    </row>
    <row r="26" spans="2:8" x14ac:dyDescent="0.25">
      <c r="B26" s="3">
        <v>8</v>
      </c>
      <c r="C26" s="3" t="s">
        <v>7</v>
      </c>
      <c r="D26" s="3">
        <f>SUMIFS($M$3:$M$6,$D$3:$D$6,Table!$C$3,$L$3:$L$6,Table!C26)</f>
        <v>0</v>
      </c>
      <c r="E26" s="3">
        <f>SUMIFS($N$3:$N$6,$D$3:$D$6,Table!$C$3,$L$3:$L$6,Table!C26)-SUM(SUMIFS($N$3:$N$6,$D$3:$D$6,Table!$C$3,$L$3:$L$6,Table!C26,$Q$3:$Q$6,{"Ongoing","N/A"}))</f>
        <v>0</v>
      </c>
      <c r="F26" s="3">
        <f>1/8*(SUMIFS($P$3:$P$6,$D$3:$D$6,Table!$C$3,$L$3:$L$6,Table!C26)-SUM(SUMIFS($P$3:$P$6,$D$3:$D$6,Table!$C$3,$L$3:$L$6,Table!C26,$Q$3:$Q$6,{"Ongoing","N/A"})))</f>
        <v>0</v>
      </c>
      <c r="G26" s="3" t="e">
        <f t="shared" si="0"/>
        <v>#DIV/0!</v>
      </c>
      <c r="H26" s="7" t="e">
        <f t="shared" si="1"/>
        <v>#DIV/0!</v>
      </c>
    </row>
    <row r="27" spans="2:8" x14ac:dyDescent="0.25">
      <c r="B27" s="3">
        <v>9</v>
      </c>
      <c r="C27" s="3" t="s">
        <v>7</v>
      </c>
      <c r="D27" s="3">
        <f>SUMIFS($M$3:$M$6,$D$3:$D$6,Table!$C$3,$L$3:$L$6,Table!C30)</f>
        <v>0</v>
      </c>
      <c r="E27" s="3">
        <f>SUMIFS($N$3:$N$6,$D$3:$D$6,Table!$C$3,$L$3:$L$6,Table!C30)-SUM(SUMIFS($N$3:$N$6,$D$3:$D$6,Table!$C$3,$L$3:$L$6,Table!C30,$Q$3:$Q$6,{"Ongoing","N/A"}))</f>
        <v>0</v>
      </c>
      <c r="F27" s="3">
        <f>1/8*(SUMIFS($P$3:$P$6,$D$3:$D$6,Table!$C$3,$L$3:$L$6,Table!C30)-SUM(SUMIFS($P$3:$P$6,$D$3:$D$6,Table!$C$3,$L$3:$L$6,Table!C30,$Q$3:$Q$6,{"Ongoing","N/A"})))</f>
        <v>0</v>
      </c>
      <c r="G27" s="3" t="e">
        <f t="shared" si="0"/>
        <v>#DIV/0!</v>
      </c>
      <c r="H27" s="7" t="e">
        <f t="shared" si="1"/>
        <v>#DIV/0!</v>
      </c>
    </row>
    <row r="28" spans="2:8" x14ac:dyDescent="0.25">
      <c r="B28" s="3">
        <v>10</v>
      </c>
      <c r="C28" s="3" t="s">
        <v>7</v>
      </c>
      <c r="D28" s="3">
        <f>SUMIFS($M$3:$M$6,$D$3:$D$6,Table!$C$3,$L$3:$L$6,Table!C31)</f>
        <v>0</v>
      </c>
      <c r="E28" s="3">
        <f>SUMIFS($N$3:$N$6,$D$3:$D$6,Table!$C$3,$L$3:$L$6,Table!C31)-SUM(SUMIFS($N$3:$N$6,$D$3:$D$6,Table!$C$3,$L$3:$L$6,Table!C31,$Q$3:$Q$6,{"Ongoing","N/A"}))</f>
        <v>0</v>
      </c>
      <c r="F28" s="3">
        <f>1/8*(SUMIFS($P$3:$P$6,$D$3:$D$6,Table!$C$3,$L$3:$L$6,Table!C31)-SUM(SUMIFS($P$3:$P$6,$D$3:$D$6,Table!$C$3,$L$3:$L$6,Table!C31,$Q$3:$Q$6,{"Ongoing","N/A"})))</f>
        <v>0</v>
      </c>
      <c r="G28" s="3" t="e">
        <f t="shared" si="0"/>
        <v>#DIV/0!</v>
      </c>
      <c r="H28" s="7" t="e">
        <f t="shared" si="1"/>
        <v>#DIV/0!</v>
      </c>
    </row>
    <row r="29" spans="2:8" x14ac:dyDescent="0.25">
      <c r="B29" s="3">
        <v>2</v>
      </c>
      <c r="C29" s="3" t="s">
        <v>7</v>
      </c>
      <c r="D29" s="3">
        <f>SUMIFS($M$3:$M$6,$D$3:$D$6,Table!$C$3,$L$3:$L$6,Table!C32)</f>
        <v>0</v>
      </c>
      <c r="E29" s="3">
        <f>SUMIFS($N$3:$N$6,$D$3:$D$6,Table!$C$3,$L$3:$L$6,Table!C32)-SUM(SUMIFS($N$3:$N$6,$D$3:$D$6,Table!$C$3,$L$3:$L$6,Table!C32,$Q$3:$Q$6,{"Ongoing","N/A"}))</f>
        <v>0</v>
      </c>
      <c r="F29" s="3">
        <f>1/8*(SUMIFS($P$3:$P$6,$D$3:$D$6,Table!$C$3,$L$3:$L$6,Table!C32)-SUM(SUMIFS($P$3:$P$6,$D$3:$D$6,Table!$C$3,$L$3:$L$6,Table!C32,$Q$3:$Q$6,{"Ongoing","N/A"})))</f>
        <v>0</v>
      </c>
      <c r="G29" s="3" t="e">
        <f t="shared" si="0"/>
        <v>#DIV/0!</v>
      </c>
      <c r="H29" s="7" t="e">
        <f t="shared" si="1"/>
        <v>#DIV/0!</v>
      </c>
    </row>
    <row r="30" spans="2:8" x14ac:dyDescent="0.25">
      <c r="B30" s="3">
        <v>2</v>
      </c>
      <c r="C30" s="3" t="s">
        <v>7</v>
      </c>
      <c r="D30" s="3">
        <f>SUMIFS($M$3:$M$6,$D$3:$D$6,Table!$C$3,$L$3:$L$6,Table!C33)</f>
        <v>0</v>
      </c>
      <c r="E30" s="3">
        <f>SUMIFS($N$3:$N$6,$D$3:$D$6,Table!$C$3,$L$3:$L$6,Table!C33)-SUM(SUMIFS($N$3:$N$6,$D$3:$D$6,Table!$C$3,$L$3:$L$6,Table!C33,$Q$3:$Q$6,{"Ongoing","N/A"}))</f>
        <v>0</v>
      </c>
      <c r="F30" s="3">
        <f>1/8*(SUMIFS($P$3:$P$6,$D$3:$D$6,Table!$C$3,$L$3:$L$6,Table!C33)-SUM(SUMIFS($P$3:$P$6,$D$3:$D$6,Table!$C$3,$L$3:$L$6,Table!C33,$Q$3:$Q$6,{"Ongoing","N/A"})))</f>
        <v>0</v>
      </c>
      <c r="G30" s="3" t="e">
        <f t="shared" si="0"/>
        <v>#DIV/0!</v>
      </c>
      <c r="H30" s="7" t="e">
        <f t="shared" si="1"/>
        <v>#DIV/0!</v>
      </c>
    </row>
    <row r="31" spans="2:8" x14ac:dyDescent="0.25">
      <c r="B31" s="3">
        <v>3</v>
      </c>
      <c r="C31" s="3"/>
      <c r="D31" s="3"/>
      <c r="E31" s="3"/>
      <c r="F31" s="3"/>
      <c r="G31" s="3"/>
      <c r="H31" s="3"/>
    </row>
    <row r="34" spans="2:8" x14ac:dyDescent="0.25">
      <c r="B34" s="1" t="s">
        <v>65</v>
      </c>
    </row>
    <row r="35" spans="2:8" x14ac:dyDescent="0.25">
      <c r="B35" s="2" t="s">
        <v>0</v>
      </c>
      <c r="C35" s="2" t="s">
        <v>9</v>
      </c>
      <c r="D35" s="2" t="s">
        <v>28</v>
      </c>
      <c r="E35" s="2" t="s">
        <v>29</v>
      </c>
      <c r="F35" s="2" t="s">
        <v>26</v>
      </c>
      <c r="G35" s="2" t="s">
        <v>25</v>
      </c>
      <c r="H35" s="4" t="s">
        <v>30</v>
      </c>
    </row>
    <row r="36" spans="2:8" x14ac:dyDescent="0.25">
      <c r="B36" s="3">
        <v>1</v>
      </c>
      <c r="C36" s="3" t="s">
        <v>6</v>
      </c>
      <c r="D36" s="3">
        <f>SUMIFS($M$3:$M$6,$D$3:$D$6,Table!$D$3,$L$3:$L$6,Table!C13)</f>
        <v>0</v>
      </c>
      <c r="E36" s="3">
        <f>SUMIFS($M$3:$M$6,$D$3:$D$6,Table!$D$3,$L$3:$L$6,Table!C13)-SUM(SUMIFS($M$3:$M$6,$D$3:$D$6,Table!$D$3,$L$3:$L$6,Table!C13,$Q$3:$Q$6,{"Ongoing","N/A"}))</f>
        <v>0</v>
      </c>
      <c r="F36" s="3">
        <f>1/8*(SUMIFS($P$3:$P$6,$D$3:$D$6,Table!$D$3,$L$3:$L$6,Table!C13)-SUM(SUMIFS($P$3:$P$6,$D$3:$D$6,Table!$D$3,$L$3:$L$6,Table!C13,$Q$3:$Q$6,{"Ongoing","N/A"})))</f>
        <v>0</v>
      </c>
      <c r="G36" s="3" t="e">
        <f>E36/(F36)</f>
        <v>#DIV/0!</v>
      </c>
      <c r="H36" s="7" t="e">
        <f>E36/D36</f>
        <v>#DIV/0!</v>
      </c>
    </row>
    <row r="37" spans="2:8" x14ac:dyDescent="0.25">
      <c r="B37" s="3">
        <v>2</v>
      </c>
      <c r="C37" s="3" t="s">
        <v>7</v>
      </c>
      <c r="D37">
        <f>SUMIFS($M$3:$M$6,$D$3:$D$6,Table!$D$3,$L$3:$L$6,Table!#REF!)</f>
        <v>0</v>
      </c>
      <c r="E37" s="3">
        <f>SUMIFS($M$3:$M$6,$D$3:$D$6,Table!$D$3,$L$3:$L$6,Table!#REF!)-SUM(SUMIFS($M$3:$M$6,$D$3:$D$6,Table!$D$3,$L$3:$L$6,Table!#REF!,$Q$3:$Q$6,{"Ongoing","N/A"}))</f>
        <v>0</v>
      </c>
      <c r="F37" s="3">
        <f>1/8*(SUMIFS($P$3:$P$6,$D$3:$D$6,Table!$D$3,$L$3:$L$6,Table!#REF!)-SUM(SUMIFS($P$3:$P$6,$D$3:$D$6,Table!$D$3,$L$3:$L$6,Table!#REF!,$Q$3:$Q$6,{"Ongoing","N/A"})))</f>
        <v>0</v>
      </c>
      <c r="G37" s="3" t="e">
        <f>E37/(F37)</f>
        <v>#DIV/0!</v>
      </c>
      <c r="H37" s="7" t="e">
        <f>E37/D37</f>
        <v>#DIV/0!</v>
      </c>
    </row>
    <row r="38" spans="2:8" x14ac:dyDescent="0.25">
      <c r="B38" s="3">
        <v>3</v>
      </c>
      <c r="C38" s="3"/>
      <c r="D38" s="3"/>
      <c r="E38" s="3"/>
      <c r="F38" s="3"/>
      <c r="G38" s="3"/>
      <c r="H38" s="3"/>
    </row>
  </sheetData>
  <customSheetViews>
    <customSheetView guid="{7E0EA425-A420-4443-B9E0-CDF0AA9E5D09}" scale="85">
      <selection activeCell="M23" sqref="M23"/>
      <pageMargins left="0.7" right="0.7" top="0.75" bottom="0.75" header="0.3" footer="0.3"/>
      <pageSetup orientation="portrait" r:id="rId1"/>
    </customSheetView>
    <customSheetView guid="{72A6EB0A-84D5-4B8A-AC51-54CCD061630B}" scale="85">
      <selection activeCell="G9" sqref="G9"/>
      <pageMargins left="0.7" right="0.7" top="0.75" bottom="0.75" header="0.3" footer="0.3"/>
      <pageSetup orientation="portrait" r:id="rId2"/>
    </customSheetView>
    <customSheetView guid="{4E06BDBF-2CED-473B-850B-2A6C7311FF41}" scale="85">
      <selection activeCell="G9" sqref="G9"/>
      <pageMargins left="0.7" right="0.7" top="0.75" bottom="0.75" header="0.3" footer="0.3"/>
      <pageSetup orientation="portrait" r:id="rId3"/>
    </customSheetView>
    <customSheetView guid="{60D2C030-4E31-4E07-8E1C-44D2EE84B177}" scale="85">
      <selection activeCell="G9" sqref="G9"/>
      <pageMargins left="0.7" right="0.7" top="0.75" bottom="0.75" header="0.3" footer="0.3"/>
      <pageSetup orientation="portrait" r:id="rId4"/>
    </customSheetView>
    <customSheetView guid="{7ECC2B8E-6A82-42F5-8AB0-4A51C54EA5EC}" scale="85">
      <selection activeCell="G9" sqref="G9"/>
      <pageMargins left="0.7" right="0.7" top="0.75" bottom="0.75" header="0.3" footer="0.3"/>
      <pageSetup orientation="portrait" r:id="rId5"/>
    </customSheetView>
    <customSheetView guid="{250915DF-0B97-45D7-B29D-7EED4C89C1C1}" scale="85">
      <selection activeCell="F23" sqref="F23"/>
      <pageMargins left="0.7" right="0.7" top="0.75" bottom="0.75" header="0.3" footer="0.3"/>
      <pageSetup orientation="portrait" r:id="rId6"/>
    </customSheetView>
  </customSheetViews>
  <conditionalFormatting sqref="H19:H30">
    <cfRule type="cellIs" dxfId="7" priority="3" operator="equal">
      <formula>1</formula>
    </cfRule>
    <cfRule type="cellIs" dxfId="6" priority="4" operator="lessThan">
      <formula>1</formula>
    </cfRule>
  </conditionalFormatting>
  <conditionalFormatting sqref="H36:H37">
    <cfRule type="cellIs" dxfId="5" priority="1" operator="equal">
      <formula>1</formula>
    </cfRule>
    <cfRule type="cellIs" dxfId="4" priority="2" operator="lessThan">
      <formula>1</formula>
    </cfRule>
  </conditionalFormatting>
  <pageMargins left="0.7" right="0.7" top="0.75" bottom="0.75" header="0.3" footer="0.3"/>
  <pageSetup orientation="portrait"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greaterThanOrEqual" id="{22A6488A-DB34-4E23-917E-3827E98F9C4C}">
            <xm:f>Table!$C$4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" operator="lessThan" id="{92F5054E-C63E-4551-9869-8FFDFA393297}">
            <xm:f>Table!$C$4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G19:G30</xm:sqref>
        </x14:conditionalFormatting>
        <x14:conditionalFormatting xmlns:xm="http://schemas.microsoft.com/office/excel/2006/main">
          <x14:cfRule type="cellIs" priority="7" operator="greaterThanOrEqual" id="{FBAAE262-F852-48AB-AAB1-F7B61DD39791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lessThan" id="{B50FB8E2-8A38-46D7-B9B1-CD0A46DEEACA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G36:G37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>
          <x14:formula1>
            <xm:f>Table!$C$8:$C$9</xm:f>
          </x14:formula1>
          <xm:sqref>D3:D15</xm:sqref>
        </x14:dataValidation>
        <x14:dataValidation type="list" allowBlank="1" showInputMessage="1" showErrorMessage="1">
          <x14:formula1>
            <xm:f>Table!$C$24:$C$30</xm:f>
          </x14:formula1>
          <xm:sqref>Q3:Q15</xm:sqref>
        </x14:dataValidation>
        <x14:dataValidation type="list" allowBlank="1" showInputMessage="1" showErrorMessage="1">
          <x14:formula1>
            <xm:f>Table!$C$13:$C$20</xm:f>
          </x14:formula1>
          <xm:sqref>L3:L15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E30"/>
  <sheetViews>
    <sheetView topLeftCell="A13" workbookViewId="0">
      <selection activeCell="B24" sqref="B24:C29"/>
    </sheetView>
  </sheetViews>
  <sheetFormatPr defaultRowHeight="15" x14ac:dyDescent="0.25"/>
  <cols>
    <col min="2" max="2" width="11.7109375" bestFit="1" customWidth="1"/>
    <col min="3" max="3" width="18.7109375" bestFit="1" customWidth="1"/>
    <col min="4" max="4" width="11.140625" customWidth="1"/>
    <col min="5" max="5" width="33.85546875" customWidth="1"/>
  </cols>
  <sheetData>
    <row r="2" spans="2:5" x14ac:dyDescent="0.25">
      <c r="B2" s="17" t="s">
        <v>12</v>
      </c>
    </row>
    <row r="3" spans="2:5" x14ac:dyDescent="0.25">
      <c r="B3" s="2" t="s">
        <v>4</v>
      </c>
      <c r="C3" s="18" t="s">
        <v>2</v>
      </c>
      <c r="D3" s="18" t="s">
        <v>3</v>
      </c>
    </row>
    <row r="4" spans="2:5" x14ac:dyDescent="0.25">
      <c r="B4" s="18">
        <v>1</v>
      </c>
      <c r="C4" s="19">
        <v>130</v>
      </c>
      <c r="D4" s="19">
        <v>450</v>
      </c>
    </row>
    <row r="6" spans="2:5" x14ac:dyDescent="0.25">
      <c r="B6" s="1" t="s">
        <v>58</v>
      </c>
    </row>
    <row r="7" spans="2:5" x14ac:dyDescent="0.25">
      <c r="B7" s="2" t="s">
        <v>0</v>
      </c>
      <c r="C7" s="2" t="s">
        <v>1</v>
      </c>
      <c r="D7" s="2" t="s">
        <v>63</v>
      </c>
      <c r="E7" s="4" t="s">
        <v>60</v>
      </c>
    </row>
    <row r="8" spans="2:5" ht="60" x14ac:dyDescent="0.25">
      <c r="B8" s="20">
        <v>1</v>
      </c>
      <c r="C8" s="20" t="s">
        <v>2</v>
      </c>
      <c r="D8" s="20" t="s">
        <v>61</v>
      </c>
      <c r="E8" s="21" t="s">
        <v>10</v>
      </c>
    </row>
    <row r="9" spans="2:5" ht="75" x14ac:dyDescent="0.25">
      <c r="B9" s="20">
        <v>2</v>
      </c>
      <c r="C9" s="20" t="s">
        <v>3</v>
      </c>
      <c r="D9" s="20" t="s">
        <v>62</v>
      </c>
      <c r="E9" s="21" t="s">
        <v>11</v>
      </c>
    </row>
    <row r="11" spans="2:5" x14ac:dyDescent="0.25">
      <c r="B11" s="1" t="s">
        <v>59</v>
      </c>
    </row>
    <row r="12" spans="2:5" x14ac:dyDescent="0.25">
      <c r="B12" s="2" t="s">
        <v>0</v>
      </c>
      <c r="C12" s="2" t="s">
        <v>5</v>
      </c>
    </row>
    <row r="13" spans="2:5" x14ac:dyDescent="0.25">
      <c r="B13" s="3">
        <v>1</v>
      </c>
      <c r="C13" s="3" t="s">
        <v>6</v>
      </c>
    </row>
    <row r="14" spans="2:5" x14ac:dyDescent="0.25">
      <c r="B14" s="3">
        <v>2</v>
      </c>
      <c r="C14" s="3" t="s">
        <v>100</v>
      </c>
    </row>
    <row r="15" spans="2:5" x14ac:dyDescent="0.25">
      <c r="B15" s="3">
        <v>3</v>
      </c>
      <c r="C15" s="3" t="s">
        <v>101</v>
      </c>
    </row>
    <row r="16" spans="2:5" x14ac:dyDescent="0.25">
      <c r="B16" s="3">
        <v>4</v>
      </c>
      <c r="C16" s="3" t="s">
        <v>102</v>
      </c>
    </row>
    <row r="17" spans="2:5" x14ac:dyDescent="0.25">
      <c r="B17" s="3">
        <v>5</v>
      </c>
      <c r="C17" s="3" t="s">
        <v>103</v>
      </c>
    </row>
    <row r="18" spans="2:5" x14ac:dyDescent="0.25">
      <c r="B18" s="3">
        <v>6</v>
      </c>
      <c r="C18" s="3" t="s">
        <v>104</v>
      </c>
    </row>
    <row r="19" spans="2:5" x14ac:dyDescent="0.25">
      <c r="B19" s="3">
        <v>7</v>
      </c>
      <c r="C19" s="3" t="s">
        <v>105</v>
      </c>
    </row>
    <row r="20" spans="2:5" x14ac:dyDescent="0.25">
      <c r="B20" s="3">
        <v>8</v>
      </c>
      <c r="C20" s="3" t="s">
        <v>106</v>
      </c>
    </row>
    <row r="22" spans="2:5" x14ac:dyDescent="0.25">
      <c r="B22" s="17" t="s">
        <v>22</v>
      </c>
    </row>
    <row r="23" spans="2:5" x14ac:dyDescent="0.25">
      <c r="B23" s="2" t="s">
        <v>0</v>
      </c>
      <c r="C23" s="2" t="s">
        <v>20</v>
      </c>
    </row>
    <row r="24" spans="2:5" x14ac:dyDescent="0.25">
      <c r="B24" s="2">
        <v>1</v>
      </c>
      <c r="C24" s="3" t="s">
        <v>23</v>
      </c>
      <c r="E24" s="48" t="s">
        <v>229</v>
      </c>
    </row>
    <row r="25" spans="2:5" x14ac:dyDescent="0.25">
      <c r="B25" s="2">
        <v>2</v>
      </c>
      <c r="C25" s="3" t="s">
        <v>27</v>
      </c>
    </row>
    <row r="26" spans="2:5" x14ac:dyDescent="0.25">
      <c r="B26" s="2">
        <v>3</v>
      </c>
      <c r="C26" s="3" t="s">
        <v>21</v>
      </c>
    </row>
    <row r="27" spans="2:5" x14ac:dyDescent="0.25">
      <c r="B27" s="2">
        <v>4</v>
      </c>
      <c r="C27" s="3" t="s">
        <v>130</v>
      </c>
    </row>
    <row r="28" spans="2:5" x14ac:dyDescent="0.25">
      <c r="B28" s="2">
        <v>5</v>
      </c>
      <c r="C28" s="3" t="s">
        <v>24</v>
      </c>
    </row>
    <row r="29" spans="2:5" x14ac:dyDescent="0.25">
      <c r="B29" s="2">
        <v>6</v>
      </c>
      <c r="C29" s="3" t="s">
        <v>230</v>
      </c>
    </row>
    <row r="30" spans="2:5" x14ac:dyDescent="0.25">
      <c r="B30" s="2">
        <v>7</v>
      </c>
      <c r="C30" s="3" t="s">
        <v>131</v>
      </c>
    </row>
  </sheetData>
  <customSheetViews>
    <customSheetView guid="{7E0EA425-A420-4443-B9E0-CDF0AA9E5D09}" topLeftCell="A13">
      <selection activeCell="B24" sqref="B24:C29"/>
      <pageMargins left="0.7" right="0.7" top="0.75" bottom="0.75" header="0.3" footer="0.3"/>
    </customSheetView>
    <customSheetView guid="{72A6EB0A-84D5-4B8A-AC51-54CCD061630B}" topLeftCell="A13">
      <selection activeCell="B24" sqref="B24:C29"/>
      <pageMargins left="0.7" right="0.7" top="0.75" bottom="0.75" header="0.3" footer="0.3"/>
    </customSheetView>
    <customSheetView guid="{4E06BDBF-2CED-473B-850B-2A6C7311FF41}" topLeftCell="A13">
      <selection activeCell="B24" sqref="B24:C29"/>
      <pageMargins left="0.7" right="0.7" top="0.75" bottom="0.75" header="0.3" footer="0.3"/>
    </customSheetView>
    <customSheetView guid="{60D2C030-4E31-4E07-8E1C-44D2EE84B177}" topLeftCell="A13">
      <selection activeCell="B24" sqref="B24:C29"/>
      <pageMargins left="0.7" right="0.7" top="0.75" bottom="0.75" header="0.3" footer="0.3"/>
    </customSheetView>
    <customSheetView guid="{7ECC2B8E-6A82-42F5-8AB0-4A51C54EA5EC}" topLeftCell="A13">
      <selection activeCell="B24" sqref="B24:C29"/>
      <pageMargins left="0.7" right="0.7" top="0.75" bottom="0.75" header="0.3" footer="0.3"/>
    </customSheetView>
    <customSheetView guid="{250915DF-0B97-45D7-B29D-7EED4C89C1C1}" topLeftCell="A10">
      <selection activeCell="C29" sqref="C2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35"/>
  <sheetViews>
    <sheetView workbookViewId="0">
      <selection activeCell="F38" sqref="F38"/>
    </sheetView>
  </sheetViews>
  <sheetFormatPr defaultRowHeight="15" x14ac:dyDescent="0.25"/>
  <cols>
    <col min="1" max="1" width="10" bestFit="1" customWidth="1"/>
    <col min="2" max="2" width="9.7109375" bestFit="1" customWidth="1"/>
    <col min="3" max="3" width="2" bestFit="1" customWidth="1"/>
    <col min="4" max="4" width="18.7109375" bestFit="1" customWidth="1"/>
    <col min="5" max="5" width="16.7109375" bestFit="1" customWidth="1"/>
    <col min="6" max="6" width="14.7109375" customWidth="1"/>
    <col min="7" max="7" width="30.5703125" customWidth="1"/>
  </cols>
  <sheetData>
    <row r="1" spans="1:7" x14ac:dyDescent="0.25">
      <c r="A1" s="1" t="s">
        <v>50</v>
      </c>
      <c r="B1" s="11">
        <v>43864</v>
      </c>
    </row>
    <row r="2" spans="1:7" x14ac:dyDescent="0.25">
      <c r="A2" s="1" t="s">
        <v>36</v>
      </c>
      <c r="B2" s="12">
        <v>20</v>
      </c>
    </row>
    <row r="4" spans="1:7" x14ac:dyDescent="0.25">
      <c r="B4" s="1" t="s">
        <v>41</v>
      </c>
    </row>
    <row r="5" spans="1:7" ht="30" x14ac:dyDescent="0.25">
      <c r="C5" s="15" t="s">
        <v>31</v>
      </c>
      <c r="D5" s="15" t="s">
        <v>32</v>
      </c>
      <c r="E5" s="15" t="s">
        <v>33</v>
      </c>
      <c r="F5" s="15" t="s">
        <v>34</v>
      </c>
      <c r="G5" s="16" t="s">
        <v>35</v>
      </c>
    </row>
    <row r="6" spans="1:7" x14ac:dyDescent="0.25">
      <c r="C6" s="13">
        <v>1</v>
      </c>
      <c r="D6" s="14" t="s">
        <v>3</v>
      </c>
      <c r="E6" s="14" t="s">
        <v>37</v>
      </c>
      <c r="F6" s="14" t="s">
        <v>37</v>
      </c>
      <c r="G6" s="14" t="s">
        <v>37</v>
      </c>
    </row>
    <row r="7" spans="1:7" x14ac:dyDescent="0.25">
      <c r="C7" s="13">
        <v>2</v>
      </c>
      <c r="D7" s="14" t="s">
        <v>2</v>
      </c>
      <c r="E7" s="14" t="s">
        <v>37</v>
      </c>
      <c r="F7" s="14" t="s">
        <v>37</v>
      </c>
      <c r="G7" s="14" t="s">
        <v>37</v>
      </c>
    </row>
    <row r="9" spans="1:7" x14ac:dyDescent="0.25">
      <c r="B9" s="1" t="s">
        <v>42</v>
      </c>
    </row>
    <row r="10" spans="1:7" ht="30" x14ac:dyDescent="0.25">
      <c r="C10" s="8" t="s">
        <v>31</v>
      </c>
      <c r="D10" s="8" t="s">
        <v>38</v>
      </c>
      <c r="E10" s="9" t="s">
        <v>39</v>
      </c>
      <c r="F10" s="9" t="s">
        <v>40</v>
      </c>
    </row>
    <row r="11" spans="1:7" x14ac:dyDescent="0.25">
      <c r="C11" s="10">
        <v>1</v>
      </c>
      <c r="D11" s="10" t="s">
        <v>6</v>
      </c>
      <c r="E11" s="14" t="s">
        <v>37</v>
      </c>
      <c r="F11" s="14" t="s">
        <v>37</v>
      </c>
    </row>
    <row r="12" spans="1:7" x14ac:dyDescent="0.25">
      <c r="C12" s="10">
        <v>2</v>
      </c>
      <c r="D12" s="10" t="s">
        <v>7</v>
      </c>
      <c r="E12" s="14" t="s">
        <v>37</v>
      </c>
      <c r="F12" s="14" t="s">
        <v>37</v>
      </c>
    </row>
    <row r="14" spans="1:7" x14ac:dyDescent="0.25">
      <c r="B14" s="1" t="s">
        <v>43</v>
      </c>
    </row>
    <row r="15" spans="1:7" ht="30" customHeight="1" x14ac:dyDescent="0.25">
      <c r="C15" s="15" t="s">
        <v>31</v>
      </c>
      <c r="D15" s="101" t="s">
        <v>44</v>
      </c>
      <c r="E15" s="101"/>
      <c r="F15" s="101"/>
      <c r="G15" s="101"/>
    </row>
    <row r="16" spans="1:7" x14ac:dyDescent="0.25">
      <c r="C16" s="10">
        <v>1</v>
      </c>
      <c r="D16" s="100"/>
      <c r="E16" s="100"/>
      <c r="F16" s="100"/>
      <c r="G16" s="100"/>
    </row>
    <row r="17" spans="2:7" x14ac:dyDescent="0.25">
      <c r="C17" s="10">
        <v>2</v>
      </c>
      <c r="D17" s="100"/>
      <c r="E17" s="100"/>
      <c r="F17" s="100"/>
      <c r="G17" s="100"/>
    </row>
    <row r="19" spans="2:7" x14ac:dyDescent="0.25">
      <c r="B19" s="1" t="s">
        <v>45</v>
      </c>
    </row>
    <row r="20" spans="2:7" x14ac:dyDescent="0.25">
      <c r="C20" s="15" t="s">
        <v>31</v>
      </c>
      <c r="D20" s="101" t="s">
        <v>47</v>
      </c>
      <c r="E20" s="101"/>
      <c r="F20" s="101"/>
      <c r="G20" s="101"/>
    </row>
    <row r="21" spans="2:7" x14ac:dyDescent="0.25">
      <c r="C21" s="10">
        <v>1</v>
      </c>
      <c r="D21" s="100"/>
      <c r="E21" s="100"/>
      <c r="F21" s="100"/>
      <c r="G21" s="100"/>
    </row>
    <row r="22" spans="2:7" x14ac:dyDescent="0.25">
      <c r="C22" s="10">
        <v>2</v>
      </c>
      <c r="D22" s="100"/>
      <c r="E22" s="100"/>
      <c r="F22" s="100"/>
      <c r="G22" s="100"/>
    </row>
    <row r="24" spans="2:7" x14ac:dyDescent="0.25">
      <c r="B24" s="1" t="s">
        <v>46</v>
      </c>
    </row>
    <row r="25" spans="2:7" x14ac:dyDescent="0.25">
      <c r="C25" s="15" t="s">
        <v>31</v>
      </c>
      <c r="D25" s="15" t="s">
        <v>38</v>
      </c>
      <c r="E25" s="16" t="s">
        <v>48</v>
      </c>
      <c r="F25" s="16" t="s">
        <v>49</v>
      </c>
    </row>
    <row r="26" spans="2:7" x14ac:dyDescent="0.25">
      <c r="C26" s="10">
        <v>1</v>
      </c>
      <c r="D26" s="10" t="s">
        <v>6</v>
      </c>
      <c r="E26" s="14" t="s">
        <v>37</v>
      </c>
      <c r="F26" s="10" t="s">
        <v>37</v>
      </c>
    </row>
    <row r="27" spans="2:7" x14ac:dyDescent="0.25">
      <c r="C27" s="10">
        <v>2</v>
      </c>
      <c r="D27" s="10" t="s">
        <v>7</v>
      </c>
      <c r="E27" s="14" t="s">
        <v>37</v>
      </c>
      <c r="F27" s="10" t="s">
        <v>37</v>
      </c>
    </row>
    <row r="29" spans="2:7" x14ac:dyDescent="0.25">
      <c r="B29" s="1" t="s">
        <v>51</v>
      </c>
    </row>
    <row r="30" spans="2:7" x14ac:dyDescent="0.25">
      <c r="C30" s="1" t="s">
        <v>54</v>
      </c>
    </row>
    <row r="31" spans="2:7" x14ac:dyDescent="0.25">
      <c r="D31" t="s">
        <v>52</v>
      </c>
    </row>
    <row r="32" spans="2:7" x14ac:dyDescent="0.25">
      <c r="D32" t="s">
        <v>53</v>
      </c>
    </row>
    <row r="33" spans="3:4" x14ac:dyDescent="0.25">
      <c r="C33" s="1" t="s">
        <v>55</v>
      </c>
    </row>
    <row r="34" spans="3:4" x14ac:dyDescent="0.25">
      <c r="D34" t="s">
        <v>56</v>
      </c>
    </row>
    <row r="35" spans="3:4" x14ac:dyDescent="0.25">
      <c r="D35" t="s">
        <v>57</v>
      </c>
    </row>
  </sheetData>
  <customSheetViews>
    <customSheetView guid="{7E0EA425-A420-4443-B9E0-CDF0AA9E5D09}">
      <selection activeCell="F38" sqref="F38"/>
      <pageMargins left="0.7" right="0.7" top="0.75" bottom="0.75" header="0.3" footer="0.3"/>
    </customSheetView>
    <customSheetView guid="{72A6EB0A-84D5-4B8A-AC51-54CCD061630B}">
      <selection activeCell="H33" sqref="H33"/>
      <pageMargins left="0.7" right="0.7" top="0.75" bottom="0.75" header="0.3" footer="0.3"/>
    </customSheetView>
    <customSheetView guid="{4E06BDBF-2CED-473B-850B-2A6C7311FF41}" topLeftCell="A16">
      <selection activeCell="D6" sqref="D6"/>
      <pageMargins left="0.7" right="0.7" top="0.75" bottom="0.75" header="0.3" footer="0.3"/>
    </customSheetView>
    <customSheetView guid="{60D2C030-4E31-4E07-8E1C-44D2EE84B177}" topLeftCell="A16">
      <selection activeCell="D6" sqref="D6"/>
      <pageMargins left="0.7" right="0.7" top="0.75" bottom="0.75" header="0.3" footer="0.3"/>
    </customSheetView>
    <customSheetView guid="{7ECC2B8E-6A82-42F5-8AB0-4A51C54EA5EC}">
      <selection activeCell="H33" sqref="H33"/>
      <pageMargins left="0.7" right="0.7" top="0.75" bottom="0.75" header="0.3" footer="0.3"/>
    </customSheetView>
    <customSheetView guid="{250915DF-0B97-45D7-B29D-7EED4C89C1C1}" topLeftCell="A4">
      <selection activeCell="D22" sqref="D22:G22"/>
      <pageMargins left="0.7" right="0.7" top="0.75" bottom="0.75" header="0.3" footer="0.3"/>
    </customSheetView>
  </customSheetViews>
  <mergeCells count="6">
    <mergeCell ref="D22:G22"/>
    <mergeCell ref="D15:G15"/>
    <mergeCell ref="D16:G16"/>
    <mergeCell ref="D17:G17"/>
    <mergeCell ref="D20:G20"/>
    <mergeCell ref="D21:G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8"/>
  <sheetViews>
    <sheetView workbookViewId="0">
      <selection activeCell="B6" sqref="B6:C6"/>
    </sheetView>
  </sheetViews>
  <sheetFormatPr defaultRowHeight="15" x14ac:dyDescent="0.25"/>
  <cols>
    <col min="2" max="2" width="85.7109375" bestFit="1" customWidth="1"/>
  </cols>
  <sheetData>
    <row r="1" spans="1:3" x14ac:dyDescent="0.25">
      <c r="A1" s="1" t="s">
        <v>208</v>
      </c>
    </row>
    <row r="2" spans="1:3" x14ac:dyDescent="0.25">
      <c r="B2" s="46" t="s">
        <v>210</v>
      </c>
      <c r="C2" t="s">
        <v>211</v>
      </c>
    </row>
    <row r="3" spans="1:3" x14ac:dyDescent="0.25">
      <c r="B3" s="46" t="s">
        <v>213</v>
      </c>
      <c r="C3" t="s">
        <v>212</v>
      </c>
    </row>
    <row r="4" spans="1:3" x14ac:dyDescent="0.25">
      <c r="B4" s="46"/>
    </row>
    <row r="5" spans="1:3" x14ac:dyDescent="0.25">
      <c r="B5" s="45" t="s">
        <v>206</v>
      </c>
    </row>
    <row r="6" spans="1:3" x14ac:dyDescent="0.25">
      <c r="B6" s="46" t="s">
        <v>214</v>
      </c>
      <c r="C6" t="s">
        <v>215</v>
      </c>
    </row>
    <row r="7" spans="1:3" x14ac:dyDescent="0.25">
      <c r="B7" s="46"/>
    </row>
    <row r="8" spans="1:3" x14ac:dyDescent="0.25">
      <c r="B8" s="45" t="s">
        <v>207</v>
      </c>
      <c r="C8" t="s">
        <v>209</v>
      </c>
    </row>
  </sheetData>
  <customSheetViews>
    <customSheetView guid="{7E0EA425-A420-4443-B9E0-CDF0AA9E5D09}">
      <selection activeCell="B6" sqref="B6:C6"/>
      <pageMargins left="0.7" right="0.7" top="0.75" bottom="0.75" header="0.3" footer="0.3"/>
    </customSheetView>
    <customSheetView guid="{72A6EB0A-84D5-4B8A-AC51-54CCD061630B}">
      <selection activeCell="B6" sqref="B6:C6"/>
      <pageMargins left="0.7" right="0.7" top="0.75" bottom="0.75" header="0.3" footer="0.3"/>
    </customSheetView>
    <customSheetView guid="{4E06BDBF-2CED-473B-850B-2A6C7311FF41}">
      <selection activeCell="B6" sqref="B6:C6"/>
      <pageMargins left="0.7" right="0.7" top="0.75" bottom="0.75" header="0.3" footer="0.3"/>
    </customSheetView>
    <customSheetView guid="{60D2C030-4E31-4E07-8E1C-44D2EE84B177}">
      <selection activeCell="B6" sqref="B6:C6"/>
      <pageMargins left="0.7" right="0.7" top="0.75" bottom="0.75" header="0.3" footer="0.3"/>
    </customSheetView>
    <customSheetView guid="{7ECC2B8E-6A82-42F5-8AB0-4A51C54EA5EC}">
      <selection activeCell="B6" sqref="B6:C6"/>
      <pageMargins left="0.7" right="0.7" top="0.75" bottom="0.75" header="0.3" footer="0.3"/>
    </customSheetView>
    <customSheetView guid="{250915DF-0B97-45D7-B29D-7EED4C89C1C1}">
      <selection activeCell="B6" sqref="B6:C6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COEM_Package_20200302</vt:lpstr>
      <vt:lpstr>Sheet1</vt:lpstr>
      <vt:lpstr>|-&gt;</vt:lpstr>
      <vt:lpstr>Template</vt:lpstr>
      <vt:lpstr>Table</vt:lpstr>
      <vt:lpstr>Template_Weekly_Report</vt:lpstr>
      <vt:lpstr>Check_List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EXTERNAL Nguyen Tuan Duong (Ban Vien, RBVH/EPS45)</cp:lastModifiedBy>
  <dcterms:created xsi:type="dcterms:W3CDTF">2006-09-16T00:00:00Z</dcterms:created>
  <dcterms:modified xsi:type="dcterms:W3CDTF">2020-03-14T05:11:53Z</dcterms:modified>
</cp:coreProperties>
</file>